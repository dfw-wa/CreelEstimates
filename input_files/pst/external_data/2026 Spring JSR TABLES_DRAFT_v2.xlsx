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hreadedComments/threadedComment1.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https://stateofwa.sharepoint.com/sites/DFW-TeamFPColumbiaRiverManagementUnit953/Shared Documents/CRD Library/Joint Staff Documents/2026/Spring/"/>
    </mc:Choice>
  </mc:AlternateContent>
  <xr:revisionPtr revIDLastSave="4" documentId="13_ncr:1_{0DD55ADD-6C6B-4A74-985F-BE6D18660788}" xr6:coauthVersionLast="47" xr6:coauthVersionMax="47" xr10:uidLastSave="{6BE629A0-BF57-4240-B358-049ECD6924E7}"/>
  <bookViews>
    <workbookView xWindow="28680" yWindow="-4800" windowWidth="16440" windowHeight="28320" tabRatio="873" firstSheet="17" activeTab="17" xr2:uid="{00000000-000D-0000-FFFF-FFFF00000000}"/>
  </bookViews>
  <sheets>
    <sheet name="Due Dates" sheetId="196" r:id="rId1"/>
    <sheet name="New Figures" sheetId="230" r:id="rId2"/>
    <sheet name="T1Manip" sheetId="197" r:id="rId3"/>
    <sheet name="T1Static" sheetId="198" r:id="rId4"/>
    <sheet name="T2Manip" sheetId="199" r:id="rId5"/>
    <sheet name="T2Static" sheetId="200" r:id="rId6"/>
    <sheet name="T3Manip" sheetId="97" r:id="rId7"/>
    <sheet name="T3Static" sheetId="95" r:id="rId8"/>
    <sheet name="T4Manip" sheetId="98" r:id="rId9"/>
    <sheet name="T4Static" sheetId="99" r:id="rId10"/>
    <sheet name="T5Manip" sheetId="201" r:id="rId11"/>
    <sheet name="T5Static" sheetId="202" r:id="rId12"/>
    <sheet name="T5addnl" sheetId="203" r:id="rId13"/>
    <sheet name="T6_UCCHSpManip" sheetId="205" r:id="rId14"/>
    <sheet name="T6_UCCHSpStatic" sheetId="204" r:id="rId15"/>
    <sheet name="T7_SRManip" sheetId="206" r:id="rId16"/>
    <sheet name="T7_SRStatic" sheetId="207" r:id="rId17"/>
    <sheet name="T8UCCHSuManip" sheetId="215" r:id="rId18"/>
    <sheet name="T8UCCHSuStatic" sheetId="216" r:id="rId19"/>
    <sheet name="T9WWSManip" sheetId="208" r:id="rId20"/>
    <sheet name="T9WWSStatic" sheetId="209" r:id="rId21"/>
    <sheet name="T10" sheetId="210" r:id="rId22"/>
    <sheet name="T11a" sheetId="211" r:id="rId23"/>
    <sheet name="T11b" sheetId="212" r:id="rId24"/>
    <sheet name="T12SthdManip" sheetId="217" r:id="rId25"/>
    <sheet name="T12SthdStatic" sheetId="218" r:id="rId26"/>
    <sheet name="T13LWGSthdManip" sheetId="219" r:id="rId27"/>
    <sheet name="T13LWGSthdStatic" sheetId="220" r:id="rId28"/>
    <sheet name="T14Manip" sheetId="221" r:id="rId29"/>
    <sheet name="T14Static" sheetId="222" r:id="rId30"/>
    <sheet name="T15SOKManip" sheetId="223" r:id="rId31"/>
    <sheet name="T15SOKStatic" sheetId="224" r:id="rId32"/>
    <sheet name="T16" sheetId="82" r:id="rId33"/>
    <sheet name="T17" sheetId="88" r:id="rId34"/>
    <sheet name="T18" sheetId="121" r:id="rId35"/>
    <sheet name="T19" sheetId="90" r:id="rId36"/>
    <sheet name="T20" sheetId="91" r:id="rId37"/>
    <sheet name="T21CondManip" sheetId="213" r:id="rId38"/>
    <sheet name="T21CondStatic" sheetId="214" r:id="rId39"/>
    <sheet name="T22" sheetId="84" r:id="rId40"/>
    <sheet name="T23" sheetId="85" r:id="rId41"/>
    <sheet name="T24" sheetId="86" r:id="rId42"/>
    <sheet name="T25Manip" sheetId="225" r:id="rId43"/>
    <sheet name="T25Static" sheetId="226" r:id="rId44"/>
    <sheet name="T26Manip" sheetId="110" r:id="rId45"/>
    <sheet name="T26Static" sheetId="111" r:id="rId46"/>
    <sheet name="T27CompManip" sheetId="112" r:id="rId47"/>
    <sheet name="T27CompStatic" sheetId="113" r:id="rId48"/>
    <sheet name="T28Manip" sheetId="227" r:id="rId49"/>
    <sheet name="T28Static" sheetId="228" r:id="rId50"/>
    <sheet name="T27Static" sheetId="4" state="hidden" r:id="rId51"/>
    <sheet name="T29Manip" sheetId="187" r:id="rId52"/>
    <sheet name="T29Static" sheetId="188" r:id="rId53"/>
    <sheet name="T30Manip" sheetId="189" r:id="rId54"/>
    <sheet name="T30Static" sheetId="190" r:id="rId55"/>
    <sheet name="T31 SAFE Comp Manip" sheetId="153" r:id="rId56"/>
    <sheet name="T31 SAFE Comp Static" sheetId="154" r:id="rId57"/>
    <sheet name="T32_NULL" sheetId="177" r:id="rId58"/>
    <sheet name="T32" sheetId="231" r:id="rId59"/>
    <sheet name="T33" sheetId="232" r:id="rId60"/>
    <sheet name="T34" sheetId="233" r:id="rId61"/>
    <sheet name="T35" sheetId="234" r:id="rId62"/>
    <sheet name="T36" sheetId="235" r:id="rId63"/>
    <sheet name="Sheet1" sheetId="236" r:id="rId64"/>
    <sheet name="Sheet7" sheetId="43" state="hidden" r:id="rId65"/>
    <sheet name="Sheet8" sheetId="44"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xlnm._FilterDatabase" localSheetId="50" hidden="1">T27Static!$A$3:$T$67</definedName>
    <definedName name="_xlnm._FilterDatabase" localSheetId="51" hidden="1">T29Manip!$A$3:$N$63</definedName>
    <definedName name="_xlnm._FilterDatabase" localSheetId="52" hidden="1">T29Static!$A$6:$S$50</definedName>
    <definedName name="_Toc485765816" localSheetId="61">'T35'!#REF!</definedName>
    <definedName name="_Toc8058813" localSheetId="61">'T35'!#REF!</definedName>
    <definedName name="_Toc8058814" localSheetId="62">'T36'!$L$2</definedName>
    <definedName name="_Toc8058815" localSheetId="61">'T35'!#REF!</definedName>
    <definedName name="_xlnm.Print_Area" localSheetId="32">'T16'!$A$4:$N$66</definedName>
    <definedName name="_xlnm.Print_Area" localSheetId="33">'T17'!$A$2:$F$75</definedName>
    <definedName name="_xlnm.Print_Area" localSheetId="35">'T19'!$A$3:$S$89</definedName>
    <definedName name="_xlnm.Print_Area" localSheetId="36">'T20'!$A$1:$Q$76</definedName>
    <definedName name="_xlnm.Print_Area" localSheetId="7">T3Static!$A$4:$K$64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 i="153" l="1"/>
  <c r="I51" i="197"/>
  <c r="J50" i="215" l="1"/>
  <c r="J48" i="215"/>
  <c r="B74" i="215"/>
  <c r="AA29" i="236"/>
  <c r="T29" i="236"/>
  <c r="S29" i="236"/>
  <c r="P29" i="236"/>
  <c r="AA28" i="236"/>
  <c r="T28" i="236"/>
  <c r="S28" i="236"/>
  <c r="P28" i="236"/>
  <c r="K27" i="236"/>
  <c r="J27" i="236"/>
  <c r="I27" i="236"/>
  <c r="H27" i="236"/>
  <c r="G27" i="236"/>
  <c r="F27" i="236"/>
  <c r="E27" i="236"/>
  <c r="D27" i="236"/>
  <c r="AA27" i="236" s="1"/>
  <c r="C27" i="236"/>
  <c r="B27" i="236"/>
  <c r="AG27" i="236" s="1"/>
  <c r="AH26" i="236"/>
  <c r="AH25" i="236"/>
  <c r="AH24" i="236"/>
  <c r="T23" i="236"/>
  <c r="K23" i="236"/>
  <c r="J23" i="236"/>
  <c r="I23" i="236"/>
  <c r="H23" i="236"/>
  <c r="G23" i="236"/>
  <c r="F23" i="236"/>
  <c r="E23" i="236"/>
  <c r="S23" i="236" s="1"/>
  <c r="D23" i="236"/>
  <c r="C23" i="236"/>
  <c r="B23" i="236"/>
  <c r="I22" i="236"/>
  <c r="H22" i="236"/>
  <c r="G22" i="236"/>
  <c r="R22" i="236" s="1"/>
  <c r="F22" i="236"/>
  <c r="E22" i="236"/>
  <c r="D22" i="236"/>
  <c r="AA22" i="236" s="1"/>
  <c r="C22" i="236"/>
  <c r="B22" i="236"/>
  <c r="AG21" i="236"/>
  <c r="AC21" i="236"/>
  <c r="AA21" i="236"/>
  <c r="P21" i="236"/>
  <c r="U18" i="236"/>
  <c r="K18" i="236"/>
  <c r="J18" i="236"/>
  <c r="G18" i="236"/>
  <c r="F18" i="236"/>
  <c r="E18" i="236"/>
  <c r="D18" i="236"/>
  <c r="AC18" i="236" s="1"/>
  <c r="C18" i="236"/>
  <c r="B18" i="236"/>
  <c r="J16" i="236"/>
  <c r="I16" i="236"/>
  <c r="H16" i="236"/>
  <c r="G16" i="236"/>
  <c r="F16" i="236"/>
  <c r="E16" i="236"/>
  <c r="D16" i="236"/>
  <c r="C16" i="236"/>
  <c r="B16" i="236"/>
  <c r="J15" i="236"/>
  <c r="I15" i="236"/>
  <c r="H15" i="236"/>
  <c r="G15" i="236"/>
  <c r="F15" i="236"/>
  <c r="E15" i="236"/>
  <c r="D15" i="236"/>
  <c r="C15" i="236"/>
  <c r="B15" i="236"/>
  <c r="J14" i="236"/>
  <c r="I14" i="236"/>
  <c r="H14" i="236"/>
  <c r="G14" i="236"/>
  <c r="O14" i="236" s="1"/>
  <c r="F14" i="236"/>
  <c r="E14" i="236"/>
  <c r="D14" i="236"/>
  <c r="C14" i="236"/>
  <c r="B14" i="236"/>
  <c r="O13" i="236"/>
  <c r="K13" i="236"/>
  <c r="J13" i="236"/>
  <c r="I13" i="236"/>
  <c r="H13" i="236"/>
  <c r="G13" i="236"/>
  <c r="L13" i="236" s="1"/>
  <c r="F13" i="236"/>
  <c r="E13" i="236"/>
  <c r="D13" i="236"/>
  <c r="C13" i="236"/>
  <c r="B13" i="236"/>
  <c r="AH12" i="236"/>
  <c r="AG12" i="236"/>
  <c r="AD12" i="236"/>
  <c r="AC12" i="236"/>
  <c r="T12" i="236"/>
  <c r="S12" i="236"/>
  <c r="R12" i="236"/>
  <c r="O12" i="236"/>
  <c r="AH11" i="236"/>
  <c r="AG11" i="236"/>
  <c r="AC11" i="236"/>
  <c r="T11" i="236"/>
  <c r="S11" i="236"/>
  <c r="R11" i="236"/>
  <c r="O11" i="236"/>
  <c r="G10" i="236"/>
  <c r="P10" i="236" s="1"/>
  <c r="F10" i="236"/>
  <c r="O10" i="236" s="1"/>
  <c r="E10" i="236"/>
  <c r="D10" i="236"/>
  <c r="AA10" i="236" s="1"/>
  <c r="C10" i="236"/>
  <c r="B10" i="236"/>
  <c r="K9" i="236"/>
  <c r="J9" i="236"/>
  <c r="I9" i="236"/>
  <c r="H9" i="236"/>
  <c r="O9" i="236" s="1"/>
  <c r="G9" i="236"/>
  <c r="F9" i="236"/>
  <c r="E9" i="236"/>
  <c r="D9" i="236"/>
  <c r="AA9" i="236" s="1"/>
  <c r="C9" i="236"/>
  <c r="B9" i="236"/>
  <c r="AH9" i="236" s="1"/>
  <c r="AC7" i="236"/>
  <c r="AA7" i="236"/>
  <c r="U7" i="236"/>
  <c r="P7" i="236"/>
  <c r="AG6" i="236"/>
  <c r="AA6" i="236"/>
  <c r="Z6" i="236"/>
  <c r="Y6" i="236"/>
  <c r="T6" i="236"/>
  <c r="AC5" i="236"/>
  <c r="AA5" i="236"/>
  <c r="Z5" i="236"/>
  <c r="Y5" i="236"/>
  <c r="T5" i="236"/>
  <c r="R5" i="236"/>
  <c r="AI4" i="236"/>
  <c r="AC4" i="236"/>
  <c r="AN4" i="236" s="1"/>
  <c r="AA4" i="236"/>
  <c r="X4" i="236"/>
  <c r="W4" i="236"/>
  <c r="V4" i="236"/>
  <c r="T4" i="236"/>
  <c r="R4" i="236"/>
  <c r="P4" i="236"/>
  <c r="AC3" i="236"/>
  <c r="AA3" i="236"/>
  <c r="V3" i="236"/>
  <c r="S3" i="236"/>
  <c r="Q3" i="236"/>
  <c r="P3" i="236"/>
  <c r="AC14" i="236" l="1"/>
  <c r="AC22" i="236"/>
  <c r="AA18" i="236"/>
  <c r="O15" i="236"/>
  <c r="AA23" i="236"/>
  <c r="AD13" i="236"/>
  <c r="AE13" i="236"/>
  <c r="AH10" i="236"/>
  <c r="AG18" i="236"/>
  <c r="AG23" i="236"/>
  <c r="Z15" i="236"/>
  <c r="S10" i="236"/>
  <c r="AC16" i="236"/>
  <c r="P18" i="236"/>
  <c r="AG22" i="236"/>
  <c r="P27" i="236"/>
  <c r="Z16" i="236"/>
  <c r="AH15" i="236"/>
  <c r="AN5" i="236"/>
  <c r="R23" i="236"/>
  <c r="R9" i="236"/>
  <c r="AE15" i="236"/>
  <c r="O16" i="236"/>
  <c r="P22" i="236"/>
  <c r="T27" i="236"/>
  <c r="AC23" i="236"/>
  <c r="AD14" i="236"/>
  <c r="S27" i="236"/>
  <c r="T9" i="236"/>
  <c r="AE14" i="236"/>
  <c r="T22" i="236"/>
  <c r="T10" i="236"/>
  <c r="AH14" i="236"/>
  <c r="AC15" i="236"/>
  <c r="AD16" i="236"/>
  <c r="AE16" i="236"/>
  <c r="AC27" i="236"/>
  <c r="R10" i="236"/>
  <c r="AH13" i="236"/>
  <c r="P23" i="236"/>
  <c r="AB10" i="236"/>
  <c r="AN6" i="236"/>
  <c r="AN3" i="236" s="1"/>
  <c r="AH16" i="236"/>
  <c r="S9" i="236"/>
  <c r="S22" i="236"/>
  <c r="AD15" i="236"/>
  <c r="AC13" i="236"/>
  <c r="D73" i="203" l="1"/>
  <c r="C72" i="203"/>
  <c r="C71" i="203"/>
  <c r="H72" i="197"/>
  <c r="K66" i="199"/>
  <c r="L65" i="199"/>
  <c r="J51" i="203"/>
  <c r="T52" i="205"/>
  <c r="C66" i="203"/>
  <c r="R52" i="206"/>
  <c r="X51" i="197"/>
  <c r="Y51" i="197" s="1"/>
  <c r="AB51" i="197"/>
  <c r="AC51" i="197" s="1"/>
  <c r="P51" i="197"/>
  <c r="Q51" i="197"/>
  <c r="T51" i="197"/>
  <c r="U51" i="197"/>
  <c r="AF51" i="197"/>
  <c r="AG51" i="197"/>
  <c r="AJ51" i="197"/>
  <c r="J66" i="197"/>
  <c r="B30" i="209" l="1"/>
  <c r="C30" i="209"/>
  <c r="D30" i="209"/>
  <c r="E30" i="209"/>
  <c r="F30" i="209"/>
  <c r="G30" i="209"/>
  <c r="H30" i="209"/>
  <c r="I30" i="209"/>
  <c r="J30" i="209"/>
  <c r="K30" i="209"/>
  <c r="J31" i="208"/>
  <c r="I31" i="208"/>
  <c r="H31" i="208"/>
  <c r="G44" i="199"/>
  <c r="AM96" i="187" l="1"/>
  <c r="AN96" i="187"/>
  <c r="AO96" i="187"/>
  <c r="N96" i="187"/>
  <c r="AD96" i="187"/>
  <c r="P26" i="90"/>
  <c r="O26" i="90"/>
  <c r="N26" i="90"/>
  <c r="M26" i="90"/>
  <c r="L26" i="90"/>
  <c r="O40" i="216"/>
  <c r="N40" i="216"/>
  <c r="M40" i="216"/>
  <c r="L40" i="216"/>
  <c r="K40" i="216"/>
  <c r="J40" i="216"/>
  <c r="I40" i="216"/>
  <c r="H40" i="216"/>
  <c r="G40" i="216"/>
  <c r="F40" i="216"/>
  <c r="E40" i="216"/>
  <c r="D40" i="216"/>
  <c r="C40" i="216"/>
  <c r="O39" i="216"/>
  <c r="N39" i="216"/>
  <c r="M39" i="216"/>
  <c r="L39" i="216"/>
  <c r="K39" i="216"/>
  <c r="J39" i="216"/>
  <c r="I39" i="216"/>
  <c r="H39" i="216"/>
  <c r="G39" i="216"/>
  <c r="F39" i="216"/>
  <c r="E39" i="216"/>
  <c r="D39" i="216"/>
  <c r="C39" i="216"/>
  <c r="O38" i="216"/>
  <c r="N38" i="216"/>
  <c r="M38" i="216"/>
  <c r="L38" i="216"/>
  <c r="K38" i="216"/>
  <c r="J38" i="216"/>
  <c r="I38" i="216"/>
  <c r="H38" i="216"/>
  <c r="G38" i="216"/>
  <c r="F38" i="216"/>
  <c r="E38" i="216"/>
  <c r="D38" i="216"/>
  <c r="C38" i="216"/>
  <c r="O37" i="216"/>
  <c r="N37" i="216"/>
  <c r="M37" i="216"/>
  <c r="L37" i="216"/>
  <c r="K37" i="216"/>
  <c r="J37" i="216"/>
  <c r="I37" i="216"/>
  <c r="H37" i="216"/>
  <c r="G37" i="216"/>
  <c r="F37" i="216"/>
  <c r="E37" i="216"/>
  <c r="D37" i="216"/>
  <c r="C37" i="216"/>
  <c r="O36" i="216"/>
  <c r="N36" i="216"/>
  <c r="M36" i="216"/>
  <c r="L36" i="216"/>
  <c r="K36" i="216"/>
  <c r="J36" i="216"/>
  <c r="I36" i="216"/>
  <c r="H36" i="216"/>
  <c r="G36" i="216"/>
  <c r="F36" i="216"/>
  <c r="E36" i="216"/>
  <c r="D36" i="216"/>
  <c r="C36" i="216"/>
  <c r="O35" i="216"/>
  <c r="N35" i="216"/>
  <c r="M35" i="216"/>
  <c r="L35" i="216"/>
  <c r="K35" i="216"/>
  <c r="J35" i="216"/>
  <c r="I35" i="216"/>
  <c r="H35" i="216"/>
  <c r="G35" i="216"/>
  <c r="F35" i="216"/>
  <c r="E35" i="216"/>
  <c r="D35" i="216"/>
  <c r="C35" i="216"/>
  <c r="O34" i="216"/>
  <c r="N34" i="216"/>
  <c r="M34" i="216"/>
  <c r="L34" i="216"/>
  <c r="K34" i="216"/>
  <c r="J34" i="216"/>
  <c r="I34" i="216"/>
  <c r="H34" i="216"/>
  <c r="G34" i="216"/>
  <c r="F34" i="216"/>
  <c r="E34" i="216"/>
  <c r="D34" i="216"/>
  <c r="C34" i="216"/>
  <c r="O33" i="216"/>
  <c r="N33" i="216"/>
  <c r="M33" i="216"/>
  <c r="L33" i="216"/>
  <c r="K33" i="216"/>
  <c r="J33" i="216"/>
  <c r="I33" i="216"/>
  <c r="H33" i="216"/>
  <c r="G33" i="216"/>
  <c r="F33" i="216"/>
  <c r="E33" i="216"/>
  <c r="D33" i="216"/>
  <c r="C33" i="216"/>
  <c r="O32" i="216"/>
  <c r="N32" i="216"/>
  <c r="M32" i="216"/>
  <c r="L32" i="216"/>
  <c r="K32" i="216"/>
  <c r="J32" i="216"/>
  <c r="I32" i="216"/>
  <c r="H32" i="216"/>
  <c r="G32" i="216"/>
  <c r="F32" i="216"/>
  <c r="E32" i="216"/>
  <c r="D32" i="216"/>
  <c r="C32" i="216"/>
  <c r="O31" i="216"/>
  <c r="N31" i="216"/>
  <c r="M31" i="216"/>
  <c r="L31" i="216"/>
  <c r="K31" i="216"/>
  <c r="J31" i="216"/>
  <c r="I31" i="216"/>
  <c r="H31" i="216"/>
  <c r="G31" i="216"/>
  <c r="F31" i="216"/>
  <c r="E31" i="216"/>
  <c r="D31" i="216"/>
  <c r="C31" i="216"/>
  <c r="O30" i="216"/>
  <c r="N30" i="216"/>
  <c r="M30" i="216"/>
  <c r="L30" i="216"/>
  <c r="K30" i="216"/>
  <c r="J30" i="216"/>
  <c r="I30" i="216"/>
  <c r="H30" i="216"/>
  <c r="G30" i="216"/>
  <c r="F30" i="216"/>
  <c r="E30" i="216"/>
  <c r="D30" i="216"/>
  <c r="C30" i="216"/>
  <c r="O29" i="216"/>
  <c r="N29" i="216"/>
  <c r="M29" i="216"/>
  <c r="L29" i="216"/>
  <c r="K29" i="216"/>
  <c r="J29" i="216"/>
  <c r="I29" i="216"/>
  <c r="H29" i="216"/>
  <c r="G29" i="216"/>
  <c r="F29" i="216"/>
  <c r="E29" i="216"/>
  <c r="D29" i="216"/>
  <c r="C29" i="216"/>
  <c r="O28" i="216"/>
  <c r="N28" i="216"/>
  <c r="M28" i="216"/>
  <c r="L28" i="216"/>
  <c r="K28" i="216"/>
  <c r="J28" i="216"/>
  <c r="I28" i="216"/>
  <c r="H28" i="216"/>
  <c r="G28" i="216"/>
  <c r="F28" i="216"/>
  <c r="E28" i="216"/>
  <c r="D28" i="216"/>
  <c r="C28" i="216"/>
  <c r="O27" i="216"/>
  <c r="N27" i="216"/>
  <c r="M27" i="216"/>
  <c r="L27" i="216"/>
  <c r="K27" i="216"/>
  <c r="J27" i="216"/>
  <c r="I27" i="216"/>
  <c r="H27" i="216"/>
  <c r="G27" i="216"/>
  <c r="F27" i="216"/>
  <c r="E27" i="216"/>
  <c r="D27" i="216"/>
  <c r="C27" i="216"/>
  <c r="O26" i="216"/>
  <c r="N26" i="216"/>
  <c r="M26" i="216"/>
  <c r="L26" i="216"/>
  <c r="K26" i="216"/>
  <c r="J26" i="216"/>
  <c r="I26" i="216"/>
  <c r="H26" i="216"/>
  <c r="G26" i="216"/>
  <c r="F26" i="216"/>
  <c r="E26" i="216"/>
  <c r="D26" i="216"/>
  <c r="C26" i="216"/>
  <c r="O25" i="216"/>
  <c r="N25" i="216"/>
  <c r="M25" i="216"/>
  <c r="L25" i="216"/>
  <c r="K25" i="216"/>
  <c r="J25" i="216"/>
  <c r="I25" i="216"/>
  <c r="H25" i="216"/>
  <c r="G25" i="216"/>
  <c r="F25" i="216"/>
  <c r="E25" i="216"/>
  <c r="D25" i="216"/>
  <c r="C25" i="216"/>
  <c r="O24" i="216"/>
  <c r="N24" i="216"/>
  <c r="M24" i="216"/>
  <c r="L24" i="216"/>
  <c r="K24" i="216"/>
  <c r="J24" i="216"/>
  <c r="I24" i="216"/>
  <c r="H24" i="216"/>
  <c r="G24" i="216"/>
  <c r="F24" i="216"/>
  <c r="E24" i="216"/>
  <c r="D24" i="216"/>
  <c r="C24" i="216"/>
  <c r="O23" i="216"/>
  <c r="N23" i="216"/>
  <c r="M23" i="216"/>
  <c r="L23" i="216"/>
  <c r="K23" i="216"/>
  <c r="J23" i="216"/>
  <c r="I23" i="216"/>
  <c r="H23" i="216"/>
  <c r="G23" i="216"/>
  <c r="F23" i="216"/>
  <c r="E23" i="216"/>
  <c r="D23" i="216"/>
  <c r="C23" i="216"/>
  <c r="O22" i="216"/>
  <c r="N22" i="216"/>
  <c r="M22" i="216"/>
  <c r="L22" i="216"/>
  <c r="K22" i="216"/>
  <c r="J22" i="216"/>
  <c r="I22" i="216"/>
  <c r="H22" i="216"/>
  <c r="G22" i="216"/>
  <c r="F22" i="216"/>
  <c r="E22" i="216"/>
  <c r="D22" i="216"/>
  <c r="C22" i="216"/>
  <c r="O21" i="216"/>
  <c r="N21" i="216"/>
  <c r="M21" i="216"/>
  <c r="L21" i="216"/>
  <c r="K21" i="216"/>
  <c r="J21" i="216"/>
  <c r="I21" i="216"/>
  <c r="H21" i="216"/>
  <c r="G21" i="216"/>
  <c r="F21" i="216"/>
  <c r="E21" i="216"/>
  <c r="D21" i="216"/>
  <c r="C21" i="216"/>
  <c r="O20" i="216"/>
  <c r="N20" i="216"/>
  <c r="M20" i="216"/>
  <c r="L20" i="216"/>
  <c r="K20" i="216"/>
  <c r="J20" i="216"/>
  <c r="I20" i="216"/>
  <c r="H20" i="216"/>
  <c r="G20" i="216"/>
  <c r="F20" i="216"/>
  <c r="E20" i="216"/>
  <c r="D20" i="216"/>
  <c r="C20" i="216"/>
  <c r="O19" i="216"/>
  <c r="N19" i="216"/>
  <c r="M19" i="216"/>
  <c r="L19" i="216"/>
  <c r="K19" i="216"/>
  <c r="J19" i="216"/>
  <c r="I19" i="216"/>
  <c r="H19" i="216"/>
  <c r="G19" i="216"/>
  <c r="F19" i="216"/>
  <c r="E19" i="216"/>
  <c r="D19" i="216"/>
  <c r="C19" i="216"/>
  <c r="O18" i="216"/>
  <c r="N18" i="216"/>
  <c r="M18" i="216"/>
  <c r="L18" i="216"/>
  <c r="K18" i="216"/>
  <c r="J18" i="216"/>
  <c r="I18" i="216"/>
  <c r="H18" i="216"/>
  <c r="G18" i="216"/>
  <c r="F18" i="216"/>
  <c r="E18" i="216"/>
  <c r="D18" i="216"/>
  <c r="C18" i="216"/>
  <c r="O17" i="216"/>
  <c r="N17" i="216"/>
  <c r="M17" i="216"/>
  <c r="L17" i="216"/>
  <c r="K17" i="216"/>
  <c r="J17" i="216"/>
  <c r="I17" i="216"/>
  <c r="H17" i="216"/>
  <c r="G17" i="216"/>
  <c r="F17" i="216"/>
  <c r="E17" i="216"/>
  <c r="D17" i="216"/>
  <c r="C17" i="216"/>
  <c r="O16" i="216"/>
  <c r="N16" i="216"/>
  <c r="M16" i="216"/>
  <c r="L16" i="216"/>
  <c r="K16" i="216"/>
  <c r="J16" i="216"/>
  <c r="I16" i="216"/>
  <c r="H16" i="216"/>
  <c r="G16" i="216"/>
  <c r="F16" i="216"/>
  <c r="E16" i="216"/>
  <c r="D16" i="216"/>
  <c r="C16" i="216"/>
  <c r="O15" i="216"/>
  <c r="N15" i="216"/>
  <c r="M15" i="216"/>
  <c r="L15" i="216"/>
  <c r="K15" i="216"/>
  <c r="J15" i="216"/>
  <c r="I15" i="216"/>
  <c r="H15" i="216"/>
  <c r="G15" i="216"/>
  <c r="F15" i="216"/>
  <c r="E15" i="216"/>
  <c r="D15" i="216"/>
  <c r="C15" i="216"/>
  <c r="O14" i="216"/>
  <c r="N14" i="216"/>
  <c r="M14" i="216"/>
  <c r="L14" i="216"/>
  <c r="K14" i="216"/>
  <c r="J14" i="216"/>
  <c r="I14" i="216"/>
  <c r="H14" i="216"/>
  <c r="G14" i="216"/>
  <c r="F14" i="216"/>
  <c r="E14" i="216"/>
  <c r="D14" i="216"/>
  <c r="C14" i="216"/>
  <c r="O13" i="216"/>
  <c r="N13" i="216"/>
  <c r="M13" i="216"/>
  <c r="L13" i="216"/>
  <c r="K13" i="216"/>
  <c r="J13" i="216"/>
  <c r="I13" i="216"/>
  <c r="H13" i="216"/>
  <c r="G13" i="216"/>
  <c r="F13" i="216"/>
  <c r="E13" i="216"/>
  <c r="D13" i="216"/>
  <c r="C13" i="216"/>
  <c r="O12" i="216"/>
  <c r="N12" i="216"/>
  <c r="M12" i="216"/>
  <c r="L12" i="216"/>
  <c r="K12" i="216"/>
  <c r="J12" i="216"/>
  <c r="I12" i="216"/>
  <c r="H12" i="216"/>
  <c r="G12" i="216"/>
  <c r="F12" i="216"/>
  <c r="E12" i="216"/>
  <c r="D12" i="216"/>
  <c r="C12" i="216"/>
  <c r="O11" i="216"/>
  <c r="N11" i="216"/>
  <c r="M11" i="216"/>
  <c r="L11" i="216"/>
  <c r="K11" i="216"/>
  <c r="J11" i="216"/>
  <c r="I11" i="216"/>
  <c r="H11" i="216"/>
  <c r="G11" i="216"/>
  <c r="F11" i="216"/>
  <c r="E11" i="216"/>
  <c r="D11" i="216"/>
  <c r="C11" i="216"/>
  <c r="O10" i="216"/>
  <c r="N10" i="216"/>
  <c r="M10" i="216"/>
  <c r="L10" i="216"/>
  <c r="K10" i="216"/>
  <c r="J10" i="216"/>
  <c r="I10" i="216"/>
  <c r="H10" i="216"/>
  <c r="G10" i="216"/>
  <c r="F10" i="216"/>
  <c r="E10" i="216"/>
  <c r="D10" i="216"/>
  <c r="C10" i="216"/>
  <c r="O9" i="216"/>
  <c r="N9" i="216"/>
  <c r="M9" i="216"/>
  <c r="L9" i="216"/>
  <c r="K9" i="216"/>
  <c r="J9" i="216"/>
  <c r="I9" i="216"/>
  <c r="H9" i="216"/>
  <c r="G9" i="216"/>
  <c r="F9" i="216"/>
  <c r="E9" i="216"/>
  <c r="D9" i="216"/>
  <c r="C9" i="216"/>
  <c r="O8" i="216"/>
  <c r="N8" i="216"/>
  <c r="M8" i="216"/>
  <c r="L8" i="216"/>
  <c r="K8" i="216"/>
  <c r="J8" i="216"/>
  <c r="I8" i="216"/>
  <c r="H8" i="216"/>
  <c r="G8" i="216"/>
  <c r="F8" i="216"/>
  <c r="E8" i="216"/>
  <c r="D8" i="216"/>
  <c r="C8" i="216"/>
  <c r="O7" i="216"/>
  <c r="N7" i="216"/>
  <c r="M7" i="216"/>
  <c r="L7" i="216"/>
  <c r="K7" i="216"/>
  <c r="J7" i="216"/>
  <c r="I7" i="216"/>
  <c r="H7" i="216"/>
  <c r="G7" i="216"/>
  <c r="F7" i="216"/>
  <c r="E7" i="216"/>
  <c r="D7" i="216"/>
  <c r="C7" i="216"/>
  <c r="B76" i="215"/>
  <c r="B75" i="215"/>
  <c r="B71" i="215"/>
  <c r="D70" i="215"/>
  <c r="B70" i="215"/>
  <c r="D69" i="215"/>
  <c r="B68" i="215"/>
  <c r="B69" i="215" s="1"/>
  <c r="B66" i="215"/>
  <c r="B65" i="215"/>
  <c r="B64" i="215"/>
  <c r="B63" i="215"/>
  <c r="B62" i="215"/>
  <c r="B61" i="215"/>
  <c r="B60" i="215"/>
  <c r="B59" i="215"/>
  <c r="B58" i="215"/>
  <c r="B57" i="215"/>
  <c r="B56" i="215"/>
  <c r="B55" i="215"/>
  <c r="B54" i="215"/>
  <c r="B53" i="215"/>
  <c r="R52" i="215"/>
  <c r="Q52" i="215"/>
  <c r="B52" i="215"/>
  <c r="Q50" i="215"/>
  <c r="Q49" i="215"/>
  <c r="J49" i="215"/>
  <c r="Q48" i="215"/>
  <c r="Q47" i="215"/>
  <c r="S47" i="215" s="1"/>
  <c r="M47" i="215"/>
  <c r="J47" i="215"/>
  <c r="Q46" i="215"/>
  <c r="N46" i="215"/>
  <c r="M46" i="215"/>
  <c r="J46" i="215"/>
  <c r="Q45" i="215"/>
  <c r="R45" i="215" s="1"/>
  <c r="J45" i="215"/>
  <c r="Q44" i="215"/>
  <c r="R44" i="215" s="1"/>
  <c r="J44" i="215"/>
  <c r="E44" i="215"/>
  <c r="Q43" i="215"/>
  <c r="J43" i="215"/>
  <c r="Q42" i="215"/>
  <c r="J42" i="215"/>
  <c r="Q41" i="215"/>
  <c r="R41" i="215" s="1"/>
  <c r="J41" i="215"/>
  <c r="Q40" i="215"/>
  <c r="R40" i="215" s="1"/>
  <c r="J40" i="215"/>
  <c r="Q39" i="215"/>
  <c r="J39" i="215"/>
  <c r="Q38" i="215"/>
  <c r="J38" i="215"/>
  <c r="Q37" i="215"/>
  <c r="R37" i="215" s="1"/>
  <c r="J37" i="215"/>
  <c r="Q36" i="215"/>
  <c r="R36" i="215" s="1"/>
  <c r="J36" i="215"/>
  <c r="Q35" i="215"/>
  <c r="J35" i="215"/>
  <c r="Q34" i="215"/>
  <c r="J34" i="215"/>
  <c r="Q33" i="215"/>
  <c r="R33" i="215" s="1"/>
  <c r="J33" i="215"/>
  <c r="Q32" i="215"/>
  <c r="R32" i="215" s="1"/>
  <c r="J32" i="215"/>
  <c r="Q31" i="215"/>
  <c r="J31" i="215"/>
  <c r="Q30" i="215"/>
  <c r="J30" i="215"/>
  <c r="Q29" i="215"/>
  <c r="R29" i="215" s="1"/>
  <c r="J29" i="215"/>
  <c r="Q28" i="215"/>
  <c r="R28" i="215" s="1"/>
  <c r="J28" i="215"/>
  <c r="Q27" i="215"/>
  <c r="J27" i="215"/>
  <c r="Q26" i="215"/>
  <c r="J26" i="215"/>
  <c r="Q25" i="215"/>
  <c r="R25" i="215" s="1"/>
  <c r="J25" i="215"/>
  <c r="Q24" i="215"/>
  <c r="R24" i="215" s="1"/>
  <c r="J24" i="215"/>
  <c r="Q23" i="215"/>
  <c r="J23" i="215"/>
  <c r="Q22" i="215"/>
  <c r="J22" i="215"/>
  <c r="Q21" i="215"/>
  <c r="R21" i="215" s="1"/>
  <c r="J21" i="215"/>
  <c r="Q20" i="215"/>
  <c r="R20" i="215" s="1"/>
  <c r="J20" i="215"/>
  <c r="Q19" i="215"/>
  <c r="J19" i="215"/>
  <c r="Q18" i="215"/>
  <c r="J18" i="215"/>
  <c r="Q17" i="215"/>
  <c r="R17" i="215" s="1"/>
  <c r="J17" i="215"/>
  <c r="Q16" i="215"/>
  <c r="R16" i="215" s="1"/>
  <c r="J16" i="215"/>
  <c r="Q15" i="215"/>
  <c r="J15" i="215"/>
  <c r="Q14" i="215"/>
  <c r="J14" i="215"/>
  <c r="Q13" i="215"/>
  <c r="R13" i="215" s="1"/>
  <c r="J13" i="215"/>
  <c r="Q12" i="215"/>
  <c r="R12" i="215" s="1"/>
  <c r="J12" i="215"/>
  <c r="Q11" i="215"/>
  <c r="J11" i="215"/>
  <c r="Q10" i="215"/>
  <c r="J10" i="215"/>
  <c r="Q9" i="215"/>
  <c r="R9" i="215" s="1"/>
  <c r="J9" i="215"/>
  <c r="Q8" i="215"/>
  <c r="R8" i="215" s="1"/>
  <c r="J8" i="215"/>
  <c r="Q7" i="215"/>
  <c r="J7" i="215"/>
  <c r="Q6" i="215"/>
  <c r="J6" i="215"/>
  <c r="Q5" i="215"/>
  <c r="S46" i="215" s="1"/>
  <c r="J5" i="215"/>
  <c r="L60" i="228"/>
  <c r="K60" i="228"/>
  <c r="J60" i="228"/>
  <c r="I60" i="228"/>
  <c r="H60" i="228"/>
  <c r="G60" i="228"/>
  <c r="F60" i="228"/>
  <c r="E60" i="228"/>
  <c r="D60" i="228"/>
  <c r="C60" i="228"/>
  <c r="L59" i="228"/>
  <c r="K59" i="228"/>
  <c r="J59" i="228"/>
  <c r="I59" i="228"/>
  <c r="H59" i="228"/>
  <c r="G59" i="228"/>
  <c r="F59" i="228"/>
  <c r="E59" i="228"/>
  <c r="D59" i="228"/>
  <c r="C59" i="228"/>
  <c r="L58" i="228"/>
  <c r="K58" i="228"/>
  <c r="J58" i="228"/>
  <c r="I58" i="228"/>
  <c r="H58" i="228"/>
  <c r="G58" i="228"/>
  <c r="F58" i="228"/>
  <c r="E58" i="228"/>
  <c r="D58" i="228"/>
  <c r="C58" i="228"/>
  <c r="L57" i="228"/>
  <c r="K57" i="228"/>
  <c r="J57" i="228"/>
  <c r="I57" i="228"/>
  <c r="H57" i="228"/>
  <c r="G57" i="228"/>
  <c r="F57" i="228"/>
  <c r="E57" i="228"/>
  <c r="D57" i="228"/>
  <c r="C57" i="228"/>
  <c r="L56" i="228"/>
  <c r="K56" i="228"/>
  <c r="J56" i="228"/>
  <c r="I56" i="228"/>
  <c r="H56" i="228"/>
  <c r="G56" i="228"/>
  <c r="F56" i="228"/>
  <c r="E56" i="228"/>
  <c r="D56" i="228"/>
  <c r="C56" i="228"/>
  <c r="L55" i="228"/>
  <c r="K55" i="228"/>
  <c r="J55" i="228"/>
  <c r="I55" i="228"/>
  <c r="H55" i="228"/>
  <c r="G55" i="228"/>
  <c r="F55" i="228"/>
  <c r="E55" i="228"/>
  <c r="D55" i="228"/>
  <c r="C55" i="228"/>
  <c r="L54" i="228"/>
  <c r="K54" i="228"/>
  <c r="J54" i="228"/>
  <c r="I54" i="228"/>
  <c r="H54" i="228"/>
  <c r="G54" i="228"/>
  <c r="F54" i="228"/>
  <c r="E54" i="228"/>
  <c r="D54" i="228"/>
  <c r="C54" i="228"/>
  <c r="L52" i="228"/>
  <c r="K52" i="228"/>
  <c r="J52" i="228"/>
  <c r="I52" i="228"/>
  <c r="H52" i="228"/>
  <c r="G52" i="228"/>
  <c r="F52" i="228"/>
  <c r="E52" i="228"/>
  <c r="D52" i="228"/>
  <c r="C52" i="228"/>
  <c r="L51" i="228"/>
  <c r="K51" i="228"/>
  <c r="J51" i="228"/>
  <c r="I51" i="228"/>
  <c r="H51" i="228"/>
  <c r="G51" i="228"/>
  <c r="F51" i="228"/>
  <c r="E51" i="228"/>
  <c r="D51" i="228"/>
  <c r="C51" i="228"/>
  <c r="L50" i="228"/>
  <c r="K50" i="228"/>
  <c r="J50" i="228"/>
  <c r="I50" i="228"/>
  <c r="H50" i="228"/>
  <c r="G50" i="228"/>
  <c r="F50" i="228"/>
  <c r="E50" i="228"/>
  <c r="D50" i="228"/>
  <c r="C50" i="228"/>
  <c r="L49" i="228"/>
  <c r="K49" i="228"/>
  <c r="J49" i="228"/>
  <c r="I49" i="228"/>
  <c r="H49" i="228"/>
  <c r="G49" i="228"/>
  <c r="F49" i="228"/>
  <c r="E49" i="228"/>
  <c r="D49" i="228"/>
  <c r="C49" i="228"/>
  <c r="L48" i="228"/>
  <c r="K48" i="228"/>
  <c r="J48" i="228"/>
  <c r="I48" i="228"/>
  <c r="H48" i="228"/>
  <c r="G48" i="228"/>
  <c r="F48" i="228"/>
  <c r="E48" i="228"/>
  <c r="D48" i="228"/>
  <c r="C48" i="228"/>
  <c r="L47" i="228"/>
  <c r="K47" i="228"/>
  <c r="J47" i="228"/>
  <c r="I47" i="228"/>
  <c r="H47" i="228"/>
  <c r="G47" i="228"/>
  <c r="F47" i="228"/>
  <c r="E47" i="228"/>
  <c r="D47" i="228"/>
  <c r="C47" i="228"/>
  <c r="L46" i="228"/>
  <c r="K46" i="228"/>
  <c r="J46" i="228"/>
  <c r="I46" i="228"/>
  <c r="H46" i="228"/>
  <c r="G46" i="228"/>
  <c r="F46" i="228"/>
  <c r="E46" i="228"/>
  <c r="D46" i="228"/>
  <c r="C46" i="228"/>
  <c r="L45" i="228"/>
  <c r="K45" i="228"/>
  <c r="J45" i="228"/>
  <c r="I45" i="228"/>
  <c r="H45" i="228"/>
  <c r="G45" i="228"/>
  <c r="F45" i="228"/>
  <c r="E45" i="228"/>
  <c r="D45" i="228"/>
  <c r="C45" i="228"/>
  <c r="L44" i="228"/>
  <c r="K44" i="228"/>
  <c r="J44" i="228"/>
  <c r="I44" i="228"/>
  <c r="H44" i="228"/>
  <c r="G44" i="228"/>
  <c r="F44" i="228"/>
  <c r="E44" i="228"/>
  <c r="D44" i="228"/>
  <c r="C44" i="228"/>
  <c r="L43" i="228"/>
  <c r="K43" i="228"/>
  <c r="J43" i="228"/>
  <c r="I43" i="228"/>
  <c r="H43" i="228"/>
  <c r="G43" i="228"/>
  <c r="F43" i="228"/>
  <c r="E43" i="228"/>
  <c r="D43" i="228"/>
  <c r="C43" i="228"/>
  <c r="L42" i="228"/>
  <c r="K42" i="228"/>
  <c r="J42" i="228"/>
  <c r="I42" i="228"/>
  <c r="H42" i="228"/>
  <c r="G42" i="228"/>
  <c r="F42" i="228"/>
  <c r="E42" i="228"/>
  <c r="D42" i="228"/>
  <c r="C42" i="228"/>
  <c r="L41" i="228"/>
  <c r="K41" i="228"/>
  <c r="J41" i="228"/>
  <c r="I41" i="228"/>
  <c r="H41" i="228"/>
  <c r="G41" i="228"/>
  <c r="F41" i="228"/>
  <c r="E41" i="228"/>
  <c r="D41" i="228"/>
  <c r="C41" i="228"/>
  <c r="L40" i="228"/>
  <c r="K40" i="228"/>
  <c r="J40" i="228"/>
  <c r="I40" i="228"/>
  <c r="H40" i="228"/>
  <c r="G40" i="228"/>
  <c r="F40" i="228"/>
  <c r="E40" i="228"/>
  <c r="D40" i="228"/>
  <c r="C40" i="228"/>
  <c r="L39" i="228"/>
  <c r="K39" i="228"/>
  <c r="J39" i="228"/>
  <c r="I39" i="228"/>
  <c r="H39" i="228"/>
  <c r="G39" i="228"/>
  <c r="F39" i="228"/>
  <c r="E39" i="228"/>
  <c r="D39" i="228"/>
  <c r="C39" i="228"/>
  <c r="L38" i="228"/>
  <c r="K38" i="228"/>
  <c r="J38" i="228"/>
  <c r="I38" i="228"/>
  <c r="H38" i="228"/>
  <c r="G38" i="228"/>
  <c r="F38" i="228"/>
  <c r="E38" i="228"/>
  <c r="D38" i="228"/>
  <c r="C38" i="228"/>
  <c r="L37" i="228"/>
  <c r="K37" i="228"/>
  <c r="J37" i="228"/>
  <c r="I37" i="228"/>
  <c r="H37" i="228"/>
  <c r="G37" i="228"/>
  <c r="F37" i="228"/>
  <c r="E37" i="228"/>
  <c r="D37" i="228"/>
  <c r="C37" i="228"/>
  <c r="L36" i="228"/>
  <c r="K36" i="228"/>
  <c r="J36" i="228"/>
  <c r="I36" i="228"/>
  <c r="H36" i="228"/>
  <c r="G36" i="228"/>
  <c r="F36" i="228"/>
  <c r="E36" i="228"/>
  <c r="D36" i="228"/>
  <c r="C36" i="228"/>
  <c r="L35" i="228"/>
  <c r="K35" i="228"/>
  <c r="J35" i="228"/>
  <c r="I35" i="228"/>
  <c r="H35" i="228"/>
  <c r="G35" i="228"/>
  <c r="F35" i="228"/>
  <c r="E35" i="228"/>
  <c r="D35" i="228"/>
  <c r="C35" i="228"/>
  <c r="L34" i="228"/>
  <c r="K34" i="228"/>
  <c r="J34" i="228"/>
  <c r="I34" i="228"/>
  <c r="H34" i="228"/>
  <c r="G34" i="228"/>
  <c r="F34" i="228"/>
  <c r="E34" i="228"/>
  <c r="D34" i="228"/>
  <c r="C34" i="228"/>
  <c r="L33" i="228"/>
  <c r="K33" i="228"/>
  <c r="J33" i="228"/>
  <c r="I33" i="228"/>
  <c r="H33" i="228"/>
  <c r="G33" i="228"/>
  <c r="F33" i="228"/>
  <c r="E33" i="228"/>
  <c r="D33" i="228"/>
  <c r="C33" i="228"/>
  <c r="L32" i="228"/>
  <c r="K32" i="228"/>
  <c r="J32" i="228"/>
  <c r="I32" i="228"/>
  <c r="H32" i="228"/>
  <c r="G32" i="228"/>
  <c r="F32" i="228"/>
  <c r="E32" i="228"/>
  <c r="D32" i="228"/>
  <c r="C32" i="228"/>
  <c r="L31" i="228"/>
  <c r="K31" i="228"/>
  <c r="J31" i="228"/>
  <c r="I31" i="228"/>
  <c r="H31" i="228"/>
  <c r="G31" i="228"/>
  <c r="F31" i="228"/>
  <c r="E31" i="228"/>
  <c r="D31" i="228"/>
  <c r="C31" i="228"/>
  <c r="L30" i="228"/>
  <c r="K30" i="228"/>
  <c r="J30" i="228"/>
  <c r="I30" i="228"/>
  <c r="H30" i="228"/>
  <c r="G30" i="228"/>
  <c r="F30" i="228"/>
  <c r="E30" i="228"/>
  <c r="D30" i="228"/>
  <c r="C30" i="228"/>
  <c r="L29" i="228"/>
  <c r="K29" i="228"/>
  <c r="J29" i="228"/>
  <c r="I29" i="228"/>
  <c r="H29" i="228"/>
  <c r="G29" i="228"/>
  <c r="F29" i="228"/>
  <c r="E29" i="228"/>
  <c r="D29" i="228"/>
  <c r="C29" i="228"/>
  <c r="L28" i="228"/>
  <c r="K28" i="228"/>
  <c r="J28" i="228"/>
  <c r="I28" i="228"/>
  <c r="H28" i="228"/>
  <c r="G28" i="228"/>
  <c r="F28" i="228"/>
  <c r="E28" i="228"/>
  <c r="D28" i="228"/>
  <c r="C28" i="228"/>
  <c r="L27" i="228"/>
  <c r="K27" i="228"/>
  <c r="J27" i="228"/>
  <c r="I27" i="228"/>
  <c r="H27" i="228"/>
  <c r="G27" i="228"/>
  <c r="F27" i="228"/>
  <c r="E27" i="228"/>
  <c r="D27" i="228"/>
  <c r="C27" i="228"/>
  <c r="L26" i="228"/>
  <c r="K26" i="228"/>
  <c r="J26" i="228"/>
  <c r="I26" i="228"/>
  <c r="H26" i="228"/>
  <c r="G26" i="228"/>
  <c r="F26" i="228"/>
  <c r="E26" i="228"/>
  <c r="D26" i="228"/>
  <c r="C26" i="228"/>
  <c r="L25" i="228"/>
  <c r="K25" i="228"/>
  <c r="J25" i="228"/>
  <c r="I25" i="228"/>
  <c r="H25" i="228"/>
  <c r="G25" i="228"/>
  <c r="F25" i="228"/>
  <c r="E25" i="228"/>
  <c r="D25" i="228"/>
  <c r="C25" i="228"/>
  <c r="L24" i="228"/>
  <c r="K24" i="228"/>
  <c r="J24" i="228"/>
  <c r="I24" i="228"/>
  <c r="H24" i="228"/>
  <c r="G24" i="228"/>
  <c r="F24" i="228"/>
  <c r="E24" i="228"/>
  <c r="D24" i="228"/>
  <c r="C24" i="228"/>
  <c r="L23" i="228"/>
  <c r="K23" i="228"/>
  <c r="J23" i="228"/>
  <c r="I23" i="228"/>
  <c r="H23" i="228"/>
  <c r="G23" i="228"/>
  <c r="F23" i="228"/>
  <c r="E23" i="228"/>
  <c r="D23" i="228"/>
  <c r="C23" i="228"/>
  <c r="L22" i="228"/>
  <c r="K22" i="228"/>
  <c r="J22" i="228"/>
  <c r="I22" i="228"/>
  <c r="H22" i="228"/>
  <c r="G22" i="228"/>
  <c r="F22" i="228"/>
  <c r="E22" i="228"/>
  <c r="D22" i="228"/>
  <c r="C22" i="228"/>
  <c r="L21" i="228"/>
  <c r="K21" i="228"/>
  <c r="J21" i="228"/>
  <c r="I21" i="228"/>
  <c r="H21" i="228"/>
  <c r="G21" i="228"/>
  <c r="F21" i="228"/>
  <c r="E21" i="228"/>
  <c r="D21" i="228"/>
  <c r="C21" i="228"/>
  <c r="L20" i="228"/>
  <c r="K20" i="228"/>
  <c r="J20" i="228"/>
  <c r="I20" i="228"/>
  <c r="H20" i="228"/>
  <c r="G20" i="228"/>
  <c r="F20" i="228"/>
  <c r="E20" i="228"/>
  <c r="D20" i="228"/>
  <c r="C20" i="228"/>
  <c r="L19" i="228"/>
  <c r="K19" i="228"/>
  <c r="J19" i="228"/>
  <c r="I19" i="228"/>
  <c r="H19" i="228"/>
  <c r="G19" i="228"/>
  <c r="F19" i="228"/>
  <c r="E19" i="228"/>
  <c r="D19" i="228"/>
  <c r="C19" i="228"/>
  <c r="L18" i="228"/>
  <c r="K18" i="228"/>
  <c r="J18" i="228"/>
  <c r="I18" i="228"/>
  <c r="H18" i="228"/>
  <c r="G18" i="228"/>
  <c r="F18" i="228"/>
  <c r="E18" i="228"/>
  <c r="D18" i="228"/>
  <c r="C18" i="228"/>
  <c r="L17" i="228"/>
  <c r="K17" i="228"/>
  <c r="J17" i="228"/>
  <c r="I17" i="228"/>
  <c r="H17" i="228"/>
  <c r="G17" i="228"/>
  <c r="F17" i="228"/>
  <c r="E17" i="228"/>
  <c r="D17" i="228"/>
  <c r="C17" i="228"/>
  <c r="L16" i="228"/>
  <c r="K16" i="228"/>
  <c r="J16" i="228"/>
  <c r="I16" i="228"/>
  <c r="H16" i="228"/>
  <c r="G16" i="228"/>
  <c r="F16" i="228"/>
  <c r="E16" i="228"/>
  <c r="D16" i="228"/>
  <c r="C16" i="228"/>
  <c r="L15" i="228"/>
  <c r="K15" i="228"/>
  <c r="J15" i="228"/>
  <c r="I15" i="228"/>
  <c r="H15" i="228"/>
  <c r="G15" i="228"/>
  <c r="F15" i="228"/>
  <c r="E15" i="228"/>
  <c r="D15" i="228"/>
  <c r="C15" i="228"/>
  <c r="L14" i="228"/>
  <c r="K14" i="228"/>
  <c r="J14" i="228"/>
  <c r="I14" i="228"/>
  <c r="H14" i="228"/>
  <c r="G14" i="228"/>
  <c r="F14" i="228"/>
  <c r="E14" i="228"/>
  <c r="D14" i="228"/>
  <c r="C14" i="228"/>
  <c r="L13" i="228"/>
  <c r="K13" i="228"/>
  <c r="J13" i="228"/>
  <c r="I13" i="228"/>
  <c r="H13" i="228"/>
  <c r="G13" i="228"/>
  <c r="F13" i="228"/>
  <c r="E13" i="228"/>
  <c r="D13" i="228"/>
  <c r="C13" i="228"/>
  <c r="L12" i="228"/>
  <c r="K12" i="228"/>
  <c r="J12" i="228"/>
  <c r="I12" i="228"/>
  <c r="H12" i="228"/>
  <c r="G12" i="228"/>
  <c r="F12" i="228"/>
  <c r="E12" i="228"/>
  <c r="D12" i="228"/>
  <c r="C12" i="228"/>
  <c r="L11" i="228"/>
  <c r="K11" i="228"/>
  <c r="J11" i="228"/>
  <c r="I11" i="228"/>
  <c r="H11" i="228"/>
  <c r="G11" i="228"/>
  <c r="F11" i="228"/>
  <c r="E11" i="228"/>
  <c r="D11" i="228"/>
  <c r="C11" i="228"/>
  <c r="L10" i="228"/>
  <c r="K10" i="228"/>
  <c r="J10" i="228"/>
  <c r="I10" i="228"/>
  <c r="H10" i="228"/>
  <c r="G10" i="228"/>
  <c r="F10" i="228"/>
  <c r="E10" i="228"/>
  <c r="D10" i="228"/>
  <c r="C10" i="228"/>
  <c r="L9" i="228"/>
  <c r="K9" i="228"/>
  <c r="J9" i="228"/>
  <c r="I9" i="228"/>
  <c r="H9" i="228"/>
  <c r="G9" i="228"/>
  <c r="F9" i="228"/>
  <c r="E9" i="228"/>
  <c r="D9" i="228"/>
  <c r="C9" i="228"/>
  <c r="L8" i="228"/>
  <c r="K8" i="228"/>
  <c r="J8" i="228"/>
  <c r="I8" i="228"/>
  <c r="H8" i="228"/>
  <c r="G8" i="228"/>
  <c r="F8" i="228"/>
  <c r="E8" i="228"/>
  <c r="D8" i="228"/>
  <c r="C8" i="228"/>
  <c r="R59" i="227"/>
  <c r="U59" i="227" s="1"/>
  <c r="Q59" i="227"/>
  <c r="P59" i="227"/>
  <c r="O59" i="227"/>
  <c r="E59" i="227" s="1"/>
  <c r="N59" i="227"/>
  <c r="C59" i="227" s="1"/>
  <c r="J59" i="227"/>
  <c r="T59" i="227" s="1"/>
  <c r="V59" i="227" s="1"/>
  <c r="I59" i="227"/>
  <c r="G59" i="227"/>
  <c r="H57" i="227"/>
  <c r="F57" i="227"/>
  <c r="D57" i="227"/>
  <c r="B57" i="227"/>
  <c r="Q56" i="227"/>
  <c r="P56" i="227"/>
  <c r="O56" i="227"/>
  <c r="E56" i="227" s="1"/>
  <c r="N56" i="227"/>
  <c r="C56" i="227" s="1"/>
  <c r="J56" i="227"/>
  <c r="T56" i="227" s="1"/>
  <c r="I56" i="227"/>
  <c r="G56" i="227"/>
  <c r="T55" i="227"/>
  <c r="Q55" i="227"/>
  <c r="I55" i="227" s="1"/>
  <c r="P55" i="227"/>
  <c r="G55" i="227" s="1"/>
  <c r="O55" i="227"/>
  <c r="E55" i="227" s="1"/>
  <c r="N55" i="227"/>
  <c r="C55" i="227" s="1"/>
  <c r="J55" i="227"/>
  <c r="T54" i="227"/>
  <c r="Q54" i="227"/>
  <c r="I54" i="227" s="1"/>
  <c r="P54" i="227"/>
  <c r="G54" i="227" s="1"/>
  <c r="O54" i="227"/>
  <c r="E54" i="227" s="1"/>
  <c r="N54" i="227"/>
  <c r="C54" i="227" s="1"/>
  <c r="J54" i="227"/>
  <c r="T53" i="227"/>
  <c r="Q53" i="227"/>
  <c r="I53" i="227" s="1"/>
  <c r="P53" i="227"/>
  <c r="G53" i="227" s="1"/>
  <c r="O53" i="227"/>
  <c r="E53" i="227" s="1"/>
  <c r="N53" i="227"/>
  <c r="C53" i="227" s="1"/>
  <c r="J53" i="227"/>
  <c r="T52" i="227"/>
  <c r="Q52" i="227"/>
  <c r="I52" i="227" s="1"/>
  <c r="P52" i="227"/>
  <c r="G52" i="227" s="1"/>
  <c r="O52" i="227"/>
  <c r="E52" i="227" s="1"/>
  <c r="N52" i="227"/>
  <c r="C52" i="227" s="1"/>
  <c r="J52" i="227"/>
  <c r="J57" i="227" s="1"/>
  <c r="H50" i="227"/>
  <c r="F50" i="227"/>
  <c r="D50" i="227"/>
  <c r="B50" i="227"/>
  <c r="T49" i="227"/>
  <c r="Q49" i="227"/>
  <c r="I49" i="227" s="1"/>
  <c r="P49" i="227"/>
  <c r="G49" i="227" s="1"/>
  <c r="O49" i="227"/>
  <c r="E49" i="227" s="1"/>
  <c r="N49" i="227"/>
  <c r="C49" i="227" s="1"/>
  <c r="J49" i="227"/>
  <c r="Q48" i="227"/>
  <c r="I48" i="227" s="1"/>
  <c r="P48" i="227"/>
  <c r="G48" i="227" s="1"/>
  <c r="O48" i="227"/>
  <c r="E48" i="227" s="1"/>
  <c r="N48" i="227"/>
  <c r="C48" i="227" s="1"/>
  <c r="J48" i="227"/>
  <c r="T48" i="227" s="1"/>
  <c r="Q47" i="227"/>
  <c r="I47" i="227" s="1"/>
  <c r="P47" i="227"/>
  <c r="G47" i="227" s="1"/>
  <c r="O47" i="227"/>
  <c r="E47" i="227" s="1"/>
  <c r="N47" i="227"/>
  <c r="C47" i="227" s="1"/>
  <c r="J47" i="227"/>
  <c r="T47" i="227" s="1"/>
  <c r="T46" i="227"/>
  <c r="Q46" i="227"/>
  <c r="I46" i="227" s="1"/>
  <c r="P46" i="227"/>
  <c r="G46" i="227" s="1"/>
  <c r="O46" i="227"/>
  <c r="E46" i="227" s="1"/>
  <c r="N46" i="227"/>
  <c r="C46" i="227" s="1"/>
  <c r="J46" i="227"/>
  <c r="J50" i="227" s="1"/>
  <c r="T45" i="227"/>
  <c r="Q45" i="227"/>
  <c r="I45" i="227" s="1"/>
  <c r="P45" i="227"/>
  <c r="G45" i="227" s="1"/>
  <c r="O45" i="227"/>
  <c r="E45" i="227" s="1"/>
  <c r="N45" i="227"/>
  <c r="C45" i="227" s="1"/>
  <c r="J45" i="227"/>
  <c r="H43" i="227"/>
  <c r="F43" i="227"/>
  <c r="D43" i="227"/>
  <c r="B43" i="227"/>
  <c r="T42" i="227"/>
  <c r="Q42" i="227"/>
  <c r="I42" i="227" s="1"/>
  <c r="P42" i="227"/>
  <c r="G42" i="227" s="1"/>
  <c r="O42" i="227"/>
  <c r="E42" i="227" s="1"/>
  <c r="N42" i="227"/>
  <c r="C42" i="227" s="1"/>
  <c r="J42" i="227"/>
  <c r="T41" i="227"/>
  <c r="Q41" i="227"/>
  <c r="I41" i="227" s="1"/>
  <c r="P41" i="227"/>
  <c r="G41" i="227" s="1"/>
  <c r="O41" i="227"/>
  <c r="E41" i="227" s="1"/>
  <c r="N41" i="227"/>
  <c r="C41" i="227" s="1"/>
  <c r="J41" i="227"/>
  <c r="T40" i="227"/>
  <c r="Q40" i="227"/>
  <c r="I40" i="227" s="1"/>
  <c r="P40" i="227"/>
  <c r="G40" i="227" s="1"/>
  <c r="O40" i="227"/>
  <c r="E40" i="227" s="1"/>
  <c r="N40" i="227"/>
  <c r="C40" i="227" s="1"/>
  <c r="J40" i="227"/>
  <c r="Q39" i="227"/>
  <c r="I39" i="227" s="1"/>
  <c r="P39" i="227"/>
  <c r="G39" i="227" s="1"/>
  <c r="O39" i="227"/>
  <c r="E39" i="227" s="1"/>
  <c r="N39" i="227"/>
  <c r="J39" i="227"/>
  <c r="T39" i="227" s="1"/>
  <c r="Q38" i="227"/>
  <c r="I38" i="227" s="1"/>
  <c r="P38" i="227"/>
  <c r="O38" i="227"/>
  <c r="E38" i="227" s="1"/>
  <c r="N38" i="227"/>
  <c r="C38" i="227" s="1"/>
  <c r="J38" i="227"/>
  <c r="T38" i="227" s="1"/>
  <c r="G38" i="227"/>
  <c r="H36" i="227"/>
  <c r="F36" i="227"/>
  <c r="D36" i="227"/>
  <c r="B36" i="227"/>
  <c r="Q35" i="227"/>
  <c r="I35" i="227" s="1"/>
  <c r="P35" i="227"/>
  <c r="G35" i="227" s="1"/>
  <c r="O35" i="227"/>
  <c r="E35" i="227" s="1"/>
  <c r="N35" i="227"/>
  <c r="C35" i="227" s="1"/>
  <c r="J35" i="227"/>
  <c r="T35" i="227" s="1"/>
  <c r="T34" i="227"/>
  <c r="Q34" i="227"/>
  <c r="I34" i="227" s="1"/>
  <c r="P34" i="227"/>
  <c r="G34" i="227" s="1"/>
  <c r="O34" i="227"/>
  <c r="E34" i="227" s="1"/>
  <c r="N34" i="227"/>
  <c r="C34" i="227" s="1"/>
  <c r="J34" i="227"/>
  <c r="T33" i="227"/>
  <c r="Q33" i="227"/>
  <c r="I33" i="227" s="1"/>
  <c r="P33" i="227"/>
  <c r="G33" i="227" s="1"/>
  <c r="O33" i="227"/>
  <c r="E33" i="227" s="1"/>
  <c r="N33" i="227"/>
  <c r="C33" i="227" s="1"/>
  <c r="J33" i="227"/>
  <c r="T32" i="227"/>
  <c r="Q32" i="227"/>
  <c r="I32" i="227" s="1"/>
  <c r="P32" i="227"/>
  <c r="G32" i="227" s="1"/>
  <c r="O32" i="227"/>
  <c r="N32" i="227"/>
  <c r="J32" i="227"/>
  <c r="E32" i="227"/>
  <c r="C32" i="227"/>
  <c r="T31" i="227"/>
  <c r="Q31" i="227"/>
  <c r="I31" i="227" s="1"/>
  <c r="P31" i="227"/>
  <c r="G31" i="227" s="1"/>
  <c r="O31" i="227"/>
  <c r="E31" i="227" s="1"/>
  <c r="N31" i="227"/>
  <c r="C31" i="227" s="1"/>
  <c r="J31" i="227"/>
  <c r="J36" i="227" s="1"/>
  <c r="H29" i="227"/>
  <c r="F29" i="227"/>
  <c r="D29" i="227"/>
  <c r="B29" i="227"/>
  <c r="T28" i="227"/>
  <c r="Q28" i="227"/>
  <c r="I28" i="227" s="1"/>
  <c r="P28" i="227"/>
  <c r="O28" i="227"/>
  <c r="N28" i="227"/>
  <c r="C28" i="227" s="1"/>
  <c r="J28" i="227"/>
  <c r="G28" i="227"/>
  <c r="E28" i="227"/>
  <c r="Q27" i="227"/>
  <c r="I27" i="227" s="1"/>
  <c r="P27" i="227"/>
  <c r="G27" i="227" s="1"/>
  <c r="O27" i="227"/>
  <c r="E27" i="227" s="1"/>
  <c r="N27" i="227"/>
  <c r="C27" i="227" s="1"/>
  <c r="J27" i="227"/>
  <c r="T27" i="227" s="1"/>
  <c r="Q26" i="227"/>
  <c r="I26" i="227" s="1"/>
  <c r="P26" i="227"/>
  <c r="G26" i="227" s="1"/>
  <c r="O26" i="227"/>
  <c r="N26" i="227"/>
  <c r="C26" i="227" s="1"/>
  <c r="J26" i="227"/>
  <c r="E26" i="227"/>
  <c r="Q25" i="227"/>
  <c r="I25" i="227" s="1"/>
  <c r="P25" i="227"/>
  <c r="O25" i="227"/>
  <c r="E25" i="227" s="1"/>
  <c r="N25" i="227"/>
  <c r="C25" i="227" s="1"/>
  <c r="J25" i="227"/>
  <c r="G25" i="227"/>
  <c r="Q24" i="227"/>
  <c r="I24" i="227" s="1"/>
  <c r="P24" i="227"/>
  <c r="G24" i="227" s="1"/>
  <c r="O24" i="227"/>
  <c r="E24" i="227" s="1"/>
  <c r="N24" i="227"/>
  <c r="C24" i="227" s="1"/>
  <c r="J24" i="227"/>
  <c r="H22" i="227"/>
  <c r="F22" i="227"/>
  <c r="D22" i="227"/>
  <c r="B22" i="227"/>
  <c r="Q21" i="227"/>
  <c r="I21" i="227" s="1"/>
  <c r="P21" i="227"/>
  <c r="G21" i="227" s="1"/>
  <c r="O21" i="227"/>
  <c r="E21" i="227" s="1"/>
  <c r="N21" i="227"/>
  <c r="C21" i="227" s="1"/>
  <c r="J21" i="227"/>
  <c r="Q20" i="227"/>
  <c r="I20" i="227" s="1"/>
  <c r="P20" i="227"/>
  <c r="G20" i="227" s="1"/>
  <c r="O20" i="227"/>
  <c r="E20" i="227" s="1"/>
  <c r="N20" i="227"/>
  <c r="C20" i="227" s="1"/>
  <c r="J20" i="227"/>
  <c r="Q19" i="227"/>
  <c r="I19" i="227" s="1"/>
  <c r="P19" i="227"/>
  <c r="G19" i="227" s="1"/>
  <c r="O19" i="227"/>
  <c r="E19" i="227" s="1"/>
  <c r="N19" i="227"/>
  <c r="C19" i="227" s="1"/>
  <c r="J19" i="227"/>
  <c r="Q18" i="227"/>
  <c r="I18" i="227" s="1"/>
  <c r="P18" i="227"/>
  <c r="G18" i="227" s="1"/>
  <c r="O18" i="227"/>
  <c r="E18" i="227" s="1"/>
  <c r="N18" i="227"/>
  <c r="C18" i="227" s="1"/>
  <c r="J18" i="227"/>
  <c r="Q17" i="227"/>
  <c r="I17" i="227" s="1"/>
  <c r="P17" i="227"/>
  <c r="G17" i="227" s="1"/>
  <c r="O17" i="227"/>
  <c r="E17" i="227" s="1"/>
  <c r="N17" i="227"/>
  <c r="C17" i="227" s="1"/>
  <c r="J17" i="227"/>
  <c r="H15" i="227"/>
  <c r="F15" i="227"/>
  <c r="D15" i="227"/>
  <c r="B15" i="227"/>
  <c r="Q14" i="227"/>
  <c r="I14" i="227" s="1"/>
  <c r="P14" i="227"/>
  <c r="O14" i="227"/>
  <c r="E14" i="227" s="1"/>
  <c r="N14" i="227"/>
  <c r="J14" i="227"/>
  <c r="G14" i="227"/>
  <c r="Q13" i="227"/>
  <c r="I13" i="227" s="1"/>
  <c r="P13" i="227"/>
  <c r="G13" i="227" s="1"/>
  <c r="O13" i="227"/>
  <c r="E13" i="227" s="1"/>
  <c r="N13" i="227"/>
  <c r="C13" i="227" s="1"/>
  <c r="J13" i="227"/>
  <c r="Q12" i="227"/>
  <c r="I12" i="227" s="1"/>
  <c r="P12" i="227"/>
  <c r="G12" i="227" s="1"/>
  <c r="O12" i="227"/>
  <c r="E12" i="227" s="1"/>
  <c r="N12" i="227"/>
  <c r="J12" i="227"/>
  <c r="Q11" i="227"/>
  <c r="I11" i="227" s="1"/>
  <c r="P11" i="227"/>
  <c r="G11" i="227" s="1"/>
  <c r="O11" i="227"/>
  <c r="E11" i="227" s="1"/>
  <c r="N11" i="227"/>
  <c r="C11" i="227" s="1"/>
  <c r="J11" i="227"/>
  <c r="Q10" i="227"/>
  <c r="I10" i="227" s="1"/>
  <c r="P10" i="227"/>
  <c r="G10" i="227" s="1"/>
  <c r="O10" i="227"/>
  <c r="E10" i="227" s="1"/>
  <c r="N10" i="227"/>
  <c r="C10" i="227" s="1"/>
  <c r="J10" i="227"/>
  <c r="F81" i="226"/>
  <c r="E81" i="226"/>
  <c r="D81" i="226"/>
  <c r="C81" i="226"/>
  <c r="F80" i="226"/>
  <c r="E80" i="226"/>
  <c r="D80" i="226"/>
  <c r="C80" i="226"/>
  <c r="F79" i="226"/>
  <c r="E79" i="226"/>
  <c r="D79" i="226"/>
  <c r="C79" i="226"/>
  <c r="F78" i="226"/>
  <c r="E78" i="226"/>
  <c r="D78" i="226"/>
  <c r="C78" i="226"/>
  <c r="F77" i="226"/>
  <c r="E77" i="226"/>
  <c r="D77" i="226"/>
  <c r="C77" i="226"/>
  <c r="F76" i="226"/>
  <c r="E76" i="226"/>
  <c r="D76" i="226"/>
  <c r="C76" i="226"/>
  <c r="F75" i="226"/>
  <c r="E75" i="226"/>
  <c r="D75" i="226"/>
  <c r="C75" i="226"/>
  <c r="F74" i="226"/>
  <c r="E74" i="226"/>
  <c r="D74" i="226"/>
  <c r="C74" i="226"/>
  <c r="F73" i="226"/>
  <c r="E73" i="226"/>
  <c r="D73" i="226"/>
  <c r="C73" i="226"/>
  <c r="F72" i="226"/>
  <c r="E72" i="226"/>
  <c r="D72" i="226"/>
  <c r="C72" i="226"/>
  <c r="F71" i="226"/>
  <c r="E71" i="226"/>
  <c r="D71" i="226"/>
  <c r="C71" i="226"/>
  <c r="F70" i="226"/>
  <c r="E70" i="226"/>
  <c r="D70" i="226"/>
  <c r="C70" i="226"/>
  <c r="F69" i="226"/>
  <c r="E69" i="226"/>
  <c r="D69" i="226"/>
  <c r="C69" i="226"/>
  <c r="F68" i="226"/>
  <c r="E68" i="226"/>
  <c r="D68" i="226"/>
  <c r="C68" i="226"/>
  <c r="F67" i="226"/>
  <c r="E67" i="226"/>
  <c r="D67" i="226"/>
  <c r="C67" i="226"/>
  <c r="F66" i="226"/>
  <c r="E66" i="226"/>
  <c r="D66" i="226"/>
  <c r="C66" i="226"/>
  <c r="F65" i="226"/>
  <c r="E65" i="226"/>
  <c r="D65" i="226"/>
  <c r="C65" i="226"/>
  <c r="F64" i="226"/>
  <c r="E64" i="226"/>
  <c r="D64" i="226"/>
  <c r="C64" i="226"/>
  <c r="F63" i="226"/>
  <c r="E63" i="226"/>
  <c r="D63" i="226"/>
  <c r="C63" i="226"/>
  <c r="F62" i="226"/>
  <c r="E62" i="226"/>
  <c r="D62" i="226"/>
  <c r="C62" i="226"/>
  <c r="F61" i="226"/>
  <c r="E61" i="226"/>
  <c r="D61" i="226"/>
  <c r="C61" i="226"/>
  <c r="F60" i="226"/>
  <c r="E60" i="226"/>
  <c r="D60" i="226"/>
  <c r="C60" i="226"/>
  <c r="F59" i="226"/>
  <c r="E59" i="226"/>
  <c r="D59" i="226"/>
  <c r="C59" i="226"/>
  <c r="F58" i="226"/>
  <c r="E58" i="226"/>
  <c r="D58" i="226"/>
  <c r="C58" i="226"/>
  <c r="F55" i="226"/>
  <c r="E55" i="226"/>
  <c r="D55" i="226"/>
  <c r="C55" i="226"/>
  <c r="F54" i="226"/>
  <c r="E54" i="226"/>
  <c r="D54" i="226"/>
  <c r="C54" i="226"/>
  <c r="F53" i="226"/>
  <c r="E53" i="226"/>
  <c r="D53" i="226"/>
  <c r="C53" i="226"/>
  <c r="F52" i="226"/>
  <c r="E52" i="226"/>
  <c r="D52" i="226"/>
  <c r="C52" i="226"/>
  <c r="F51" i="226"/>
  <c r="E51" i="226"/>
  <c r="D51" i="226"/>
  <c r="C51" i="226"/>
  <c r="F50" i="226"/>
  <c r="E50" i="226"/>
  <c r="D50" i="226"/>
  <c r="C50" i="226"/>
  <c r="F49" i="226"/>
  <c r="E49" i="226"/>
  <c r="D49" i="226"/>
  <c r="C49" i="226"/>
  <c r="F48" i="226"/>
  <c r="E48" i="226"/>
  <c r="D48" i="226"/>
  <c r="C48" i="226"/>
  <c r="F47" i="226"/>
  <c r="E47" i="226"/>
  <c r="D47" i="226"/>
  <c r="C47" i="226"/>
  <c r="F46" i="226"/>
  <c r="E46" i="226"/>
  <c r="D46" i="226"/>
  <c r="C46" i="226"/>
  <c r="F45" i="226"/>
  <c r="E45" i="226"/>
  <c r="D45" i="226"/>
  <c r="C45" i="226"/>
  <c r="F44" i="226"/>
  <c r="E44" i="226"/>
  <c r="D44" i="226"/>
  <c r="C44" i="226"/>
  <c r="F43" i="226"/>
  <c r="E43" i="226"/>
  <c r="D43" i="226"/>
  <c r="C43" i="226"/>
  <c r="F42" i="226"/>
  <c r="E42" i="226"/>
  <c r="D42" i="226"/>
  <c r="C42" i="226"/>
  <c r="F41" i="226"/>
  <c r="E41" i="226"/>
  <c r="D41" i="226"/>
  <c r="C41" i="226"/>
  <c r="F40" i="226"/>
  <c r="E40" i="226"/>
  <c r="D40" i="226"/>
  <c r="C40" i="226"/>
  <c r="F39" i="226"/>
  <c r="E39" i="226"/>
  <c r="D39" i="226"/>
  <c r="C39" i="226"/>
  <c r="F38" i="226"/>
  <c r="E38" i="226"/>
  <c r="D38" i="226"/>
  <c r="C38" i="226"/>
  <c r="F37" i="226"/>
  <c r="E37" i="226"/>
  <c r="D37" i="226"/>
  <c r="C37" i="226"/>
  <c r="F36" i="226"/>
  <c r="E36" i="226"/>
  <c r="D36" i="226"/>
  <c r="C36" i="226"/>
  <c r="F35" i="226"/>
  <c r="E35" i="226"/>
  <c r="D35" i="226"/>
  <c r="C35" i="226"/>
  <c r="F34" i="226"/>
  <c r="E34" i="226"/>
  <c r="D34" i="226"/>
  <c r="C34" i="226"/>
  <c r="F33" i="226"/>
  <c r="E33" i="226"/>
  <c r="D33" i="226"/>
  <c r="C33" i="226"/>
  <c r="F32" i="226"/>
  <c r="E32" i="226"/>
  <c r="D32" i="226"/>
  <c r="C32" i="226"/>
  <c r="F29" i="226"/>
  <c r="E29" i="226"/>
  <c r="D29" i="226"/>
  <c r="C29" i="226"/>
  <c r="F28" i="226"/>
  <c r="E28" i="226"/>
  <c r="D28" i="226"/>
  <c r="C28" i="226"/>
  <c r="F27" i="226"/>
  <c r="E27" i="226"/>
  <c r="D27" i="226"/>
  <c r="C27" i="226"/>
  <c r="F26" i="226"/>
  <c r="E26" i="226"/>
  <c r="D26" i="226"/>
  <c r="C26" i="226"/>
  <c r="F25" i="226"/>
  <c r="E25" i="226"/>
  <c r="D25" i="226"/>
  <c r="C25" i="226"/>
  <c r="F24" i="226"/>
  <c r="E24" i="226"/>
  <c r="D24" i="226"/>
  <c r="C24" i="226"/>
  <c r="F23" i="226"/>
  <c r="E23" i="226"/>
  <c r="D23" i="226"/>
  <c r="C23" i="226"/>
  <c r="F22" i="226"/>
  <c r="E22" i="226"/>
  <c r="D22" i="226"/>
  <c r="C22" i="226"/>
  <c r="F21" i="226"/>
  <c r="E21" i="226"/>
  <c r="D21" i="226"/>
  <c r="C21" i="226"/>
  <c r="F20" i="226"/>
  <c r="E20" i="226"/>
  <c r="D20" i="226"/>
  <c r="C20" i="226"/>
  <c r="F19" i="226"/>
  <c r="E19" i="226"/>
  <c r="D19" i="226"/>
  <c r="C19" i="226"/>
  <c r="F18" i="226"/>
  <c r="E18" i="226"/>
  <c r="D18" i="226"/>
  <c r="C18" i="226"/>
  <c r="F17" i="226"/>
  <c r="E17" i="226"/>
  <c r="D17" i="226"/>
  <c r="C17" i="226"/>
  <c r="F16" i="226"/>
  <c r="E16" i="226"/>
  <c r="D16" i="226"/>
  <c r="C16" i="226"/>
  <c r="F15" i="226"/>
  <c r="E15" i="226"/>
  <c r="D15" i="226"/>
  <c r="C15" i="226"/>
  <c r="F14" i="226"/>
  <c r="E14" i="226"/>
  <c r="D14" i="226"/>
  <c r="C14" i="226"/>
  <c r="F13" i="226"/>
  <c r="E13" i="226"/>
  <c r="D13" i="226"/>
  <c r="C13" i="226"/>
  <c r="F12" i="226"/>
  <c r="E12" i="226"/>
  <c r="D12" i="226"/>
  <c r="C12" i="226"/>
  <c r="F11" i="226"/>
  <c r="E11" i="226"/>
  <c r="D11" i="226"/>
  <c r="C11" i="226"/>
  <c r="F10" i="226"/>
  <c r="E10" i="226"/>
  <c r="D10" i="226"/>
  <c r="C10" i="226"/>
  <c r="F9" i="226"/>
  <c r="E9" i="226"/>
  <c r="D9" i="226"/>
  <c r="C9" i="226"/>
  <c r="F8" i="226"/>
  <c r="E8" i="226"/>
  <c r="D8" i="226"/>
  <c r="C8" i="226"/>
  <c r="F7" i="226"/>
  <c r="E7" i="226"/>
  <c r="D7" i="226"/>
  <c r="C7" i="226"/>
  <c r="F6" i="226"/>
  <c r="E6" i="226"/>
  <c r="D6" i="226"/>
  <c r="C6" i="226"/>
  <c r="I80" i="225"/>
  <c r="I79" i="225"/>
  <c r="I78" i="225"/>
  <c r="I77" i="225"/>
  <c r="I76" i="225"/>
  <c r="I75" i="225"/>
  <c r="I74" i="225"/>
  <c r="I73" i="225"/>
  <c r="I72" i="225"/>
  <c r="I71" i="225"/>
  <c r="I70" i="225"/>
  <c r="I69" i="225"/>
  <c r="I68" i="225"/>
  <c r="I67" i="225"/>
  <c r="I66" i="225"/>
  <c r="I65" i="225"/>
  <c r="I64" i="225"/>
  <c r="I63" i="225"/>
  <c r="I62" i="225"/>
  <c r="I61" i="225"/>
  <c r="I60" i="225"/>
  <c r="I59" i="225"/>
  <c r="I58" i="225"/>
  <c r="I57" i="225"/>
  <c r="I56" i="225"/>
  <c r="I54" i="225"/>
  <c r="I53" i="225"/>
  <c r="I52" i="225"/>
  <c r="I51" i="225"/>
  <c r="I50" i="225"/>
  <c r="I49" i="225"/>
  <c r="I48" i="225"/>
  <c r="I47" i="225"/>
  <c r="I46" i="225"/>
  <c r="I45" i="225"/>
  <c r="I44" i="225"/>
  <c r="C44" i="225"/>
  <c r="I43" i="225"/>
  <c r="I42" i="225"/>
  <c r="I41" i="225"/>
  <c r="I40" i="225"/>
  <c r="I39" i="225"/>
  <c r="I38" i="225"/>
  <c r="I37" i="225"/>
  <c r="I36" i="225"/>
  <c r="I35" i="225"/>
  <c r="I34" i="225"/>
  <c r="I33" i="225"/>
  <c r="I32" i="225"/>
  <c r="I31" i="225"/>
  <c r="I30" i="225"/>
  <c r="I29" i="225"/>
  <c r="I26" i="225"/>
  <c r="I25" i="225"/>
  <c r="I24" i="225"/>
  <c r="I23" i="225"/>
  <c r="I22" i="225"/>
  <c r="I21" i="225"/>
  <c r="I20" i="225"/>
  <c r="I19" i="225"/>
  <c r="I18" i="225"/>
  <c r="I17" i="225"/>
  <c r="I16" i="225"/>
  <c r="I15" i="225"/>
  <c r="I14" i="225"/>
  <c r="I13" i="225"/>
  <c r="I12" i="225"/>
  <c r="I11" i="225"/>
  <c r="I10" i="225"/>
  <c r="I9" i="225"/>
  <c r="I8" i="225"/>
  <c r="I7" i="225"/>
  <c r="I6" i="225"/>
  <c r="I5" i="225"/>
  <c r="I4" i="225"/>
  <c r="I3" i="225"/>
  <c r="K53" i="224"/>
  <c r="J53" i="224"/>
  <c r="I53" i="224"/>
  <c r="H53" i="224"/>
  <c r="G53" i="224"/>
  <c r="F53" i="224"/>
  <c r="E53" i="224"/>
  <c r="D53" i="224"/>
  <c r="C53" i="224"/>
  <c r="B53" i="224"/>
  <c r="K52" i="224"/>
  <c r="J52" i="224"/>
  <c r="I52" i="224"/>
  <c r="H52" i="224"/>
  <c r="G52" i="224"/>
  <c r="F52" i="224"/>
  <c r="E52" i="224"/>
  <c r="D52" i="224"/>
  <c r="C52" i="224"/>
  <c r="B52" i="224"/>
  <c r="K51" i="224"/>
  <c r="J51" i="224"/>
  <c r="I51" i="224"/>
  <c r="H51" i="224"/>
  <c r="G51" i="224"/>
  <c r="F51" i="224"/>
  <c r="E51" i="224"/>
  <c r="D51" i="224"/>
  <c r="C51" i="224"/>
  <c r="B51" i="224"/>
  <c r="K50" i="224"/>
  <c r="J50" i="224"/>
  <c r="I50" i="224"/>
  <c r="H50" i="224"/>
  <c r="G50" i="224"/>
  <c r="F50" i="224"/>
  <c r="E50" i="224"/>
  <c r="D50" i="224"/>
  <c r="C50" i="224"/>
  <c r="B50" i="224"/>
  <c r="K49" i="224"/>
  <c r="J49" i="224"/>
  <c r="I49" i="224"/>
  <c r="H49" i="224"/>
  <c r="G49" i="224"/>
  <c r="F49" i="224"/>
  <c r="E49" i="224"/>
  <c r="D49" i="224"/>
  <c r="C49" i="224"/>
  <c r="B49" i="224"/>
  <c r="K48" i="224"/>
  <c r="J48" i="224"/>
  <c r="I48" i="224"/>
  <c r="H48" i="224"/>
  <c r="G48" i="224"/>
  <c r="F48" i="224"/>
  <c r="E48" i="224"/>
  <c r="D48" i="224"/>
  <c r="C48" i="224"/>
  <c r="B48" i="224"/>
  <c r="K47" i="224"/>
  <c r="J47" i="224"/>
  <c r="I47" i="224"/>
  <c r="H47" i="224"/>
  <c r="G47" i="224"/>
  <c r="F47" i="224"/>
  <c r="E47" i="224"/>
  <c r="D47" i="224"/>
  <c r="C47" i="224"/>
  <c r="B47" i="224"/>
  <c r="K46" i="224"/>
  <c r="J46" i="224"/>
  <c r="I46" i="224"/>
  <c r="H46" i="224"/>
  <c r="G46" i="224"/>
  <c r="F46" i="224"/>
  <c r="E46" i="224"/>
  <c r="D46" i="224"/>
  <c r="C46" i="224"/>
  <c r="B46" i="224"/>
  <c r="K45" i="224"/>
  <c r="J45" i="224"/>
  <c r="I45" i="224"/>
  <c r="H45" i="224"/>
  <c r="G45" i="224"/>
  <c r="F45" i="224"/>
  <c r="E45" i="224"/>
  <c r="D45" i="224"/>
  <c r="C45" i="224"/>
  <c r="B45" i="224"/>
  <c r="K44" i="224"/>
  <c r="J44" i="224"/>
  <c r="I44" i="224"/>
  <c r="H44" i="224"/>
  <c r="G44" i="224"/>
  <c r="F44" i="224"/>
  <c r="E44" i="224"/>
  <c r="D44" i="224"/>
  <c r="C44" i="224"/>
  <c r="B44" i="224"/>
  <c r="K43" i="224"/>
  <c r="J43" i="224"/>
  <c r="I43" i="224"/>
  <c r="H43" i="224"/>
  <c r="G43" i="224"/>
  <c r="F43" i="224"/>
  <c r="E43" i="224"/>
  <c r="D43" i="224"/>
  <c r="C43" i="224"/>
  <c r="B43" i="224"/>
  <c r="K42" i="224"/>
  <c r="J42" i="224"/>
  <c r="I42" i="224"/>
  <c r="H42" i="224"/>
  <c r="G42" i="224"/>
  <c r="F42" i="224"/>
  <c r="E42" i="224"/>
  <c r="D42" i="224"/>
  <c r="C42" i="224"/>
  <c r="B42" i="224"/>
  <c r="K41" i="224"/>
  <c r="J41" i="224"/>
  <c r="I41" i="224"/>
  <c r="H41" i="224"/>
  <c r="G41" i="224"/>
  <c r="F41" i="224"/>
  <c r="E41" i="224"/>
  <c r="D41" i="224"/>
  <c r="C41" i="224"/>
  <c r="B41" i="224"/>
  <c r="K40" i="224"/>
  <c r="J40" i="224"/>
  <c r="I40" i="224"/>
  <c r="H40" i="224"/>
  <c r="G40" i="224"/>
  <c r="F40" i="224"/>
  <c r="E40" i="224"/>
  <c r="D40" i="224"/>
  <c r="C40" i="224"/>
  <c r="B40" i="224"/>
  <c r="K39" i="224"/>
  <c r="J39" i="224"/>
  <c r="I39" i="224"/>
  <c r="H39" i="224"/>
  <c r="G39" i="224"/>
  <c r="F39" i="224"/>
  <c r="E39" i="224"/>
  <c r="D39" i="224"/>
  <c r="C39" i="224"/>
  <c r="B39" i="224"/>
  <c r="K38" i="224"/>
  <c r="J38" i="224"/>
  <c r="I38" i="224"/>
  <c r="H38" i="224"/>
  <c r="G38" i="224"/>
  <c r="F38" i="224"/>
  <c r="E38" i="224"/>
  <c r="D38" i="224"/>
  <c r="C38" i="224"/>
  <c r="B38" i="224"/>
  <c r="K37" i="224"/>
  <c r="J37" i="224"/>
  <c r="I37" i="224"/>
  <c r="H37" i="224"/>
  <c r="G37" i="224"/>
  <c r="F37" i="224"/>
  <c r="E37" i="224"/>
  <c r="D37" i="224"/>
  <c r="C37" i="224"/>
  <c r="B37" i="224"/>
  <c r="K36" i="224"/>
  <c r="J36" i="224"/>
  <c r="I36" i="224"/>
  <c r="H36" i="224"/>
  <c r="G36" i="224"/>
  <c r="F36" i="224"/>
  <c r="E36" i="224"/>
  <c r="D36" i="224"/>
  <c r="C36" i="224"/>
  <c r="B36" i="224"/>
  <c r="K35" i="224"/>
  <c r="J35" i="224"/>
  <c r="I35" i="224"/>
  <c r="H35" i="224"/>
  <c r="G35" i="224"/>
  <c r="F35" i="224"/>
  <c r="E35" i="224"/>
  <c r="D35" i="224"/>
  <c r="C35" i="224"/>
  <c r="B35" i="224"/>
  <c r="K34" i="224"/>
  <c r="J34" i="224"/>
  <c r="I34" i="224"/>
  <c r="H34" i="224"/>
  <c r="G34" i="224"/>
  <c r="F34" i="224"/>
  <c r="E34" i="224"/>
  <c r="D34" i="224"/>
  <c r="C34" i="224"/>
  <c r="B34" i="224"/>
  <c r="K33" i="224"/>
  <c r="J33" i="224"/>
  <c r="I33" i="224"/>
  <c r="H33" i="224"/>
  <c r="G33" i="224"/>
  <c r="F33" i="224"/>
  <c r="E33" i="224"/>
  <c r="D33" i="224"/>
  <c r="C33" i="224"/>
  <c r="B33" i="224"/>
  <c r="K32" i="224"/>
  <c r="J32" i="224"/>
  <c r="I32" i="224"/>
  <c r="H32" i="224"/>
  <c r="G32" i="224"/>
  <c r="F32" i="224"/>
  <c r="E32" i="224"/>
  <c r="D32" i="224"/>
  <c r="C32" i="224"/>
  <c r="B32" i="224"/>
  <c r="K31" i="224"/>
  <c r="J31" i="224"/>
  <c r="I31" i="224"/>
  <c r="H31" i="224"/>
  <c r="G31" i="224"/>
  <c r="F31" i="224"/>
  <c r="E31" i="224"/>
  <c r="D31" i="224"/>
  <c r="C31" i="224"/>
  <c r="B31" i="224"/>
  <c r="K30" i="224"/>
  <c r="J30" i="224"/>
  <c r="I30" i="224"/>
  <c r="H30" i="224"/>
  <c r="G30" i="224"/>
  <c r="F30" i="224"/>
  <c r="E30" i="224"/>
  <c r="D30" i="224"/>
  <c r="C30" i="224"/>
  <c r="B30" i="224"/>
  <c r="K29" i="224"/>
  <c r="J29" i="224"/>
  <c r="I29" i="224"/>
  <c r="H29" i="224"/>
  <c r="G29" i="224"/>
  <c r="F29" i="224"/>
  <c r="E29" i="224"/>
  <c r="D29" i="224"/>
  <c r="C29" i="224"/>
  <c r="B29" i="224"/>
  <c r="K28" i="224"/>
  <c r="J28" i="224"/>
  <c r="I28" i="224"/>
  <c r="H28" i="224"/>
  <c r="G28" i="224"/>
  <c r="F28" i="224"/>
  <c r="E28" i="224"/>
  <c r="D28" i="224"/>
  <c r="C28" i="224"/>
  <c r="B28" i="224"/>
  <c r="K27" i="224"/>
  <c r="J27" i="224"/>
  <c r="I27" i="224"/>
  <c r="H27" i="224"/>
  <c r="G27" i="224"/>
  <c r="F27" i="224"/>
  <c r="E27" i="224"/>
  <c r="D27" i="224"/>
  <c r="C27" i="224"/>
  <c r="B27" i="224"/>
  <c r="K26" i="224"/>
  <c r="J26" i="224"/>
  <c r="I26" i="224"/>
  <c r="H26" i="224"/>
  <c r="G26" i="224"/>
  <c r="F26" i="224"/>
  <c r="E26" i="224"/>
  <c r="D26" i="224"/>
  <c r="C26" i="224"/>
  <c r="B26" i="224"/>
  <c r="K25" i="224"/>
  <c r="J25" i="224"/>
  <c r="I25" i="224"/>
  <c r="H25" i="224"/>
  <c r="G25" i="224"/>
  <c r="F25" i="224"/>
  <c r="E25" i="224"/>
  <c r="D25" i="224"/>
  <c r="C25" i="224"/>
  <c r="B25" i="224"/>
  <c r="K24" i="224"/>
  <c r="J24" i="224"/>
  <c r="I24" i="224"/>
  <c r="H24" i="224"/>
  <c r="G24" i="224"/>
  <c r="F24" i="224"/>
  <c r="E24" i="224"/>
  <c r="D24" i="224"/>
  <c r="C24" i="224"/>
  <c r="B24" i="224"/>
  <c r="K23" i="224"/>
  <c r="J23" i="224"/>
  <c r="I23" i="224"/>
  <c r="H23" i="224"/>
  <c r="G23" i="224"/>
  <c r="F23" i="224"/>
  <c r="E23" i="224"/>
  <c r="D23" i="224"/>
  <c r="C23" i="224"/>
  <c r="B23" i="224"/>
  <c r="K22" i="224"/>
  <c r="J22" i="224"/>
  <c r="I22" i="224"/>
  <c r="H22" i="224"/>
  <c r="G22" i="224"/>
  <c r="F22" i="224"/>
  <c r="E22" i="224"/>
  <c r="D22" i="224"/>
  <c r="C22" i="224"/>
  <c r="B22" i="224"/>
  <c r="K21" i="224"/>
  <c r="J21" i="224"/>
  <c r="I21" i="224"/>
  <c r="H21" i="224"/>
  <c r="G21" i="224"/>
  <c r="F21" i="224"/>
  <c r="E21" i="224"/>
  <c r="D21" i="224"/>
  <c r="C21" i="224"/>
  <c r="B21" i="224"/>
  <c r="K20" i="224"/>
  <c r="J20" i="224"/>
  <c r="I20" i="224"/>
  <c r="H20" i="224"/>
  <c r="G20" i="224"/>
  <c r="F20" i="224"/>
  <c r="E20" i="224"/>
  <c r="D20" i="224"/>
  <c r="C20" i="224"/>
  <c r="B20" i="224"/>
  <c r="K19" i="224"/>
  <c r="J19" i="224"/>
  <c r="I19" i="224"/>
  <c r="H19" i="224"/>
  <c r="G19" i="224"/>
  <c r="F19" i="224"/>
  <c r="E19" i="224"/>
  <c r="D19" i="224"/>
  <c r="C19" i="224"/>
  <c r="B19" i="224"/>
  <c r="K18" i="224"/>
  <c r="J18" i="224"/>
  <c r="I18" i="224"/>
  <c r="H18" i="224"/>
  <c r="G18" i="224"/>
  <c r="F18" i="224"/>
  <c r="E18" i="224"/>
  <c r="D18" i="224"/>
  <c r="C18" i="224"/>
  <c r="B18" i="224"/>
  <c r="K17" i="224"/>
  <c r="J17" i="224"/>
  <c r="I17" i="224"/>
  <c r="H17" i="224"/>
  <c r="G17" i="224"/>
  <c r="F17" i="224"/>
  <c r="E17" i="224"/>
  <c r="D17" i="224"/>
  <c r="C17" i="224"/>
  <c r="B17" i="224"/>
  <c r="K16" i="224"/>
  <c r="J16" i="224"/>
  <c r="I16" i="224"/>
  <c r="H16" i="224"/>
  <c r="G16" i="224"/>
  <c r="F16" i="224"/>
  <c r="E16" i="224"/>
  <c r="D16" i="224"/>
  <c r="C16" i="224"/>
  <c r="B16" i="224"/>
  <c r="K15" i="224"/>
  <c r="J15" i="224"/>
  <c r="I15" i="224"/>
  <c r="H15" i="224"/>
  <c r="G15" i="224"/>
  <c r="F15" i="224"/>
  <c r="E15" i="224"/>
  <c r="D15" i="224"/>
  <c r="C15" i="224"/>
  <c r="B15" i="224"/>
  <c r="K14" i="224"/>
  <c r="J14" i="224"/>
  <c r="I14" i="224"/>
  <c r="H14" i="224"/>
  <c r="G14" i="224"/>
  <c r="F14" i="224"/>
  <c r="E14" i="224"/>
  <c r="D14" i="224"/>
  <c r="C14" i="224"/>
  <c r="B14" i="224"/>
  <c r="K13" i="224"/>
  <c r="J13" i="224"/>
  <c r="I13" i="224"/>
  <c r="H13" i="224"/>
  <c r="G13" i="224"/>
  <c r="F13" i="224"/>
  <c r="E13" i="224"/>
  <c r="D13" i="224"/>
  <c r="C13" i="224"/>
  <c r="B13" i="224"/>
  <c r="K12" i="224"/>
  <c r="J12" i="224"/>
  <c r="I12" i="224"/>
  <c r="H12" i="224"/>
  <c r="G12" i="224"/>
  <c r="F12" i="224"/>
  <c r="E12" i="224"/>
  <c r="D12" i="224"/>
  <c r="C12" i="224"/>
  <c r="B12" i="224"/>
  <c r="K11" i="224"/>
  <c r="J11" i="224"/>
  <c r="I11" i="224"/>
  <c r="H11" i="224"/>
  <c r="G11" i="224"/>
  <c r="F11" i="224"/>
  <c r="E11" i="224"/>
  <c r="D11" i="224"/>
  <c r="C11" i="224"/>
  <c r="B11" i="224"/>
  <c r="K10" i="224"/>
  <c r="J10" i="224"/>
  <c r="I10" i="224"/>
  <c r="H10" i="224"/>
  <c r="G10" i="224"/>
  <c r="F10" i="224"/>
  <c r="E10" i="224"/>
  <c r="D10" i="224"/>
  <c r="C10" i="224"/>
  <c r="B10" i="224"/>
  <c r="K9" i="224"/>
  <c r="J9" i="224"/>
  <c r="I9" i="224"/>
  <c r="H9" i="224"/>
  <c r="G9" i="224"/>
  <c r="F9" i="224"/>
  <c r="E9" i="224"/>
  <c r="D9" i="224"/>
  <c r="C9" i="224"/>
  <c r="B9" i="224"/>
  <c r="K8" i="224"/>
  <c r="J8" i="224"/>
  <c r="I8" i="224"/>
  <c r="H8" i="224"/>
  <c r="G8" i="224"/>
  <c r="F8" i="224"/>
  <c r="E8" i="224"/>
  <c r="D8" i="224"/>
  <c r="C8" i="224"/>
  <c r="B8" i="224"/>
  <c r="F74" i="223"/>
  <c r="B74" i="223"/>
  <c r="B73" i="223"/>
  <c r="F72" i="223"/>
  <c r="F73" i="223" s="1"/>
  <c r="B72" i="223"/>
  <c r="K68" i="223"/>
  <c r="J68" i="223"/>
  <c r="I68" i="223"/>
  <c r="F68" i="223"/>
  <c r="B68" i="223"/>
  <c r="K67" i="223"/>
  <c r="J67" i="223"/>
  <c r="I67" i="223"/>
  <c r="F67" i="223"/>
  <c r="B67" i="223"/>
  <c r="K65" i="223"/>
  <c r="J65" i="223"/>
  <c r="I65" i="223"/>
  <c r="F65" i="223"/>
  <c r="B65" i="223"/>
  <c r="N64" i="223"/>
  <c r="K64" i="223"/>
  <c r="J64" i="223"/>
  <c r="I64" i="223"/>
  <c r="F64" i="223"/>
  <c r="B64" i="223"/>
  <c r="N63" i="223"/>
  <c r="K63" i="223"/>
  <c r="J63" i="223"/>
  <c r="I63" i="223"/>
  <c r="F63" i="223"/>
  <c r="B63" i="223"/>
  <c r="K62" i="223"/>
  <c r="J62" i="223"/>
  <c r="I62" i="223"/>
  <c r="F62" i="223"/>
  <c r="B62" i="223"/>
  <c r="K61" i="223"/>
  <c r="J61" i="223"/>
  <c r="I61" i="223"/>
  <c r="F61" i="223"/>
  <c r="B61" i="223"/>
  <c r="K60" i="223"/>
  <c r="J60" i="223"/>
  <c r="I60" i="223"/>
  <c r="F60" i="223"/>
  <c r="B60" i="223"/>
  <c r="K59" i="223"/>
  <c r="J59" i="223"/>
  <c r="I59" i="223"/>
  <c r="F59" i="223"/>
  <c r="B59" i="223"/>
  <c r="N58" i="223"/>
  <c r="K58" i="223"/>
  <c r="J58" i="223"/>
  <c r="I58" i="223"/>
  <c r="F58" i="223"/>
  <c r="B58" i="223"/>
  <c r="N57" i="223"/>
  <c r="K57" i="223"/>
  <c r="J57" i="223"/>
  <c r="I57" i="223"/>
  <c r="F57" i="223"/>
  <c r="B57" i="223"/>
  <c r="K56" i="223"/>
  <c r="J56" i="223"/>
  <c r="I56" i="223"/>
  <c r="F56" i="223"/>
  <c r="B56" i="223"/>
  <c r="K55" i="223"/>
  <c r="J55" i="223"/>
  <c r="I55" i="223"/>
  <c r="F55" i="223"/>
  <c r="B55" i="223"/>
  <c r="K54" i="223"/>
  <c r="J54" i="223"/>
  <c r="I54" i="223"/>
  <c r="F54" i="223"/>
  <c r="B54" i="223"/>
  <c r="N52" i="223"/>
  <c r="N51" i="223"/>
  <c r="M51" i="223"/>
  <c r="N50" i="223"/>
  <c r="M50" i="223"/>
  <c r="N49" i="223"/>
  <c r="M49" i="223"/>
  <c r="W48" i="223"/>
  <c r="O48" i="223"/>
  <c r="N48" i="223"/>
  <c r="M48" i="223"/>
  <c r="W47" i="223"/>
  <c r="O47" i="223"/>
  <c r="P47" i="223" s="1"/>
  <c r="N47" i="223"/>
  <c r="W46" i="223"/>
  <c r="O46" i="223"/>
  <c r="N46" i="223"/>
  <c r="W45" i="223"/>
  <c r="O45" i="223"/>
  <c r="N45" i="223"/>
  <c r="W44" i="223"/>
  <c r="O44" i="223"/>
  <c r="N44" i="223"/>
  <c r="W43" i="223"/>
  <c r="O43" i="223"/>
  <c r="N43" i="223"/>
  <c r="W42" i="223"/>
  <c r="O42" i="223"/>
  <c r="N42" i="223"/>
  <c r="W41" i="223"/>
  <c r="O41" i="223"/>
  <c r="N41" i="223"/>
  <c r="W40" i="223"/>
  <c r="O40" i="223"/>
  <c r="N40" i="223"/>
  <c r="W39" i="223"/>
  <c r="O39" i="223"/>
  <c r="O64" i="223" s="1"/>
  <c r="N39" i="223"/>
  <c r="W38" i="223"/>
  <c r="O38" i="223"/>
  <c r="N38" i="223"/>
  <c r="N67" i="223" s="1"/>
  <c r="W37" i="223"/>
  <c r="O37" i="223"/>
  <c r="N37" i="223"/>
  <c r="N65" i="223" s="1"/>
  <c r="W36" i="223"/>
  <c r="O36" i="223"/>
  <c r="N36" i="223"/>
  <c r="W35" i="223"/>
  <c r="O35" i="223"/>
  <c r="N35" i="223"/>
  <c r="W34" i="223"/>
  <c r="X34" i="223" s="1"/>
  <c r="O34" i="223"/>
  <c r="N34" i="223"/>
  <c r="W33" i="223"/>
  <c r="O33" i="223"/>
  <c r="P33" i="223" s="1"/>
  <c r="N33" i="223"/>
  <c r="W32" i="223"/>
  <c r="O32" i="223"/>
  <c r="N32" i="223"/>
  <c r="W31" i="223"/>
  <c r="O31" i="223"/>
  <c r="N31" i="223"/>
  <c r="W30" i="223"/>
  <c r="O30" i="223"/>
  <c r="N30" i="223"/>
  <c r="W29" i="223"/>
  <c r="O29" i="223"/>
  <c r="N29" i="223"/>
  <c r="N61" i="223" s="1"/>
  <c r="W28" i="223"/>
  <c r="O28" i="223"/>
  <c r="N28" i="223"/>
  <c r="N60" i="223" s="1"/>
  <c r="W27" i="223"/>
  <c r="O27" i="223"/>
  <c r="N27" i="223"/>
  <c r="W26" i="223"/>
  <c r="O26" i="223"/>
  <c r="N26" i="223"/>
  <c r="W25" i="223"/>
  <c r="O25" i="223"/>
  <c r="N25" i="223"/>
  <c r="W24" i="223"/>
  <c r="O24" i="223"/>
  <c r="N24" i="223"/>
  <c r="W23" i="223"/>
  <c r="O23" i="223"/>
  <c r="N23" i="223"/>
  <c r="W22" i="223"/>
  <c r="O22" i="223"/>
  <c r="N22" i="223"/>
  <c r="W21" i="223"/>
  <c r="X21" i="223" s="1"/>
  <c r="O21" i="223"/>
  <c r="N21" i="223"/>
  <c r="W20" i="223"/>
  <c r="O20" i="223"/>
  <c r="N20" i="223"/>
  <c r="W19" i="223"/>
  <c r="O19" i="223"/>
  <c r="N19" i="223"/>
  <c r="W18" i="223"/>
  <c r="P18" i="223"/>
  <c r="O18" i="223"/>
  <c r="N18" i="223"/>
  <c r="W17" i="223"/>
  <c r="O17" i="223"/>
  <c r="O59" i="223" s="1"/>
  <c r="N17" i="223"/>
  <c r="N59" i="223" s="1"/>
  <c r="W16" i="223"/>
  <c r="O16" i="223"/>
  <c r="N16" i="223"/>
  <c r="W15" i="223"/>
  <c r="O15" i="223"/>
  <c r="N15" i="223"/>
  <c r="W14" i="223"/>
  <c r="O14" i="223"/>
  <c r="P14" i="223" s="1"/>
  <c r="N14" i="223"/>
  <c r="W13" i="223"/>
  <c r="O13" i="223"/>
  <c r="N13" i="223"/>
  <c r="W12" i="223"/>
  <c r="P12" i="223"/>
  <c r="O12" i="223"/>
  <c r="N12" i="223"/>
  <c r="W11" i="223"/>
  <c r="O11" i="223"/>
  <c r="P11" i="223" s="1"/>
  <c r="N11" i="223"/>
  <c r="W10" i="223"/>
  <c r="O10" i="223"/>
  <c r="N10" i="223"/>
  <c r="W9" i="223"/>
  <c r="O9" i="223"/>
  <c r="P9" i="223" s="1"/>
  <c r="N9" i="223"/>
  <c r="W8" i="223"/>
  <c r="X8" i="223" s="1"/>
  <c r="O8" i="223"/>
  <c r="N8" i="223"/>
  <c r="N55" i="223" s="1"/>
  <c r="W7" i="223"/>
  <c r="O7" i="223"/>
  <c r="N7" i="223"/>
  <c r="N54" i="223" s="1"/>
  <c r="M54" i="222"/>
  <c r="K54" i="222"/>
  <c r="J54" i="222"/>
  <c r="H54" i="222"/>
  <c r="F54" i="222"/>
  <c r="E54" i="222"/>
  <c r="C54" i="222"/>
  <c r="M53" i="222"/>
  <c r="K53" i="222"/>
  <c r="J53" i="222"/>
  <c r="H53" i="222"/>
  <c r="F53" i="222"/>
  <c r="E53" i="222"/>
  <c r="C53" i="222"/>
  <c r="M52" i="222"/>
  <c r="K52" i="222"/>
  <c r="J52" i="222"/>
  <c r="H52" i="222"/>
  <c r="F52" i="222"/>
  <c r="E52" i="222"/>
  <c r="C52" i="222"/>
  <c r="M51" i="222"/>
  <c r="K51" i="222"/>
  <c r="J51" i="222"/>
  <c r="H51" i="222"/>
  <c r="F51" i="222"/>
  <c r="E51" i="222"/>
  <c r="C51" i="222"/>
  <c r="M50" i="222"/>
  <c r="K50" i="222"/>
  <c r="J50" i="222"/>
  <c r="H50" i="222"/>
  <c r="F50" i="222"/>
  <c r="E50" i="222"/>
  <c r="C50" i="222"/>
  <c r="M49" i="222"/>
  <c r="K49" i="222"/>
  <c r="J49" i="222"/>
  <c r="H49" i="222"/>
  <c r="F49" i="222"/>
  <c r="E49" i="222"/>
  <c r="C49" i="222"/>
  <c r="M47" i="222"/>
  <c r="K47" i="222"/>
  <c r="J47" i="222"/>
  <c r="H47" i="222"/>
  <c r="F47" i="222"/>
  <c r="E47" i="222"/>
  <c r="C47" i="222"/>
  <c r="M46" i="222"/>
  <c r="K46" i="222"/>
  <c r="J46" i="222"/>
  <c r="H46" i="222"/>
  <c r="F46" i="222"/>
  <c r="E46" i="222"/>
  <c r="C46" i="222"/>
  <c r="M45" i="222"/>
  <c r="K45" i="222"/>
  <c r="J45" i="222"/>
  <c r="H45" i="222"/>
  <c r="F45" i="222"/>
  <c r="E45" i="222"/>
  <c r="C45" i="222"/>
  <c r="M44" i="222"/>
  <c r="K44" i="222"/>
  <c r="J44" i="222"/>
  <c r="H44" i="222"/>
  <c r="F44" i="222"/>
  <c r="E44" i="222"/>
  <c r="C44" i="222"/>
  <c r="M43" i="222"/>
  <c r="K43" i="222"/>
  <c r="J43" i="222"/>
  <c r="H43" i="222"/>
  <c r="F43" i="222"/>
  <c r="E43" i="222"/>
  <c r="C43" i="222"/>
  <c r="M42" i="222"/>
  <c r="K42" i="222"/>
  <c r="J42" i="222"/>
  <c r="H42" i="222"/>
  <c r="F42" i="222"/>
  <c r="E42" i="222"/>
  <c r="C42" i="222"/>
  <c r="M41" i="222"/>
  <c r="K41" i="222"/>
  <c r="J41" i="222"/>
  <c r="H41" i="222"/>
  <c r="F41" i="222"/>
  <c r="E41" i="222"/>
  <c r="C41" i="222"/>
  <c r="M40" i="222"/>
  <c r="K40" i="222"/>
  <c r="J40" i="222"/>
  <c r="H40" i="222"/>
  <c r="F40" i="222"/>
  <c r="E40" i="222"/>
  <c r="C40" i="222"/>
  <c r="M39" i="222"/>
  <c r="K39" i="222"/>
  <c r="J39" i="222"/>
  <c r="H39" i="222"/>
  <c r="F39" i="222"/>
  <c r="E39" i="222"/>
  <c r="C39" i="222"/>
  <c r="M38" i="222"/>
  <c r="K38" i="222"/>
  <c r="J38" i="222"/>
  <c r="H38" i="222"/>
  <c r="F38" i="222"/>
  <c r="E38" i="222"/>
  <c r="C38" i="222"/>
  <c r="M36" i="222"/>
  <c r="K36" i="222"/>
  <c r="J36" i="222"/>
  <c r="H36" i="222"/>
  <c r="F36" i="222"/>
  <c r="E36" i="222"/>
  <c r="C36" i="222"/>
  <c r="M35" i="222"/>
  <c r="K35" i="222"/>
  <c r="J35" i="222"/>
  <c r="H35" i="222"/>
  <c r="F35" i="222"/>
  <c r="E35" i="222"/>
  <c r="C35" i="222"/>
  <c r="M34" i="222"/>
  <c r="K34" i="222"/>
  <c r="J34" i="222"/>
  <c r="H34" i="222"/>
  <c r="F34" i="222"/>
  <c r="E34" i="222"/>
  <c r="C34" i="222"/>
  <c r="M33" i="222"/>
  <c r="K33" i="222"/>
  <c r="J33" i="222"/>
  <c r="H33" i="222"/>
  <c r="F33" i="222"/>
  <c r="E33" i="222"/>
  <c r="C33" i="222"/>
  <c r="M32" i="222"/>
  <c r="K32" i="222"/>
  <c r="J32" i="222"/>
  <c r="H32" i="222"/>
  <c r="F32" i="222"/>
  <c r="E32" i="222"/>
  <c r="C32" i="222"/>
  <c r="M31" i="222"/>
  <c r="K31" i="222"/>
  <c r="J31" i="222"/>
  <c r="H31" i="222"/>
  <c r="F31" i="222"/>
  <c r="E31" i="222"/>
  <c r="C31" i="222"/>
  <c r="M30" i="222"/>
  <c r="K30" i="222"/>
  <c r="J30" i="222"/>
  <c r="H30" i="222"/>
  <c r="F30" i="222"/>
  <c r="E30" i="222"/>
  <c r="C30" i="222"/>
  <c r="M29" i="222"/>
  <c r="K29" i="222"/>
  <c r="J29" i="222"/>
  <c r="H29" i="222"/>
  <c r="F29" i="222"/>
  <c r="E29" i="222"/>
  <c r="C29" i="222"/>
  <c r="M28" i="222"/>
  <c r="K28" i="222"/>
  <c r="J28" i="222"/>
  <c r="H28" i="222"/>
  <c r="F28" i="222"/>
  <c r="E28" i="222"/>
  <c r="C28" i="222"/>
  <c r="M27" i="222"/>
  <c r="K27" i="222"/>
  <c r="J27" i="222"/>
  <c r="H27" i="222"/>
  <c r="F27" i="222"/>
  <c r="E27" i="222"/>
  <c r="C27" i="222"/>
  <c r="M25" i="222"/>
  <c r="K25" i="222"/>
  <c r="J25" i="222"/>
  <c r="H25" i="222"/>
  <c r="F25" i="222"/>
  <c r="E25" i="222"/>
  <c r="C25" i="222"/>
  <c r="M24" i="222"/>
  <c r="K24" i="222"/>
  <c r="J24" i="222"/>
  <c r="H24" i="222"/>
  <c r="F24" i="222"/>
  <c r="E24" i="222"/>
  <c r="C24" i="222"/>
  <c r="M23" i="222"/>
  <c r="K23" i="222"/>
  <c r="J23" i="222"/>
  <c r="H23" i="222"/>
  <c r="F23" i="222"/>
  <c r="E23" i="222"/>
  <c r="C23" i="222"/>
  <c r="M22" i="222"/>
  <c r="K22" i="222"/>
  <c r="J22" i="222"/>
  <c r="H22" i="222"/>
  <c r="F22" i="222"/>
  <c r="E22" i="222"/>
  <c r="C22" i="222"/>
  <c r="M21" i="222"/>
  <c r="K21" i="222"/>
  <c r="J21" i="222"/>
  <c r="H21" i="222"/>
  <c r="F21" i="222"/>
  <c r="E21" i="222"/>
  <c r="C21" i="222"/>
  <c r="M20" i="222"/>
  <c r="K20" i="222"/>
  <c r="J20" i="222"/>
  <c r="H20" i="222"/>
  <c r="F20" i="222"/>
  <c r="E20" i="222"/>
  <c r="C20" i="222"/>
  <c r="M19" i="222"/>
  <c r="K19" i="222"/>
  <c r="J19" i="222"/>
  <c r="H19" i="222"/>
  <c r="F19" i="222"/>
  <c r="E19" i="222"/>
  <c r="C19" i="222"/>
  <c r="M18" i="222"/>
  <c r="K18" i="222"/>
  <c r="J18" i="222"/>
  <c r="H18" i="222"/>
  <c r="F18" i="222"/>
  <c r="E18" i="222"/>
  <c r="C18" i="222"/>
  <c r="M17" i="222"/>
  <c r="K17" i="222"/>
  <c r="J17" i="222"/>
  <c r="H17" i="222"/>
  <c r="F17" i="222"/>
  <c r="E17" i="222"/>
  <c r="C17" i="222"/>
  <c r="M16" i="222"/>
  <c r="K16" i="222"/>
  <c r="J16" i="222"/>
  <c r="H16" i="222"/>
  <c r="F16" i="222"/>
  <c r="E16" i="222"/>
  <c r="C16" i="222"/>
  <c r="M14" i="222"/>
  <c r="K14" i="222"/>
  <c r="J14" i="222"/>
  <c r="H14" i="222"/>
  <c r="F14" i="222"/>
  <c r="E14" i="222"/>
  <c r="C14" i="222"/>
  <c r="M13" i="222"/>
  <c r="K13" i="222"/>
  <c r="J13" i="222"/>
  <c r="H13" i="222"/>
  <c r="F13" i="222"/>
  <c r="E13" i="222"/>
  <c r="C13" i="222"/>
  <c r="M12" i="222"/>
  <c r="K12" i="222"/>
  <c r="J12" i="222"/>
  <c r="H12" i="222"/>
  <c r="F12" i="222"/>
  <c r="E12" i="222"/>
  <c r="C12" i="222"/>
  <c r="M11" i="222"/>
  <c r="K11" i="222"/>
  <c r="J11" i="222"/>
  <c r="H11" i="222"/>
  <c r="F11" i="222"/>
  <c r="E11" i="222"/>
  <c r="C11" i="222"/>
  <c r="M10" i="222"/>
  <c r="K10" i="222"/>
  <c r="J10" i="222"/>
  <c r="H10" i="222"/>
  <c r="F10" i="222"/>
  <c r="E10" i="222"/>
  <c r="C10" i="222"/>
  <c r="M9" i="222"/>
  <c r="K9" i="222"/>
  <c r="J9" i="222"/>
  <c r="H9" i="222"/>
  <c r="F9" i="222"/>
  <c r="E9" i="222"/>
  <c r="C9" i="222"/>
  <c r="AD89" i="221"/>
  <c r="AC89" i="221"/>
  <c r="D48" i="221" s="1"/>
  <c r="J66" i="221" s="1"/>
  <c r="AB89" i="221"/>
  <c r="AA89" i="221"/>
  <c r="Z89" i="221"/>
  <c r="AE89" i="221" s="1"/>
  <c r="D50" i="221" s="1"/>
  <c r="Y89" i="221"/>
  <c r="D44" i="221" s="1"/>
  <c r="J62" i="221" s="1"/>
  <c r="X89" i="221"/>
  <c r="W89" i="221"/>
  <c r="D42" i="221" s="1"/>
  <c r="J60" i="221" s="1"/>
  <c r="V89" i="221"/>
  <c r="D41" i="221" s="1"/>
  <c r="J59" i="221" s="1"/>
  <c r="J69" i="221"/>
  <c r="BA63" i="221"/>
  <c r="G49" i="221" s="1"/>
  <c r="AZ63" i="221"/>
  <c r="AY63" i="221"/>
  <c r="G47" i="221" s="1"/>
  <c r="AX63" i="221"/>
  <c r="AW63" i="221"/>
  <c r="AV63" i="221"/>
  <c r="AU63" i="221"/>
  <c r="AT63" i="221"/>
  <c r="BB62" i="221"/>
  <c r="BB61" i="221"/>
  <c r="BB63" i="221" s="1"/>
  <c r="G50" i="221" s="1"/>
  <c r="J61" i="221"/>
  <c r="BB59" i="221"/>
  <c r="BB58" i="221"/>
  <c r="J58" i="221"/>
  <c r="BB57" i="221"/>
  <c r="F50" i="221" s="1"/>
  <c r="AW57" i="221"/>
  <c r="F45" i="221" s="1"/>
  <c r="AV57" i="221"/>
  <c r="F44" i="221" s="1"/>
  <c r="AU57" i="221"/>
  <c r="AT57" i="221"/>
  <c r="AS57" i="221"/>
  <c r="AR57" i="221"/>
  <c r="AQ57" i="221"/>
  <c r="J57" i="221"/>
  <c r="J56" i="221"/>
  <c r="J55" i="221"/>
  <c r="J54" i="221"/>
  <c r="E50" i="221"/>
  <c r="AS49" i="221"/>
  <c r="F49" i="221"/>
  <c r="D49" i="221"/>
  <c r="BA48" i="221"/>
  <c r="AS48" i="221"/>
  <c r="G48" i="221"/>
  <c r="F48" i="221"/>
  <c r="BA47" i="221"/>
  <c r="AS47" i="221"/>
  <c r="F47" i="221"/>
  <c r="E47" i="221"/>
  <c r="I47" i="221" s="1"/>
  <c r="D47" i="221"/>
  <c r="J65" i="221" s="1"/>
  <c r="AS46" i="221"/>
  <c r="G46" i="221"/>
  <c r="F46" i="221"/>
  <c r="D46" i="221"/>
  <c r="J64" i="221" s="1"/>
  <c r="AS45" i="221"/>
  <c r="G45" i="221"/>
  <c r="AS44" i="221"/>
  <c r="AJ12" i="221" s="1"/>
  <c r="AL12" i="221" s="1"/>
  <c r="E35" i="221" s="1"/>
  <c r="G44" i="221"/>
  <c r="AS43" i="221"/>
  <c r="G43" i="221"/>
  <c r="F43" i="221"/>
  <c r="E43" i="221"/>
  <c r="D43" i="221"/>
  <c r="C43" i="221"/>
  <c r="B43" i="221"/>
  <c r="AS42" i="221"/>
  <c r="G42" i="221"/>
  <c r="F42" i="221"/>
  <c r="C42" i="221"/>
  <c r="B42" i="221"/>
  <c r="H42" i="221" s="1"/>
  <c r="I42" i="221" s="1"/>
  <c r="BA41" i="221"/>
  <c r="AS41" i="221"/>
  <c r="AJ9" i="221" s="1"/>
  <c r="G41" i="221"/>
  <c r="F41" i="221"/>
  <c r="E41" i="221"/>
  <c r="B41" i="221"/>
  <c r="BA40" i="221"/>
  <c r="AS40" i="221"/>
  <c r="AJ8" i="221" s="1"/>
  <c r="X40" i="221"/>
  <c r="W40" i="221"/>
  <c r="V40" i="221"/>
  <c r="C41" i="221" s="1"/>
  <c r="U40" i="221"/>
  <c r="T40" i="221"/>
  <c r="C39" i="221" s="1"/>
  <c r="S40" i="221"/>
  <c r="C38" i="221" s="1"/>
  <c r="R40" i="221"/>
  <c r="C37" i="221" s="1"/>
  <c r="Q40" i="221"/>
  <c r="P40" i="221"/>
  <c r="O40" i="221"/>
  <c r="C34" i="221" s="1"/>
  <c r="N40" i="221"/>
  <c r="G40" i="221"/>
  <c r="F40" i="221"/>
  <c r="E40" i="221"/>
  <c r="C40" i="221"/>
  <c r="B40" i="221"/>
  <c r="H40" i="221" s="1"/>
  <c r="I40" i="221" s="1"/>
  <c r="BA39" i="221"/>
  <c r="AS39" i="221"/>
  <c r="G39" i="221"/>
  <c r="F39" i="221"/>
  <c r="B39" i="221"/>
  <c r="BA38" i="221"/>
  <c r="AS38" i="221"/>
  <c r="AJ6" i="221" s="1"/>
  <c r="G38" i="221"/>
  <c r="F38" i="221"/>
  <c r="B38" i="221"/>
  <c r="AS37" i="221"/>
  <c r="G37" i="221"/>
  <c r="F37" i="221"/>
  <c r="B37" i="221"/>
  <c r="AS36" i="221"/>
  <c r="G36" i="221"/>
  <c r="F36" i="221"/>
  <c r="C36" i="221"/>
  <c r="B36" i="221"/>
  <c r="H36" i="221" s="1"/>
  <c r="I36" i="221" s="1"/>
  <c r="BA35" i="221"/>
  <c r="AS35" i="221"/>
  <c r="G35" i="221"/>
  <c r="F35" i="221"/>
  <c r="C35" i="221"/>
  <c r="B35" i="221"/>
  <c r="H35" i="221" s="1"/>
  <c r="I35" i="221" s="1"/>
  <c r="BA34" i="221"/>
  <c r="AS34" i="221"/>
  <c r="G34" i="221"/>
  <c r="F34" i="221"/>
  <c r="B34" i="221"/>
  <c r="BA33" i="221"/>
  <c r="AS33" i="221"/>
  <c r="G33" i="221"/>
  <c r="F33" i="221"/>
  <c r="C33" i="221"/>
  <c r="B33" i="221"/>
  <c r="H33" i="221" s="1"/>
  <c r="I33" i="221" s="1"/>
  <c r="BA32" i="221"/>
  <c r="AS32" i="221"/>
  <c r="G32" i="221"/>
  <c r="F32" i="221"/>
  <c r="E32" i="221"/>
  <c r="C32" i="221"/>
  <c r="B32" i="221"/>
  <c r="H32" i="221" s="1"/>
  <c r="I32" i="221" s="1"/>
  <c r="BA31" i="221"/>
  <c r="AS31" i="221"/>
  <c r="G31" i="221"/>
  <c r="F31" i="221"/>
  <c r="E31" i="221"/>
  <c r="C31" i="221"/>
  <c r="B31" i="221"/>
  <c r="H31" i="221" s="1"/>
  <c r="I31" i="221" s="1"/>
  <c r="BA30" i="221"/>
  <c r="AS30" i="221"/>
  <c r="G30" i="221"/>
  <c r="F30" i="221"/>
  <c r="E30" i="221"/>
  <c r="C30" i="221"/>
  <c r="B30" i="221"/>
  <c r="BA29" i="221"/>
  <c r="AS29" i="221"/>
  <c r="G29" i="221"/>
  <c r="F29" i="221"/>
  <c r="E29" i="221"/>
  <c r="C29" i="221"/>
  <c r="B29" i="221"/>
  <c r="BA28" i="221"/>
  <c r="AS28" i="221"/>
  <c r="G28" i="221"/>
  <c r="F28" i="221"/>
  <c r="E28" i="221"/>
  <c r="C28" i="221"/>
  <c r="B28" i="221"/>
  <c r="H28" i="221" s="1"/>
  <c r="BA27" i="221"/>
  <c r="AS27" i="221"/>
  <c r="AL27" i="221"/>
  <c r="G27" i="221"/>
  <c r="F27" i="221"/>
  <c r="E27" i="221"/>
  <c r="C27" i="221"/>
  <c r="B27" i="221"/>
  <c r="H27" i="221" s="1"/>
  <c r="BA26" i="221"/>
  <c r="AS26" i="221"/>
  <c r="AL26" i="221"/>
  <c r="E49" i="221" s="1"/>
  <c r="G26" i="221"/>
  <c r="F26" i="221"/>
  <c r="E26" i="221"/>
  <c r="C26" i="221"/>
  <c r="B26" i="221"/>
  <c r="H26" i="221" s="1"/>
  <c r="BA25" i="221"/>
  <c r="AS25" i="221"/>
  <c r="AL25" i="221"/>
  <c r="E48" i="221" s="1"/>
  <c r="I48" i="221" s="1"/>
  <c r="G25" i="221"/>
  <c r="F25" i="221"/>
  <c r="E25" i="221"/>
  <c r="C25" i="221"/>
  <c r="B25" i="221"/>
  <c r="BA24" i="221"/>
  <c r="AS24" i="221"/>
  <c r="AL24" i="221"/>
  <c r="G24" i="221"/>
  <c r="E24" i="221"/>
  <c r="D24" i="221"/>
  <c r="C24" i="221"/>
  <c r="B24" i="221"/>
  <c r="BA23" i="221"/>
  <c r="AS23" i="221"/>
  <c r="AI23" i="221"/>
  <c r="AL23" i="221" s="1"/>
  <c r="E46" i="221" s="1"/>
  <c r="I46" i="221" s="1"/>
  <c r="BA22" i="221"/>
  <c r="AS22" i="221"/>
  <c r="AL22" i="221"/>
  <c r="E45" i="221" s="1"/>
  <c r="I45" i="221" s="1"/>
  <c r="BA21" i="221"/>
  <c r="AS21" i="221"/>
  <c r="AL21" i="221"/>
  <c r="E44" i="221" s="1"/>
  <c r="BA20" i="221"/>
  <c r="AS20" i="221"/>
  <c r="AL20" i="221"/>
  <c r="BA19" i="221"/>
  <c r="AS19" i="221"/>
  <c r="AL19" i="221"/>
  <c r="E42" i="221" s="1"/>
  <c r="BA18" i="221"/>
  <c r="AS18" i="221"/>
  <c r="AL18" i="221"/>
  <c r="BA17" i="221"/>
  <c r="AS17" i="221"/>
  <c r="AL17" i="221"/>
  <c r="BA16" i="221"/>
  <c r="AS16" i="221"/>
  <c r="AO16" i="221"/>
  <c r="AO17" i="221" s="1"/>
  <c r="AO18" i="221" s="1"/>
  <c r="AO19" i="221" s="1"/>
  <c r="AO20" i="221" s="1"/>
  <c r="AO21" i="221" s="1"/>
  <c r="AO22" i="221" s="1"/>
  <c r="AO23" i="221" s="1"/>
  <c r="AO24" i="221" s="1"/>
  <c r="AO25" i="221" s="1"/>
  <c r="AO26" i="221" s="1"/>
  <c r="AO27" i="221" s="1"/>
  <c r="AO28" i="221" s="1"/>
  <c r="AO29" i="221" s="1"/>
  <c r="AO30" i="221" s="1"/>
  <c r="AO31" i="221" s="1"/>
  <c r="AJ16" i="221"/>
  <c r="AL16" i="221" s="1"/>
  <c r="E39" i="221" s="1"/>
  <c r="BA15" i="221"/>
  <c r="AS15" i="221"/>
  <c r="AO15" i="221"/>
  <c r="AJ15" i="221"/>
  <c r="AL15" i="221" s="1"/>
  <c r="E38" i="221" s="1"/>
  <c r="BA14" i="221"/>
  <c r="AS14" i="221"/>
  <c r="AJ14" i="221"/>
  <c r="AL14" i="221" s="1"/>
  <c r="E37" i="221" s="1"/>
  <c r="AS13" i="221"/>
  <c r="AJ13" i="221"/>
  <c r="AL13" i="221" s="1"/>
  <c r="E36" i="221" s="1"/>
  <c r="AS12" i="221"/>
  <c r="AS11" i="221"/>
  <c r="AJ11" i="221"/>
  <c r="AL11" i="221" s="1"/>
  <c r="E34" i="221" s="1"/>
  <c r="AS10" i="221"/>
  <c r="AJ10" i="221"/>
  <c r="AL10" i="221" s="1"/>
  <c r="E33" i="221" s="1"/>
  <c r="AS9" i="221"/>
  <c r="AS8" i="221"/>
  <c r="AS7" i="221"/>
  <c r="AJ7" i="221"/>
  <c r="AS6" i="221"/>
  <c r="H46" i="220"/>
  <c r="G46" i="220"/>
  <c r="F46" i="220"/>
  <c r="E46" i="220"/>
  <c r="D46" i="220"/>
  <c r="C46" i="220"/>
  <c r="B46" i="220"/>
  <c r="H45" i="220"/>
  <c r="G45" i="220"/>
  <c r="F45" i="220"/>
  <c r="E45" i="220"/>
  <c r="D45" i="220"/>
  <c r="C45" i="220"/>
  <c r="B45" i="220"/>
  <c r="H44" i="220"/>
  <c r="G44" i="220"/>
  <c r="F44" i="220"/>
  <c r="E44" i="220"/>
  <c r="D44" i="220"/>
  <c r="C44" i="220"/>
  <c r="B44" i="220"/>
  <c r="H43" i="220"/>
  <c r="G43" i="220"/>
  <c r="F43" i="220"/>
  <c r="E43" i="220"/>
  <c r="D43" i="220"/>
  <c r="C43" i="220"/>
  <c r="B43" i="220"/>
  <c r="H42" i="220"/>
  <c r="G42" i="220"/>
  <c r="F42" i="220"/>
  <c r="E42" i="220"/>
  <c r="D42" i="220"/>
  <c r="C42" i="220"/>
  <c r="B42" i="220"/>
  <c r="H41" i="220"/>
  <c r="G41" i="220"/>
  <c r="F41" i="220"/>
  <c r="E41" i="220"/>
  <c r="D41" i="220"/>
  <c r="C41" i="220"/>
  <c r="B41" i="220"/>
  <c r="H40" i="220"/>
  <c r="G40" i="220"/>
  <c r="F40" i="220"/>
  <c r="E40" i="220"/>
  <c r="D40" i="220"/>
  <c r="C40" i="220"/>
  <c r="B40" i="220"/>
  <c r="H39" i="220"/>
  <c r="G39" i="220"/>
  <c r="F39" i="220"/>
  <c r="E39" i="220"/>
  <c r="D39" i="220"/>
  <c r="C39" i="220"/>
  <c r="B39" i="220"/>
  <c r="H38" i="220"/>
  <c r="G38" i="220"/>
  <c r="F38" i="220"/>
  <c r="E38" i="220"/>
  <c r="D38" i="220"/>
  <c r="C38" i="220"/>
  <c r="B38" i="220"/>
  <c r="H37" i="220"/>
  <c r="G37" i="220"/>
  <c r="F37" i="220"/>
  <c r="E37" i="220"/>
  <c r="D37" i="220"/>
  <c r="C37" i="220"/>
  <c r="B37" i="220"/>
  <c r="H36" i="220"/>
  <c r="G36" i="220"/>
  <c r="F36" i="220"/>
  <c r="E36" i="220"/>
  <c r="D36" i="220"/>
  <c r="C36" i="220"/>
  <c r="B36" i="220"/>
  <c r="H35" i="220"/>
  <c r="G35" i="220"/>
  <c r="F35" i="220"/>
  <c r="E35" i="220"/>
  <c r="D35" i="220"/>
  <c r="C35" i="220"/>
  <c r="B35" i="220"/>
  <c r="H34" i="220"/>
  <c r="G34" i="220"/>
  <c r="F34" i="220"/>
  <c r="E34" i="220"/>
  <c r="D34" i="220"/>
  <c r="C34" i="220"/>
  <c r="B34" i="220"/>
  <c r="H33" i="220"/>
  <c r="G33" i="220"/>
  <c r="F33" i="220"/>
  <c r="E33" i="220"/>
  <c r="D33" i="220"/>
  <c r="C33" i="220"/>
  <c r="B33" i="220"/>
  <c r="H32" i="220"/>
  <c r="G32" i="220"/>
  <c r="F32" i="220"/>
  <c r="E32" i="220"/>
  <c r="D32" i="220"/>
  <c r="C32" i="220"/>
  <c r="B32" i="220"/>
  <c r="H31" i="220"/>
  <c r="G31" i="220"/>
  <c r="F31" i="220"/>
  <c r="E31" i="220"/>
  <c r="D31" i="220"/>
  <c r="C31" i="220"/>
  <c r="B31" i="220"/>
  <c r="H30" i="220"/>
  <c r="G30" i="220"/>
  <c r="F30" i="220"/>
  <c r="E30" i="220"/>
  <c r="D30" i="220"/>
  <c r="C30" i="220"/>
  <c r="B30" i="220"/>
  <c r="H29" i="220"/>
  <c r="G29" i="220"/>
  <c r="F29" i="220"/>
  <c r="E29" i="220"/>
  <c r="D29" i="220"/>
  <c r="C29" i="220"/>
  <c r="B29" i="220"/>
  <c r="H28" i="220"/>
  <c r="G28" i="220"/>
  <c r="F28" i="220"/>
  <c r="E28" i="220"/>
  <c r="D28" i="220"/>
  <c r="C28" i="220"/>
  <c r="B28" i="220"/>
  <c r="H27" i="220"/>
  <c r="G27" i="220"/>
  <c r="F27" i="220"/>
  <c r="E27" i="220"/>
  <c r="D27" i="220"/>
  <c r="C27" i="220"/>
  <c r="B27" i="220"/>
  <c r="H26" i="220"/>
  <c r="G26" i="220"/>
  <c r="F26" i="220"/>
  <c r="E26" i="220"/>
  <c r="D26" i="220"/>
  <c r="C26" i="220"/>
  <c r="B26" i="220"/>
  <c r="H25" i="220"/>
  <c r="G25" i="220"/>
  <c r="F25" i="220"/>
  <c r="E25" i="220"/>
  <c r="D25" i="220"/>
  <c r="C25" i="220"/>
  <c r="B25" i="220"/>
  <c r="H24" i="220"/>
  <c r="G24" i="220"/>
  <c r="F24" i="220"/>
  <c r="E24" i="220"/>
  <c r="D24" i="220"/>
  <c r="C24" i="220"/>
  <c r="B24" i="220"/>
  <c r="H23" i="220"/>
  <c r="G23" i="220"/>
  <c r="F23" i="220"/>
  <c r="E23" i="220"/>
  <c r="D23" i="220"/>
  <c r="C23" i="220"/>
  <c r="B23" i="220"/>
  <c r="H22" i="220"/>
  <c r="G22" i="220"/>
  <c r="F22" i="220"/>
  <c r="E22" i="220"/>
  <c r="D22" i="220"/>
  <c r="C22" i="220"/>
  <c r="B22" i="220"/>
  <c r="H21" i="220"/>
  <c r="G21" i="220"/>
  <c r="F21" i="220"/>
  <c r="E21" i="220"/>
  <c r="D21" i="220"/>
  <c r="C21" i="220"/>
  <c r="B21" i="220"/>
  <c r="H20" i="220"/>
  <c r="G20" i="220"/>
  <c r="F20" i="220"/>
  <c r="E20" i="220"/>
  <c r="D20" i="220"/>
  <c r="C20" i="220"/>
  <c r="B20" i="220"/>
  <c r="H19" i="220"/>
  <c r="G19" i="220"/>
  <c r="F19" i="220"/>
  <c r="E19" i="220"/>
  <c r="D19" i="220"/>
  <c r="C19" i="220"/>
  <c r="B19" i="220"/>
  <c r="H18" i="220"/>
  <c r="G18" i="220"/>
  <c r="F18" i="220"/>
  <c r="E18" i="220"/>
  <c r="D18" i="220"/>
  <c r="C18" i="220"/>
  <c r="B18" i="220"/>
  <c r="H17" i="220"/>
  <c r="G17" i="220"/>
  <c r="F17" i="220"/>
  <c r="E17" i="220"/>
  <c r="D17" i="220"/>
  <c r="C17" i="220"/>
  <c r="B17" i="220"/>
  <c r="H16" i="220"/>
  <c r="G16" i="220"/>
  <c r="F16" i="220"/>
  <c r="E16" i="220"/>
  <c r="D16" i="220"/>
  <c r="C16" i="220"/>
  <c r="B16" i="220"/>
  <c r="H15" i="220"/>
  <c r="G15" i="220"/>
  <c r="F15" i="220"/>
  <c r="E15" i="220"/>
  <c r="D15" i="220"/>
  <c r="C15" i="220"/>
  <c r="B15" i="220"/>
  <c r="H14" i="220"/>
  <c r="G14" i="220"/>
  <c r="F14" i="220"/>
  <c r="E14" i="220"/>
  <c r="D14" i="220"/>
  <c r="C14" i="220"/>
  <c r="B14" i="220"/>
  <c r="H13" i="220"/>
  <c r="G13" i="220"/>
  <c r="F13" i="220"/>
  <c r="E13" i="220"/>
  <c r="D13" i="220"/>
  <c r="C13" i="220"/>
  <c r="B13" i="220"/>
  <c r="H12" i="220"/>
  <c r="G12" i="220"/>
  <c r="F12" i="220"/>
  <c r="E12" i="220"/>
  <c r="D12" i="220"/>
  <c r="C12" i="220"/>
  <c r="B12" i="220"/>
  <c r="H11" i="220"/>
  <c r="G11" i="220"/>
  <c r="F11" i="220"/>
  <c r="E11" i="220"/>
  <c r="D11" i="220"/>
  <c r="C11" i="220"/>
  <c r="B11" i="220"/>
  <c r="H10" i="220"/>
  <c r="G10" i="220"/>
  <c r="F10" i="220"/>
  <c r="E10" i="220"/>
  <c r="D10" i="220"/>
  <c r="C10" i="220"/>
  <c r="B10" i="220"/>
  <c r="H9" i="220"/>
  <c r="G9" i="220"/>
  <c r="F9" i="220"/>
  <c r="E9" i="220"/>
  <c r="D9" i="220"/>
  <c r="C9" i="220"/>
  <c r="B9" i="220"/>
  <c r="H8" i="220"/>
  <c r="G8" i="220"/>
  <c r="F8" i="220"/>
  <c r="E8" i="220"/>
  <c r="D8" i="220"/>
  <c r="C8" i="220"/>
  <c r="B8" i="220"/>
  <c r="H7" i="220"/>
  <c r="G7" i="220"/>
  <c r="F7" i="220"/>
  <c r="E7" i="220"/>
  <c r="D7" i="220"/>
  <c r="C7" i="220"/>
  <c r="B7" i="220"/>
  <c r="H6" i="220"/>
  <c r="G6" i="220"/>
  <c r="F6" i="220"/>
  <c r="E6" i="220"/>
  <c r="D6" i="220"/>
  <c r="C6" i="220"/>
  <c r="B6" i="220"/>
  <c r="F51" i="219"/>
  <c r="E51" i="219"/>
  <c r="D51" i="219"/>
  <c r="C51" i="219"/>
  <c r="B51" i="219"/>
  <c r="E50" i="219"/>
  <c r="D50" i="219"/>
  <c r="C50" i="219"/>
  <c r="B50" i="219"/>
  <c r="E49" i="219"/>
  <c r="D49" i="219"/>
  <c r="C49" i="219"/>
  <c r="B49" i="219"/>
  <c r="E48" i="219"/>
  <c r="D48" i="219"/>
  <c r="C48" i="219"/>
  <c r="B48" i="219"/>
  <c r="E47" i="219"/>
  <c r="D47" i="219"/>
  <c r="C47" i="219"/>
  <c r="B47" i="219"/>
  <c r="E46" i="219"/>
  <c r="D46" i="219"/>
  <c r="C46" i="219"/>
  <c r="B46" i="219"/>
  <c r="E45" i="219"/>
  <c r="E52" i="219" s="1"/>
  <c r="D45" i="219"/>
  <c r="D52" i="219" s="1"/>
  <c r="C45" i="219"/>
  <c r="C52" i="219" s="1"/>
  <c r="B45" i="219"/>
  <c r="B52" i="219" s="1"/>
  <c r="H42" i="219"/>
  <c r="G42" i="219"/>
  <c r="H41" i="219"/>
  <c r="G41" i="219"/>
  <c r="H40" i="219"/>
  <c r="G40" i="219"/>
  <c r="F40" i="219"/>
  <c r="H39" i="219"/>
  <c r="G39" i="219"/>
  <c r="F39" i="219"/>
  <c r="H38" i="219"/>
  <c r="G38" i="219"/>
  <c r="F38" i="219"/>
  <c r="H37" i="219"/>
  <c r="G37" i="219"/>
  <c r="F37" i="219"/>
  <c r="H36" i="219"/>
  <c r="G36" i="219"/>
  <c r="F36" i="219"/>
  <c r="H35" i="219"/>
  <c r="G35" i="219"/>
  <c r="F35" i="219"/>
  <c r="H34" i="219"/>
  <c r="G34" i="219"/>
  <c r="G51" i="219" s="1"/>
  <c r="F34" i="219"/>
  <c r="H33" i="219"/>
  <c r="H46" i="219" s="1"/>
  <c r="G33" i="219"/>
  <c r="F33" i="219"/>
  <c r="H32" i="219"/>
  <c r="H45" i="219" s="1"/>
  <c r="G32" i="219"/>
  <c r="F32" i="219"/>
  <c r="H31" i="219"/>
  <c r="G31" i="219"/>
  <c r="F31" i="219"/>
  <c r="H30" i="219"/>
  <c r="G30" i="219"/>
  <c r="G47" i="219" s="1"/>
  <c r="F30" i="219"/>
  <c r="F47" i="219" s="1"/>
  <c r="H29" i="219"/>
  <c r="H51" i="219" s="1"/>
  <c r="G29" i="219"/>
  <c r="F29" i="219"/>
  <c r="H28" i="219"/>
  <c r="G28" i="219"/>
  <c r="F28" i="219"/>
  <c r="H27" i="219"/>
  <c r="G27" i="219"/>
  <c r="F27" i="219"/>
  <c r="H26" i="219"/>
  <c r="G26" i="219"/>
  <c r="F26" i="219"/>
  <c r="H25" i="219"/>
  <c r="G25" i="219"/>
  <c r="F25" i="219"/>
  <c r="H24" i="219"/>
  <c r="G24" i="219"/>
  <c r="F24" i="219"/>
  <c r="H23" i="219"/>
  <c r="G23" i="219"/>
  <c r="F23" i="219"/>
  <c r="H22" i="219"/>
  <c r="G22" i="219"/>
  <c r="F22" i="219"/>
  <c r="H21" i="219"/>
  <c r="H50" i="219" s="1"/>
  <c r="G21" i="219"/>
  <c r="F21" i="219"/>
  <c r="H20" i="219"/>
  <c r="G20" i="219"/>
  <c r="F20" i="219"/>
  <c r="H19" i="219"/>
  <c r="G19" i="219"/>
  <c r="G50" i="219" s="1"/>
  <c r="F19" i="219"/>
  <c r="F50" i="219" s="1"/>
  <c r="H18" i="219"/>
  <c r="G18" i="219"/>
  <c r="F18" i="219"/>
  <c r="H17" i="219"/>
  <c r="G17" i="219"/>
  <c r="F17" i="219"/>
  <c r="H16" i="219"/>
  <c r="G16" i="219"/>
  <c r="F16" i="219"/>
  <c r="H15" i="219"/>
  <c r="G15" i="219"/>
  <c r="F15" i="219"/>
  <c r="H14" i="219"/>
  <c r="G14" i="219"/>
  <c r="F14" i="219"/>
  <c r="H13" i="219"/>
  <c r="G13" i="219"/>
  <c r="F13" i="219"/>
  <c r="H12" i="219"/>
  <c r="G12" i="219"/>
  <c r="F12" i="219"/>
  <c r="H11" i="219"/>
  <c r="G11" i="219"/>
  <c r="F11" i="219"/>
  <c r="H10" i="219"/>
  <c r="G10" i="219"/>
  <c r="F10" i="219"/>
  <c r="H9" i="219"/>
  <c r="H49" i="219" s="1"/>
  <c r="G9" i="219"/>
  <c r="G49" i="219" s="1"/>
  <c r="F9" i="219"/>
  <c r="F49" i="219" s="1"/>
  <c r="H8" i="219"/>
  <c r="G8" i="219"/>
  <c r="F8" i="219"/>
  <c r="H7" i="219"/>
  <c r="G7" i="219"/>
  <c r="F7" i="219"/>
  <c r="H6" i="219"/>
  <c r="G6" i="219"/>
  <c r="F6" i="219"/>
  <c r="H5" i="219"/>
  <c r="H48" i="219" s="1"/>
  <c r="G5" i="219"/>
  <c r="G48" i="219" s="1"/>
  <c r="F5" i="219"/>
  <c r="F48" i="219" s="1"/>
  <c r="M47" i="218"/>
  <c r="L47" i="218"/>
  <c r="K47" i="218"/>
  <c r="I47" i="218"/>
  <c r="H47" i="218"/>
  <c r="F47" i="218"/>
  <c r="E47" i="218"/>
  <c r="C47" i="218"/>
  <c r="B47" i="218"/>
  <c r="M46" i="218"/>
  <c r="L46" i="218"/>
  <c r="K46" i="218"/>
  <c r="I46" i="218"/>
  <c r="H46" i="218"/>
  <c r="F46" i="218"/>
  <c r="E46" i="218"/>
  <c r="C46" i="218"/>
  <c r="B46" i="218"/>
  <c r="M45" i="218"/>
  <c r="L45" i="218"/>
  <c r="K45" i="218"/>
  <c r="I45" i="218"/>
  <c r="H45" i="218"/>
  <c r="F45" i="218"/>
  <c r="E45" i="218"/>
  <c r="C45" i="218"/>
  <c r="B45" i="218"/>
  <c r="M44" i="218"/>
  <c r="L44" i="218"/>
  <c r="K44" i="218"/>
  <c r="I44" i="218"/>
  <c r="H44" i="218"/>
  <c r="F44" i="218"/>
  <c r="E44" i="218"/>
  <c r="C44" i="218"/>
  <c r="B44" i="218"/>
  <c r="M43" i="218"/>
  <c r="L43" i="218"/>
  <c r="K43" i="218"/>
  <c r="I43" i="218"/>
  <c r="H43" i="218"/>
  <c r="F43" i="218"/>
  <c r="E43" i="218"/>
  <c r="C43" i="218"/>
  <c r="B43" i="218"/>
  <c r="M42" i="218"/>
  <c r="L42" i="218"/>
  <c r="K42" i="218"/>
  <c r="I42" i="218"/>
  <c r="H42" i="218"/>
  <c r="F42" i="218"/>
  <c r="E42" i="218"/>
  <c r="C42" i="218"/>
  <c r="B42" i="218"/>
  <c r="M41" i="218"/>
  <c r="L41" i="218"/>
  <c r="K41" i="218"/>
  <c r="I41" i="218"/>
  <c r="H41" i="218"/>
  <c r="F41" i="218"/>
  <c r="E41" i="218"/>
  <c r="C41" i="218"/>
  <c r="B41" i="218"/>
  <c r="M40" i="218"/>
  <c r="L40" i="218"/>
  <c r="K40" i="218"/>
  <c r="I40" i="218"/>
  <c r="H40" i="218"/>
  <c r="F40" i="218"/>
  <c r="E40" i="218"/>
  <c r="C40" i="218"/>
  <c r="B40" i="218"/>
  <c r="M39" i="218"/>
  <c r="L39" i="218"/>
  <c r="K39" i="218"/>
  <c r="I39" i="218"/>
  <c r="H39" i="218"/>
  <c r="F39" i="218"/>
  <c r="E39" i="218"/>
  <c r="C39" i="218"/>
  <c r="B39" i="218"/>
  <c r="M38" i="218"/>
  <c r="L38" i="218"/>
  <c r="K38" i="218"/>
  <c r="I38" i="218"/>
  <c r="H38" i="218"/>
  <c r="F38" i="218"/>
  <c r="E38" i="218"/>
  <c r="C38" i="218"/>
  <c r="B38" i="218"/>
  <c r="M37" i="218"/>
  <c r="L37" i="218"/>
  <c r="K37" i="218"/>
  <c r="I37" i="218"/>
  <c r="H37" i="218"/>
  <c r="F37" i="218"/>
  <c r="E37" i="218"/>
  <c r="C37" i="218"/>
  <c r="B37" i="218"/>
  <c r="M36" i="218"/>
  <c r="L36" i="218"/>
  <c r="K36" i="218"/>
  <c r="I36" i="218"/>
  <c r="H36" i="218"/>
  <c r="F36" i="218"/>
  <c r="E36" i="218"/>
  <c r="C36" i="218"/>
  <c r="B36" i="218"/>
  <c r="M35" i="218"/>
  <c r="L35" i="218"/>
  <c r="K35" i="218"/>
  <c r="I35" i="218"/>
  <c r="H35" i="218"/>
  <c r="F35" i="218"/>
  <c r="E35" i="218"/>
  <c r="C35" i="218"/>
  <c r="B35" i="218"/>
  <c r="M34" i="218"/>
  <c r="L34" i="218"/>
  <c r="K34" i="218"/>
  <c r="I34" i="218"/>
  <c r="H34" i="218"/>
  <c r="F34" i="218"/>
  <c r="E34" i="218"/>
  <c r="C34" i="218"/>
  <c r="B34" i="218"/>
  <c r="M33" i="218"/>
  <c r="L33" i="218"/>
  <c r="K33" i="218"/>
  <c r="I33" i="218"/>
  <c r="H33" i="218"/>
  <c r="F33" i="218"/>
  <c r="E33" i="218"/>
  <c r="C33" i="218"/>
  <c r="B33" i="218"/>
  <c r="M32" i="218"/>
  <c r="L32" i="218"/>
  <c r="K32" i="218"/>
  <c r="I32" i="218"/>
  <c r="H32" i="218"/>
  <c r="F32" i="218"/>
  <c r="E32" i="218"/>
  <c r="C32" i="218"/>
  <c r="B32" i="218"/>
  <c r="M31" i="218"/>
  <c r="L31" i="218"/>
  <c r="K31" i="218"/>
  <c r="I31" i="218"/>
  <c r="H31" i="218"/>
  <c r="F31" i="218"/>
  <c r="E31" i="218"/>
  <c r="C31" i="218"/>
  <c r="B31" i="218"/>
  <c r="M30" i="218"/>
  <c r="L30" i="218"/>
  <c r="K30" i="218"/>
  <c r="I30" i="218"/>
  <c r="H30" i="218"/>
  <c r="F30" i="218"/>
  <c r="E30" i="218"/>
  <c r="C30" i="218"/>
  <c r="B30" i="218"/>
  <c r="M29" i="218"/>
  <c r="L29" i="218"/>
  <c r="K29" i="218"/>
  <c r="I29" i="218"/>
  <c r="H29" i="218"/>
  <c r="F29" i="218"/>
  <c r="E29" i="218"/>
  <c r="C29" i="218"/>
  <c r="B29" i="218"/>
  <c r="M28" i="218"/>
  <c r="L28" i="218"/>
  <c r="K28" i="218"/>
  <c r="I28" i="218"/>
  <c r="H28" i="218"/>
  <c r="F28" i="218"/>
  <c r="E28" i="218"/>
  <c r="C28" i="218"/>
  <c r="B28" i="218"/>
  <c r="M27" i="218"/>
  <c r="L27" i="218"/>
  <c r="K27" i="218"/>
  <c r="I27" i="218"/>
  <c r="H27" i="218"/>
  <c r="F27" i="218"/>
  <c r="E27" i="218"/>
  <c r="C27" i="218"/>
  <c r="B27" i="218"/>
  <c r="M26" i="218"/>
  <c r="L26" i="218"/>
  <c r="K26" i="218"/>
  <c r="I26" i="218"/>
  <c r="H26" i="218"/>
  <c r="F26" i="218"/>
  <c r="E26" i="218"/>
  <c r="C26" i="218"/>
  <c r="B26" i="218"/>
  <c r="M25" i="218"/>
  <c r="L25" i="218"/>
  <c r="K25" i="218"/>
  <c r="I25" i="218"/>
  <c r="H25" i="218"/>
  <c r="F25" i="218"/>
  <c r="E25" i="218"/>
  <c r="C25" i="218"/>
  <c r="B25" i="218"/>
  <c r="M24" i="218"/>
  <c r="L24" i="218"/>
  <c r="K24" i="218"/>
  <c r="I24" i="218"/>
  <c r="H24" i="218"/>
  <c r="F24" i="218"/>
  <c r="E24" i="218"/>
  <c r="C24" i="218"/>
  <c r="B24" i="218"/>
  <c r="M23" i="218"/>
  <c r="L23" i="218"/>
  <c r="K23" i="218"/>
  <c r="I23" i="218"/>
  <c r="H23" i="218"/>
  <c r="F23" i="218"/>
  <c r="E23" i="218"/>
  <c r="C23" i="218"/>
  <c r="B23" i="218"/>
  <c r="M22" i="218"/>
  <c r="L22" i="218"/>
  <c r="K22" i="218"/>
  <c r="I22" i="218"/>
  <c r="H22" i="218"/>
  <c r="F22" i="218"/>
  <c r="E22" i="218"/>
  <c r="C22" i="218"/>
  <c r="B22" i="218"/>
  <c r="M21" i="218"/>
  <c r="L21" i="218"/>
  <c r="K21" i="218"/>
  <c r="I21" i="218"/>
  <c r="H21" i="218"/>
  <c r="F21" i="218"/>
  <c r="E21" i="218"/>
  <c r="C21" i="218"/>
  <c r="B21" i="218"/>
  <c r="M20" i="218"/>
  <c r="L20" i="218"/>
  <c r="K20" i="218"/>
  <c r="I20" i="218"/>
  <c r="H20" i="218"/>
  <c r="F20" i="218"/>
  <c r="E20" i="218"/>
  <c r="C20" i="218"/>
  <c r="B20" i="218"/>
  <c r="M19" i="218"/>
  <c r="L19" i="218"/>
  <c r="K19" i="218"/>
  <c r="I19" i="218"/>
  <c r="H19" i="218"/>
  <c r="F19" i="218"/>
  <c r="E19" i="218"/>
  <c r="C19" i="218"/>
  <c r="B19" i="218"/>
  <c r="M18" i="218"/>
  <c r="L18" i="218"/>
  <c r="K18" i="218"/>
  <c r="I18" i="218"/>
  <c r="H18" i="218"/>
  <c r="F18" i="218"/>
  <c r="E18" i="218"/>
  <c r="C18" i="218"/>
  <c r="B18" i="218"/>
  <c r="M17" i="218"/>
  <c r="L17" i="218"/>
  <c r="K17" i="218"/>
  <c r="I17" i="218"/>
  <c r="H17" i="218"/>
  <c r="F17" i="218"/>
  <c r="E17" i="218"/>
  <c r="C17" i="218"/>
  <c r="B17" i="218"/>
  <c r="M16" i="218"/>
  <c r="L16" i="218"/>
  <c r="K16" i="218"/>
  <c r="I16" i="218"/>
  <c r="H16" i="218"/>
  <c r="F16" i="218"/>
  <c r="E16" i="218"/>
  <c r="C16" i="218"/>
  <c r="B16" i="218"/>
  <c r="M15" i="218"/>
  <c r="L15" i="218"/>
  <c r="K15" i="218"/>
  <c r="I15" i="218"/>
  <c r="H15" i="218"/>
  <c r="F15" i="218"/>
  <c r="E15" i="218"/>
  <c r="C15" i="218"/>
  <c r="B15" i="218"/>
  <c r="M14" i="218"/>
  <c r="L14" i="218"/>
  <c r="K14" i="218"/>
  <c r="I14" i="218"/>
  <c r="H14" i="218"/>
  <c r="F14" i="218"/>
  <c r="E14" i="218"/>
  <c r="C14" i="218"/>
  <c r="B14" i="218"/>
  <c r="M13" i="218"/>
  <c r="L13" i="218"/>
  <c r="K13" i="218"/>
  <c r="I13" i="218"/>
  <c r="H13" i="218"/>
  <c r="F13" i="218"/>
  <c r="E13" i="218"/>
  <c r="C13" i="218"/>
  <c r="B13" i="218"/>
  <c r="M12" i="218"/>
  <c r="L12" i="218"/>
  <c r="K12" i="218"/>
  <c r="I12" i="218"/>
  <c r="H12" i="218"/>
  <c r="F12" i="218"/>
  <c r="E12" i="218"/>
  <c r="C12" i="218"/>
  <c r="B12" i="218"/>
  <c r="M11" i="218"/>
  <c r="L11" i="218"/>
  <c r="K11" i="218"/>
  <c r="I11" i="218"/>
  <c r="H11" i="218"/>
  <c r="F11" i="218"/>
  <c r="E11" i="218"/>
  <c r="C11" i="218"/>
  <c r="B11" i="218"/>
  <c r="M10" i="218"/>
  <c r="L10" i="218"/>
  <c r="K10" i="218"/>
  <c r="I10" i="218"/>
  <c r="H10" i="218"/>
  <c r="F10" i="218"/>
  <c r="E10" i="218"/>
  <c r="C10" i="218"/>
  <c r="B10" i="218"/>
  <c r="M9" i="218"/>
  <c r="L9" i="218"/>
  <c r="K9" i="218"/>
  <c r="I9" i="218"/>
  <c r="H9" i="218"/>
  <c r="F9" i="218"/>
  <c r="E9" i="218"/>
  <c r="C9" i="218"/>
  <c r="B9" i="218"/>
  <c r="M8" i="218"/>
  <c r="L8" i="218"/>
  <c r="K8" i="218"/>
  <c r="I8" i="218"/>
  <c r="H8" i="218"/>
  <c r="F8" i="218"/>
  <c r="E8" i="218"/>
  <c r="C8" i="218"/>
  <c r="B8" i="218"/>
  <c r="M7" i="218"/>
  <c r="L7" i="218"/>
  <c r="K7" i="218"/>
  <c r="I7" i="218"/>
  <c r="H7" i="218"/>
  <c r="F7" i="218"/>
  <c r="E7" i="218"/>
  <c r="C7" i="218"/>
  <c r="B7" i="218"/>
  <c r="M6" i="218"/>
  <c r="L6" i="218"/>
  <c r="K6" i="218"/>
  <c r="I6" i="218"/>
  <c r="H6" i="218"/>
  <c r="F6" i="218"/>
  <c r="E6" i="218"/>
  <c r="C6" i="218"/>
  <c r="B6" i="218"/>
  <c r="J61" i="217"/>
  <c r="H61" i="217"/>
  <c r="G61" i="217"/>
  <c r="F61" i="217"/>
  <c r="E61" i="217"/>
  <c r="D61" i="217"/>
  <c r="C61" i="217"/>
  <c r="B61" i="217"/>
  <c r="G60" i="217"/>
  <c r="F60" i="217"/>
  <c r="E60" i="217"/>
  <c r="D60" i="217"/>
  <c r="G59" i="217"/>
  <c r="F59" i="217"/>
  <c r="R59" i="217" s="1"/>
  <c r="E59" i="217"/>
  <c r="D59" i="217"/>
  <c r="Q59" i="217" s="1"/>
  <c r="C59" i="217"/>
  <c r="C60" i="217" s="1"/>
  <c r="B59" i="217"/>
  <c r="B60" i="217" s="1"/>
  <c r="R58" i="217"/>
  <c r="Q58" i="217"/>
  <c r="O58" i="217"/>
  <c r="O61" i="217" s="1"/>
  <c r="N58" i="217"/>
  <c r="N61" i="217" s="1"/>
  <c r="M58" i="217"/>
  <c r="M61" i="217" s="1"/>
  <c r="J58" i="217"/>
  <c r="H58" i="217"/>
  <c r="L58" i="217" s="1"/>
  <c r="D56" i="217"/>
  <c r="C56" i="217"/>
  <c r="B56" i="217"/>
  <c r="G54" i="217"/>
  <c r="F54" i="217"/>
  <c r="E54" i="217"/>
  <c r="D54" i="217"/>
  <c r="C54" i="217"/>
  <c r="B54" i="217"/>
  <c r="G53" i="217"/>
  <c r="F53" i="217"/>
  <c r="R53" i="217" s="1"/>
  <c r="E53" i="217"/>
  <c r="D53" i="217"/>
  <c r="Q53" i="217" s="1"/>
  <c r="C53" i="217"/>
  <c r="B53" i="217"/>
  <c r="R52" i="217"/>
  <c r="G52" i="217"/>
  <c r="F52" i="217"/>
  <c r="E52" i="217"/>
  <c r="D52" i="217"/>
  <c r="Q52" i="217" s="1"/>
  <c r="C52" i="217"/>
  <c r="B52" i="217"/>
  <c r="G50" i="217"/>
  <c r="F50" i="217"/>
  <c r="E50" i="217"/>
  <c r="D50" i="217"/>
  <c r="C50" i="217"/>
  <c r="B50" i="217"/>
  <c r="G49" i="217"/>
  <c r="F49" i="217"/>
  <c r="E49" i="217"/>
  <c r="D49" i="217"/>
  <c r="C49" i="217"/>
  <c r="B49" i="217"/>
  <c r="G48" i="217"/>
  <c r="F48" i="217"/>
  <c r="E48" i="217"/>
  <c r="D48" i="217"/>
  <c r="C48" i="217"/>
  <c r="B48" i="217"/>
  <c r="Y47" i="217"/>
  <c r="G47" i="217"/>
  <c r="G56" i="217" s="1"/>
  <c r="F47" i="217"/>
  <c r="F56" i="217" s="1"/>
  <c r="E47" i="217"/>
  <c r="E56" i="217" s="1"/>
  <c r="D47" i="217"/>
  <c r="C47" i="217"/>
  <c r="B47" i="217"/>
  <c r="Y46" i="217"/>
  <c r="J44" i="217"/>
  <c r="H44" i="217"/>
  <c r="I44" i="217" s="1"/>
  <c r="J43" i="217"/>
  <c r="O43" i="217" s="1"/>
  <c r="O42" i="217"/>
  <c r="AD41" i="217"/>
  <c r="AE41" i="217" s="1"/>
  <c r="W41" i="217"/>
  <c r="T41" i="217"/>
  <c r="S41" i="217"/>
  <c r="O41" i="217"/>
  <c r="I41" i="217"/>
  <c r="AD40" i="217"/>
  <c r="AE40" i="217" s="1"/>
  <c r="W40" i="217"/>
  <c r="T40" i="217"/>
  <c r="R40" i="217"/>
  <c r="Q40" i="217"/>
  <c r="N40" i="217"/>
  <c r="J40" i="217"/>
  <c r="S40" i="217" s="1"/>
  <c r="H40" i="217"/>
  <c r="L40" i="217" s="1"/>
  <c r="AD39" i="217"/>
  <c r="AE39" i="217" s="1"/>
  <c r="T39" i="217"/>
  <c r="R39" i="217"/>
  <c r="Q39" i="217"/>
  <c r="N39" i="217"/>
  <c r="J39" i="217"/>
  <c r="I39" i="217" s="1"/>
  <c r="H39" i="217"/>
  <c r="L39" i="217" s="1"/>
  <c r="AD38" i="217"/>
  <c r="AE38" i="217" s="1"/>
  <c r="W38" i="217"/>
  <c r="T38" i="217"/>
  <c r="S38" i="217"/>
  <c r="R38" i="217"/>
  <c r="Q38" i="217"/>
  <c r="O38" i="217"/>
  <c r="N38" i="217"/>
  <c r="P38" i="217" s="1"/>
  <c r="M38" i="217"/>
  <c r="J38" i="217"/>
  <c r="I38" i="217" s="1"/>
  <c r="H38" i="217"/>
  <c r="L38" i="217" s="1"/>
  <c r="AD37" i="217"/>
  <c r="AE37" i="217" s="1"/>
  <c r="T37" i="217"/>
  <c r="R37" i="217"/>
  <c r="Q37" i="217"/>
  <c r="N37" i="217"/>
  <c r="J37" i="217"/>
  <c r="S37" i="217" s="1"/>
  <c r="H37" i="217"/>
  <c r="L37" i="217" s="1"/>
  <c r="AD36" i="217"/>
  <c r="AE36" i="217" s="1"/>
  <c r="W36" i="217"/>
  <c r="T36" i="217"/>
  <c r="R36" i="217"/>
  <c r="Q36" i="217"/>
  <c r="O36" i="217"/>
  <c r="N36" i="217"/>
  <c r="P36" i="217" s="1"/>
  <c r="M36" i="217"/>
  <c r="J36" i="217"/>
  <c r="I36" i="217" s="1"/>
  <c r="H36" i="217"/>
  <c r="L36" i="217" s="1"/>
  <c r="AD35" i="217"/>
  <c r="AE35" i="217" s="1"/>
  <c r="T35" i="217"/>
  <c r="S35" i="217"/>
  <c r="R35" i="217"/>
  <c r="Q35" i="217"/>
  <c r="N35" i="217"/>
  <c r="P35" i="217" s="1"/>
  <c r="J35" i="217"/>
  <c r="O35" i="217" s="1"/>
  <c r="H35" i="217"/>
  <c r="L35" i="217" s="1"/>
  <c r="AD34" i="217"/>
  <c r="AE34" i="217" s="1"/>
  <c r="T34" i="217"/>
  <c r="R34" i="217"/>
  <c r="Q34" i="217"/>
  <c r="N34" i="217"/>
  <c r="J34" i="217"/>
  <c r="S34" i="217" s="1"/>
  <c r="H34" i="217"/>
  <c r="L34" i="217" s="1"/>
  <c r="AD33" i="217"/>
  <c r="AE33" i="217" s="1"/>
  <c r="W33" i="217"/>
  <c r="T33" i="217"/>
  <c r="S33" i="217"/>
  <c r="R33" i="217"/>
  <c r="Q33" i="217"/>
  <c r="O33" i="217"/>
  <c r="N33" i="217"/>
  <c r="N49" i="217" s="1"/>
  <c r="M33" i="217"/>
  <c r="J33" i="217"/>
  <c r="I33" i="217" s="1"/>
  <c r="H33" i="217"/>
  <c r="L33" i="217" s="1"/>
  <c r="AD32" i="217"/>
  <c r="AE32" i="217" s="1"/>
  <c r="T32" i="217"/>
  <c r="S32" i="217"/>
  <c r="R32" i="217"/>
  <c r="R48" i="217" s="1"/>
  <c r="Q32" i="217"/>
  <c r="N32" i="217"/>
  <c r="J32" i="217"/>
  <c r="O32" i="217" s="1"/>
  <c r="H32" i="217"/>
  <c r="L32" i="217" s="1"/>
  <c r="AD31" i="217"/>
  <c r="AE31" i="217" s="1"/>
  <c r="T31" i="217"/>
  <c r="R31" i="217"/>
  <c r="R49" i="217" s="1"/>
  <c r="Q31" i="217"/>
  <c r="Q47" i="217" s="1"/>
  <c r="N31" i="217"/>
  <c r="N47" i="217" s="1"/>
  <c r="N56" i="217" s="1"/>
  <c r="J31" i="217"/>
  <c r="S31" i="217" s="1"/>
  <c r="H31" i="217"/>
  <c r="L31" i="217" s="1"/>
  <c r="AD30" i="217"/>
  <c r="AE30" i="217" s="1"/>
  <c r="W30" i="217"/>
  <c r="T30" i="217"/>
  <c r="S30" i="217"/>
  <c r="R30" i="217"/>
  <c r="Q30" i="217"/>
  <c r="Q54" i="217" s="1"/>
  <c r="O30" i="217"/>
  <c r="N30" i="217"/>
  <c r="N54" i="217" s="1"/>
  <c r="M30" i="217"/>
  <c r="J30" i="217"/>
  <c r="I30" i="217" s="1"/>
  <c r="H30" i="217"/>
  <c r="L30" i="217" s="1"/>
  <c r="AD29" i="217"/>
  <c r="AE29" i="217" s="1"/>
  <c r="T29" i="217"/>
  <c r="S29" i="217"/>
  <c r="R29" i="217"/>
  <c r="Q29" i="217"/>
  <c r="N29" i="217"/>
  <c r="J29" i="217"/>
  <c r="O29" i="217" s="1"/>
  <c r="H29" i="217"/>
  <c r="L29" i="217" s="1"/>
  <c r="AD28" i="217"/>
  <c r="AE28" i="217" s="1"/>
  <c r="T28" i="217"/>
  <c r="R28" i="217"/>
  <c r="Q28" i="217"/>
  <c r="N28" i="217"/>
  <c r="J28" i="217"/>
  <c r="S28" i="217" s="1"/>
  <c r="H28" i="217"/>
  <c r="L28" i="217" s="1"/>
  <c r="AD27" i="217"/>
  <c r="AE27" i="217" s="1"/>
  <c r="W27" i="217"/>
  <c r="T27" i="217"/>
  <c r="S27" i="217"/>
  <c r="R27" i="217"/>
  <c r="Q27" i="217"/>
  <c r="O27" i="217"/>
  <c r="N27" i="217"/>
  <c r="P27" i="217" s="1"/>
  <c r="M27" i="217"/>
  <c r="J27" i="217"/>
  <c r="I27" i="217" s="1"/>
  <c r="H27" i="217"/>
  <c r="L27" i="217" s="1"/>
  <c r="AD26" i="217"/>
  <c r="AE26" i="217" s="1"/>
  <c r="T26" i="217"/>
  <c r="S26" i="217"/>
  <c r="R26" i="217"/>
  <c r="Q26" i="217"/>
  <c r="N26" i="217"/>
  <c r="P26" i="217" s="1"/>
  <c r="J26" i="217"/>
  <c r="O26" i="217" s="1"/>
  <c r="H26" i="217"/>
  <c r="L26" i="217" s="1"/>
  <c r="AD25" i="217"/>
  <c r="AE25" i="217" s="1"/>
  <c r="T25" i="217"/>
  <c r="R25" i="217"/>
  <c r="Q25" i="217"/>
  <c r="N25" i="217"/>
  <c r="J25" i="217"/>
  <c r="S25" i="217" s="1"/>
  <c r="H25" i="217"/>
  <c r="L25" i="217" s="1"/>
  <c r="AD24" i="217"/>
  <c r="AE24" i="217" s="1"/>
  <c r="W24" i="217"/>
  <c r="T24" i="217"/>
  <c r="S24" i="217"/>
  <c r="R24" i="217"/>
  <c r="Q24" i="217"/>
  <c r="O24" i="217"/>
  <c r="N24" i="217"/>
  <c r="P24" i="217" s="1"/>
  <c r="M24" i="217"/>
  <c r="J24" i="217"/>
  <c r="I24" i="217" s="1"/>
  <c r="H24" i="217"/>
  <c r="L24" i="217" s="1"/>
  <c r="AD23" i="217"/>
  <c r="AE23" i="217" s="1"/>
  <c r="T23" i="217"/>
  <c r="S23" i="217"/>
  <c r="R23" i="217"/>
  <c r="Q23" i="217"/>
  <c r="N23" i="217"/>
  <c r="J23" i="217"/>
  <c r="O23" i="217" s="1"/>
  <c r="H23" i="217"/>
  <c r="L23" i="217" s="1"/>
  <c r="AD22" i="217"/>
  <c r="AE22" i="217" s="1"/>
  <c r="T22" i="217"/>
  <c r="R22" i="217"/>
  <c r="Q22" i="217"/>
  <c r="N22" i="217"/>
  <c r="J22" i="217"/>
  <c r="S22" i="217" s="1"/>
  <c r="H22" i="217"/>
  <c r="L22" i="217" s="1"/>
  <c r="AD21" i="217"/>
  <c r="AE21" i="217" s="1"/>
  <c r="W21" i="217"/>
  <c r="T21" i="217"/>
  <c r="S21" i="217"/>
  <c r="R21" i="217"/>
  <c r="Q21" i="217"/>
  <c r="O21" i="217"/>
  <c r="N21" i="217"/>
  <c r="N53" i="217" s="1"/>
  <c r="M21" i="217"/>
  <c r="J21" i="217"/>
  <c r="I21" i="217" s="1"/>
  <c r="H21" i="217"/>
  <c r="L21" i="217" s="1"/>
  <c r="AD20" i="217"/>
  <c r="AE20" i="217" s="1"/>
  <c r="T20" i="217"/>
  <c r="S20" i="217"/>
  <c r="R20" i="217"/>
  <c r="Q20" i="217"/>
  <c r="N20" i="217"/>
  <c r="J20" i="217"/>
  <c r="O20" i="217" s="1"/>
  <c r="H20" i="217"/>
  <c r="L20" i="217" s="1"/>
  <c r="AD19" i="217"/>
  <c r="AE19" i="217" s="1"/>
  <c r="T19" i="217"/>
  <c r="R19" i="217"/>
  <c r="Q19" i="217"/>
  <c r="N19" i="217"/>
  <c r="J19" i="217"/>
  <c r="S19" i="217" s="1"/>
  <c r="H19" i="217"/>
  <c r="L19" i="217" s="1"/>
  <c r="AD18" i="217"/>
  <c r="AE18" i="217" s="1"/>
  <c r="T18" i="217"/>
  <c r="S18" i="217"/>
  <c r="R18" i="217"/>
  <c r="Q18" i="217"/>
  <c r="O18" i="217"/>
  <c r="N18" i="217"/>
  <c r="P18" i="217" s="1"/>
  <c r="M18" i="217"/>
  <c r="J18" i="217"/>
  <c r="I18" i="217" s="1"/>
  <c r="H18" i="217"/>
  <c r="L18" i="217" s="1"/>
  <c r="AD17" i="217"/>
  <c r="AE17" i="217" s="1"/>
  <c r="T17" i="217"/>
  <c r="S17" i="217"/>
  <c r="R17" i="217"/>
  <c r="Q17" i="217"/>
  <c r="N17" i="217"/>
  <c r="J17" i="217"/>
  <c r="O17" i="217" s="1"/>
  <c r="H17" i="217"/>
  <c r="L17" i="217" s="1"/>
  <c r="AD16" i="217"/>
  <c r="AE16" i="217" s="1"/>
  <c r="T16" i="217"/>
  <c r="R16" i="217"/>
  <c r="Q16" i="217"/>
  <c r="N16" i="217"/>
  <c r="J16" i="217"/>
  <c r="S16" i="217" s="1"/>
  <c r="H16" i="217"/>
  <c r="L16" i="217" s="1"/>
  <c r="AD15" i="217"/>
  <c r="AE15" i="217" s="1"/>
  <c r="T15" i="217"/>
  <c r="S15" i="217"/>
  <c r="R15" i="217"/>
  <c r="Q15" i="217"/>
  <c r="O15" i="217"/>
  <c r="N15" i="217"/>
  <c r="P15" i="217" s="1"/>
  <c r="M15" i="217"/>
  <c r="J15" i="217"/>
  <c r="I15" i="217" s="1"/>
  <c r="H15" i="217"/>
  <c r="L15" i="217" s="1"/>
  <c r="AD14" i="217"/>
  <c r="AE14" i="217" s="1"/>
  <c r="T14" i="217"/>
  <c r="S14" i="217"/>
  <c r="R14" i="217"/>
  <c r="Q14" i="217"/>
  <c r="N14" i="217"/>
  <c r="P14" i="217" s="1"/>
  <c r="J14" i="217"/>
  <c r="O14" i="217" s="1"/>
  <c r="H14" i="217"/>
  <c r="L14" i="217" s="1"/>
  <c r="AD13" i="217"/>
  <c r="AE13" i="217" s="1"/>
  <c r="T13" i="217"/>
  <c r="R13" i="217"/>
  <c r="Q13" i="217"/>
  <c r="N13" i="217"/>
  <c r="J13" i="217"/>
  <c r="S13" i="217" s="1"/>
  <c r="H13" i="217"/>
  <c r="L13" i="217" s="1"/>
  <c r="AD12" i="217"/>
  <c r="AE12" i="217" s="1"/>
  <c r="T12" i="217"/>
  <c r="S12" i="217"/>
  <c r="R12" i="217"/>
  <c r="Q12" i="217"/>
  <c r="O12" i="217"/>
  <c r="N12" i="217"/>
  <c r="N52" i="217" s="1"/>
  <c r="M12" i="217"/>
  <c r="J12" i="217"/>
  <c r="I12" i="217" s="1"/>
  <c r="H12" i="217"/>
  <c r="L12" i="217" s="1"/>
  <c r="AD11" i="217"/>
  <c r="AE11" i="217" s="1"/>
  <c r="T11" i="217"/>
  <c r="S11" i="217"/>
  <c r="R11" i="217"/>
  <c r="Q11" i="217"/>
  <c r="N11" i="217"/>
  <c r="J11" i="217"/>
  <c r="O11" i="217" s="1"/>
  <c r="H11" i="217"/>
  <c r="L11" i="217" s="1"/>
  <c r="AD10" i="217"/>
  <c r="AE10" i="217" s="1"/>
  <c r="T10" i="217"/>
  <c r="R10" i="217"/>
  <c r="Q10" i="217"/>
  <c r="N10" i="217"/>
  <c r="J10" i="217"/>
  <c r="S10" i="217" s="1"/>
  <c r="H10" i="217"/>
  <c r="H52" i="217" s="1"/>
  <c r="AD9" i="217"/>
  <c r="AE9" i="217" s="1"/>
  <c r="T9" i="217"/>
  <c r="S9" i="217"/>
  <c r="R9" i="217"/>
  <c r="Q9" i="217"/>
  <c r="O9" i="217"/>
  <c r="N9" i="217"/>
  <c r="P9" i="217" s="1"/>
  <c r="M9" i="217"/>
  <c r="J9" i="217"/>
  <c r="I9" i="217" s="1"/>
  <c r="H9" i="217"/>
  <c r="L9" i="217" s="1"/>
  <c r="AD8" i="217"/>
  <c r="AE8" i="217" s="1"/>
  <c r="T8" i="217"/>
  <c r="S8" i="217"/>
  <c r="R8" i="217"/>
  <c r="Q8" i="217"/>
  <c r="N8" i="217"/>
  <c r="J8" i="217"/>
  <c r="O8" i="217" s="1"/>
  <c r="H8" i="217"/>
  <c r="L8" i="217" s="1"/>
  <c r="AD7" i="217"/>
  <c r="AE7" i="217" s="1"/>
  <c r="T7" i="217"/>
  <c r="R7" i="217"/>
  <c r="Q7" i="217"/>
  <c r="N7" i="217"/>
  <c r="J7" i="217"/>
  <c r="S7" i="217" s="1"/>
  <c r="H7" i="217"/>
  <c r="L7" i="217" s="1"/>
  <c r="AD6" i="217"/>
  <c r="AE6" i="217" s="1"/>
  <c r="T6" i="217"/>
  <c r="S6" i="217"/>
  <c r="R6" i="217"/>
  <c r="Q6" i="217"/>
  <c r="O6" i="217"/>
  <c r="N6" i="217"/>
  <c r="P6" i="217" s="1"/>
  <c r="M6" i="217"/>
  <c r="J6" i="217"/>
  <c r="I6" i="217" s="1"/>
  <c r="H6" i="217"/>
  <c r="L6" i="217" s="1"/>
  <c r="AD5" i="217"/>
  <c r="AE5" i="217" s="1"/>
  <c r="T5" i="217"/>
  <c r="S5" i="217"/>
  <c r="R5" i="217"/>
  <c r="R50" i="217" s="1"/>
  <c r="Q5" i="217"/>
  <c r="N5" i="217"/>
  <c r="P5" i="217" s="1"/>
  <c r="J5" i="217"/>
  <c r="O5" i="217" s="1"/>
  <c r="H5" i="217"/>
  <c r="L5" i="217" s="1"/>
  <c r="AD4" i="217"/>
  <c r="AD46" i="217" s="1"/>
  <c r="T4" i="217"/>
  <c r="R4" i="217"/>
  <c r="Q4" i="217"/>
  <c r="Q50" i="217" s="1"/>
  <c r="N4" i="217"/>
  <c r="N50" i="217" s="1"/>
  <c r="J4" i="217"/>
  <c r="S4" i="217" s="1"/>
  <c r="H4" i="217"/>
  <c r="L4" i="217" s="1"/>
  <c r="H38" i="221" l="1"/>
  <c r="I38" i="221" s="1"/>
  <c r="H43" i="221"/>
  <c r="I43" i="221" s="1"/>
  <c r="C29" i="227"/>
  <c r="G29" i="227"/>
  <c r="R12" i="227"/>
  <c r="R13" i="227"/>
  <c r="K13" i="227" s="1"/>
  <c r="G22" i="227"/>
  <c r="C50" i="227"/>
  <c r="R24" i="227"/>
  <c r="K24" i="227" s="1"/>
  <c r="R52" i="227"/>
  <c r="R39" i="227"/>
  <c r="U39" i="227" s="1"/>
  <c r="V39" i="227" s="1"/>
  <c r="U52" i="227"/>
  <c r="V52" i="227" s="1"/>
  <c r="K52" i="227"/>
  <c r="H29" i="221"/>
  <c r="I43" i="227"/>
  <c r="R31" i="227"/>
  <c r="C36" i="227"/>
  <c r="R40" i="227"/>
  <c r="G50" i="227"/>
  <c r="I22" i="227"/>
  <c r="E50" i="227"/>
  <c r="R49" i="227"/>
  <c r="C12" i="227"/>
  <c r="I50" i="227"/>
  <c r="I57" i="227"/>
  <c r="R18" i="227"/>
  <c r="K18" i="227" s="1"/>
  <c r="R14" i="227"/>
  <c r="K14" i="227" s="1"/>
  <c r="I29" i="227"/>
  <c r="R25" i="227"/>
  <c r="K25" i="227" s="1"/>
  <c r="E15" i="227"/>
  <c r="K12" i="227"/>
  <c r="E29" i="227"/>
  <c r="R27" i="227"/>
  <c r="U27" i="227" s="1"/>
  <c r="V27" i="227" s="1"/>
  <c r="C39" i="227"/>
  <c r="C43" i="227" s="1"/>
  <c r="H25" i="221"/>
  <c r="R28" i="227"/>
  <c r="R26" i="227"/>
  <c r="K26" i="227" s="1"/>
  <c r="H24" i="221"/>
  <c r="H30" i="221"/>
  <c r="C14" i="227"/>
  <c r="C15" i="227" s="1"/>
  <c r="R48" i="227"/>
  <c r="U48" i="227" s="1"/>
  <c r="V48" i="227" s="1"/>
  <c r="R5" i="215"/>
  <c r="R6" i="215"/>
  <c r="R10" i="215"/>
  <c r="R14" i="215"/>
  <c r="R18" i="215"/>
  <c r="R22" i="215"/>
  <c r="R26" i="215"/>
  <c r="R30" i="215"/>
  <c r="R34" i="215"/>
  <c r="R38" i="215"/>
  <c r="R42" i="215"/>
  <c r="R7" i="215"/>
  <c r="R11" i="215"/>
  <c r="R15" i="215"/>
  <c r="R19" i="215"/>
  <c r="R23" i="215"/>
  <c r="R27" i="215"/>
  <c r="R31" i="215"/>
  <c r="R35" i="215"/>
  <c r="R39" i="215"/>
  <c r="R43" i="215"/>
  <c r="C22" i="227"/>
  <c r="E22" i="227"/>
  <c r="E43" i="227"/>
  <c r="E36" i="227"/>
  <c r="G15" i="227"/>
  <c r="G36" i="227"/>
  <c r="C57" i="227"/>
  <c r="I15" i="227"/>
  <c r="V56" i="227"/>
  <c r="E57" i="227"/>
  <c r="G43" i="227"/>
  <c r="G57" i="227"/>
  <c r="I36" i="227"/>
  <c r="K45" i="227"/>
  <c r="J22" i="227"/>
  <c r="J29" i="227"/>
  <c r="R11" i="227"/>
  <c r="K11" i="227" s="1"/>
  <c r="R10" i="227"/>
  <c r="K10" i="227" s="1"/>
  <c r="K59" i="227"/>
  <c r="R41" i="227"/>
  <c r="U41" i="227" s="1"/>
  <c r="V41" i="227" s="1"/>
  <c r="R21" i="227"/>
  <c r="K21" i="227" s="1"/>
  <c r="R33" i="227"/>
  <c r="U33" i="227" s="1"/>
  <c r="V33" i="227" s="1"/>
  <c r="R42" i="227"/>
  <c r="U42" i="227" s="1"/>
  <c r="V42" i="227" s="1"/>
  <c r="J43" i="227"/>
  <c r="R45" i="227"/>
  <c r="U45" i="227" s="1"/>
  <c r="V45" i="227" s="1"/>
  <c r="R54" i="227"/>
  <c r="U54" i="227" s="1"/>
  <c r="V54" i="227" s="1"/>
  <c r="R53" i="227"/>
  <c r="U53" i="227" s="1"/>
  <c r="V53" i="227" s="1"/>
  <c r="R20" i="227"/>
  <c r="K20" i="227" s="1"/>
  <c r="K27" i="227"/>
  <c r="K39" i="227"/>
  <c r="K48" i="227"/>
  <c r="R32" i="227"/>
  <c r="R19" i="227"/>
  <c r="K19" i="227" s="1"/>
  <c r="R34" i="227"/>
  <c r="R46" i="227"/>
  <c r="R55" i="227"/>
  <c r="J15" i="227"/>
  <c r="R17" i="227"/>
  <c r="K17" i="227" s="1"/>
  <c r="R35" i="227"/>
  <c r="U35" i="227" s="1"/>
  <c r="V35" i="227" s="1"/>
  <c r="R38" i="227"/>
  <c r="U38" i="227" s="1"/>
  <c r="V38" i="227" s="1"/>
  <c r="R47" i="227"/>
  <c r="U47" i="227" s="1"/>
  <c r="V47" i="227" s="1"/>
  <c r="R56" i="227"/>
  <c r="U56" i="227" s="1"/>
  <c r="Q9" i="223"/>
  <c r="T9" i="223"/>
  <c r="T33" i="223"/>
  <c r="Q33" i="223"/>
  <c r="T18" i="223"/>
  <c r="Q18" i="223"/>
  <c r="X44" i="223"/>
  <c r="R12" i="223"/>
  <c r="P15" i="223"/>
  <c r="X18" i="223"/>
  <c r="X31" i="223"/>
  <c r="X41" i="223"/>
  <c r="N68" i="223"/>
  <c r="X32" i="223"/>
  <c r="O63" i="223"/>
  <c r="X13" i="223"/>
  <c r="X23" i="223"/>
  <c r="X36" i="223"/>
  <c r="Q12" i="223"/>
  <c r="T12" i="223"/>
  <c r="X45" i="223"/>
  <c r="X28" i="223"/>
  <c r="X12" i="223"/>
  <c r="X48" i="223"/>
  <c r="X22" i="223"/>
  <c r="X29" i="223"/>
  <c r="X42" i="223"/>
  <c r="X16" i="223"/>
  <c r="X39" i="223"/>
  <c r="X10" i="223"/>
  <c r="X20" i="223"/>
  <c r="O61" i="223"/>
  <c r="O60" i="223"/>
  <c r="O62" i="223"/>
  <c r="X33" i="223"/>
  <c r="X7" i="223"/>
  <c r="X17" i="223"/>
  <c r="X30" i="223"/>
  <c r="O65" i="223"/>
  <c r="X43" i="223"/>
  <c r="T11" i="223"/>
  <c r="Q11" i="223"/>
  <c r="X14" i="223"/>
  <c r="P24" i="223"/>
  <c r="X27" i="223"/>
  <c r="X40" i="223"/>
  <c r="Q47" i="223"/>
  <c r="T47" i="223"/>
  <c r="R9" i="223"/>
  <c r="X15" i="223"/>
  <c r="X38" i="223"/>
  <c r="O72" i="223"/>
  <c r="P48" i="223"/>
  <c r="O68" i="223"/>
  <c r="X25" i="223"/>
  <c r="X35" i="223"/>
  <c r="P45" i="223"/>
  <c r="X9" i="223"/>
  <c r="P42" i="223"/>
  <c r="X19" i="223"/>
  <c r="P39" i="223"/>
  <c r="X26" i="223"/>
  <c r="R33" i="223"/>
  <c r="P36" i="223"/>
  <c r="P30" i="223"/>
  <c r="X46" i="223"/>
  <c r="Q14" i="223"/>
  <c r="T14" i="223"/>
  <c r="P27" i="223"/>
  <c r="X11" i="223"/>
  <c r="O57" i="223"/>
  <c r="R18" i="223"/>
  <c r="O58" i="223"/>
  <c r="P21" i="223"/>
  <c r="X24" i="223"/>
  <c r="X37" i="223"/>
  <c r="X47" i="223"/>
  <c r="N56" i="223"/>
  <c r="N62" i="223"/>
  <c r="P17" i="223"/>
  <c r="P26" i="223"/>
  <c r="P38" i="223"/>
  <c r="O56" i="223"/>
  <c r="R11" i="223"/>
  <c r="R14" i="223"/>
  <c r="R47" i="223"/>
  <c r="O55" i="223"/>
  <c r="P7" i="223"/>
  <c r="P10" i="223"/>
  <c r="P19" i="223"/>
  <c r="P22" i="223"/>
  <c r="P25" i="223"/>
  <c r="P31" i="223"/>
  <c r="P34" i="223"/>
  <c r="P37" i="223"/>
  <c r="P40" i="223"/>
  <c r="P43" i="223"/>
  <c r="P46" i="223"/>
  <c r="O54" i="223"/>
  <c r="O67" i="223"/>
  <c r="P8" i="223"/>
  <c r="P20" i="223"/>
  <c r="P23" i="223"/>
  <c r="P29" i="223"/>
  <c r="P32" i="223"/>
  <c r="P35" i="223"/>
  <c r="P41" i="223"/>
  <c r="P44" i="223"/>
  <c r="P13" i="223"/>
  <c r="P16" i="223"/>
  <c r="P28" i="223"/>
  <c r="H37" i="221"/>
  <c r="I37" i="221" s="1"/>
  <c r="I61" i="221"/>
  <c r="I63" i="221"/>
  <c r="I57" i="221"/>
  <c r="I56" i="221"/>
  <c r="I66" i="221"/>
  <c r="I59" i="221"/>
  <c r="I58" i="221"/>
  <c r="I60" i="221"/>
  <c r="I65" i="221"/>
  <c r="I64" i="221"/>
  <c r="I62" i="221"/>
  <c r="I55" i="221"/>
  <c r="J68" i="221"/>
  <c r="I49" i="221"/>
  <c r="J67" i="221"/>
  <c r="I67" i="221" s="1"/>
  <c r="H34" i="221"/>
  <c r="I34" i="221" s="1"/>
  <c r="H41" i="221"/>
  <c r="I41" i="221" s="1"/>
  <c r="H39" i="221"/>
  <c r="I39" i="221" s="1"/>
  <c r="J47" i="221" s="1"/>
  <c r="I44" i="221"/>
  <c r="I50" i="221"/>
  <c r="D45" i="221"/>
  <c r="J63" i="221" s="1"/>
  <c r="Y40" i="221"/>
  <c r="H52" i="219"/>
  <c r="H47" i="219"/>
  <c r="F45" i="219"/>
  <c r="F52" i="219" s="1"/>
  <c r="G45" i="219"/>
  <c r="G52" i="219" s="1"/>
  <c r="F46" i="219"/>
  <c r="G46" i="219"/>
  <c r="L53" i="217"/>
  <c r="L47" i="217"/>
  <c r="L56" i="217" s="1"/>
  <c r="L49" i="217"/>
  <c r="L48" i="217"/>
  <c r="Q56" i="217"/>
  <c r="P17" i="217"/>
  <c r="O53" i="217"/>
  <c r="P20" i="217"/>
  <c r="L54" i="217"/>
  <c r="P23" i="217"/>
  <c r="P29" i="217"/>
  <c r="P8" i="217"/>
  <c r="P32" i="217"/>
  <c r="P11" i="217"/>
  <c r="L61" i="217"/>
  <c r="W4" i="217"/>
  <c r="W10" i="217"/>
  <c r="W22" i="217"/>
  <c r="R47" i="217"/>
  <c r="R56" i="217" s="1"/>
  <c r="J48" i="217"/>
  <c r="J52" i="217"/>
  <c r="H59" i="217"/>
  <c r="W7" i="217"/>
  <c r="W13" i="217"/>
  <c r="W16" i="217"/>
  <c r="W19" i="217"/>
  <c r="W25" i="217"/>
  <c r="W28" i="217"/>
  <c r="W31" i="217"/>
  <c r="W34" i="217"/>
  <c r="W37" i="217"/>
  <c r="M39" i="217"/>
  <c r="I4" i="217"/>
  <c r="I7" i="217"/>
  <c r="I50" i="217" s="1"/>
  <c r="I10" i="217"/>
  <c r="I13" i="217"/>
  <c r="I16" i="217"/>
  <c r="I19" i="217"/>
  <c r="I22" i="217"/>
  <c r="I25" i="217"/>
  <c r="I28" i="217"/>
  <c r="I31" i="217"/>
  <c r="I34" i="217"/>
  <c r="I48" i="217" s="1"/>
  <c r="I37" i="217"/>
  <c r="I40" i="217"/>
  <c r="H49" i="217"/>
  <c r="H53" i="217"/>
  <c r="J59" i="217"/>
  <c r="O39" i="217"/>
  <c r="P39" i="217" s="1"/>
  <c r="AE4" i="217"/>
  <c r="L10" i="217"/>
  <c r="L52" i="217" s="1"/>
  <c r="P12" i="217"/>
  <c r="P21" i="217"/>
  <c r="P30" i="217"/>
  <c r="P33" i="217"/>
  <c r="H47" i="217"/>
  <c r="H56" i="217" s="1"/>
  <c r="AD47" i="217"/>
  <c r="N48" i="217"/>
  <c r="R54" i="217"/>
  <c r="P58" i="217"/>
  <c r="W5" i="217"/>
  <c r="X38" i="217" s="1"/>
  <c r="W8" i="217"/>
  <c r="M10" i="217"/>
  <c r="M52" i="217" s="1"/>
  <c r="W17" i="217"/>
  <c r="M19" i="217"/>
  <c r="W35" i="217"/>
  <c r="M37" i="217"/>
  <c r="M4" i="217"/>
  <c r="M7" i="217"/>
  <c r="W11" i="217"/>
  <c r="M13" i="217"/>
  <c r="W14" i="217"/>
  <c r="M16" i="217"/>
  <c r="W20" i="217"/>
  <c r="M22" i="217"/>
  <c r="W23" i="217"/>
  <c r="M25" i="217"/>
  <c r="W26" i="217"/>
  <c r="M28" i="217"/>
  <c r="W29" i="217"/>
  <c r="M31" i="217"/>
  <c r="W32" i="217"/>
  <c r="M34" i="217"/>
  <c r="M40" i="217"/>
  <c r="J49" i="217"/>
  <c r="J53" i="217"/>
  <c r="I5" i="217"/>
  <c r="I8" i="217"/>
  <c r="I11" i="217"/>
  <c r="I14" i="217"/>
  <c r="I17" i="217"/>
  <c r="I20" i="217"/>
  <c r="I23" i="217"/>
  <c r="I26" i="217"/>
  <c r="I29" i="217"/>
  <c r="I32" i="217"/>
  <c r="I59" i="217" s="1"/>
  <c r="I35" i="217"/>
  <c r="I47" i="217" s="1"/>
  <c r="I56" i="217" s="1"/>
  <c r="J47" i="217"/>
  <c r="J56" i="217" s="1"/>
  <c r="N59" i="217"/>
  <c r="N60" i="217" s="1"/>
  <c r="O10" i="217"/>
  <c r="O25" i="217"/>
  <c r="P25" i="217" s="1"/>
  <c r="O31" i="217"/>
  <c r="P31" i="217" s="1"/>
  <c r="O34" i="217"/>
  <c r="P34" i="217" s="1"/>
  <c r="S39" i="217"/>
  <c r="O40" i="217"/>
  <c r="P40" i="217" s="1"/>
  <c r="Q48" i="217"/>
  <c r="H50" i="217"/>
  <c r="H54" i="217"/>
  <c r="S36" i="217"/>
  <c r="O37" i="217"/>
  <c r="P37" i="217" s="1"/>
  <c r="O7" i="217"/>
  <c r="P7" i="217" s="1"/>
  <c r="O28" i="217"/>
  <c r="P28" i="217" s="1"/>
  <c r="W6" i="217"/>
  <c r="W9" i="217"/>
  <c r="M11" i="217"/>
  <c r="W15" i="217"/>
  <c r="M17" i="217"/>
  <c r="M23" i="217"/>
  <c r="M32" i="217"/>
  <c r="J50" i="217"/>
  <c r="J54" i="217"/>
  <c r="O4" i="217"/>
  <c r="M5" i="217"/>
  <c r="M8" i="217"/>
  <c r="W12" i="217"/>
  <c r="M14" i="217"/>
  <c r="W18" i="217"/>
  <c r="M20" i="217"/>
  <c r="M26" i="217"/>
  <c r="M29" i="217"/>
  <c r="M35" i="217"/>
  <c r="W39" i="217"/>
  <c r="X39" i="217" s="1"/>
  <c r="I58" i="217"/>
  <c r="O19" i="217"/>
  <c r="P19" i="217" s="1"/>
  <c r="H48" i="217"/>
  <c r="Q49" i="217"/>
  <c r="O13" i="217"/>
  <c r="P13" i="217" s="1"/>
  <c r="O16" i="217"/>
  <c r="P16" i="217" s="1"/>
  <c r="O22" i="217"/>
  <c r="P22" i="217" s="1"/>
  <c r="U28" i="227" l="1"/>
  <c r="V28" i="227" s="1"/>
  <c r="K28" i="227"/>
  <c r="K29" i="227" s="1"/>
  <c r="K40" i="227"/>
  <c r="U40" i="227"/>
  <c r="V40" i="227" s="1"/>
  <c r="K49" i="227"/>
  <c r="U49" i="227"/>
  <c r="V49" i="227" s="1"/>
  <c r="K31" i="227"/>
  <c r="U31" i="227"/>
  <c r="V31" i="227" s="1"/>
  <c r="K42" i="227"/>
  <c r="K22" i="227"/>
  <c r="K15" i="227"/>
  <c r="K41" i="227"/>
  <c r="K32" i="227"/>
  <c r="U32" i="227"/>
  <c r="V32" i="227" s="1"/>
  <c r="K54" i="227"/>
  <c r="K47" i="227"/>
  <c r="K35" i="227"/>
  <c r="U55" i="227"/>
  <c r="V55" i="227" s="1"/>
  <c r="K55" i="227"/>
  <c r="K33" i="227"/>
  <c r="K38" i="227"/>
  <c r="U46" i="227"/>
  <c r="V46" i="227" s="1"/>
  <c r="K46" i="227"/>
  <c r="K56" i="227"/>
  <c r="K34" i="227"/>
  <c r="U34" i="227"/>
  <c r="V34" i="227" s="1"/>
  <c r="K53" i="227"/>
  <c r="Q16" i="223"/>
  <c r="T16" i="223"/>
  <c r="R16" i="223"/>
  <c r="Q43" i="223"/>
  <c r="T43" i="223"/>
  <c r="Q40" i="223"/>
  <c r="R40" i="223" s="1"/>
  <c r="T40" i="223"/>
  <c r="T36" i="223"/>
  <c r="Q36" i="223"/>
  <c r="Q35" i="223"/>
  <c r="R35" i="223" s="1"/>
  <c r="T35" i="223"/>
  <c r="Q31" i="223"/>
  <c r="R31" i="223" s="1"/>
  <c r="T31" i="223"/>
  <c r="Q13" i="223"/>
  <c r="R13" i="223" s="1"/>
  <c r="T13" i="223"/>
  <c r="T30" i="223"/>
  <c r="Q30" i="223"/>
  <c r="T44" i="223"/>
  <c r="Q44" i="223"/>
  <c r="R44" i="223" s="1"/>
  <c r="Q37" i="223"/>
  <c r="P63" i="223"/>
  <c r="P64" i="223"/>
  <c r="T37" i="223"/>
  <c r="P65" i="223"/>
  <c r="T26" i="223"/>
  <c r="Q26" i="223"/>
  <c r="R26" i="223" s="1"/>
  <c r="P57" i="223"/>
  <c r="T17" i="223"/>
  <c r="Q17" i="223"/>
  <c r="P58" i="223"/>
  <c r="P59" i="223"/>
  <c r="Q23" i="223"/>
  <c r="R23" i="223" s="1"/>
  <c r="T23" i="223"/>
  <c r="Q19" i="223"/>
  <c r="R19" i="223" s="1"/>
  <c r="T19" i="223"/>
  <c r="T15" i="223"/>
  <c r="Q15" i="223"/>
  <c r="Q46" i="223"/>
  <c r="R46" i="223" s="1"/>
  <c r="T46" i="223"/>
  <c r="T45" i="223"/>
  <c r="Q45" i="223"/>
  <c r="R45" i="223" s="1"/>
  <c r="T21" i="223"/>
  <c r="Q21" i="223"/>
  <c r="R21" i="223" s="1"/>
  <c r="Q41" i="223"/>
  <c r="R41" i="223" s="1"/>
  <c r="T41" i="223"/>
  <c r="Q34" i="223"/>
  <c r="T34" i="223"/>
  <c r="P67" i="223"/>
  <c r="Q38" i="223"/>
  <c r="T38" i="223"/>
  <c r="R34" i="223"/>
  <c r="Q32" i="223"/>
  <c r="T32" i="223"/>
  <c r="Q29" i="223"/>
  <c r="R29" i="223" s="1"/>
  <c r="T29" i="223"/>
  <c r="Q25" i="223"/>
  <c r="R25" i="223" s="1"/>
  <c r="T25" i="223"/>
  <c r="T39" i="223"/>
  <c r="Q39" i="223"/>
  <c r="P75" i="223"/>
  <c r="P76" i="223" s="1"/>
  <c r="T24" i="223"/>
  <c r="Q24" i="223"/>
  <c r="R24" i="223" s="1"/>
  <c r="R43" i="223"/>
  <c r="R15" i="223"/>
  <c r="Q22" i="223"/>
  <c r="R22" i="223" s="1"/>
  <c r="T22" i="223"/>
  <c r="R36" i="223"/>
  <c r="P68" i="223"/>
  <c r="P72" i="223"/>
  <c r="T48" i="223"/>
  <c r="Q48" i="223"/>
  <c r="T20" i="223"/>
  <c r="Q20" i="223"/>
  <c r="P62" i="223"/>
  <c r="P60" i="223"/>
  <c r="T27" i="223"/>
  <c r="Q27" i="223"/>
  <c r="R27" i="223" s="1"/>
  <c r="P61" i="223"/>
  <c r="R30" i="223"/>
  <c r="Q8" i="223"/>
  <c r="R8" i="223" s="1"/>
  <c r="T8" i="223"/>
  <c r="Q10" i="223"/>
  <c r="R10" i="223" s="1"/>
  <c r="T10" i="223"/>
  <c r="Q28" i="223"/>
  <c r="R28" i="223" s="1"/>
  <c r="T28" i="223"/>
  <c r="P55" i="223"/>
  <c r="P54" i="223"/>
  <c r="Q7" i="223"/>
  <c r="P56" i="223"/>
  <c r="T7" i="223"/>
  <c r="Q42" i="223"/>
  <c r="R42" i="223" s="1"/>
  <c r="T42" i="223"/>
  <c r="R32" i="223"/>
  <c r="R20" i="223"/>
  <c r="J49" i="221"/>
  <c r="J45" i="221"/>
  <c r="J50" i="221"/>
  <c r="C50" i="221" s="1"/>
  <c r="J48" i="221"/>
  <c r="Z40" i="221"/>
  <c r="J46" i="221"/>
  <c r="J44" i="221"/>
  <c r="C44" i="221" s="1"/>
  <c r="H44" i="221" s="1"/>
  <c r="X25" i="217"/>
  <c r="X24" i="217"/>
  <c r="X20" i="217"/>
  <c r="X8" i="217"/>
  <c r="X19" i="217"/>
  <c r="I54" i="217"/>
  <c r="P53" i="217"/>
  <c r="O54" i="217"/>
  <c r="X14" i="217"/>
  <c r="J60" i="217"/>
  <c r="M59" i="217"/>
  <c r="M60" i="217" s="1"/>
  <c r="X13" i="217"/>
  <c r="X30" i="217"/>
  <c r="X41" i="217"/>
  <c r="M53" i="217"/>
  <c r="I52" i="217"/>
  <c r="X7" i="217"/>
  <c r="I49" i="217"/>
  <c r="X40" i="217"/>
  <c r="X32" i="217"/>
  <c r="X16" i="217"/>
  <c r="X18" i="217"/>
  <c r="X11" i="217"/>
  <c r="H60" i="217"/>
  <c r="L59" i="217"/>
  <c r="L60" i="217" s="1"/>
  <c r="X33" i="217"/>
  <c r="X15" i="217"/>
  <c r="I53" i="217"/>
  <c r="M47" i="217"/>
  <c r="M56" i="217" s="1"/>
  <c r="M49" i="217"/>
  <c r="M48" i="217"/>
  <c r="O49" i="217"/>
  <c r="X29" i="217"/>
  <c r="X27" i="217"/>
  <c r="X9" i="217"/>
  <c r="P47" i="217"/>
  <c r="P56" i="217" s="1"/>
  <c r="P49" i="217"/>
  <c r="P48" i="217"/>
  <c r="X37" i="217"/>
  <c r="X5" i="217"/>
  <c r="X12" i="217"/>
  <c r="M50" i="217"/>
  <c r="X6" i="217"/>
  <c r="X35" i="217"/>
  <c r="P54" i="217"/>
  <c r="X22" i="217"/>
  <c r="O47" i="217"/>
  <c r="O56" i="217" s="1"/>
  <c r="M54" i="217"/>
  <c r="L50" i="217"/>
  <c r="P4" i="217"/>
  <c r="O50" i="217"/>
  <c r="P10" i="217"/>
  <c r="P52" i="217" s="1"/>
  <c r="O52" i="217"/>
  <c r="W47" i="217"/>
  <c r="X31" i="217"/>
  <c r="X10" i="217"/>
  <c r="O48" i="217"/>
  <c r="X21" i="217"/>
  <c r="X26" i="217"/>
  <c r="X34" i="217"/>
  <c r="I61" i="217"/>
  <c r="I60" i="217"/>
  <c r="X23" i="217"/>
  <c r="X17" i="217"/>
  <c r="X28" i="217"/>
  <c r="W46" i="217"/>
  <c r="X4" i="217"/>
  <c r="O59" i="217"/>
  <c r="O60" i="217" s="1"/>
  <c r="X36" i="217"/>
  <c r="K43" i="227" l="1"/>
  <c r="K50" i="227"/>
  <c r="K57" i="227"/>
  <c r="K36" i="227"/>
  <c r="T62" i="223"/>
  <c r="T61" i="223"/>
  <c r="T60" i="223"/>
  <c r="Q57" i="223"/>
  <c r="Q59" i="223"/>
  <c r="Q58" i="223"/>
  <c r="R17" i="223"/>
  <c r="T57" i="223"/>
  <c r="T59" i="223"/>
  <c r="T58" i="223"/>
  <c r="T67" i="223"/>
  <c r="T68" i="223" s="1"/>
  <c r="Q63" i="223"/>
  <c r="Q65" i="223"/>
  <c r="Q64" i="223"/>
  <c r="T56" i="223"/>
  <c r="T55" i="223"/>
  <c r="T54" i="223"/>
  <c r="Q67" i="223"/>
  <c r="Q72" i="223"/>
  <c r="Q68" i="223"/>
  <c r="R48" i="223"/>
  <c r="T63" i="223"/>
  <c r="T64" i="223"/>
  <c r="T65" i="223"/>
  <c r="Q60" i="223"/>
  <c r="Q61" i="223"/>
  <c r="Q62" i="223"/>
  <c r="R37" i="223"/>
  <c r="Q54" i="223"/>
  <c r="Q55" i="223"/>
  <c r="Q56" i="223"/>
  <c r="R7" i="223"/>
  <c r="Q75" i="223"/>
  <c r="Q76" i="223" s="1"/>
  <c r="R39" i="223"/>
  <c r="R38" i="223"/>
  <c r="C45" i="221"/>
  <c r="H45" i="221" s="1"/>
  <c r="AA40" i="221"/>
  <c r="P59" i="217"/>
  <c r="P50" i="217"/>
  <c r="C46" i="221" l="1"/>
  <c r="H46" i="221" s="1"/>
  <c r="AB40" i="221"/>
  <c r="C47" i="221" l="1"/>
  <c r="H47" i="221" s="1"/>
  <c r="AC40" i="221"/>
  <c r="C48" i="221" l="1"/>
  <c r="H48" i="221" s="1"/>
  <c r="AD40" i="221"/>
  <c r="C49" i="221" l="1"/>
  <c r="H49" i="221" s="1"/>
  <c r="AE40" i="221"/>
  <c r="H50" i="221" s="1"/>
  <c r="B52" i="207" l="1"/>
  <c r="C52" i="207"/>
  <c r="D52" i="207"/>
  <c r="E52" i="207"/>
  <c r="F52" i="207"/>
  <c r="G52" i="207"/>
  <c r="H52" i="207"/>
  <c r="I52" i="207" s="1"/>
  <c r="J52" i="207"/>
  <c r="K52" i="207" s="1"/>
  <c r="L52" i="207"/>
  <c r="M52" i="207" s="1"/>
  <c r="C70" i="206"/>
  <c r="B70" i="206"/>
  <c r="C68" i="206"/>
  <c r="B68" i="206"/>
  <c r="N67" i="206"/>
  <c r="C67" i="206"/>
  <c r="B67" i="206"/>
  <c r="X55" i="206"/>
  <c r="X54" i="206"/>
  <c r="X52" i="206"/>
  <c r="U52" i="206"/>
  <c r="T52" i="206"/>
  <c r="Q52" i="206"/>
  <c r="B52" i="206"/>
  <c r="C52" i="206"/>
  <c r="N52" i="206" s="1"/>
  <c r="E52" i="206"/>
  <c r="G52" i="206"/>
  <c r="H52" i="206"/>
  <c r="I52" i="206" s="1"/>
  <c r="K52" i="206"/>
  <c r="M52" i="206"/>
  <c r="W52" i="206"/>
  <c r="Q73" i="205"/>
  <c r="Q74" i="205"/>
  <c r="C71" i="205"/>
  <c r="D71" i="205"/>
  <c r="E71" i="205"/>
  <c r="F71" i="205"/>
  <c r="G71" i="205"/>
  <c r="H71" i="205"/>
  <c r="I71" i="205"/>
  <c r="J71" i="205"/>
  <c r="K71" i="205"/>
  <c r="L71" i="205"/>
  <c r="M71" i="205"/>
  <c r="B71" i="205"/>
  <c r="C70" i="205"/>
  <c r="D70" i="205"/>
  <c r="E70" i="205"/>
  <c r="F70" i="205"/>
  <c r="G70" i="205"/>
  <c r="H70" i="205"/>
  <c r="I70" i="205"/>
  <c r="J70" i="205"/>
  <c r="K70" i="205"/>
  <c r="L70" i="205"/>
  <c r="M70" i="205"/>
  <c r="B70" i="205"/>
  <c r="C74" i="203"/>
  <c r="D74" i="203"/>
  <c r="E74" i="203"/>
  <c r="F74" i="203"/>
  <c r="C73" i="203"/>
  <c r="E73" i="203"/>
  <c r="F73" i="203"/>
  <c r="D72" i="203"/>
  <c r="E72" i="203"/>
  <c r="F72" i="203"/>
  <c r="D71" i="203"/>
  <c r="E71" i="203"/>
  <c r="F71" i="203"/>
  <c r="G71" i="203"/>
  <c r="H71" i="203"/>
  <c r="I71" i="203"/>
  <c r="J71" i="203"/>
  <c r="B71" i="203"/>
  <c r="C67" i="203"/>
  <c r="D67" i="203"/>
  <c r="E67" i="203"/>
  <c r="F67" i="203"/>
  <c r="D66" i="203"/>
  <c r="E66" i="203"/>
  <c r="F66" i="203"/>
  <c r="G66" i="203"/>
  <c r="H66" i="203"/>
  <c r="I66" i="203"/>
  <c r="J66" i="203"/>
  <c r="B67" i="203"/>
  <c r="B66" i="203"/>
  <c r="K69" i="95"/>
  <c r="J69" i="95"/>
  <c r="H69" i="95"/>
  <c r="G69" i="95"/>
  <c r="F69" i="95"/>
  <c r="E69" i="95"/>
  <c r="D69" i="95"/>
  <c r="B69" i="95"/>
  <c r="A69" i="95"/>
  <c r="K68" i="95"/>
  <c r="J68" i="95"/>
  <c r="H68" i="95"/>
  <c r="G68" i="95"/>
  <c r="F68" i="95"/>
  <c r="E68" i="95"/>
  <c r="D68" i="95"/>
  <c r="B68" i="95"/>
  <c r="A68" i="95"/>
  <c r="N99" i="97"/>
  <c r="N100" i="97"/>
  <c r="N101" i="97"/>
  <c r="K101" i="97"/>
  <c r="J101" i="97"/>
  <c r="G101" i="97"/>
  <c r="H101" i="97" s="1"/>
  <c r="F101" i="97"/>
  <c r="E101" i="97"/>
  <c r="D101" i="97"/>
  <c r="B101" i="97"/>
  <c r="E67" i="199"/>
  <c r="H67" i="199"/>
  <c r="K67" i="199"/>
  <c r="H66" i="199"/>
  <c r="B67" i="199"/>
  <c r="B66" i="199"/>
  <c r="D65" i="199"/>
  <c r="E65" i="199"/>
  <c r="F65" i="199"/>
  <c r="E66" i="199" s="1"/>
  <c r="G65" i="199"/>
  <c r="H65" i="199"/>
  <c r="I65" i="199"/>
  <c r="J65" i="199"/>
  <c r="C65" i="199"/>
  <c r="D64" i="199"/>
  <c r="E64" i="199"/>
  <c r="F64" i="199"/>
  <c r="G64" i="199"/>
  <c r="H64" i="199"/>
  <c r="I64" i="199"/>
  <c r="J64" i="199"/>
  <c r="L64" i="199"/>
  <c r="C64" i="199"/>
  <c r="D62" i="199"/>
  <c r="E62" i="199"/>
  <c r="F62" i="199"/>
  <c r="G62" i="199"/>
  <c r="H62" i="199"/>
  <c r="I62" i="199"/>
  <c r="J62" i="199"/>
  <c r="L62" i="199"/>
  <c r="B62" i="199"/>
  <c r="C62" i="199"/>
  <c r="C52" i="204"/>
  <c r="D52" i="204"/>
  <c r="L52" i="204" s="1"/>
  <c r="E52" i="204"/>
  <c r="I52" i="204" s="1"/>
  <c r="J52" i="204" s="1"/>
  <c r="G52" i="204"/>
  <c r="H52" i="204" s="1"/>
  <c r="K52" i="204"/>
  <c r="M52" i="204"/>
  <c r="O52" i="205"/>
  <c r="P52" i="205"/>
  <c r="Q52" i="205" s="1"/>
  <c r="B52" i="205"/>
  <c r="C52" i="205"/>
  <c r="E52" i="205"/>
  <c r="G52" i="205"/>
  <c r="H52" i="205"/>
  <c r="I52" i="205" s="1"/>
  <c r="K52" i="205"/>
  <c r="M52" i="205"/>
  <c r="N51" i="203"/>
  <c r="O51" i="203"/>
  <c r="M51" i="203"/>
  <c r="G51" i="203"/>
  <c r="H51" i="203"/>
  <c r="I51" i="203"/>
  <c r="B41" i="202"/>
  <c r="C41" i="202"/>
  <c r="D41" i="202"/>
  <c r="E41" i="202"/>
  <c r="F41" i="202"/>
  <c r="G41" i="202"/>
  <c r="H41" i="202"/>
  <c r="I41" i="202"/>
  <c r="J41" i="202"/>
  <c r="K41" i="202"/>
  <c r="L41" i="202"/>
  <c r="M41" i="202"/>
  <c r="N41" i="202"/>
  <c r="O41" i="202"/>
  <c r="B49" i="200"/>
  <c r="C49" i="200"/>
  <c r="D49" i="200"/>
  <c r="F49" i="200"/>
  <c r="G49" i="200"/>
  <c r="H49" i="200"/>
  <c r="J49" i="200"/>
  <c r="K49" i="200"/>
  <c r="L49" i="200"/>
  <c r="N49" i="200"/>
  <c r="O49" i="200"/>
  <c r="P49" i="200"/>
  <c r="K39" i="112"/>
  <c r="J39" i="112"/>
  <c r="F52" i="204" l="1"/>
  <c r="N52" i="204"/>
  <c r="R52" i="205"/>
  <c r="I39" i="112"/>
  <c r="H39" i="112"/>
  <c r="B39" i="112"/>
  <c r="Q38" i="112" l="1"/>
  <c r="P38" i="112"/>
  <c r="O38" i="112"/>
  <c r="N38" i="112"/>
  <c r="M38" i="112"/>
  <c r="L38" i="112"/>
  <c r="K38" i="112"/>
  <c r="J38" i="112"/>
  <c r="I38" i="112"/>
  <c r="H38" i="112"/>
  <c r="B38" i="112"/>
  <c r="F38" i="112" s="1"/>
  <c r="M44" i="199"/>
  <c r="J44" i="199"/>
  <c r="D44" i="199"/>
  <c r="B47" i="198"/>
  <c r="C47" i="198"/>
  <c r="D47" i="198"/>
  <c r="E47" i="198"/>
  <c r="F47" i="198"/>
  <c r="G47" i="198"/>
  <c r="H47" i="198"/>
  <c r="I47" i="198"/>
  <c r="C71" i="197"/>
  <c r="D71" i="197"/>
  <c r="E71" i="197"/>
  <c r="F71" i="197"/>
  <c r="G71" i="197"/>
  <c r="H71" i="197"/>
  <c r="I71" i="197"/>
  <c r="B71" i="197"/>
  <c r="I66" i="197"/>
  <c r="I67" i="197"/>
  <c r="I68" i="197"/>
  <c r="C68" i="197"/>
  <c r="D68" i="197"/>
  <c r="E68" i="197"/>
  <c r="F68" i="197"/>
  <c r="G68" i="197"/>
  <c r="H68" i="197"/>
  <c r="C67" i="197"/>
  <c r="D67" i="197"/>
  <c r="E67" i="197"/>
  <c r="F67" i="197"/>
  <c r="G67" i="197"/>
  <c r="H67" i="197"/>
  <c r="B68" i="197"/>
  <c r="B67" i="197"/>
  <c r="C66" i="197"/>
  <c r="D66" i="197"/>
  <c r="E66" i="197"/>
  <c r="F66" i="197"/>
  <c r="G66" i="197"/>
  <c r="H66" i="197"/>
  <c r="B66" i="197"/>
  <c r="R38" i="112" l="1"/>
  <c r="U38" i="112" s="1"/>
  <c r="B31" i="154"/>
  <c r="G31" i="154"/>
  <c r="F31" i="154"/>
  <c r="E31" i="154"/>
  <c r="D31" i="154"/>
  <c r="C31" i="154"/>
  <c r="J36" i="153"/>
  <c r="M36" i="153"/>
  <c r="N36" i="153"/>
  <c r="P36" i="153"/>
  <c r="P40" i="153" s="1"/>
  <c r="Q36" i="153"/>
  <c r="Q40" i="153" s="1"/>
  <c r="R36" i="153"/>
  <c r="R40" i="153" s="1"/>
  <c r="S36" i="153"/>
  <c r="S40" i="153" s="1"/>
  <c r="T36" i="153"/>
  <c r="T41" i="153" s="1"/>
  <c r="U36" i="153"/>
  <c r="U40" i="153" s="1"/>
  <c r="M59" i="91"/>
  <c r="L59" i="91"/>
  <c r="J59" i="91"/>
  <c r="I59" i="91"/>
  <c r="G59" i="91"/>
  <c r="F59" i="91"/>
  <c r="D59" i="91"/>
  <c r="C59" i="91"/>
  <c r="M52" i="91"/>
  <c r="M62" i="91" s="1"/>
  <c r="L52" i="91"/>
  <c r="L62" i="91" s="1"/>
  <c r="M50" i="91"/>
  <c r="L50" i="91"/>
  <c r="J50" i="91"/>
  <c r="I50" i="91"/>
  <c r="G50" i="91"/>
  <c r="F50" i="91"/>
  <c r="D50" i="91"/>
  <c r="C50" i="91"/>
  <c r="M46" i="91"/>
  <c r="L46" i="91"/>
  <c r="J46" i="91"/>
  <c r="I46" i="91"/>
  <c r="G46" i="91"/>
  <c r="F46" i="91"/>
  <c r="D46" i="91"/>
  <c r="D52" i="91" s="1"/>
  <c r="D62" i="91" s="1"/>
  <c r="C46" i="91"/>
  <c r="C52" i="91" s="1"/>
  <c r="C62" i="91" s="1"/>
  <c r="M42" i="91"/>
  <c r="L42" i="91"/>
  <c r="J42" i="91"/>
  <c r="J52" i="91" s="1"/>
  <c r="J62" i="91" s="1"/>
  <c r="J70" i="91" s="1"/>
  <c r="I42" i="91"/>
  <c r="I52" i="91" s="1"/>
  <c r="I62" i="91" s="1"/>
  <c r="I70" i="91" s="1"/>
  <c r="G42" i="91"/>
  <c r="F42" i="91"/>
  <c r="D42" i="91"/>
  <c r="C42" i="91"/>
  <c r="G32" i="91"/>
  <c r="F32" i="91"/>
  <c r="M28" i="91"/>
  <c r="L28" i="91"/>
  <c r="J28" i="91"/>
  <c r="I28" i="91"/>
  <c r="G28" i="91"/>
  <c r="F28" i="91"/>
  <c r="D28" i="91"/>
  <c r="C28" i="91"/>
  <c r="M13" i="91"/>
  <c r="M32" i="91" s="1"/>
  <c r="G74" i="91" s="1"/>
  <c r="L13" i="91"/>
  <c r="L32" i="91" s="1"/>
  <c r="F74" i="91" s="1"/>
  <c r="J13" i="91"/>
  <c r="J32" i="91" s="1"/>
  <c r="I13" i="91"/>
  <c r="I32" i="91" s="1"/>
  <c r="G13" i="91"/>
  <c r="F13" i="91"/>
  <c r="D13" i="91"/>
  <c r="D32" i="91" s="1"/>
  <c r="C13" i="91"/>
  <c r="C32" i="91" s="1"/>
  <c r="K66" i="95"/>
  <c r="J66" i="95"/>
  <c r="H66" i="95"/>
  <c r="G66" i="95"/>
  <c r="F66" i="95"/>
  <c r="E66" i="95"/>
  <c r="D66" i="95"/>
  <c r="B66" i="95"/>
  <c r="N103" i="97"/>
  <c r="N98" i="97"/>
  <c r="H98" i="97"/>
  <c r="I56" i="99"/>
  <c r="H56" i="99"/>
  <c r="F56" i="99"/>
  <c r="C56" i="99"/>
  <c r="B56" i="99"/>
  <c r="I55" i="99"/>
  <c r="H55" i="99"/>
  <c r="G55" i="99"/>
  <c r="F55" i="99"/>
  <c r="C55" i="99"/>
  <c r="B55" i="99"/>
  <c r="B58" i="98"/>
  <c r="D53" i="98"/>
  <c r="D55" i="99" s="1"/>
  <c r="I53" i="98"/>
  <c r="F53" i="98"/>
  <c r="J60" i="82"/>
  <c r="F52" i="91" l="1"/>
  <c r="F62" i="91" s="1"/>
  <c r="G52" i="91"/>
  <c r="G62" i="91" s="1"/>
  <c r="F70" i="91"/>
  <c r="G70" i="91"/>
  <c r="T38" i="112"/>
  <c r="V38" i="112"/>
  <c r="O36" i="153"/>
  <c r="O40" i="153" s="1"/>
  <c r="Q42" i="153"/>
  <c r="P42" i="153"/>
  <c r="P41" i="153"/>
  <c r="N40" i="153"/>
  <c r="N42" i="153"/>
  <c r="Q41" i="153"/>
  <c r="N41" i="153"/>
  <c r="B32" i="154"/>
  <c r="M42" i="153"/>
  <c r="T42" i="153"/>
  <c r="T40" i="153"/>
  <c r="S42" i="153"/>
  <c r="S41" i="153"/>
  <c r="M40" i="153"/>
  <c r="V36" i="153"/>
  <c r="R42" i="153"/>
  <c r="R41" i="153"/>
  <c r="M41" i="153"/>
  <c r="M43" i="153" s="1"/>
  <c r="U42" i="153"/>
  <c r="U41" i="153"/>
  <c r="D74" i="91"/>
  <c r="D70" i="91"/>
  <c r="C70" i="91"/>
  <c r="C74" i="91"/>
  <c r="G60" i="82"/>
  <c r="O42" i="153" l="1"/>
  <c r="O41" i="153"/>
  <c r="H60" i="82"/>
  <c r="Y59" i="82" l="1"/>
  <c r="T59" i="82"/>
  <c r="N59" i="82" s="1"/>
  <c r="R59" i="82"/>
  <c r="J59" i="82"/>
  <c r="H59" i="82"/>
  <c r="G59" i="82"/>
  <c r="E59" i="82"/>
  <c r="S59" i="82" l="1"/>
  <c r="W59" i="82"/>
  <c r="P72" i="90" l="1"/>
  <c r="O72" i="90"/>
  <c r="N72" i="90"/>
  <c r="M72" i="90"/>
  <c r="P68" i="90"/>
  <c r="O68" i="90"/>
  <c r="N68" i="90"/>
  <c r="M68" i="90"/>
  <c r="L68" i="90"/>
  <c r="P67" i="90"/>
  <c r="O67" i="90"/>
  <c r="N67" i="90"/>
  <c r="M67" i="90"/>
  <c r="L67" i="90"/>
  <c r="P66" i="90"/>
  <c r="O66" i="90"/>
  <c r="N66" i="90"/>
  <c r="M66" i="90"/>
  <c r="L66" i="90"/>
  <c r="P76" i="90"/>
  <c r="O76" i="90"/>
  <c r="N8" i="90"/>
  <c r="M8" i="90"/>
  <c r="N76" i="90" l="1"/>
  <c r="M76" i="90"/>
  <c r="B59" i="111"/>
  <c r="C59" i="111"/>
  <c r="D59" i="111"/>
  <c r="B31" i="111"/>
  <c r="C31" i="111"/>
  <c r="D31" i="111"/>
  <c r="B88" i="110"/>
  <c r="C88" i="110"/>
  <c r="D88" i="110"/>
  <c r="G37" i="110"/>
  <c r="I37" i="110"/>
  <c r="G38" i="110"/>
  <c r="I38" i="110"/>
  <c r="G39" i="110"/>
  <c r="I39" i="110"/>
  <c r="G40" i="110"/>
  <c r="I40" i="110"/>
  <c r="G41" i="110"/>
  <c r="I41" i="110"/>
  <c r="G42" i="110"/>
  <c r="I42" i="110"/>
  <c r="G43" i="110"/>
  <c r="I43" i="110"/>
  <c r="G44" i="110"/>
  <c r="I44" i="110"/>
  <c r="G45" i="110"/>
  <c r="I45" i="110"/>
  <c r="G46" i="110"/>
  <c r="I46" i="110"/>
  <c r="G47" i="110"/>
  <c r="I47" i="110"/>
  <c r="G48" i="110"/>
  <c r="I48" i="110"/>
  <c r="G49" i="110"/>
  <c r="I49" i="110"/>
  <c r="G50" i="110"/>
  <c r="I50" i="110"/>
  <c r="G51" i="110"/>
  <c r="I51" i="110"/>
  <c r="G52" i="110"/>
  <c r="I52" i="110"/>
  <c r="G53" i="110"/>
  <c r="I53" i="110"/>
  <c r="G54" i="110"/>
  <c r="I54" i="110"/>
  <c r="G55" i="110"/>
  <c r="I55" i="110"/>
  <c r="G56" i="110"/>
  <c r="I56" i="110"/>
  <c r="G57" i="110"/>
  <c r="I57" i="110"/>
  <c r="G58" i="110"/>
  <c r="I58" i="110"/>
  <c r="G59" i="110"/>
  <c r="I59" i="110"/>
  <c r="I36" i="110"/>
  <c r="G36" i="110"/>
  <c r="F59" i="110"/>
  <c r="Q85" i="86"/>
  <c r="P85" i="86"/>
  <c r="O85" i="86"/>
  <c r="AB24" i="189" l="1"/>
  <c r="AA24" i="189"/>
  <c r="Z25" i="189"/>
  <c r="Z24" i="189"/>
  <c r="L79" i="188" l="1"/>
  <c r="K79" i="188" l="1"/>
  <c r="AH96" i="187"/>
  <c r="AI96" i="187"/>
  <c r="AJ96" i="187"/>
  <c r="AK96" i="187"/>
  <c r="AL96" i="187"/>
  <c r="AP96" i="187"/>
  <c r="AQ96" i="187"/>
  <c r="AR96" i="187"/>
  <c r="AH97" i="187"/>
  <c r="AI97" i="187"/>
  <c r="AJ97" i="187"/>
  <c r="AK97" i="187"/>
  <c r="AL97" i="187"/>
  <c r="AM97" i="187"/>
  <c r="AN97" i="187"/>
  <c r="AO97" i="187"/>
  <c r="AP97" i="187"/>
  <c r="AQ97" i="187"/>
  <c r="AR97" i="187"/>
  <c r="AH98" i="187"/>
  <c r="AI98" i="187"/>
  <c r="AJ98" i="187"/>
  <c r="AK98" i="187"/>
  <c r="AL98" i="187"/>
  <c r="AM98" i="187"/>
  <c r="AN98" i="187"/>
  <c r="AO98" i="187"/>
  <c r="AP98" i="187"/>
  <c r="AQ98" i="187"/>
  <c r="AR98" i="187"/>
  <c r="AH99" i="187"/>
  <c r="AI99" i="187"/>
  <c r="AJ99" i="187"/>
  <c r="AK99" i="187"/>
  <c r="AL99" i="187"/>
  <c r="AM99" i="187"/>
  <c r="AN99" i="187"/>
  <c r="AO99" i="187"/>
  <c r="AP99" i="187"/>
  <c r="AQ99" i="187"/>
  <c r="AR99" i="187"/>
  <c r="AD99" i="187"/>
  <c r="AD98" i="187"/>
  <c r="AD97" i="187"/>
  <c r="I39" i="190"/>
  <c r="H39" i="190"/>
  <c r="F39" i="190"/>
  <c r="E39" i="190"/>
  <c r="D39" i="190"/>
  <c r="C39" i="190"/>
  <c r="B39" i="190"/>
  <c r="Y37" i="189"/>
  <c r="Z37" i="189"/>
  <c r="AA37" i="189"/>
  <c r="AB37" i="189"/>
  <c r="AC37" i="189"/>
  <c r="AD37" i="189"/>
  <c r="AE37" i="189"/>
  <c r="AF37" i="189"/>
  <c r="AG37" i="189"/>
  <c r="V37" i="189"/>
  <c r="W37" i="189"/>
  <c r="S37" i="189"/>
  <c r="T37" i="189"/>
  <c r="P37" i="189"/>
  <c r="Q37" i="189"/>
  <c r="R37" i="189"/>
  <c r="O37" i="189"/>
  <c r="L37" i="189"/>
  <c r="I37" i="189"/>
  <c r="I36" i="189"/>
  <c r="Q82" i="188"/>
  <c r="P82" i="188"/>
  <c r="N82" i="188"/>
  <c r="L82" i="188"/>
  <c r="K82" i="188"/>
  <c r="J82" i="188"/>
  <c r="I82" i="188"/>
  <c r="G82" i="188"/>
  <c r="F82" i="188"/>
  <c r="E82" i="188"/>
  <c r="Q81" i="188"/>
  <c r="P81" i="188"/>
  <c r="N81" i="188"/>
  <c r="L81" i="188"/>
  <c r="K81" i="188"/>
  <c r="J81" i="188"/>
  <c r="I81" i="188"/>
  <c r="G81" i="188"/>
  <c r="F81" i="188"/>
  <c r="E81" i="188"/>
  <c r="Q80" i="188"/>
  <c r="P80" i="188"/>
  <c r="N80" i="188"/>
  <c r="L80" i="188"/>
  <c r="K80" i="188"/>
  <c r="J80" i="188"/>
  <c r="I80" i="188"/>
  <c r="G80" i="188"/>
  <c r="F80" i="188"/>
  <c r="E80" i="188"/>
  <c r="Q79" i="188"/>
  <c r="P79" i="188"/>
  <c r="N79" i="188"/>
  <c r="J79" i="188"/>
  <c r="I79" i="188"/>
  <c r="G79" i="188"/>
  <c r="F79" i="188"/>
  <c r="E79" i="188"/>
  <c r="N99" i="187"/>
  <c r="AS99" i="187" s="1"/>
  <c r="N98" i="187"/>
  <c r="AE98" i="187" s="1"/>
  <c r="N97" i="187"/>
  <c r="AS97" i="187" s="1"/>
  <c r="AF96" i="187"/>
  <c r="B36" i="208"/>
  <c r="B35" i="208"/>
  <c r="B34" i="208"/>
  <c r="B33" i="208"/>
  <c r="B39" i="208"/>
  <c r="B43" i="208"/>
  <c r="AF50" i="197"/>
  <c r="S79" i="188" l="1"/>
  <c r="S81" i="188"/>
  <c r="AE97" i="187"/>
  <c r="AE96" i="187"/>
  <c r="AF99" i="187"/>
  <c r="AS98" i="187"/>
  <c r="AS96" i="187"/>
  <c r="AF98" i="187"/>
  <c r="AF97" i="187"/>
  <c r="S80" i="188"/>
  <c r="S82" i="188"/>
  <c r="AE99" i="187"/>
  <c r="B28" i="209" l="1"/>
  <c r="C28" i="209"/>
  <c r="D28" i="209"/>
  <c r="E28" i="209"/>
  <c r="F28" i="209"/>
  <c r="G28" i="209"/>
  <c r="K28" i="209"/>
  <c r="B29" i="209"/>
  <c r="C29" i="209"/>
  <c r="D29" i="209"/>
  <c r="E29" i="209"/>
  <c r="F29" i="209"/>
  <c r="G29" i="209"/>
  <c r="K29" i="209"/>
  <c r="I30" i="208"/>
  <c r="J30" i="208" s="1"/>
  <c r="J29" i="209" s="1"/>
  <c r="O30" i="208"/>
  <c r="H30" i="208"/>
  <c r="H29" i="209" s="1"/>
  <c r="N30" i="208"/>
  <c r="M30" i="208"/>
  <c r="I29" i="209" l="1"/>
  <c r="G30" i="235" l="1"/>
  <c r="F30" i="235"/>
  <c r="G29" i="235"/>
  <c r="F29" i="235"/>
  <c r="C21" i="234"/>
  <c r="D20" i="234"/>
  <c r="C20" i="234" s="1"/>
  <c r="D24" i="233"/>
  <c r="C24" i="233"/>
  <c r="B24" i="233"/>
  <c r="G23" i="233"/>
  <c r="C23" i="233"/>
  <c r="B23" i="233"/>
  <c r="D23" i="233" s="1"/>
  <c r="G22" i="233"/>
  <c r="C22" i="233"/>
  <c r="B22" i="233"/>
  <c r="D22" i="233" s="1"/>
  <c r="G21" i="233"/>
  <c r="D21" i="233"/>
  <c r="C21" i="233"/>
  <c r="B21" i="233"/>
  <c r="G20" i="233"/>
  <c r="C20" i="233"/>
  <c r="B20" i="233"/>
  <c r="D20" i="233" s="1"/>
  <c r="G19" i="233"/>
  <c r="C19" i="233"/>
  <c r="B19" i="233"/>
  <c r="D19" i="233" s="1"/>
  <c r="G18" i="233"/>
  <c r="D18" i="233"/>
  <c r="C18" i="233"/>
  <c r="B18" i="233"/>
  <c r="G17" i="233"/>
  <c r="C17" i="233"/>
  <c r="B17" i="233"/>
  <c r="D17" i="233" s="1"/>
  <c r="G16" i="233"/>
  <c r="C16" i="233"/>
  <c r="B16" i="233"/>
  <c r="D16" i="233" s="1"/>
  <c r="G15" i="233"/>
  <c r="D15" i="233"/>
  <c r="C15" i="233"/>
  <c r="B15" i="233"/>
  <c r="G14" i="233"/>
  <c r="C14" i="233"/>
  <c r="B14" i="233"/>
  <c r="D14" i="233" s="1"/>
  <c r="G13" i="233"/>
  <c r="C13" i="233"/>
  <c r="B13" i="233"/>
  <c r="D13" i="233" s="1"/>
  <c r="G12" i="233"/>
  <c r="D12" i="233"/>
  <c r="C12" i="233"/>
  <c r="B12" i="233"/>
  <c r="G11" i="233"/>
  <c r="C11" i="233"/>
  <c r="B11" i="233"/>
  <c r="D11" i="233" s="1"/>
  <c r="G10" i="233"/>
  <c r="C10" i="233"/>
  <c r="B10" i="233"/>
  <c r="D10" i="233" s="1"/>
  <c r="G9" i="233"/>
  <c r="D9" i="233"/>
  <c r="C9" i="233"/>
  <c r="B9" i="233"/>
  <c r="G8" i="233"/>
  <c r="C8" i="233"/>
  <c r="B8" i="233"/>
  <c r="D8" i="233" s="1"/>
  <c r="G7" i="233"/>
  <c r="C7" i="233"/>
  <c r="B7" i="233"/>
  <c r="D7" i="233" s="1"/>
  <c r="G6" i="233"/>
  <c r="D6" i="233"/>
  <c r="C6" i="233"/>
  <c r="B6" i="233"/>
  <c r="D18" i="232"/>
  <c r="D17" i="232"/>
  <c r="D16" i="232"/>
  <c r="D15" i="232"/>
  <c r="D14" i="232"/>
  <c r="D13" i="232"/>
  <c r="D12" i="232"/>
  <c r="D11" i="232"/>
  <c r="D10" i="232"/>
  <c r="D9" i="232"/>
  <c r="D8" i="232"/>
  <c r="D7" i="232"/>
  <c r="D18" i="231"/>
  <c r="D17" i="231"/>
  <c r="D16" i="231"/>
  <c r="D15" i="231"/>
  <c r="D14" i="231"/>
  <c r="D13" i="231"/>
  <c r="D12" i="231"/>
  <c r="D11" i="231"/>
  <c r="D10" i="231"/>
  <c r="D9" i="231"/>
  <c r="D8" i="231"/>
  <c r="D7" i="231"/>
  <c r="J35" i="153" l="1"/>
  <c r="M35" i="153"/>
  <c r="N35" i="153"/>
  <c r="P35" i="153"/>
  <c r="Q35" i="153"/>
  <c r="D32" i="154" s="1"/>
  <c r="R35" i="153"/>
  <c r="S35" i="153"/>
  <c r="F32" i="154" s="1"/>
  <c r="T35" i="153"/>
  <c r="E32" i="154" s="1"/>
  <c r="U35" i="153"/>
  <c r="G32" i="154" s="1"/>
  <c r="R38" i="213"/>
  <c r="Q38" i="213"/>
  <c r="P38" i="213"/>
  <c r="O38" i="213"/>
  <c r="N38" i="213"/>
  <c r="V35" i="153" l="1"/>
  <c r="C32" i="154"/>
  <c r="O35" i="153"/>
  <c r="M38" i="213"/>
  <c r="D51" i="207"/>
  <c r="F51" i="207"/>
  <c r="J51" i="207"/>
  <c r="L51" i="207"/>
  <c r="D50" i="207"/>
  <c r="F50" i="207"/>
  <c r="J50" i="207"/>
  <c r="L50" i="207"/>
  <c r="W51" i="206"/>
  <c r="T51" i="206"/>
  <c r="Q51" i="206"/>
  <c r="H51" i="206"/>
  <c r="B51" i="206"/>
  <c r="B51" i="207" s="1"/>
  <c r="C51" i="206"/>
  <c r="E51" i="204"/>
  <c r="G51" i="204"/>
  <c r="K51" i="204"/>
  <c r="M51" i="204"/>
  <c r="E49" i="204"/>
  <c r="G49" i="204"/>
  <c r="K49" i="204"/>
  <c r="M49" i="204"/>
  <c r="E50" i="204"/>
  <c r="G50" i="204"/>
  <c r="K50" i="204"/>
  <c r="M50" i="204"/>
  <c r="P51" i="205"/>
  <c r="H51" i="205"/>
  <c r="C51" i="205"/>
  <c r="M51" i="205" s="1"/>
  <c r="B51" i="205"/>
  <c r="O50" i="203"/>
  <c r="M50" i="203"/>
  <c r="N50" i="203"/>
  <c r="G50" i="203"/>
  <c r="H50" i="203"/>
  <c r="I50" i="203"/>
  <c r="J50" i="203"/>
  <c r="B40" i="202"/>
  <c r="C40" i="202"/>
  <c r="D40" i="202"/>
  <c r="E40" i="202"/>
  <c r="F40" i="202"/>
  <c r="G40" i="202"/>
  <c r="H40" i="202"/>
  <c r="I40" i="202"/>
  <c r="J40" i="202"/>
  <c r="K40" i="202"/>
  <c r="L40" i="202"/>
  <c r="M40" i="202"/>
  <c r="N40" i="202"/>
  <c r="O40" i="202"/>
  <c r="B48" i="200"/>
  <c r="C48" i="200"/>
  <c r="D48" i="200"/>
  <c r="F48" i="200"/>
  <c r="G48" i="200"/>
  <c r="H48" i="200"/>
  <c r="J48" i="200"/>
  <c r="K48" i="200"/>
  <c r="L48" i="200"/>
  <c r="N48" i="200"/>
  <c r="O48" i="200"/>
  <c r="P48" i="200"/>
  <c r="B47" i="200"/>
  <c r="C47" i="200"/>
  <c r="D47" i="200"/>
  <c r="F47" i="200"/>
  <c r="G47" i="200"/>
  <c r="J47" i="200"/>
  <c r="K47" i="200"/>
  <c r="L47" i="200"/>
  <c r="N47" i="200"/>
  <c r="O47" i="200"/>
  <c r="M43" i="199"/>
  <c r="P47" i="200" s="1"/>
  <c r="J43" i="199"/>
  <c r="Q50" i="197"/>
  <c r="G43" i="199"/>
  <c r="H47" i="200" s="1"/>
  <c r="D43" i="199"/>
  <c r="C46" i="198"/>
  <c r="D46" i="198"/>
  <c r="E46" i="198"/>
  <c r="F46" i="198"/>
  <c r="G46" i="198"/>
  <c r="H46" i="198"/>
  <c r="C45" i="198"/>
  <c r="D45" i="198"/>
  <c r="E45" i="198"/>
  <c r="F45" i="198"/>
  <c r="G45" i="198"/>
  <c r="H45" i="198"/>
  <c r="S71" i="197"/>
  <c r="C73" i="197"/>
  <c r="D73" i="197"/>
  <c r="E73" i="197"/>
  <c r="F73" i="197"/>
  <c r="G73" i="197"/>
  <c r="H73" i="197"/>
  <c r="H51" i="207" l="1"/>
  <c r="H50" i="207"/>
  <c r="I50" i="204"/>
  <c r="I49" i="204"/>
  <c r="D51" i="204"/>
  <c r="L51" i="204" s="1"/>
  <c r="R51" i="205"/>
  <c r="G51" i="205"/>
  <c r="O51" i="205"/>
  <c r="H51" i="204"/>
  <c r="E51" i="205"/>
  <c r="I51" i="205"/>
  <c r="K51" i="205"/>
  <c r="K51" i="206"/>
  <c r="C53" i="206"/>
  <c r="C51" i="207"/>
  <c r="X51" i="206"/>
  <c r="F51" i="204"/>
  <c r="C53" i="205"/>
  <c r="C51" i="204"/>
  <c r="E51" i="206"/>
  <c r="N51" i="206"/>
  <c r="M51" i="206"/>
  <c r="I51" i="206"/>
  <c r="G51" i="206"/>
  <c r="I51" i="204"/>
  <c r="J51" i="204" s="1"/>
  <c r="N51" i="204"/>
  <c r="Q51" i="205"/>
  <c r="S68" i="197"/>
  <c r="S67" i="197"/>
  <c r="S66" i="197"/>
  <c r="AG50" i="197"/>
  <c r="B50" i="197" s="1"/>
  <c r="B73" i="197" s="1"/>
  <c r="AG20" i="197"/>
  <c r="AG21" i="197"/>
  <c r="AG22" i="197"/>
  <c r="AG23" i="197"/>
  <c r="AG24" i="197"/>
  <c r="AG25" i="197"/>
  <c r="AG26" i="197"/>
  <c r="AG27" i="197"/>
  <c r="AG28" i="197"/>
  <c r="AG29" i="197"/>
  <c r="AG30" i="197"/>
  <c r="AG31" i="197"/>
  <c r="AG32" i="197"/>
  <c r="AG33" i="197"/>
  <c r="AG34" i="197"/>
  <c r="AG35" i="197"/>
  <c r="AG36" i="197"/>
  <c r="AG37" i="197"/>
  <c r="AG38" i="197"/>
  <c r="AG39" i="197"/>
  <c r="AG40" i="197"/>
  <c r="AG41" i="197"/>
  <c r="AG42" i="197"/>
  <c r="AG43" i="197"/>
  <c r="AG44" i="197"/>
  <c r="AG45" i="197"/>
  <c r="AG46" i="197"/>
  <c r="AG47" i="197"/>
  <c r="AG48" i="197"/>
  <c r="AG49" i="197"/>
  <c r="AG19" i="197"/>
  <c r="AF49" i="197"/>
  <c r="AF19" i="197"/>
  <c r="AF20" i="197"/>
  <c r="AF21" i="197"/>
  <c r="AF22" i="197"/>
  <c r="AF23" i="197"/>
  <c r="AF24" i="197"/>
  <c r="AF25" i="197"/>
  <c r="AF26" i="197"/>
  <c r="AF27" i="197"/>
  <c r="AF28" i="197"/>
  <c r="AF29" i="197"/>
  <c r="AF30" i="197"/>
  <c r="AF31" i="197"/>
  <c r="AF32" i="197"/>
  <c r="AF33" i="197"/>
  <c r="AF34" i="197"/>
  <c r="AF35" i="197"/>
  <c r="AF36" i="197"/>
  <c r="AF37" i="197"/>
  <c r="AF38" i="197"/>
  <c r="AF39" i="197"/>
  <c r="AF40" i="197"/>
  <c r="AF41" i="197"/>
  <c r="AF42" i="197"/>
  <c r="AF43" i="197"/>
  <c r="AF44" i="197"/>
  <c r="AF45" i="197"/>
  <c r="AF46" i="197"/>
  <c r="AF47" i="197"/>
  <c r="AF48" i="197"/>
  <c r="AF18" i="197"/>
  <c r="M51" i="207" l="1"/>
  <c r="K51" i="207"/>
  <c r="E51" i="207"/>
  <c r="I51" i="207"/>
  <c r="G51" i="207"/>
  <c r="AB50" i="197"/>
  <c r="T50" i="197"/>
  <c r="I50" i="197" l="1"/>
  <c r="U50" i="197"/>
  <c r="P50" i="197" l="1"/>
  <c r="AJ50" i="197"/>
  <c r="X50" i="197"/>
  <c r="AB49" i="197"/>
  <c r="K37" i="112" l="1"/>
  <c r="I37" i="112"/>
  <c r="C37" i="112"/>
  <c r="H37" i="112"/>
  <c r="B37" i="112"/>
  <c r="J37" i="112"/>
  <c r="Q37" i="112" l="1"/>
  <c r="F40" i="113" s="1"/>
  <c r="P37" i="112"/>
  <c r="E40" i="113" s="1"/>
  <c r="O37" i="112"/>
  <c r="D40" i="113" s="1"/>
  <c r="N37" i="112"/>
  <c r="F39" i="112"/>
  <c r="L39" i="112"/>
  <c r="L37" i="112"/>
  <c r="F37" i="112"/>
  <c r="B57" i="98"/>
  <c r="B56" i="98"/>
  <c r="N97" i="97"/>
  <c r="H103" i="97"/>
  <c r="M37" i="112" l="1"/>
  <c r="C40" i="113"/>
  <c r="R37" i="112"/>
  <c r="G40" i="113" s="1"/>
  <c r="K71" i="95"/>
  <c r="J71" i="95"/>
  <c r="H71" i="95"/>
  <c r="G71" i="95"/>
  <c r="F71" i="95"/>
  <c r="E71" i="95"/>
  <c r="D71" i="95"/>
  <c r="B71" i="95"/>
  <c r="K65" i="95"/>
  <c r="J65" i="95"/>
  <c r="H65" i="95"/>
  <c r="G65" i="95"/>
  <c r="F65" i="95"/>
  <c r="E65" i="95"/>
  <c r="D65" i="95"/>
  <c r="B65" i="95"/>
  <c r="T37" i="112" l="1"/>
  <c r="V37" i="112"/>
  <c r="U37" i="112"/>
  <c r="Y58" i="82" l="1"/>
  <c r="J58" i="82"/>
  <c r="H58" i="82"/>
  <c r="G58" i="82"/>
  <c r="R58" i="82" s="1"/>
  <c r="T58" i="82" s="1"/>
  <c r="W58" i="82" l="1"/>
  <c r="N58" i="82"/>
  <c r="S58" i="82"/>
  <c r="I54" i="98" l="1"/>
  <c r="F54" i="98"/>
  <c r="G56" i="99" s="1"/>
  <c r="D54" i="98"/>
  <c r="D56" i="99" s="1"/>
  <c r="B58" i="111" l="1"/>
  <c r="C58" i="111"/>
  <c r="D58" i="111"/>
  <c r="D30" i="111"/>
  <c r="C30" i="111"/>
  <c r="B30" i="111"/>
  <c r="D87" i="110"/>
  <c r="C87" i="110"/>
  <c r="B87" i="110"/>
  <c r="F58" i="110"/>
  <c r="K85" i="86"/>
  <c r="J85" i="86"/>
  <c r="I85" i="86"/>
  <c r="V35" i="189"/>
  <c r="B38" i="190"/>
  <c r="C38" i="190"/>
  <c r="D38" i="190"/>
  <c r="E38" i="190"/>
  <c r="F38" i="190"/>
  <c r="H38" i="190"/>
  <c r="I38" i="190"/>
  <c r="S36" i="189"/>
  <c r="AC36" i="189"/>
  <c r="Z36" i="189"/>
  <c r="AA36" i="189"/>
  <c r="AB36" i="189"/>
  <c r="AE36" i="189"/>
  <c r="W36" i="189"/>
  <c r="AG36" i="189" s="1"/>
  <c r="V36" i="189"/>
  <c r="AF36" i="189" s="1"/>
  <c r="L36" i="189"/>
  <c r="O36" i="189"/>
  <c r="Y36" i="189" s="1"/>
  <c r="P36" i="189"/>
  <c r="Q36" i="189"/>
  <c r="R36" i="189"/>
  <c r="T36" i="189"/>
  <c r="AD36" i="189" l="1"/>
  <c r="E75" i="188" l="1"/>
  <c r="F75" i="188"/>
  <c r="G75" i="188"/>
  <c r="I75" i="188"/>
  <c r="J75" i="188"/>
  <c r="K75" i="188"/>
  <c r="L75" i="188"/>
  <c r="N75" i="188"/>
  <c r="P75" i="188"/>
  <c r="Q75" i="188"/>
  <c r="E76" i="188"/>
  <c r="F76" i="188"/>
  <c r="G76" i="188"/>
  <c r="I76" i="188"/>
  <c r="J76" i="188"/>
  <c r="K76" i="188"/>
  <c r="L76" i="188"/>
  <c r="N76" i="188"/>
  <c r="P76" i="188"/>
  <c r="Q76" i="188"/>
  <c r="E77" i="188"/>
  <c r="F77" i="188"/>
  <c r="G77" i="188"/>
  <c r="I77" i="188"/>
  <c r="S77" i="188" s="1"/>
  <c r="J77" i="188"/>
  <c r="K77" i="188"/>
  <c r="L77" i="188"/>
  <c r="N77" i="188"/>
  <c r="P77" i="188"/>
  <c r="Q77" i="188"/>
  <c r="E78" i="188"/>
  <c r="F78" i="188"/>
  <c r="G78" i="188"/>
  <c r="I78" i="188"/>
  <c r="J78" i="188"/>
  <c r="K78" i="188"/>
  <c r="L78" i="188"/>
  <c r="N78" i="188"/>
  <c r="P78" i="188"/>
  <c r="Q78" i="188"/>
  <c r="AH92" i="187"/>
  <c r="AI92" i="187"/>
  <c r="AJ92" i="187"/>
  <c r="AK92" i="187"/>
  <c r="AL92" i="187"/>
  <c r="AM92" i="187"/>
  <c r="AN92" i="187"/>
  <c r="AO92" i="187"/>
  <c r="AP92" i="187"/>
  <c r="AQ92" i="187"/>
  <c r="AR92" i="187"/>
  <c r="AH93" i="187"/>
  <c r="AI93" i="187"/>
  <c r="AJ93" i="187"/>
  <c r="AK93" i="187"/>
  <c r="AL93" i="187"/>
  <c r="AM93" i="187"/>
  <c r="AN93" i="187"/>
  <c r="AO93" i="187"/>
  <c r="AP93" i="187"/>
  <c r="AQ93" i="187"/>
  <c r="AR93" i="187"/>
  <c r="AH94" i="187"/>
  <c r="AI94" i="187"/>
  <c r="AJ94" i="187"/>
  <c r="AK94" i="187"/>
  <c r="AL94" i="187"/>
  <c r="AM94" i="187"/>
  <c r="AN94" i="187"/>
  <c r="AO94" i="187"/>
  <c r="AP94" i="187"/>
  <c r="AQ94" i="187"/>
  <c r="AR94" i="187"/>
  <c r="AE95" i="187"/>
  <c r="AF95" i="187"/>
  <c r="AH95" i="187"/>
  <c r="AI95" i="187"/>
  <c r="AJ95" i="187"/>
  <c r="AK95" i="187"/>
  <c r="AL95" i="187"/>
  <c r="AM95" i="187"/>
  <c r="AN95" i="187"/>
  <c r="AO95" i="187"/>
  <c r="AP95" i="187"/>
  <c r="AQ95" i="187"/>
  <c r="AR95" i="187"/>
  <c r="AS95" i="187"/>
  <c r="AD95" i="187"/>
  <c r="AD94" i="187"/>
  <c r="AF94" i="187" s="1"/>
  <c r="AD93" i="187"/>
  <c r="AF93" i="187" s="1"/>
  <c r="AD92" i="187"/>
  <c r="AF92" i="187" s="1"/>
  <c r="N92" i="187"/>
  <c r="N93" i="187"/>
  <c r="AE93" i="187" s="1"/>
  <c r="N94" i="187"/>
  <c r="AE94" i="187" s="1"/>
  <c r="N95" i="187"/>
  <c r="AE92" i="187" l="1"/>
  <c r="AS94" i="187"/>
  <c r="AS93" i="187"/>
  <c r="AS92" i="187"/>
  <c r="S76" i="188"/>
  <c r="S75" i="188"/>
  <c r="S78" i="188"/>
  <c r="M34" i="153" l="1"/>
  <c r="U34" i="153"/>
  <c r="G30" i="154" s="1"/>
  <c r="T34" i="153"/>
  <c r="E30" i="154" s="1"/>
  <c r="S34" i="153"/>
  <c r="F30" i="154" s="1"/>
  <c r="R34" i="153"/>
  <c r="Q34" i="153"/>
  <c r="D30" i="154" s="1"/>
  <c r="P34" i="153"/>
  <c r="C30" i="154" s="1"/>
  <c r="N34" i="153"/>
  <c r="J34" i="153"/>
  <c r="V34" i="153" l="1"/>
  <c r="O34" i="153"/>
  <c r="B30" i="154" s="1"/>
  <c r="Q49" i="197"/>
  <c r="C27" i="205" l="1"/>
  <c r="P16" i="235" l="1"/>
  <c r="S16" i="235"/>
  <c r="T16" i="235"/>
  <c r="U16" i="235"/>
  <c r="V16" i="235"/>
  <c r="P17" i="235"/>
  <c r="S17" i="235"/>
  <c r="T17" i="235"/>
  <c r="V17" i="235" s="1"/>
  <c r="U17" i="235"/>
  <c r="U4" i="233"/>
  <c r="V4" i="233"/>
  <c r="AC4" i="233"/>
  <c r="AD4" i="233"/>
  <c r="AJ4" i="233"/>
  <c r="U5" i="233"/>
  <c r="V5" i="233"/>
  <c r="AC5" i="233"/>
  <c r="AD5" i="233"/>
  <c r="AJ5" i="233" s="1"/>
  <c r="U6" i="233"/>
  <c r="V6" i="233"/>
  <c r="V26" i="233" s="1"/>
  <c r="AC6" i="233"/>
  <c r="AD6" i="233"/>
  <c r="AJ6" i="233"/>
  <c r="U7" i="233"/>
  <c r="V7" i="233"/>
  <c r="AC7" i="233"/>
  <c r="AD7" i="233"/>
  <c r="AJ7" i="233" s="1"/>
  <c r="U8" i="233"/>
  <c r="V8" i="233"/>
  <c r="AC8" i="233"/>
  <c r="AD8" i="233"/>
  <c r="AJ8" i="233"/>
  <c r="AI8" i="233" s="1"/>
  <c r="U9" i="233"/>
  <c r="V9" i="233"/>
  <c r="AC9" i="233"/>
  <c r="AD9" i="233"/>
  <c r="AJ9" i="233"/>
  <c r="AI9" i="233" s="1"/>
  <c r="U10" i="233"/>
  <c r="V10" i="233"/>
  <c r="V31" i="233" s="1"/>
  <c r="AC10" i="233"/>
  <c r="AD10" i="233"/>
  <c r="AJ10" i="233" s="1"/>
  <c r="U11" i="233"/>
  <c r="V11" i="233"/>
  <c r="AC11" i="233"/>
  <c r="AD11" i="233"/>
  <c r="AJ11" i="233" s="1"/>
  <c r="U12" i="233"/>
  <c r="V12" i="233"/>
  <c r="AC12" i="233"/>
  <c r="AD12" i="233"/>
  <c r="AJ12" i="233"/>
  <c r="U13" i="233"/>
  <c r="V13" i="233"/>
  <c r="AC13" i="233"/>
  <c r="AD13" i="233"/>
  <c r="AJ13" i="233" s="1"/>
  <c r="U14" i="233"/>
  <c r="V14" i="233"/>
  <c r="AC14" i="233"/>
  <c r="AD14" i="233"/>
  <c r="AJ14" i="233"/>
  <c r="AI14" i="233" s="1"/>
  <c r="U15" i="233"/>
  <c r="V15" i="233"/>
  <c r="AC15" i="233"/>
  <c r="AD15" i="233"/>
  <c r="AJ15" i="233"/>
  <c r="AI15" i="233" s="1"/>
  <c r="U16" i="233"/>
  <c r="V16" i="233"/>
  <c r="AC16" i="233"/>
  <c r="AD16" i="233"/>
  <c r="AJ16" i="233" s="1"/>
  <c r="U17" i="233"/>
  <c r="V17" i="233"/>
  <c r="AC17" i="233"/>
  <c r="AD17" i="233"/>
  <c r="AJ17" i="233" s="1"/>
  <c r="U18" i="233"/>
  <c r="W18" i="233" s="1"/>
  <c r="V18" i="233"/>
  <c r="AC18" i="233"/>
  <c r="AD18" i="233"/>
  <c r="AJ18" i="233"/>
  <c r="S19" i="233"/>
  <c r="T19" i="233"/>
  <c r="V19" i="233" s="1"/>
  <c r="V30" i="233" s="1"/>
  <c r="U19" i="233"/>
  <c r="W19" i="233" s="1"/>
  <c r="AC19" i="233"/>
  <c r="AD19" i="233"/>
  <c r="AJ19" i="233" s="1"/>
  <c r="O20" i="233"/>
  <c r="P20" i="233"/>
  <c r="S20" i="233"/>
  <c r="AC20" i="233"/>
  <c r="AD20" i="233"/>
  <c r="AJ20" i="233"/>
  <c r="AI20" i="233" s="1"/>
  <c r="O21" i="233"/>
  <c r="U21" i="233"/>
  <c r="V21" i="233"/>
  <c r="W21" i="233"/>
  <c r="AC21" i="233"/>
  <c r="AD21" i="233"/>
  <c r="AJ21" i="233"/>
  <c r="V22" i="233"/>
  <c r="AC22" i="233"/>
  <c r="AD22" i="233"/>
  <c r="AJ22" i="233" s="1"/>
  <c r="AI22" i="233" s="1"/>
  <c r="I18" i="232"/>
  <c r="AI16" i="233" l="1"/>
  <c r="AI10" i="233"/>
  <c r="AI5" i="233"/>
  <c r="AI11" i="233"/>
  <c r="AI7" i="233"/>
  <c r="AI19" i="233"/>
  <c r="AI17" i="233"/>
  <c r="AI13" i="233"/>
  <c r="T20" i="233"/>
  <c r="AI12" i="233"/>
  <c r="AI6" i="233"/>
  <c r="V25" i="233"/>
  <c r="AI18" i="233"/>
  <c r="P22" i="233"/>
  <c r="Q20" i="233"/>
  <c r="AI4" i="233"/>
  <c r="Q22" i="233" l="1"/>
  <c r="U20" i="233"/>
  <c r="W20" i="233" s="1"/>
  <c r="V20" i="233"/>
  <c r="B7" i="214" l="1"/>
  <c r="C7" i="214"/>
  <c r="D7" i="214"/>
  <c r="E7" i="214"/>
  <c r="F7" i="214"/>
  <c r="B8" i="214"/>
  <c r="C8" i="214"/>
  <c r="D8" i="214"/>
  <c r="E8" i="214"/>
  <c r="F8" i="214"/>
  <c r="B9" i="214"/>
  <c r="C9" i="214"/>
  <c r="D9" i="214"/>
  <c r="E9" i="214"/>
  <c r="F9" i="214"/>
  <c r="B10" i="214"/>
  <c r="C10" i="214"/>
  <c r="D10" i="214"/>
  <c r="E10" i="214"/>
  <c r="F10" i="214"/>
  <c r="B11" i="214"/>
  <c r="C11" i="214"/>
  <c r="D11" i="214"/>
  <c r="E11" i="214"/>
  <c r="F11" i="214"/>
  <c r="B12" i="214"/>
  <c r="C12" i="214"/>
  <c r="D12" i="214"/>
  <c r="E12" i="214"/>
  <c r="F12" i="214"/>
  <c r="B13" i="214"/>
  <c r="C13" i="214"/>
  <c r="D13" i="214"/>
  <c r="E13" i="214"/>
  <c r="F13" i="214"/>
  <c r="B14" i="214"/>
  <c r="C14" i="214"/>
  <c r="D14" i="214"/>
  <c r="E14" i="214"/>
  <c r="F14" i="214"/>
  <c r="B15" i="214"/>
  <c r="C15" i="214"/>
  <c r="D15" i="214"/>
  <c r="E15" i="214"/>
  <c r="F15" i="214"/>
  <c r="B16" i="214"/>
  <c r="C16" i="214"/>
  <c r="D16" i="214"/>
  <c r="E16" i="214"/>
  <c r="F16" i="214"/>
  <c r="B17" i="214"/>
  <c r="C17" i="214"/>
  <c r="D17" i="214"/>
  <c r="E17" i="214"/>
  <c r="F17" i="214"/>
  <c r="B18" i="214"/>
  <c r="C18" i="214"/>
  <c r="D18" i="214"/>
  <c r="E18" i="214"/>
  <c r="F18" i="214"/>
  <c r="B19" i="214"/>
  <c r="C19" i="214"/>
  <c r="D19" i="214"/>
  <c r="E19" i="214"/>
  <c r="F19" i="214"/>
  <c r="B20" i="214"/>
  <c r="C20" i="214"/>
  <c r="D20" i="214"/>
  <c r="E20" i="214"/>
  <c r="F20" i="214"/>
  <c r="B21" i="214"/>
  <c r="C21" i="214"/>
  <c r="D21" i="214"/>
  <c r="E21" i="214"/>
  <c r="F21" i="214"/>
  <c r="B22" i="214"/>
  <c r="C22" i="214"/>
  <c r="D22" i="214"/>
  <c r="E22" i="214"/>
  <c r="F22" i="214"/>
  <c r="B23" i="214"/>
  <c r="C23" i="214"/>
  <c r="D23" i="214"/>
  <c r="E23" i="214"/>
  <c r="F23" i="214"/>
  <c r="B24" i="214"/>
  <c r="C24" i="214"/>
  <c r="D24" i="214"/>
  <c r="E24" i="214"/>
  <c r="F24" i="214"/>
  <c r="B25" i="214"/>
  <c r="C25" i="214"/>
  <c r="D25" i="214"/>
  <c r="E25" i="214"/>
  <c r="F25" i="214"/>
  <c r="B26" i="214"/>
  <c r="C26" i="214"/>
  <c r="D26" i="214"/>
  <c r="E26" i="214"/>
  <c r="F26" i="214"/>
  <c r="B27" i="214"/>
  <c r="C27" i="214"/>
  <c r="D27" i="214"/>
  <c r="E27" i="214"/>
  <c r="F27" i="214"/>
  <c r="B28" i="214"/>
  <c r="C28" i="214"/>
  <c r="D28" i="214"/>
  <c r="E28" i="214"/>
  <c r="F28" i="214"/>
  <c r="B29" i="214"/>
  <c r="C29" i="214"/>
  <c r="D29" i="214"/>
  <c r="E29" i="214"/>
  <c r="F29" i="214"/>
  <c r="B30" i="214"/>
  <c r="C30" i="214"/>
  <c r="D30" i="214"/>
  <c r="E30" i="214"/>
  <c r="F30" i="214"/>
  <c r="B31" i="214"/>
  <c r="C31" i="214"/>
  <c r="D31" i="214"/>
  <c r="E31" i="214"/>
  <c r="F31" i="214"/>
  <c r="B32" i="214"/>
  <c r="C32" i="214"/>
  <c r="D32" i="214"/>
  <c r="E32" i="214"/>
  <c r="F32" i="214"/>
  <c r="B33" i="214"/>
  <c r="C33" i="214"/>
  <c r="D33" i="214"/>
  <c r="E33" i="214"/>
  <c r="F33" i="214"/>
  <c r="B34" i="214"/>
  <c r="C34" i="214"/>
  <c r="D34" i="214"/>
  <c r="E34" i="214"/>
  <c r="F34" i="214"/>
  <c r="B35" i="214"/>
  <c r="C35" i="214"/>
  <c r="D35" i="214"/>
  <c r="E35" i="214"/>
  <c r="F35" i="214"/>
  <c r="B36" i="214"/>
  <c r="C36" i="214"/>
  <c r="D36" i="214"/>
  <c r="E36" i="214"/>
  <c r="F36" i="214"/>
  <c r="B37" i="214"/>
  <c r="C37" i="214"/>
  <c r="D37" i="214"/>
  <c r="E37" i="214"/>
  <c r="F37" i="214"/>
  <c r="B38" i="214"/>
  <c r="C38" i="214"/>
  <c r="D38" i="214"/>
  <c r="E38" i="214"/>
  <c r="F38" i="214"/>
  <c r="F4" i="213"/>
  <c r="F5" i="213"/>
  <c r="F6" i="213"/>
  <c r="F7" i="213"/>
  <c r="F8" i="213"/>
  <c r="F15" i="213"/>
  <c r="F16" i="213"/>
  <c r="F18" i="213"/>
  <c r="F19" i="213"/>
  <c r="F20" i="213"/>
  <c r="M20" i="213" s="1"/>
  <c r="L20" i="213"/>
  <c r="N20" i="213"/>
  <c r="O20" i="213"/>
  <c r="P20" i="213"/>
  <c r="Q20" i="213"/>
  <c r="R20" i="213"/>
  <c r="S20" i="213"/>
  <c r="F21" i="213"/>
  <c r="M21" i="213" s="1"/>
  <c r="L21" i="213"/>
  <c r="N21" i="213"/>
  <c r="R21" i="213" s="1"/>
  <c r="O21" i="213"/>
  <c r="P21" i="213"/>
  <c r="Q21" i="213"/>
  <c r="S21" i="213"/>
  <c r="F22" i="213"/>
  <c r="L22" i="213"/>
  <c r="M22" i="213"/>
  <c r="Q22" i="213"/>
  <c r="R22" i="213" s="1"/>
  <c r="S22" i="213"/>
  <c r="F23" i="213"/>
  <c r="M23" i="213" s="1"/>
  <c r="L23" i="213"/>
  <c r="N23" i="213"/>
  <c r="O23" i="213"/>
  <c r="P23" i="213"/>
  <c r="Q23" i="213"/>
  <c r="R23" i="213"/>
  <c r="S23" i="213"/>
  <c r="F24" i="213"/>
  <c r="M24" i="213" s="1"/>
  <c r="L24" i="213"/>
  <c r="N24" i="213"/>
  <c r="R24" i="213" s="1"/>
  <c r="O24" i="213"/>
  <c r="P24" i="213"/>
  <c r="Q24" i="213"/>
  <c r="S24" i="213"/>
  <c r="F25" i="213"/>
  <c r="L25" i="213"/>
  <c r="M25" i="213"/>
  <c r="N25" i="213"/>
  <c r="O25" i="213"/>
  <c r="P25" i="213"/>
  <c r="Q25" i="213"/>
  <c r="R25" i="213"/>
  <c r="S25" i="213"/>
  <c r="F26" i="213"/>
  <c r="L26" i="213"/>
  <c r="M26" i="213"/>
  <c r="N26" i="213"/>
  <c r="R26" i="213" s="1"/>
  <c r="O26" i="213"/>
  <c r="P26" i="213"/>
  <c r="Q26" i="213"/>
  <c r="S26" i="213"/>
  <c r="L27" i="213"/>
  <c r="M27" i="213"/>
  <c r="N27" i="213"/>
  <c r="O27" i="213"/>
  <c r="P27" i="213"/>
  <c r="Q27" i="213"/>
  <c r="R27" i="213"/>
  <c r="S27" i="213"/>
  <c r="L28" i="213"/>
  <c r="M28" i="213" s="1"/>
  <c r="N28" i="213"/>
  <c r="R28" i="213" s="1"/>
  <c r="O28" i="213"/>
  <c r="P28" i="213"/>
  <c r="Q28" i="213"/>
  <c r="S28" i="213"/>
  <c r="F29" i="213"/>
  <c r="L29" i="213"/>
  <c r="M29" i="213"/>
  <c r="N29" i="213"/>
  <c r="R29" i="213" s="1"/>
  <c r="O29" i="213"/>
  <c r="P29" i="213"/>
  <c r="Q29" i="213"/>
  <c r="S29" i="213"/>
  <c r="F30" i="213"/>
  <c r="M30" i="213" s="1"/>
  <c r="L30" i="213"/>
  <c r="N30" i="213"/>
  <c r="O30" i="213"/>
  <c r="P30" i="213"/>
  <c r="Q30" i="213"/>
  <c r="R30" i="213"/>
  <c r="S30" i="213"/>
  <c r="L36" i="213"/>
  <c r="N36" i="213"/>
  <c r="O36" i="213"/>
  <c r="P36" i="213"/>
  <c r="Q36" i="213"/>
  <c r="R36" i="213"/>
  <c r="B6" i="209"/>
  <c r="C6" i="209"/>
  <c r="D6" i="209"/>
  <c r="E6" i="209"/>
  <c r="F6" i="209"/>
  <c r="G6" i="209"/>
  <c r="I6" i="209"/>
  <c r="K6" i="209"/>
  <c r="B7" i="209"/>
  <c r="C7" i="209"/>
  <c r="D7" i="209"/>
  <c r="E7" i="209"/>
  <c r="F7" i="209"/>
  <c r="G7" i="209"/>
  <c r="K7" i="209"/>
  <c r="B8" i="209"/>
  <c r="C8" i="209"/>
  <c r="D8" i="209"/>
  <c r="E8" i="209"/>
  <c r="F8" i="209"/>
  <c r="G8" i="209"/>
  <c r="K8" i="209"/>
  <c r="B9" i="209"/>
  <c r="C9" i="209"/>
  <c r="D9" i="209"/>
  <c r="E9" i="209"/>
  <c r="F9" i="209"/>
  <c r="G9" i="209"/>
  <c r="H9" i="209"/>
  <c r="K9" i="209"/>
  <c r="B10" i="209"/>
  <c r="C10" i="209"/>
  <c r="D10" i="209"/>
  <c r="E10" i="209"/>
  <c r="F10" i="209"/>
  <c r="G10" i="209"/>
  <c r="K10" i="209"/>
  <c r="B11" i="209"/>
  <c r="C11" i="209"/>
  <c r="D11" i="209"/>
  <c r="E11" i="209"/>
  <c r="F11" i="209"/>
  <c r="G11" i="209"/>
  <c r="K11" i="209"/>
  <c r="B12" i="209"/>
  <c r="C12" i="209"/>
  <c r="D12" i="209"/>
  <c r="E12" i="209"/>
  <c r="F12" i="209"/>
  <c r="G12" i="209"/>
  <c r="K12" i="209"/>
  <c r="B13" i="209"/>
  <c r="C13" i="209"/>
  <c r="D13" i="209"/>
  <c r="E13" i="209"/>
  <c r="F13" i="209"/>
  <c r="G13" i="209"/>
  <c r="I13" i="209"/>
  <c r="K13" i="209"/>
  <c r="B14" i="209"/>
  <c r="C14" i="209"/>
  <c r="D14" i="209"/>
  <c r="E14" i="209"/>
  <c r="F14" i="209"/>
  <c r="G14" i="209"/>
  <c r="K14" i="209"/>
  <c r="B15" i="209"/>
  <c r="C15" i="209"/>
  <c r="D15" i="209"/>
  <c r="E15" i="209"/>
  <c r="F15" i="209"/>
  <c r="G15" i="209"/>
  <c r="K15" i="209"/>
  <c r="B16" i="209"/>
  <c r="C16" i="209"/>
  <c r="D16" i="209"/>
  <c r="E16" i="209"/>
  <c r="F16" i="209"/>
  <c r="G16" i="209"/>
  <c r="K16" i="209"/>
  <c r="B17" i="209"/>
  <c r="C17" i="209"/>
  <c r="D17" i="209"/>
  <c r="E17" i="209"/>
  <c r="F17" i="209"/>
  <c r="G17" i="209"/>
  <c r="K17" i="209"/>
  <c r="B18" i="209"/>
  <c r="C18" i="209"/>
  <c r="D18" i="209"/>
  <c r="E18" i="209"/>
  <c r="F18" i="209"/>
  <c r="G18" i="209"/>
  <c r="K18" i="209"/>
  <c r="B19" i="209"/>
  <c r="C19" i="209"/>
  <c r="D19" i="209"/>
  <c r="E19" i="209"/>
  <c r="F19" i="209"/>
  <c r="G19" i="209"/>
  <c r="K19" i="209"/>
  <c r="B20" i="209"/>
  <c r="C20" i="209"/>
  <c r="D20" i="209"/>
  <c r="E20" i="209"/>
  <c r="F20" i="209"/>
  <c r="G20" i="209"/>
  <c r="K20" i="209"/>
  <c r="B21" i="209"/>
  <c r="C21" i="209"/>
  <c r="D21" i="209"/>
  <c r="E21" i="209"/>
  <c r="F21" i="209"/>
  <c r="G21" i="209"/>
  <c r="K21" i="209"/>
  <c r="B22" i="209"/>
  <c r="C22" i="209"/>
  <c r="D22" i="209"/>
  <c r="E22" i="209"/>
  <c r="F22" i="209"/>
  <c r="G22" i="209"/>
  <c r="J22" i="209"/>
  <c r="K22" i="209"/>
  <c r="B23" i="209"/>
  <c r="C23" i="209"/>
  <c r="D23" i="209"/>
  <c r="E23" i="209"/>
  <c r="F23" i="209"/>
  <c r="G23" i="209"/>
  <c r="K23" i="209"/>
  <c r="B24" i="209"/>
  <c r="C24" i="209"/>
  <c r="D24" i="209"/>
  <c r="E24" i="209"/>
  <c r="F24" i="209"/>
  <c r="G24" i="209"/>
  <c r="K24" i="209"/>
  <c r="B25" i="209"/>
  <c r="C25" i="209"/>
  <c r="D25" i="209"/>
  <c r="E25" i="209"/>
  <c r="F25" i="209"/>
  <c r="G25" i="209"/>
  <c r="K25" i="209"/>
  <c r="B26" i="209"/>
  <c r="C26" i="209"/>
  <c r="D26" i="209"/>
  <c r="E26" i="209"/>
  <c r="F26" i="209"/>
  <c r="G26" i="209"/>
  <c r="K26" i="209"/>
  <c r="B27" i="209"/>
  <c r="C27" i="209"/>
  <c r="D27" i="209"/>
  <c r="E27" i="209"/>
  <c r="F27" i="209"/>
  <c r="G27" i="209"/>
  <c r="K27" i="209"/>
  <c r="H7" i="208"/>
  <c r="H6" i="209" s="1"/>
  <c r="I7" i="208"/>
  <c r="J7" i="208" s="1"/>
  <c r="J6" i="209" s="1"/>
  <c r="M7" i="208"/>
  <c r="N7" i="208"/>
  <c r="O7" i="208"/>
  <c r="H8" i="208"/>
  <c r="H7" i="209" s="1"/>
  <c r="I8" i="208"/>
  <c r="I7" i="209" s="1"/>
  <c r="J8" i="208"/>
  <c r="J7" i="209" s="1"/>
  <c r="M8" i="208"/>
  <c r="N8" i="208"/>
  <c r="O8" i="208"/>
  <c r="H9" i="208"/>
  <c r="H8" i="209" s="1"/>
  <c r="I9" i="208"/>
  <c r="J9" i="208" s="1"/>
  <c r="J8" i="209" s="1"/>
  <c r="M9" i="208"/>
  <c r="N9" i="208"/>
  <c r="O9" i="208"/>
  <c r="H10" i="208"/>
  <c r="I10" i="208"/>
  <c r="I9" i="209" s="1"/>
  <c r="J10" i="208"/>
  <c r="J9" i="209" s="1"/>
  <c r="M10" i="208"/>
  <c r="N10" i="208"/>
  <c r="O10" i="208"/>
  <c r="H11" i="208"/>
  <c r="H10" i="209" s="1"/>
  <c r="I11" i="208"/>
  <c r="J11" i="208" s="1"/>
  <c r="J10" i="209" s="1"/>
  <c r="M11" i="208"/>
  <c r="N11" i="208"/>
  <c r="O11" i="208"/>
  <c r="H12" i="208"/>
  <c r="H11" i="209" s="1"/>
  <c r="I12" i="208"/>
  <c r="I11" i="209" s="1"/>
  <c r="J12" i="208"/>
  <c r="J11" i="209" s="1"/>
  <c r="M12" i="208"/>
  <c r="N12" i="208"/>
  <c r="O12" i="208"/>
  <c r="H13" i="208"/>
  <c r="H12" i="209" s="1"/>
  <c r="I13" i="208"/>
  <c r="J13" i="208" s="1"/>
  <c r="J12" i="209" s="1"/>
  <c r="M13" i="208"/>
  <c r="N13" i="208"/>
  <c r="O13" i="208"/>
  <c r="H14" i="208"/>
  <c r="H13" i="209" s="1"/>
  <c r="I14" i="208"/>
  <c r="J14" i="208" s="1"/>
  <c r="J13" i="209" s="1"/>
  <c r="M14" i="208"/>
  <c r="N14" i="208"/>
  <c r="O14" i="208"/>
  <c r="H15" i="208"/>
  <c r="H14" i="209" s="1"/>
  <c r="I15" i="208"/>
  <c r="J15" i="208" s="1"/>
  <c r="J14" i="209" s="1"/>
  <c r="M15" i="208"/>
  <c r="N15" i="208"/>
  <c r="O15" i="208"/>
  <c r="H16" i="208"/>
  <c r="H15" i="209" s="1"/>
  <c r="I16" i="208"/>
  <c r="I15" i="209" s="1"/>
  <c r="J16" i="208"/>
  <c r="J15" i="209" s="1"/>
  <c r="M16" i="208"/>
  <c r="N16" i="208"/>
  <c r="O16" i="208"/>
  <c r="H17" i="208"/>
  <c r="H16" i="209" s="1"/>
  <c r="I17" i="208"/>
  <c r="J17" i="208" s="1"/>
  <c r="J16" i="209" s="1"/>
  <c r="M17" i="208"/>
  <c r="N17" i="208"/>
  <c r="O17" i="208"/>
  <c r="H18" i="208"/>
  <c r="H17" i="209" s="1"/>
  <c r="I18" i="208"/>
  <c r="J18" i="208" s="1"/>
  <c r="J17" i="209" s="1"/>
  <c r="M18" i="208"/>
  <c r="N18" i="208"/>
  <c r="O18" i="208"/>
  <c r="H19" i="208"/>
  <c r="H18" i="209" s="1"/>
  <c r="I19" i="208"/>
  <c r="J19" i="208" s="1"/>
  <c r="J18" i="209" s="1"/>
  <c r="M19" i="208"/>
  <c r="N19" i="208"/>
  <c r="O19" i="208"/>
  <c r="H20" i="208"/>
  <c r="H19" i="209" s="1"/>
  <c r="I20" i="208"/>
  <c r="J20" i="208" s="1"/>
  <c r="J19" i="209" s="1"/>
  <c r="M20" i="208"/>
  <c r="N20" i="208"/>
  <c r="O20" i="208"/>
  <c r="H21" i="208"/>
  <c r="H20" i="209" s="1"/>
  <c r="I21" i="208"/>
  <c r="J21" i="208" s="1"/>
  <c r="J20" i="209" s="1"/>
  <c r="M21" i="208"/>
  <c r="N21" i="208"/>
  <c r="O21" i="208"/>
  <c r="H22" i="208"/>
  <c r="H21" i="209" s="1"/>
  <c r="I22" i="208"/>
  <c r="I21" i="209" s="1"/>
  <c r="J22" i="208"/>
  <c r="J21" i="209" s="1"/>
  <c r="M22" i="208"/>
  <c r="N22" i="208"/>
  <c r="O22" i="208"/>
  <c r="H23" i="208"/>
  <c r="H22" i="209" s="1"/>
  <c r="I23" i="208"/>
  <c r="J23" i="208" s="1"/>
  <c r="M23" i="208"/>
  <c r="N23" i="208"/>
  <c r="O23" i="208"/>
  <c r="H24" i="208"/>
  <c r="H23" i="209" s="1"/>
  <c r="I24" i="208"/>
  <c r="I23" i="209" s="1"/>
  <c r="M24" i="208"/>
  <c r="N24" i="208"/>
  <c r="O24" i="208"/>
  <c r="H25" i="208"/>
  <c r="H24" i="209" s="1"/>
  <c r="I25" i="208"/>
  <c r="J25" i="208" s="1"/>
  <c r="J24" i="209" s="1"/>
  <c r="M25" i="208"/>
  <c r="N25" i="208"/>
  <c r="O25" i="208"/>
  <c r="H26" i="208"/>
  <c r="H25" i="209" s="1"/>
  <c r="I26" i="208"/>
  <c r="I25" i="209" s="1"/>
  <c r="M26" i="208"/>
  <c r="N26" i="208"/>
  <c r="O26" i="208"/>
  <c r="H27" i="208"/>
  <c r="H26" i="209" s="1"/>
  <c r="I27" i="208"/>
  <c r="J27" i="208" s="1"/>
  <c r="J26" i="209" s="1"/>
  <c r="M27" i="208"/>
  <c r="N27" i="208"/>
  <c r="O27" i="208"/>
  <c r="H28" i="208"/>
  <c r="H27" i="209" s="1"/>
  <c r="I28" i="208"/>
  <c r="I27" i="209" s="1"/>
  <c r="J28" i="208"/>
  <c r="J27" i="209" s="1"/>
  <c r="M28" i="208"/>
  <c r="N28" i="208"/>
  <c r="O28" i="208"/>
  <c r="H29" i="208"/>
  <c r="H28" i="209" s="1"/>
  <c r="I29" i="208"/>
  <c r="M29" i="208"/>
  <c r="N29" i="208"/>
  <c r="O29" i="208"/>
  <c r="C33" i="208"/>
  <c r="B44" i="208"/>
  <c r="B45" i="208"/>
  <c r="D7" i="207"/>
  <c r="F7" i="207"/>
  <c r="J7" i="207"/>
  <c r="L7" i="207"/>
  <c r="D8" i="207"/>
  <c r="F8" i="207"/>
  <c r="J8" i="207"/>
  <c r="L8" i="207"/>
  <c r="D9" i="207"/>
  <c r="F9" i="207"/>
  <c r="J9" i="207"/>
  <c r="L9" i="207"/>
  <c r="D10" i="207"/>
  <c r="F10" i="207"/>
  <c r="J10" i="207"/>
  <c r="L10" i="207"/>
  <c r="D11" i="207"/>
  <c r="F11" i="207"/>
  <c r="J11" i="207"/>
  <c r="L11" i="207"/>
  <c r="D12" i="207"/>
  <c r="F12" i="207"/>
  <c r="J12" i="207"/>
  <c r="L12" i="207"/>
  <c r="D13" i="207"/>
  <c r="F13" i="207"/>
  <c r="J13" i="207"/>
  <c r="L13" i="207"/>
  <c r="D14" i="207"/>
  <c r="F14" i="207"/>
  <c r="J14" i="207"/>
  <c r="L14" i="207"/>
  <c r="D15" i="207"/>
  <c r="F15" i="207"/>
  <c r="J15" i="207"/>
  <c r="L15" i="207"/>
  <c r="D16" i="207"/>
  <c r="F16" i="207"/>
  <c r="J16" i="207"/>
  <c r="L16" i="207"/>
  <c r="D17" i="207"/>
  <c r="F17" i="207"/>
  <c r="J17" i="207"/>
  <c r="L17" i="207"/>
  <c r="D18" i="207"/>
  <c r="F18" i="207"/>
  <c r="J18" i="207"/>
  <c r="L18" i="207"/>
  <c r="D19" i="207"/>
  <c r="F19" i="207"/>
  <c r="J19" i="207"/>
  <c r="L19" i="207"/>
  <c r="D20" i="207"/>
  <c r="F20" i="207"/>
  <c r="J20" i="207"/>
  <c r="L20" i="207"/>
  <c r="D21" i="207"/>
  <c r="F21" i="207"/>
  <c r="J21" i="207"/>
  <c r="L21" i="207"/>
  <c r="D22" i="207"/>
  <c r="F22" i="207"/>
  <c r="J22" i="207"/>
  <c r="L22" i="207"/>
  <c r="D23" i="207"/>
  <c r="F23" i="207"/>
  <c r="J23" i="207"/>
  <c r="L23" i="207"/>
  <c r="D24" i="207"/>
  <c r="F24" i="207"/>
  <c r="J24" i="207"/>
  <c r="L24" i="207"/>
  <c r="D25" i="207"/>
  <c r="F25" i="207"/>
  <c r="J25" i="207"/>
  <c r="L25" i="207"/>
  <c r="D26" i="207"/>
  <c r="F26" i="207"/>
  <c r="J26" i="207"/>
  <c r="L26" i="207"/>
  <c r="D27" i="207"/>
  <c r="F27" i="207"/>
  <c r="J27" i="207"/>
  <c r="L27" i="207"/>
  <c r="D28" i="207"/>
  <c r="F28" i="207"/>
  <c r="J28" i="207"/>
  <c r="L28" i="207"/>
  <c r="D29" i="207"/>
  <c r="F29" i="207"/>
  <c r="J29" i="207"/>
  <c r="L29" i="207"/>
  <c r="D30" i="207"/>
  <c r="F30" i="207"/>
  <c r="J30" i="207"/>
  <c r="L30" i="207"/>
  <c r="D31" i="207"/>
  <c r="F31" i="207"/>
  <c r="J31" i="207"/>
  <c r="L31" i="207"/>
  <c r="D32" i="207"/>
  <c r="F32" i="207"/>
  <c r="J32" i="207"/>
  <c r="L32" i="207"/>
  <c r="D33" i="207"/>
  <c r="F33" i="207"/>
  <c r="J33" i="207"/>
  <c r="L33" i="207"/>
  <c r="D34" i="207"/>
  <c r="F34" i="207"/>
  <c r="J34" i="207"/>
  <c r="L34" i="207"/>
  <c r="D35" i="207"/>
  <c r="F35" i="207"/>
  <c r="J35" i="207"/>
  <c r="L35" i="207"/>
  <c r="D36" i="207"/>
  <c r="F36" i="207"/>
  <c r="J36" i="207"/>
  <c r="L36" i="207"/>
  <c r="D37" i="207"/>
  <c r="F37" i="207"/>
  <c r="J37" i="207"/>
  <c r="L37" i="207"/>
  <c r="D38" i="207"/>
  <c r="F38" i="207"/>
  <c r="J38" i="207"/>
  <c r="L38" i="207"/>
  <c r="D39" i="207"/>
  <c r="F39" i="207"/>
  <c r="J39" i="207"/>
  <c r="L39" i="207"/>
  <c r="D40" i="207"/>
  <c r="F40" i="207"/>
  <c r="J40" i="207"/>
  <c r="L40" i="207"/>
  <c r="D41" i="207"/>
  <c r="F41" i="207"/>
  <c r="J41" i="207"/>
  <c r="L41" i="207"/>
  <c r="D42" i="207"/>
  <c r="F42" i="207"/>
  <c r="J42" i="207"/>
  <c r="L42" i="207"/>
  <c r="D43" i="207"/>
  <c r="F43" i="207"/>
  <c r="J43" i="207"/>
  <c r="L43" i="207"/>
  <c r="D44" i="207"/>
  <c r="F44" i="207"/>
  <c r="J44" i="207"/>
  <c r="L44" i="207"/>
  <c r="D45" i="207"/>
  <c r="F45" i="207"/>
  <c r="J45" i="207"/>
  <c r="L45" i="207"/>
  <c r="D46" i="207"/>
  <c r="F46" i="207"/>
  <c r="J46" i="207"/>
  <c r="L46" i="207"/>
  <c r="D47" i="207"/>
  <c r="F47" i="207"/>
  <c r="J47" i="207"/>
  <c r="L47" i="207"/>
  <c r="D48" i="207"/>
  <c r="F48" i="207"/>
  <c r="J48" i="207"/>
  <c r="L48" i="207"/>
  <c r="D49" i="207"/>
  <c r="F49" i="207"/>
  <c r="J49" i="207"/>
  <c r="L49" i="207"/>
  <c r="B6" i="206"/>
  <c r="Q6" i="206" s="1"/>
  <c r="C6" i="206"/>
  <c r="E6" i="206" s="1"/>
  <c r="H6" i="206"/>
  <c r="T6" i="206"/>
  <c r="W6" i="206"/>
  <c r="B7" i="206"/>
  <c r="Q7" i="206" s="1"/>
  <c r="C7" i="206"/>
  <c r="T7" i="206" s="1"/>
  <c r="H7" i="206"/>
  <c r="W7" i="206"/>
  <c r="B8" i="206"/>
  <c r="Q8" i="206" s="1"/>
  <c r="C8" i="206"/>
  <c r="E8" i="206" s="1"/>
  <c r="H8" i="206"/>
  <c r="W8" i="206"/>
  <c r="B9" i="206"/>
  <c r="Q9" i="206" s="1"/>
  <c r="C9" i="206"/>
  <c r="C9" i="207" s="1"/>
  <c r="H9" i="206"/>
  <c r="W9" i="206"/>
  <c r="B10" i="206"/>
  <c r="B10" i="207" s="1"/>
  <c r="C10" i="206"/>
  <c r="E10" i="206" s="1"/>
  <c r="H10" i="206"/>
  <c r="W10" i="206"/>
  <c r="B11" i="206"/>
  <c r="C11" i="206"/>
  <c r="T11" i="206" s="1"/>
  <c r="H11" i="206"/>
  <c r="W11" i="206"/>
  <c r="B12" i="206"/>
  <c r="Q12" i="206" s="1"/>
  <c r="C12" i="206"/>
  <c r="H12" i="206"/>
  <c r="W12" i="206"/>
  <c r="B13" i="206"/>
  <c r="B13" i="207" s="1"/>
  <c r="C13" i="206"/>
  <c r="K13" i="206" s="1"/>
  <c r="H13" i="206"/>
  <c r="W13" i="206"/>
  <c r="B14" i="206"/>
  <c r="B14" i="207" s="1"/>
  <c r="C14" i="206"/>
  <c r="E14" i="206" s="1"/>
  <c r="H14" i="206"/>
  <c r="W14" i="206"/>
  <c r="B15" i="206"/>
  <c r="B15" i="207" s="1"/>
  <c r="C15" i="206"/>
  <c r="T15" i="206" s="1"/>
  <c r="H15" i="206"/>
  <c r="W15" i="206"/>
  <c r="B16" i="206"/>
  <c r="B16" i="207" s="1"/>
  <c r="C16" i="206"/>
  <c r="E16" i="206" s="1"/>
  <c r="H16" i="206"/>
  <c r="W16" i="206"/>
  <c r="B17" i="206"/>
  <c r="C17" i="206"/>
  <c r="H17" i="206"/>
  <c r="W17" i="206"/>
  <c r="B18" i="206"/>
  <c r="C18" i="206"/>
  <c r="E18" i="206" s="1"/>
  <c r="H18" i="206"/>
  <c r="W18" i="206"/>
  <c r="B19" i="206"/>
  <c r="C19" i="206"/>
  <c r="E19" i="206" s="1"/>
  <c r="H19" i="206"/>
  <c r="W19" i="206"/>
  <c r="B20" i="206"/>
  <c r="B20" i="207" s="1"/>
  <c r="C20" i="206"/>
  <c r="E20" i="206" s="1"/>
  <c r="H20" i="206"/>
  <c r="M20" i="206"/>
  <c r="W20" i="206"/>
  <c r="B21" i="206"/>
  <c r="C21" i="206"/>
  <c r="C21" i="207" s="1"/>
  <c r="H21" i="206"/>
  <c r="W21" i="206"/>
  <c r="B22" i="206"/>
  <c r="C22" i="206"/>
  <c r="E22" i="206" s="1"/>
  <c r="H22" i="206"/>
  <c r="W22" i="206"/>
  <c r="B23" i="206"/>
  <c r="B23" i="207" s="1"/>
  <c r="C23" i="206"/>
  <c r="T23" i="206" s="1"/>
  <c r="E23" i="206"/>
  <c r="H23" i="206"/>
  <c r="W23" i="206"/>
  <c r="B24" i="206"/>
  <c r="C24" i="206"/>
  <c r="M24" i="206" s="1"/>
  <c r="H24" i="206"/>
  <c r="W24" i="206"/>
  <c r="B25" i="206"/>
  <c r="C25" i="206"/>
  <c r="K25" i="206" s="1"/>
  <c r="E25" i="206"/>
  <c r="H25" i="206"/>
  <c r="W25" i="206"/>
  <c r="B26" i="206"/>
  <c r="B26" i="207" s="1"/>
  <c r="C26" i="206"/>
  <c r="E26" i="206" s="1"/>
  <c r="H26" i="206"/>
  <c r="W26" i="206"/>
  <c r="B27" i="206"/>
  <c r="C27" i="206"/>
  <c r="T27" i="206" s="1"/>
  <c r="H27" i="206"/>
  <c r="W27" i="206"/>
  <c r="B28" i="206"/>
  <c r="B28" i="207" s="1"/>
  <c r="C28" i="206"/>
  <c r="M28" i="206" s="1"/>
  <c r="E28" i="206"/>
  <c r="H28" i="206"/>
  <c r="W28" i="206"/>
  <c r="B29" i="206"/>
  <c r="B29" i="207" s="1"/>
  <c r="C29" i="206"/>
  <c r="E29" i="206" s="1"/>
  <c r="H29" i="206"/>
  <c r="W29" i="206"/>
  <c r="B30" i="206"/>
  <c r="C30" i="206"/>
  <c r="E30" i="206" s="1"/>
  <c r="H30" i="206"/>
  <c r="W30" i="206"/>
  <c r="B31" i="206"/>
  <c r="B31" i="207" s="1"/>
  <c r="C31" i="206"/>
  <c r="T31" i="206" s="1"/>
  <c r="H31" i="206"/>
  <c r="W31" i="206"/>
  <c r="B32" i="206"/>
  <c r="B32" i="207" s="1"/>
  <c r="C32" i="206"/>
  <c r="E32" i="206" s="1"/>
  <c r="H32" i="206"/>
  <c r="W32" i="206"/>
  <c r="B33" i="206"/>
  <c r="B33" i="207" s="1"/>
  <c r="C33" i="206"/>
  <c r="H33" i="206"/>
  <c r="W33" i="206"/>
  <c r="B34" i="206"/>
  <c r="C34" i="206"/>
  <c r="H34" i="206"/>
  <c r="W34" i="206"/>
  <c r="B35" i="206"/>
  <c r="B35" i="207" s="1"/>
  <c r="C35" i="206"/>
  <c r="T35" i="206" s="1"/>
  <c r="H35" i="206"/>
  <c r="W35" i="206"/>
  <c r="B36" i="206"/>
  <c r="C36" i="206"/>
  <c r="H36" i="206"/>
  <c r="W36" i="206"/>
  <c r="B37" i="206"/>
  <c r="Q37" i="206" s="1"/>
  <c r="C37" i="206"/>
  <c r="M37" i="206" s="1"/>
  <c r="H37" i="206"/>
  <c r="W37" i="206"/>
  <c r="B38" i="206"/>
  <c r="B38" i="207" s="1"/>
  <c r="C38" i="206"/>
  <c r="E38" i="206" s="1"/>
  <c r="H38" i="206"/>
  <c r="W38" i="206"/>
  <c r="B39" i="206"/>
  <c r="C39" i="206"/>
  <c r="T39" i="206" s="1"/>
  <c r="H39" i="206"/>
  <c r="W39" i="206"/>
  <c r="B40" i="206"/>
  <c r="B40" i="207" s="1"/>
  <c r="C40" i="206"/>
  <c r="M40" i="206" s="1"/>
  <c r="E40" i="206"/>
  <c r="H40" i="206"/>
  <c r="W40" i="206"/>
  <c r="B41" i="206"/>
  <c r="B41" i="207" s="1"/>
  <c r="C41" i="206"/>
  <c r="H41" i="206"/>
  <c r="W41" i="206"/>
  <c r="B42" i="206"/>
  <c r="C42" i="206"/>
  <c r="E42" i="206" s="1"/>
  <c r="H42" i="206"/>
  <c r="W42" i="206"/>
  <c r="B43" i="206"/>
  <c r="B43" i="207" s="1"/>
  <c r="C43" i="206"/>
  <c r="T43" i="206" s="1"/>
  <c r="H43" i="206"/>
  <c r="W43" i="206"/>
  <c r="B44" i="206"/>
  <c r="B44" i="207" s="1"/>
  <c r="C44" i="206"/>
  <c r="H44" i="206"/>
  <c r="W44" i="206"/>
  <c r="B45" i="206"/>
  <c r="B45" i="207" s="1"/>
  <c r="C45" i="206"/>
  <c r="H45" i="206"/>
  <c r="W45" i="206"/>
  <c r="B46" i="206"/>
  <c r="C46" i="206"/>
  <c r="H46" i="206"/>
  <c r="W46" i="206"/>
  <c r="B47" i="206"/>
  <c r="B47" i="207" s="1"/>
  <c r="C47" i="206"/>
  <c r="T47" i="206" s="1"/>
  <c r="H47" i="206"/>
  <c r="W47" i="206"/>
  <c r="B48" i="206"/>
  <c r="C48" i="206"/>
  <c r="H48" i="206"/>
  <c r="W48" i="206"/>
  <c r="B49" i="206"/>
  <c r="Q49" i="206" s="1"/>
  <c r="C49" i="206"/>
  <c r="M49" i="206" s="1"/>
  <c r="H49" i="206"/>
  <c r="W49" i="206"/>
  <c r="B50" i="206"/>
  <c r="B50" i="207" s="1"/>
  <c r="C50" i="206"/>
  <c r="C50" i="207" s="1"/>
  <c r="H50" i="206"/>
  <c r="W50" i="206"/>
  <c r="N70" i="206"/>
  <c r="B6" i="205"/>
  <c r="C6" i="205"/>
  <c r="M6" i="205" s="1"/>
  <c r="H6" i="205"/>
  <c r="P6" i="205"/>
  <c r="B7" i="205"/>
  <c r="C7" i="205"/>
  <c r="G7" i="205" s="1"/>
  <c r="H7" i="205"/>
  <c r="P7" i="205"/>
  <c r="B8" i="205"/>
  <c r="Q8" i="205" s="1"/>
  <c r="C8" i="205"/>
  <c r="E8" i="205" s="1"/>
  <c r="H8" i="205"/>
  <c r="P8" i="205"/>
  <c r="B9" i="205"/>
  <c r="C9" i="204" s="1"/>
  <c r="C9" i="205"/>
  <c r="D9" i="204" s="1"/>
  <c r="H9" i="205"/>
  <c r="P9" i="205"/>
  <c r="B10" i="205"/>
  <c r="C10" i="204" s="1"/>
  <c r="C10" i="205"/>
  <c r="E10" i="205" s="1"/>
  <c r="H10" i="205"/>
  <c r="P10" i="205"/>
  <c r="B11" i="205"/>
  <c r="C11" i="204" s="1"/>
  <c r="C11" i="205"/>
  <c r="E11" i="205" s="1"/>
  <c r="H11" i="205"/>
  <c r="P11" i="205"/>
  <c r="B12" i="205"/>
  <c r="C12" i="205"/>
  <c r="D12" i="204" s="1"/>
  <c r="H12" i="205"/>
  <c r="P12" i="205"/>
  <c r="B13" i="205"/>
  <c r="C13" i="205"/>
  <c r="K13" i="205" s="1"/>
  <c r="H13" i="205"/>
  <c r="P13" i="205"/>
  <c r="B14" i="205"/>
  <c r="C14" i="205"/>
  <c r="G14" i="205" s="1"/>
  <c r="H14" i="205"/>
  <c r="P14" i="205"/>
  <c r="B15" i="205"/>
  <c r="C15" i="205"/>
  <c r="E15" i="205" s="1"/>
  <c r="H15" i="205"/>
  <c r="P15" i="205"/>
  <c r="B16" i="205"/>
  <c r="C16" i="205"/>
  <c r="M16" i="205" s="1"/>
  <c r="H16" i="205"/>
  <c r="P16" i="205"/>
  <c r="B17" i="205"/>
  <c r="C17" i="204" s="1"/>
  <c r="C17" i="205"/>
  <c r="E17" i="205" s="1"/>
  <c r="G17" i="205"/>
  <c r="H17" i="205"/>
  <c r="P17" i="205"/>
  <c r="B18" i="205"/>
  <c r="C18" i="204" s="1"/>
  <c r="C18" i="205"/>
  <c r="G18" i="205" s="1"/>
  <c r="H18" i="205"/>
  <c r="P18" i="205"/>
  <c r="B19" i="205"/>
  <c r="C19" i="205"/>
  <c r="G19" i="205" s="1"/>
  <c r="E19" i="205"/>
  <c r="H19" i="205"/>
  <c r="P19" i="205"/>
  <c r="B20" i="205"/>
  <c r="C20" i="205"/>
  <c r="E20" i="205" s="1"/>
  <c r="H20" i="205"/>
  <c r="P20" i="205"/>
  <c r="B21" i="205"/>
  <c r="C21" i="205"/>
  <c r="D21" i="204" s="1"/>
  <c r="H21" i="205"/>
  <c r="P21" i="205"/>
  <c r="B22" i="205"/>
  <c r="C22" i="204" s="1"/>
  <c r="C22" i="205"/>
  <c r="E22" i="205" s="1"/>
  <c r="H22" i="205"/>
  <c r="P22" i="205"/>
  <c r="B23" i="205"/>
  <c r="C23" i="204" s="1"/>
  <c r="C23" i="205"/>
  <c r="E23" i="205" s="1"/>
  <c r="H23" i="205"/>
  <c r="P23" i="205"/>
  <c r="B24" i="205"/>
  <c r="C24" i="204" s="1"/>
  <c r="C24" i="205"/>
  <c r="H24" i="205"/>
  <c r="P24" i="205"/>
  <c r="B25" i="205"/>
  <c r="C25" i="204" s="1"/>
  <c r="C25" i="205"/>
  <c r="K25" i="205" s="1"/>
  <c r="H25" i="205"/>
  <c r="P25" i="205"/>
  <c r="B26" i="205"/>
  <c r="C26" i="205"/>
  <c r="G26" i="205" s="1"/>
  <c r="H26" i="205"/>
  <c r="P26" i="205"/>
  <c r="B27" i="205"/>
  <c r="E27" i="205"/>
  <c r="G27" i="205"/>
  <c r="H27" i="205"/>
  <c r="I27" i="205" s="1"/>
  <c r="K27" i="205"/>
  <c r="M27" i="205"/>
  <c r="P27" i="205"/>
  <c r="R27" i="205" s="1"/>
  <c r="B28" i="205"/>
  <c r="C28" i="205"/>
  <c r="G28" i="205" s="1"/>
  <c r="H28" i="205"/>
  <c r="P28" i="205"/>
  <c r="B29" i="205"/>
  <c r="C29" i="204" s="1"/>
  <c r="C29" i="205"/>
  <c r="E29" i="205" s="1"/>
  <c r="H29" i="205"/>
  <c r="P29" i="205"/>
  <c r="B30" i="205"/>
  <c r="C30" i="204" s="1"/>
  <c r="C30" i="205"/>
  <c r="G30" i="205" s="1"/>
  <c r="H30" i="205"/>
  <c r="I30" i="205" s="1"/>
  <c r="K30" i="205"/>
  <c r="P30" i="205"/>
  <c r="B31" i="205"/>
  <c r="C31" i="204" s="1"/>
  <c r="C31" i="205"/>
  <c r="K31" i="205" s="1"/>
  <c r="H31" i="205"/>
  <c r="P31" i="205"/>
  <c r="B32" i="205"/>
  <c r="C32" i="205"/>
  <c r="D32" i="204" s="1"/>
  <c r="H32" i="205"/>
  <c r="I32" i="205" s="1"/>
  <c r="P32" i="205"/>
  <c r="B33" i="205"/>
  <c r="C33" i="205"/>
  <c r="H33" i="205"/>
  <c r="P33" i="205"/>
  <c r="B34" i="205"/>
  <c r="C34" i="204" s="1"/>
  <c r="C34" i="205"/>
  <c r="E34" i="205" s="1"/>
  <c r="H34" i="205"/>
  <c r="P34" i="205"/>
  <c r="B35" i="205"/>
  <c r="C35" i="204" s="1"/>
  <c r="C35" i="205"/>
  <c r="H35" i="205"/>
  <c r="P35" i="205"/>
  <c r="B36" i="205"/>
  <c r="C36" i="205"/>
  <c r="D36" i="204" s="1"/>
  <c r="H36" i="205"/>
  <c r="P36" i="205"/>
  <c r="B37" i="205"/>
  <c r="C37" i="204" s="1"/>
  <c r="C37" i="205"/>
  <c r="H37" i="205"/>
  <c r="P37" i="205"/>
  <c r="B38" i="205"/>
  <c r="C38" i="205"/>
  <c r="K38" i="205" s="1"/>
  <c r="H38" i="205"/>
  <c r="P38" i="205"/>
  <c r="B39" i="205"/>
  <c r="C39" i="204" s="1"/>
  <c r="C39" i="205"/>
  <c r="G39" i="205" s="1"/>
  <c r="H39" i="205"/>
  <c r="P39" i="205"/>
  <c r="B40" i="205"/>
  <c r="C40" i="205"/>
  <c r="H40" i="205"/>
  <c r="P40" i="205"/>
  <c r="B41" i="205"/>
  <c r="C41" i="205"/>
  <c r="E41" i="205" s="1"/>
  <c r="H41" i="205"/>
  <c r="P41" i="205"/>
  <c r="B42" i="205"/>
  <c r="C42" i="204" s="1"/>
  <c r="C42" i="205"/>
  <c r="E42" i="205" s="1"/>
  <c r="H42" i="205"/>
  <c r="P42" i="205"/>
  <c r="B43" i="205"/>
  <c r="C43" i="204" s="1"/>
  <c r="C43" i="205"/>
  <c r="E43" i="205" s="1"/>
  <c r="H43" i="205"/>
  <c r="P43" i="205"/>
  <c r="B44" i="205"/>
  <c r="C44" i="205"/>
  <c r="E44" i="205" s="1"/>
  <c r="H44" i="205"/>
  <c r="P44" i="205"/>
  <c r="B45" i="205"/>
  <c r="C45" i="204" s="1"/>
  <c r="C45" i="205"/>
  <c r="E45" i="205" s="1"/>
  <c r="H45" i="205"/>
  <c r="P45" i="205"/>
  <c r="B46" i="205"/>
  <c r="Q46" i="205" s="1"/>
  <c r="C46" i="205"/>
  <c r="H46" i="205"/>
  <c r="P46" i="205"/>
  <c r="B47" i="205"/>
  <c r="C47" i="205"/>
  <c r="E47" i="205" s="1"/>
  <c r="H47" i="205"/>
  <c r="P47" i="205"/>
  <c r="B48" i="205"/>
  <c r="C48" i="205"/>
  <c r="E48" i="205" s="1"/>
  <c r="H48" i="205"/>
  <c r="P48" i="205"/>
  <c r="B49" i="205"/>
  <c r="C49" i="204" s="1"/>
  <c r="C49" i="205"/>
  <c r="D49" i="204" s="1"/>
  <c r="H49" i="205"/>
  <c r="P49" i="205"/>
  <c r="B50" i="205"/>
  <c r="C50" i="204" s="1"/>
  <c r="C50" i="205"/>
  <c r="H50" i="205"/>
  <c r="P50" i="205"/>
  <c r="D54" i="205"/>
  <c r="F54" i="205"/>
  <c r="J54" i="205"/>
  <c r="L54" i="205"/>
  <c r="D55" i="205"/>
  <c r="F55" i="205"/>
  <c r="J55" i="205"/>
  <c r="L55" i="205"/>
  <c r="D56" i="205"/>
  <c r="F56" i="205"/>
  <c r="J56" i="205"/>
  <c r="L56" i="205"/>
  <c r="D58" i="205"/>
  <c r="F58" i="205"/>
  <c r="J58" i="205"/>
  <c r="L58" i="205"/>
  <c r="D59" i="205"/>
  <c r="F59" i="205"/>
  <c r="J59" i="205"/>
  <c r="L59" i="205"/>
  <c r="D60" i="205"/>
  <c r="F60" i="205"/>
  <c r="J60" i="205"/>
  <c r="L60" i="205"/>
  <c r="D62" i="205"/>
  <c r="F62" i="205"/>
  <c r="J62" i="205"/>
  <c r="L62" i="205"/>
  <c r="D63" i="205"/>
  <c r="F63" i="205"/>
  <c r="J63" i="205"/>
  <c r="L63" i="205"/>
  <c r="D64" i="205"/>
  <c r="F64" i="205"/>
  <c r="J64" i="205"/>
  <c r="L64" i="205"/>
  <c r="D66" i="205"/>
  <c r="F66" i="205"/>
  <c r="J66" i="205"/>
  <c r="L66" i="205"/>
  <c r="D67" i="205"/>
  <c r="F67" i="205"/>
  <c r="J67" i="205"/>
  <c r="L67" i="205"/>
  <c r="D68" i="205"/>
  <c r="F68" i="205"/>
  <c r="J68" i="205"/>
  <c r="L68" i="205"/>
  <c r="E7" i="204"/>
  <c r="G7" i="204"/>
  <c r="K7" i="204"/>
  <c r="M7" i="204"/>
  <c r="E8" i="204"/>
  <c r="G8" i="204"/>
  <c r="K8" i="204"/>
  <c r="M8" i="204"/>
  <c r="E9" i="204"/>
  <c r="G9" i="204"/>
  <c r="K9" i="204"/>
  <c r="M9" i="204"/>
  <c r="E10" i="204"/>
  <c r="G10" i="204"/>
  <c r="K10" i="204"/>
  <c r="M10" i="204"/>
  <c r="E11" i="204"/>
  <c r="G11" i="204"/>
  <c r="K11" i="204"/>
  <c r="M11" i="204"/>
  <c r="C12" i="204"/>
  <c r="E12" i="204"/>
  <c r="G12" i="204"/>
  <c r="K12" i="204"/>
  <c r="M12" i="204"/>
  <c r="E13" i="204"/>
  <c r="G13" i="204"/>
  <c r="K13" i="204"/>
  <c r="M13" i="204"/>
  <c r="E14" i="204"/>
  <c r="G14" i="204"/>
  <c r="K14" i="204"/>
  <c r="M14" i="204"/>
  <c r="C15" i="204"/>
  <c r="E15" i="204"/>
  <c r="G15" i="204"/>
  <c r="K15" i="204"/>
  <c r="M15" i="204"/>
  <c r="E16" i="204"/>
  <c r="G16" i="204"/>
  <c r="K16" i="204"/>
  <c r="M16" i="204"/>
  <c r="E17" i="204"/>
  <c r="G17" i="204"/>
  <c r="K17" i="204"/>
  <c r="M17" i="204"/>
  <c r="E18" i="204"/>
  <c r="G18" i="204"/>
  <c r="K18" i="204"/>
  <c r="M18" i="204"/>
  <c r="E19" i="204"/>
  <c r="G19" i="204"/>
  <c r="K19" i="204"/>
  <c r="M19" i="204"/>
  <c r="E20" i="204"/>
  <c r="G20" i="204"/>
  <c r="K20" i="204"/>
  <c r="M20" i="204"/>
  <c r="E21" i="204"/>
  <c r="G21" i="204"/>
  <c r="K21" i="204"/>
  <c r="M21" i="204"/>
  <c r="E22" i="204"/>
  <c r="G22" i="204"/>
  <c r="K22" i="204"/>
  <c r="M22" i="204"/>
  <c r="D23" i="204"/>
  <c r="E23" i="204"/>
  <c r="G23" i="204"/>
  <c r="K23" i="204"/>
  <c r="M23" i="204"/>
  <c r="E24" i="204"/>
  <c r="G24" i="204"/>
  <c r="K24" i="204"/>
  <c r="M24" i="204"/>
  <c r="E25" i="204"/>
  <c r="G25" i="204"/>
  <c r="K25" i="204"/>
  <c r="M25" i="204"/>
  <c r="E26" i="204"/>
  <c r="G26" i="204"/>
  <c r="K26" i="204"/>
  <c r="M26" i="204"/>
  <c r="C27" i="204"/>
  <c r="D27" i="204"/>
  <c r="E27" i="204"/>
  <c r="G27" i="204"/>
  <c r="K27" i="204"/>
  <c r="M27" i="204"/>
  <c r="E28" i="204"/>
  <c r="G28" i="204"/>
  <c r="K28" i="204"/>
  <c r="M28" i="204"/>
  <c r="E29" i="204"/>
  <c r="G29" i="204"/>
  <c r="K29" i="204"/>
  <c r="M29" i="204"/>
  <c r="D30" i="204"/>
  <c r="E30" i="204"/>
  <c r="G30" i="204"/>
  <c r="K30" i="204"/>
  <c r="M30" i="204"/>
  <c r="E31" i="204"/>
  <c r="G31" i="204"/>
  <c r="K31" i="204"/>
  <c r="M31" i="204"/>
  <c r="E32" i="204"/>
  <c r="G32" i="204"/>
  <c r="K32" i="204"/>
  <c r="M32" i="204"/>
  <c r="D33" i="204"/>
  <c r="E33" i="204"/>
  <c r="G33" i="204"/>
  <c r="K33" i="204"/>
  <c r="M33" i="204"/>
  <c r="E34" i="204"/>
  <c r="G34" i="204"/>
  <c r="K34" i="204"/>
  <c r="M34" i="204"/>
  <c r="E35" i="204"/>
  <c r="G35" i="204"/>
  <c r="K35" i="204"/>
  <c r="M35" i="204"/>
  <c r="E36" i="204"/>
  <c r="G36" i="204"/>
  <c r="K36" i="204"/>
  <c r="M36" i="204"/>
  <c r="E37" i="204"/>
  <c r="G37" i="204"/>
  <c r="K37" i="204"/>
  <c r="M37" i="204"/>
  <c r="E38" i="204"/>
  <c r="G38" i="204"/>
  <c r="K38" i="204"/>
  <c r="M38" i="204"/>
  <c r="E39" i="204"/>
  <c r="G39" i="204"/>
  <c r="K39" i="204"/>
  <c r="M39" i="204"/>
  <c r="E40" i="204"/>
  <c r="G40" i="204"/>
  <c r="K40" i="204"/>
  <c r="M40" i="204"/>
  <c r="E41" i="204"/>
  <c r="G41" i="204"/>
  <c r="K41" i="204"/>
  <c r="M41" i="204"/>
  <c r="E42" i="204"/>
  <c r="G42" i="204"/>
  <c r="K42" i="204"/>
  <c r="M42" i="204"/>
  <c r="E43" i="204"/>
  <c r="G43" i="204"/>
  <c r="K43" i="204"/>
  <c r="M43" i="204"/>
  <c r="E44" i="204"/>
  <c r="G44" i="204"/>
  <c r="K44" i="204"/>
  <c r="M44" i="204"/>
  <c r="E45" i="204"/>
  <c r="G45" i="204"/>
  <c r="K45" i="204"/>
  <c r="M45" i="204"/>
  <c r="E46" i="204"/>
  <c r="G46" i="204"/>
  <c r="K46" i="204"/>
  <c r="M46" i="204"/>
  <c r="E47" i="204"/>
  <c r="G47" i="204"/>
  <c r="K47" i="204"/>
  <c r="M47" i="204"/>
  <c r="E48" i="204"/>
  <c r="G48" i="204"/>
  <c r="K48" i="204"/>
  <c r="M48" i="204"/>
  <c r="G5" i="203"/>
  <c r="H5" i="203"/>
  <c r="I5" i="203"/>
  <c r="J5" i="203"/>
  <c r="M5" i="203"/>
  <c r="N5" i="203"/>
  <c r="O5" i="203"/>
  <c r="G6" i="203"/>
  <c r="H6" i="203"/>
  <c r="I6" i="203"/>
  <c r="J6" i="203"/>
  <c r="M6" i="203"/>
  <c r="N6" i="203"/>
  <c r="O6" i="203"/>
  <c r="G7" i="203"/>
  <c r="H7" i="203"/>
  <c r="I7" i="203"/>
  <c r="J7" i="203"/>
  <c r="M7" i="203"/>
  <c r="N7" i="203"/>
  <c r="O7" i="203"/>
  <c r="G8" i="203"/>
  <c r="H8" i="203"/>
  <c r="I8" i="203"/>
  <c r="J8" i="203"/>
  <c r="M8" i="203"/>
  <c r="N8" i="203"/>
  <c r="O8" i="203"/>
  <c r="G9" i="203"/>
  <c r="H9" i="203"/>
  <c r="I9" i="203"/>
  <c r="J9" i="203"/>
  <c r="M9" i="203"/>
  <c r="N9" i="203"/>
  <c r="O9" i="203"/>
  <c r="G10" i="203"/>
  <c r="H10" i="203"/>
  <c r="I10" i="203"/>
  <c r="J10" i="203"/>
  <c r="M10" i="203"/>
  <c r="N10" i="203"/>
  <c r="O10" i="203"/>
  <c r="G11" i="203"/>
  <c r="H11" i="203"/>
  <c r="I11" i="203"/>
  <c r="J11" i="203"/>
  <c r="M11" i="203"/>
  <c r="N11" i="203"/>
  <c r="O11" i="203"/>
  <c r="G12" i="203"/>
  <c r="H12" i="203"/>
  <c r="I12" i="203"/>
  <c r="J12" i="203"/>
  <c r="M12" i="203"/>
  <c r="N12" i="203"/>
  <c r="O12" i="203"/>
  <c r="G13" i="203"/>
  <c r="H13" i="203"/>
  <c r="I13" i="203"/>
  <c r="J13" i="203"/>
  <c r="M13" i="203"/>
  <c r="N13" i="203"/>
  <c r="O13" i="203"/>
  <c r="G14" i="203"/>
  <c r="H14" i="203"/>
  <c r="I14" i="203"/>
  <c r="J14" i="203"/>
  <c r="M14" i="203"/>
  <c r="N14" i="203"/>
  <c r="O14" i="203"/>
  <c r="G15" i="203"/>
  <c r="H15" i="203"/>
  <c r="I15" i="203"/>
  <c r="J15" i="203"/>
  <c r="M15" i="203"/>
  <c r="N15" i="203"/>
  <c r="O15" i="203"/>
  <c r="G16" i="203"/>
  <c r="H16" i="203"/>
  <c r="I16" i="203"/>
  <c r="J16" i="203"/>
  <c r="M16" i="203"/>
  <c r="N16" i="203"/>
  <c r="O16" i="203"/>
  <c r="G17" i="203"/>
  <c r="H17" i="203"/>
  <c r="I17" i="203"/>
  <c r="J17" i="203"/>
  <c r="M17" i="203"/>
  <c r="N17" i="203"/>
  <c r="O17" i="203"/>
  <c r="G18" i="203"/>
  <c r="H18" i="203"/>
  <c r="I18" i="203"/>
  <c r="J18" i="203"/>
  <c r="M18" i="203"/>
  <c r="N18" i="203"/>
  <c r="O18" i="203"/>
  <c r="G19" i="203"/>
  <c r="H19" i="203"/>
  <c r="I19" i="203"/>
  <c r="J19" i="203"/>
  <c r="M19" i="203"/>
  <c r="N19" i="203"/>
  <c r="O19" i="203"/>
  <c r="G20" i="203"/>
  <c r="H20" i="203"/>
  <c r="I20" i="203"/>
  <c r="J20" i="203"/>
  <c r="M20" i="203"/>
  <c r="N20" i="203"/>
  <c r="O20" i="203"/>
  <c r="G21" i="203"/>
  <c r="H21" i="203"/>
  <c r="I21" i="203"/>
  <c r="J21" i="203"/>
  <c r="M21" i="203"/>
  <c r="N21" i="203"/>
  <c r="O21" i="203"/>
  <c r="G22" i="203"/>
  <c r="H22" i="203"/>
  <c r="I22" i="203"/>
  <c r="J22" i="203"/>
  <c r="M22" i="203"/>
  <c r="N22" i="203"/>
  <c r="O22" i="203"/>
  <c r="G23" i="203"/>
  <c r="H23" i="203"/>
  <c r="I23" i="203"/>
  <c r="J23" i="203"/>
  <c r="M23" i="203"/>
  <c r="N23" i="203"/>
  <c r="O23" i="203"/>
  <c r="G24" i="203"/>
  <c r="H24" i="203"/>
  <c r="I24" i="203"/>
  <c r="J24" i="203"/>
  <c r="M24" i="203"/>
  <c r="N24" i="203"/>
  <c r="O24" i="203"/>
  <c r="G25" i="203"/>
  <c r="H25" i="203"/>
  <c r="I25" i="203"/>
  <c r="J25" i="203"/>
  <c r="M25" i="203"/>
  <c r="N25" i="203"/>
  <c r="O25" i="203"/>
  <c r="G26" i="203"/>
  <c r="H26" i="203"/>
  <c r="I26" i="203"/>
  <c r="J26" i="203"/>
  <c r="M26" i="203"/>
  <c r="N26" i="203"/>
  <c r="O26" i="203"/>
  <c r="G27" i="203"/>
  <c r="H27" i="203"/>
  <c r="I27" i="203"/>
  <c r="J27" i="203"/>
  <c r="M27" i="203"/>
  <c r="N27" i="203"/>
  <c r="O27" i="203"/>
  <c r="G28" i="203"/>
  <c r="H28" i="203"/>
  <c r="I28" i="203"/>
  <c r="J28" i="203"/>
  <c r="M28" i="203"/>
  <c r="N28" i="203"/>
  <c r="O28" i="203"/>
  <c r="G29" i="203"/>
  <c r="H29" i="203"/>
  <c r="I29" i="203"/>
  <c r="J29" i="203"/>
  <c r="M29" i="203"/>
  <c r="N29" i="203"/>
  <c r="O29" i="203"/>
  <c r="G30" i="203"/>
  <c r="H30" i="203"/>
  <c r="I30" i="203"/>
  <c r="J30" i="203"/>
  <c r="M30" i="203"/>
  <c r="N30" i="203"/>
  <c r="O30" i="203"/>
  <c r="G31" i="203"/>
  <c r="H31" i="203"/>
  <c r="I31" i="203"/>
  <c r="J31" i="203"/>
  <c r="M31" i="203"/>
  <c r="N31" i="203"/>
  <c r="O31" i="203"/>
  <c r="G32" i="203"/>
  <c r="H32" i="203"/>
  <c r="I32" i="203"/>
  <c r="J32" i="203"/>
  <c r="M32" i="203"/>
  <c r="N32" i="203"/>
  <c r="O32" i="203"/>
  <c r="G33" i="203"/>
  <c r="H33" i="203"/>
  <c r="I33" i="203"/>
  <c r="J33" i="203"/>
  <c r="M33" i="203"/>
  <c r="N33" i="203"/>
  <c r="O33" i="203"/>
  <c r="G34" i="203"/>
  <c r="H34" i="203"/>
  <c r="I34" i="203"/>
  <c r="J34" i="203"/>
  <c r="M34" i="203"/>
  <c r="N34" i="203"/>
  <c r="O34" i="203"/>
  <c r="G35" i="203"/>
  <c r="H35" i="203"/>
  <c r="I35" i="203"/>
  <c r="J35" i="203"/>
  <c r="M35" i="203"/>
  <c r="N35" i="203"/>
  <c r="O35" i="203"/>
  <c r="G36" i="203"/>
  <c r="H36" i="203"/>
  <c r="I36" i="203"/>
  <c r="J36" i="203"/>
  <c r="M36" i="203"/>
  <c r="N36" i="203"/>
  <c r="O36" i="203"/>
  <c r="G37" i="203"/>
  <c r="H37" i="203"/>
  <c r="I37" i="203"/>
  <c r="J37" i="203"/>
  <c r="M37" i="203"/>
  <c r="N37" i="203"/>
  <c r="O37" i="203"/>
  <c r="G38" i="203"/>
  <c r="H38" i="203"/>
  <c r="I38" i="203"/>
  <c r="J38" i="203"/>
  <c r="M38" i="203"/>
  <c r="N38" i="203"/>
  <c r="O38" i="203"/>
  <c r="G39" i="203"/>
  <c r="H39" i="203"/>
  <c r="I39" i="203"/>
  <c r="J39" i="203"/>
  <c r="M39" i="203"/>
  <c r="N39" i="203"/>
  <c r="O39" i="203"/>
  <c r="G40" i="203"/>
  <c r="H40" i="203"/>
  <c r="I40" i="203"/>
  <c r="J40" i="203"/>
  <c r="M40" i="203"/>
  <c r="N40" i="203"/>
  <c r="O40" i="203"/>
  <c r="G41" i="203"/>
  <c r="H41" i="203"/>
  <c r="I41" i="203"/>
  <c r="J41" i="203"/>
  <c r="M41" i="203"/>
  <c r="N41" i="203"/>
  <c r="O41" i="203"/>
  <c r="G42" i="203"/>
  <c r="H42" i="203"/>
  <c r="I42" i="203"/>
  <c r="J42" i="203"/>
  <c r="M42" i="203"/>
  <c r="N42" i="203"/>
  <c r="O42" i="203"/>
  <c r="G43" i="203"/>
  <c r="H43" i="203"/>
  <c r="I43" i="203"/>
  <c r="J43" i="203"/>
  <c r="M43" i="203"/>
  <c r="N43" i="203"/>
  <c r="O43" i="203"/>
  <c r="G44" i="203"/>
  <c r="H44" i="203"/>
  <c r="I44" i="203"/>
  <c r="J44" i="203"/>
  <c r="M44" i="203"/>
  <c r="N44" i="203"/>
  <c r="O44" i="203"/>
  <c r="G45" i="203"/>
  <c r="H45" i="203"/>
  <c r="I45" i="203"/>
  <c r="J45" i="203"/>
  <c r="M45" i="203"/>
  <c r="N45" i="203"/>
  <c r="O45" i="203"/>
  <c r="G46" i="203"/>
  <c r="H46" i="203"/>
  <c r="I46" i="203"/>
  <c r="J46" i="203"/>
  <c r="M46" i="203"/>
  <c r="N46" i="203"/>
  <c r="O46" i="203"/>
  <c r="G47" i="203"/>
  <c r="H47" i="203"/>
  <c r="I47" i="203"/>
  <c r="J47" i="203"/>
  <c r="M47" i="203"/>
  <c r="N47" i="203"/>
  <c r="O47" i="203"/>
  <c r="G48" i="203"/>
  <c r="H48" i="203"/>
  <c r="I48" i="203"/>
  <c r="J48" i="203"/>
  <c r="M48" i="203"/>
  <c r="N48" i="203"/>
  <c r="O48" i="203"/>
  <c r="G49" i="203"/>
  <c r="H49" i="203"/>
  <c r="I49" i="203"/>
  <c r="J49" i="203"/>
  <c r="M49" i="203"/>
  <c r="N49" i="203"/>
  <c r="O49" i="203"/>
  <c r="B53" i="203"/>
  <c r="C53" i="203"/>
  <c r="D53" i="203"/>
  <c r="E53" i="203"/>
  <c r="F53" i="203"/>
  <c r="M53" i="203"/>
  <c r="M54" i="203" s="1"/>
  <c r="B54" i="203"/>
  <c r="C54" i="203"/>
  <c r="D54" i="203"/>
  <c r="E54" i="203"/>
  <c r="F54" i="203"/>
  <c r="B55" i="203"/>
  <c r="C55" i="203"/>
  <c r="D55" i="203"/>
  <c r="E55" i="203"/>
  <c r="F55" i="203"/>
  <c r="B56" i="203"/>
  <c r="C56" i="203"/>
  <c r="D56" i="203"/>
  <c r="E56" i="203"/>
  <c r="F56" i="203"/>
  <c r="B57" i="203"/>
  <c r="C57" i="203"/>
  <c r="D57" i="203"/>
  <c r="E57" i="203"/>
  <c r="F57" i="203"/>
  <c r="B58" i="203"/>
  <c r="C58" i="203"/>
  <c r="D58" i="203"/>
  <c r="E58" i="203"/>
  <c r="F58" i="203"/>
  <c r="B59" i="203"/>
  <c r="C59" i="203"/>
  <c r="D59" i="203"/>
  <c r="E59" i="203"/>
  <c r="F59" i="203"/>
  <c r="B60" i="203"/>
  <c r="C60" i="203"/>
  <c r="D60" i="203"/>
  <c r="E60" i="203"/>
  <c r="F60" i="203"/>
  <c r="B61" i="203"/>
  <c r="C61" i="203"/>
  <c r="D61" i="203"/>
  <c r="E61" i="203"/>
  <c r="F61" i="203"/>
  <c r="B62" i="203"/>
  <c r="C62" i="203"/>
  <c r="D62" i="203"/>
  <c r="E62" i="203"/>
  <c r="F62" i="203"/>
  <c r="B63" i="203"/>
  <c r="C63" i="203"/>
  <c r="D63" i="203"/>
  <c r="E63" i="203"/>
  <c r="F63" i="203"/>
  <c r="B64" i="203"/>
  <c r="C64" i="203"/>
  <c r="D64" i="203"/>
  <c r="E64" i="203"/>
  <c r="F64" i="203"/>
  <c r="C70" i="203"/>
  <c r="E70" i="203"/>
  <c r="B8" i="202"/>
  <c r="C8" i="202"/>
  <c r="D8" i="202"/>
  <c r="E8" i="202"/>
  <c r="G8" i="202"/>
  <c r="H8" i="202"/>
  <c r="I8" i="202"/>
  <c r="J8" i="202"/>
  <c r="K8" i="202"/>
  <c r="L8" i="202"/>
  <c r="M8" i="202"/>
  <c r="N8" i="202"/>
  <c r="O8" i="202"/>
  <c r="B9" i="202"/>
  <c r="C9" i="202"/>
  <c r="D9" i="202"/>
  <c r="E9" i="202"/>
  <c r="G9" i="202"/>
  <c r="H9" i="202"/>
  <c r="I9" i="202"/>
  <c r="J9" i="202"/>
  <c r="K9" i="202"/>
  <c r="L9" i="202"/>
  <c r="M9" i="202"/>
  <c r="N9" i="202"/>
  <c r="O9" i="202"/>
  <c r="B10" i="202"/>
  <c r="C10" i="202"/>
  <c r="D10" i="202"/>
  <c r="E10" i="202"/>
  <c r="G10" i="202"/>
  <c r="H10" i="202"/>
  <c r="I10" i="202"/>
  <c r="J10" i="202"/>
  <c r="K10" i="202"/>
  <c r="L10" i="202"/>
  <c r="M10" i="202"/>
  <c r="N10" i="202"/>
  <c r="O10" i="202"/>
  <c r="B11" i="202"/>
  <c r="C11" i="202"/>
  <c r="D11" i="202"/>
  <c r="E11" i="202"/>
  <c r="G11" i="202"/>
  <c r="H11" i="202"/>
  <c r="I11" i="202"/>
  <c r="J11" i="202"/>
  <c r="K11" i="202"/>
  <c r="L11" i="202"/>
  <c r="M11" i="202"/>
  <c r="N11" i="202"/>
  <c r="O11" i="202"/>
  <c r="B12" i="202"/>
  <c r="C12" i="202"/>
  <c r="D12" i="202"/>
  <c r="E12" i="202"/>
  <c r="G12" i="202"/>
  <c r="H12" i="202"/>
  <c r="I12" i="202"/>
  <c r="J12" i="202"/>
  <c r="K12" i="202"/>
  <c r="L12" i="202"/>
  <c r="M12" i="202"/>
  <c r="N12" i="202"/>
  <c r="O12" i="202"/>
  <c r="B13" i="202"/>
  <c r="C13" i="202"/>
  <c r="D13" i="202"/>
  <c r="E13" i="202"/>
  <c r="G13" i="202"/>
  <c r="H13" i="202"/>
  <c r="I13" i="202"/>
  <c r="J13" i="202"/>
  <c r="K13" i="202"/>
  <c r="L13" i="202"/>
  <c r="M13" i="202"/>
  <c r="N13" i="202"/>
  <c r="O13" i="202"/>
  <c r="B14" i="202"/>
  <c r="C14" i="202"/>
  <c r="D14" i="202"/>
  <c r="E14" i="202"/>
  <c r="G14" i="202"/>
  <c r="H14" i="202"/>
  <c r="I14" i="202"/>
  <c r="J14" i="202"/>
  <c r="K14" i="202"/>
  <c r="L14" i="202"/>
  <c r="M14" i="202"/>
  <c r="N14" i="202"/>
  <c r="O14" i="202"/>
  <c r="B15" i="202"/>
  <c r="C15" i="202"/>
  <c r="D15" i="202"/>
  <c r="E15" i="202"/>
  <c r="G15" i="202"/>
  <c r="H15" i="202"/>
  <c r="I15" i="202"/>
  <c r="J15" i="202"/>
  <c r="K15" i="202"/>
  <c r="L15" i="202"/>
  <c r="M15" i="202"/>
  <c r="N15" i="202"/>
  <c r="O15" i="202"/>
  <c r="B16" i="202"/>
  <c r="C16" i="202"/>
  <c r="D16" i="202"/>
  <c r="E16" i="202"/>
  <c r="G16" i="202"/>
  <c r="H16" i="202"/>
  <c r="I16" i="202"/>
  <c r="J16" i="202"/>
  <c r="K16" i="202"/>
  <c r="L16" i="202"/>
  <c r="M16" i="202"/>
  <c r="N16" i="202"/>
  <c r="O16" i="202"/>
  <c r="B17" i="202"/>
  <c r="C17" i="202"/>
  <c r="D17" i="202"/>
  <c r="E17" i="202"/>
  <c r="G17" i="202"/>
  <c r="H17" i="202"/>
  <c r="I17" i="202"/>
  <c r="J17" i="202"/>
  <c r="K17" i="202"/>
  <c r="L17" i="202"/>
  <c r="M17" i="202"/>
  <c r="N17" i="202"/>
  <c r="O17" i="202"/>
  <c r="B18" i="202"/>
  <c r="C18" i="202"/>
  <c r="D18" i="202"/>
  <c r="E18" i="202"/>
  <c r="G18" i="202"/>
  <c r="H18" i="202"/>
  <c r="I18" i="202"/>
  <c r="J18" i="202"/>
  <c r="K18" i="202"/>
  <c r="L18" i="202"/>
  <c r="M18" i="202"/>
  <c r="N18" i="202"/>
  <c r="O18" i="202"/>
  <c r="B19" i="202"/>
  <c r="C19" i="202"/>
  <c r="D19" i="202"/>
  <c r="E19" i="202"/>
  <c r="G19" i="202"/>
  <c r="H19" i="202"/>
  <c r="I19" i="202"/>
  <c r="J19" i="202"/>
  <c r="K19" i="202"/>
  <c r="L19" i="202"/>
  <c r="M19" i="202"/>
  <c r="N19" i="202"/>
  <c r="O19" i="202"/>
  <c r="B20" i="202"/>
  <c r="C20" i="202"/>
  <c r="D20" i="202"/>
  <c r="E20" i="202"/>
  <c r="G20" i="202"/>
  <c r="H20" i="202"/>
  <c r="I20" i="202"/>
  <c r="J20" i="202"/>
  <c r="K20" i="202"/>
  <c r="L20" i="202"/>
  <c r="M20" i="202"/>
  <c r="N20" i="202"/>
  <c r="O20" i="202"/>
  <c r="B21" i="202"/>
  <c r="C21" i="202"/>
  <c r="D21" i="202"/>
  <c r="E21" i="202"/>
  <c r="G21" i="202"/>
  <c r="H21" i="202"/>
  <c r="I21" i="202"/>
  <c r="J21" i="202"/>
  <c r="K21" i="202"/>
  <c r="L21" i="202"/>
  <c r="M21" i="202"/>
  <c r="N21" i="202"/>
  <c r="O21" i="202"/>
  <c r="B22" i="202"/>
  <c r="C22" i="202"/>
  <c r="D22" i="202"/>
  <c r="E22" i="202"/>
  <c r="G22" i="202"/>
  <c r="H22" i="202"/>
  <c r="I22" i="202"/>
  <c r="J22" i="202"/>
  <c r="K22" i="202"/>
  <c r="L22" i="202"/>
  <c r="M22" i="202"/>
  <c r="N22" i="202"/>
  <c r="O22" i="202"/>
  <c r="B23" i="202"/>
  <c r="C23" i="202"/>
  <c r="D23" i="202"/>
  <c r="E23" i="202"/>
  <c r="G23" i="202"/>
  <c r="H23" i="202"/>
  <c r="I23" i="202"/>
  <c r="J23" i="202"/>
  <c r="K23" i="202"/>
  <c r="L23" i="202"/>
  <c r="M23" i="202"/>
  <c r="N23" i="202"/>
  <c r="O23" i="202"/>
  <c r="B24" i="202"/>
  <c r="C24" i="202"/>
  <c r="D24" i="202"/>
  <c r="E24" i="202"/>
  <c r="F24" i="202"/>
  <c r="G24" i="202"/>
  <c r="H24" i="202"/>
  <c r="I24" i="202"/>
  <c r="J24" i="202"/>
  <c r="K24" i="202"/>
  <c r="L24" i="202"/>
  <c r="M24" i="202"/>
  <c r="N24" i="202"/>
  <c r="O24" i="202"/>
  <c r="B25" i="202"/>
  <c r="C25" i="202"/>
  <c r="D25" i="202"/>
  <c r="E25" i="202"/>
  <c r="F25" i="202"/>
  <c r="G25" i="202"/>
  <c r="H25" i="202"/>
  <c r="I25" i="202"/>
  <c r="J25" i="202"/>
  <c r="K25" i="202"/>
  <c r="L25" i="202"/>
  <c r="M25" i="202"/>
  <c r="N25" i="202"/>
  <c r="O25" i="202"/>
  <c r="B26" i="202"/>
  <c r="C26" i="202"/>
  <c r="D26" i="202"/>
  <c r="E26" i="202"/>
  <c r="F26" i="202"/>
  <c r="G26" i="202"/>
  <c r="H26" i="202"/>
  <c r="I26" i="202"/>
  <c r="J26" i="202"/>
  <c r="K26" i="202"/>
  <c r="L26" i="202"/>
  <c r="M26" i="202"/>
  <c r="N26" i="202"/>
  <c r="O26" i="202"/>
  <c r="B27" i="202"/>
  <c r="C27" i="202"/>
  <c r="D27" i="202"/>
  <c r="E27" i="202"/>
  <c r="F27" i="202"/>
  <c r="G27" i="202"/>
  <c r="H27" i="202"/>
  <c r="I27" i="202"/>
  <c r="J27" i="202"/>
  <c r="K27" i="202"/>
  <c r="L27" i="202"/>
  <c r="M27" i="202"/>
  <c r="N27" i="202"/>
  <c r="O27" i="202"/>
  <c r="B28" i="202"/>
  <c r="C28" i="202"/>
  <c r="D28" i="202"/>
  <c r="E28" i="202"/>
  <c r="F28" i="202"/>
  <c r="G28" i="202"/>
  <c r="H28" i="202"/>
  <c r="I28" i="202"/>
  <c r="J28" i="202"/>
  <c r="K28" i="202"/>
  <c r="L28" i="202"/>
  <c r="M28" i="202"/>
  <c r="N28" i="202"/>
  <c r="O28" i="202"/>
  <c r="B29" i="202"/>
  <c r="C29" i="202"/>
  <c r="D29" i="202"/>
  <c r="E29" i="202"/>
  <c r="F29" i="202"/>
  <c r="G29" i="202"/>
  <c r="H29" i="202"/>
  <c r="I29" i="202"/>
  <c r="J29" i="202"/>
  <c r="K29" i="202"/>
  <c r="L29" i="202"/>
  <c r="M29" i="202"/>
  <c r="N29" i="202"/>
  <c r="O29" i="202"/>
  <c r="B30" i="202"/>
  <c r="C30" i="202"/>
  <c r="D30" i="202"/>
  <c r="E30" i="202"/>
  <c r="F30" i="202"/>
  <c r="G30" i="202"/>
  <c r="H30" i="202"/>
  <c r="I30" i="202"/>
  <c r="J30" i="202"/>
  <c r="K30" i="202"/>
  <c r="L30" i="202"/>
  <c r="M30" i="202"/>
  <c r="N30" i="202"/>
  <c r="O30" i="202"/>
  <c r="B31" i="202"/>
  <c r="C31" i="202"/>
  <c r="D31" i="202"/>
  <c r="E31" i="202"/>
  <c r="F31" i="202"/>
  <c r="G31" i="202"/>
  <c r="H31" i="202"/>
  <c r="I31" i="202"/>
  <c r="J31" i="202"/>
  <c r="K31" i="202"/>
  <c r="L31" i="202"/>
  <c r="M31" i="202"/>
  <c r="N31" i="202"/>
  <c r="O31" i="202"/>
  <c r="B32" i="202"/>
  <c r="C32" i="202"/>
  <c r="D32" i="202"/>
  <c r="E32" i="202"/>
  <c r="F32" i="202"/>
  <c r="G32" i="202"/>
  <c r="H32" i="202"/>
  <c r="I32" i="202"/>
  <c r="J32" i="202"/>
  <c r="K32" i="202"/>
  <c r="L32" i="202"/>
  <c r="M32" i="202"/>
  <c r="N32" i="202"/>
  <c r="O32" i="202"/>
  <c r="B33" i="202"/>
  <c r="C33" i="202"/>
  <c r="D33" i="202"/>
  <c r="E33" i="202"/>
  <c r="F33" i="202"/>
  <c r="G33" i="202"/>
  <c r="H33" i="202"/>
  <c r="I33" i="202"/>
  <c r="J33" i="202"/>
  <c r="K33" i="202"/>
  <c r="L33" i="202"/>
  <c r="M33" i="202"/>
  <c r="N33" i="202"/>
  <c r="O33" i="202"/>
  <c r="B34" i="202"/>
  <c r="C34" i="202"/>
  <c r="D34" i="202"/>
  <c r="E34" i="202"/>
  <c r="F34" i="202"/>
  <c r="G34" i="202"/>
  <c r="H34" i="202"/>
  <c r="I34" i="202"/>
  <c r="J34" i="202"/>
  <c r="K34" i="202"/>
  <c r="L34" i="202"/>
  <c r="M34" i="202"/>
  <c r="N34" i="202"/>
  <c r="O34" i="202"/>
  <c r="B35" i="202"/>
  <c r="C35" i="202"/>
  <c r="D35" i="202"/>
  <c r="E35" i="202"/>
  <c r="F35" i="202"/>
  <c r="G35" i="202"/>
  <c r="H35" i="202"/>
  <c r="I35" i="202"/>
  <c r="J35" i="202"/>
  <c r="K35" i="202"/>
  <c r="L35" i="202"/>
  <c r="M35" i="202"/>
  <c r="N35" i="202"/>
  <c r="O35" i="202"/>
  <c r="B36" i="202"/>
  <c r="C36" i="202"/>
  <c r="D36" i="202"/>
  <c r="E36" i="202"/>
  <c r="F36" i="202"/>
  <c r="G36" i="202"/>
  <c r="H36" i="202"/>
  <c r="I36" i="202"/>
  <c r="J36" i="202"/>
  <c r="K36" i="202"/>
  <c r="L36" i="202"/>
  <c r="M36" i="202"/>
  <c r="N36" i="202"/>
  <c r="O36" i="202"/>
  <c r="B37" i="202"/>
  <c r="C37" i="202"/>
  <c r="D37" i="202"/>
  <c r="E37" i="202"/>
  <c r="F37" i="202"/>
  <c r="G37" i="202"/>
  <c r="H37" i="202"/>
  <c r="I37" i="202"/>
  <c r="J37" i="202"/>
  <c r="K37" i="202"/>
  <c r="L37" i="202"/>
  <c r="M37" i="202"/>
  <c r="N37" i="202"/>
  <c r="O37" i="202"/>
  <c r="B38" i="202"/>
  <c r="C38" i="202"/>
  <c r="D38" i="202"/>
  <c r="E38" i="202"/>
  <c r="F38" i="202"/>
  <c r="G38" i="202"/>
  <c r="H38" i="202"/>
  <c r="I38" i="202"/>
  <c r="J38" i="202"/>
  <c r="K38" i="202"/>
  <c r="L38" i="202"/>
  <c r="M38" i="202"/>
  <c r="N38" i="202"/>
  <c r="O38" i="202"/>
  <c r="B39" i="202"/>
  <c r="C39" i="202"/>
  <c r="D39" i="202"/>
  <c r="E39" i="202"/>
  <c r="F39" i="202"/>
  <c r="G39" i="202"/>
  <c r="H39" i="202"/>
  <c r="I39" i="202"/>
  <c r="J39" i="202"/>
  <c r="K39" i="202"/>
  <c r="L39" i="202"/>
  <c r="M39" i="202"/>
  <c r="N39" i="202"/>
  <c r="O39" i="202"/>
  <c r="C8" i="200"/>
  <c r="F8" i="200"/>
  <c r="H8" i="200"/>
  <c r="J8" i="200"/>
  <c r="K8" i="200"/>
  <c r="L8" i="200"/>
  <c r="N8" i="200"/>
  <c r="C9" i="200"/>
  <c r="F9" i="200"/>
  <c r="H9" i="200"/>
  <c r="J9" i="200"/>
  <c r="K9" i="200"/>
  <c r="L9" i="200"/>
  <c r="N9" i="200"/>
  <c r="C10" i="200"/>
  <c r="F10" i="200"/>
  <c r="H10" i="200"/>
  <c r="J10" i="200"/>
  <c r="K10" i="200"/>
  <c r="L10" i="200"/>
  <c r="N10" i="200"/>
  <c r="C11" i="200"/>
  <c r="F11" i="200"/>
  <c r="H11" i="200"/>
  <c r="J11" i="200"/>
  <c r="K11" i="200"/>
  <c r="N11" i="200"/>
  <c r="C12" i="200"/>
  <c r="F12" i="200"/>
  <c r="H12" i="200"/>
  <c r="J12" i="200"/>
  <c r="K12" i="200"/>
  <c r="N12" i="200"/>
  <c r="C13" i="200"/>
  <c r="F13" i="200"/>
  <c r="H13" i="200"/>
  <c r="J13" i="200"/>
  <c r="N13" i="200"/>
  <c r="C14" i="200"/>
  <c r="F14" i="200"/>
  <c r="H14" i="200"/>
  <c r="J14" i="200"/>
  <c r="N14" i="200"/>
  <c r="C15" i="200"/>
  <c r="F15" i="200"/>
  <c r="H15" i="200"/>
  <c r="J15" i="200"/>
  <c r="N15" i="200"/>
  <c r="C16" i="200"/>
  <c r="F16" i="200"/>
  <c r="H16" i="200"/>
  <c r="J16" i="200"/>
  <c r="N16" i="200"/>
  <c r="C17" i="200"/>
  <c r="F17" i="200"/>
  <c r="H17" i="200"/>
  <c r="J17" i="200"/>
  <c r="N17" i="200"/>
  <c r="C18" i="200"/>
  <c r="F18" i="200"/>
  <c r="H18" i="200"/>
  <c r="J18" i="200"/>
  <c r="N18" i="200"/>
  <c r="C19" i="200"/>
  <c r="F19" i="200"/>
  <c r="H19" i="200"/>
  <c r="J19" i="200"/>
  <c r="N19" i="200"/>
  <c r="C20" i="200"/>
  <c r="F20" i="200"/>
  <c r="H20" i="200"/>
  <c r="J20" i="200"/>
  <c r="N20" i="200"/>
  <c r="C21" i="200"/>
  <c r="F21" i="200"/>
  <c r="H21" i="200"/>
  <c r="J21" i="200"/>
  <c r="N21" i="200"/>
  <c r="B22" i="200"/>
  <c r="C22" i="200"/>
  <c r="F22" i="200"/>
  <c r="J22" i="200"/>
  <c r="N22" i="200"/>
  <c r="B23" i="200"/>
  <c r="C23" i="200"/>
  <c r="F23" i="200"/>
  <c r="J23" i="200"/>
  <c r="N23" i="200"/>
  <c r="B24" i="200"/>
  <c r="C24" i="200"/>
  <c r="F24" i="200"/>
  <c r="J24" i="200"/>
  <c r="N24" i="200"/>
  <c r="B25" i="200"/>
  <c r="C25" i="200"/>
  <c r="F25" i="200"/>
  <c r="J25" i="200"/>
  <c r="N25" i="200"/>
  <c r="B26" i="200"/>
  <c r="C26" i="200"/>
  <c r="F26" i="200"/>
  <c r="J26" i="200"/>
  <c r="N26" i="200"/>
  <c r="B27" i="200"/>
  <c r="C27" i="200"/>
  <c r="F27" i="200"/>
  <c r="J27" i="200"/>
  <c r="N27" i="200"/>
  <c r="B28" i="200"/>
  <c r="C28" i="200"/>
  <c r="F28" i="200"/>
  <c r="J28" i="200"/>
  <c r="N28" i="200"/>
  <c r="B29" i="200"/>
  <c r="C29" i="200"/>
  <c r="F29" i="200"/>
  <c r="J29" i="200"/>
  <c r="N29" i="200"/>
  <c r="B30" i="200"/>
  <c r="C30" i="200"/>
  <c r="F30" i="200"/>
  <c r="J30" i="200"/>
  <c r="N30" i="200"/>
  <c r="B31" i="200"/>
  <c r="C31" i="200"/>
  <c r="F31" i="200"/>
  <c r="J31" i="200"/>
  <c r="N31" i="200"/>
  <c r="B32" i="200"/>
  <c r="C32" i="200"/>
  <c r="F32" i="200"/>
  <c r="J32" i="200"/>
  <c r="N32" i="200"/>
  <c r="B33" i="200"/>
  <c r="C33" i="200"/>
  <c r="F33" i="200"/>
  <c r="J33" i="200"/>
  <c r="N33" i="200"/>
  <c r="B34" i="200"/>
  <c r="C34" i="200"/>
  <c r="F34" i="200"/>
  <c r="J34" i="200"/>
  <c r="N34" i="200"/>
  <c r="B35" i="200"/>
  <c r="C35" i="200"/>
  <c r="F35" i="200"/>
  <c r="J35" i="200"/>
  <c r="N35" i="200"/>
  <c r="B36" i="200"/>
  <c r="C36" i="200"/>
  <c r="F36" i="200"/>
  <c r="J36" i="200"/>
  <c r="N36" i="200"/>
  <c r="B37" i="200"/>
  <c r="C37" i="200"/>
  <c r="F37" i="200"/>
  <c r="J37" i="200"/>
  <c r="N37" i="200"/>
  <c r="B38" i="200"/>
  <c r="C38" i="200"/>
  <c r="F38" i="200"/>
  <c r="J38" i="200"/>
  <c r="N38" i="200"/>
  <c r="B39" i="200"/>
  <c r="C39" i="200"/>
  <c r="D39" i="200"/>
  <c r="F39" i="200"/>
  <c r="H39" i="200"/>
  <c r="J39" i="200"/>
  <c r="N39" i="200"/>
  <c r="B40" i="200"/>
  <c r="C40" i="200"/>
  <c r="F40" i="200"/>
  <c r="J40" i="200"/>
  <c r="N40" i="200"/>
  <c r="B41" i="200"/>
  <c r="C41" i="200"/>
  <c r="F41" i="200"/>
  <c r="N41" i="200"/>
  <c r="B42" i="200"/>
  <c r="C42" i="200"/>
  <c r="F42" i="200"/>
  <c r="N42" i="200"/>
  <c r="B43" i="200"/>
  <c r="C43" i="200"/>
  <c r="F43" i="200"/>
  <c r="J43" i="200"/>
  <c r="N43" i="200"/>
  <c r="B44" i="200"/>
  <c r="C44" i="200"/>
  <c r="F44" i="200"/>
  <c r="N44" i="200"/>
  <c r="B45" i="200"/>
  <c r="C45" i="200"/>
  <c r="F45" i="200"/>
  <c r="N45" i="200"/>
  <c r="B46" i="200"/>
  <c r="C46" i="200"/>
  <c r="F46" i="200"/>
  <c r="G46" i="200"/>
  <c r="K46" i="200"/>
  <c r="O46" i="200"/>
  <c r="B4" i="199"/>
  <c r="D4" i="199" s="1"/>
  <c r="D8" i="200" s="1"/>
  <c r="F4" i="199"/>
  <c r="G8" i="200" s="1"/>
  <c r="L4" i="199"/>
  <c r="M4" i="199" s="1"/>
  <c r="P8" i="200" s="1"/>
  <c r="B5" i="199"/>
  <c r="D5" i="199" s="1"/>
  <c r="D9" i="200" s="1"/>
  <c r="F5" i="199"/>
  <c r="G9" i="200" s="1"/>
  <c r="L5" i="199"/>
  <c r="M5" i="199" s="1"/>
  <c r="P9" i="200" s="1"/>
  <c r="B6" i="199"/>
  <c r="B10" i="200" s="1"/>
  <c r="F6" i="199"/>
  <c r="G10" i="200" s="1"/>
  <c r="L6" i="199"/>
  <c r="M6" i="199" s="1"/>
  <c r="P10" i="200" s="1"/>
  <c r="B7" i="199"/>
  <c r="D7" i="199" s="1"/>
  <c r="D11" i="200" s="1"/>
  <c r="F7" i="199"/>
  <c r="G11" i="200" s="1"/>
  <c r="J7" i="199"/>
  <c r="L7" i="199"/>
  <c r="M7" i="199" s="1"/>
  <c r="P11" i="200" s="1"/>
  <c r="B8" i="199"/>
  <c r="B12" i="200" s="1"/>
  <c r="D8" i="199"/>
  <c r="D12" i="200" s="1"/>
  <c r="F8" i="199"/>
  <c r="G12" i="200" s="1"/>
  <c r="J8" i="199"/>
  <c r="L8" i="199"/>
  <c r="O12" i="200" s="1"/>
  <c r="B9" i="199"/>
  <c r="D9" i="199" s="1"/>
  <c r="D13" i="200" s="1"/>
  <c r="F9" i="199"/>
  <c r="G13" i="200" s="1"/>
  <c r="I9" i="199"/>
  <c r="J9" i="199" s="1"/>
  <c r="L13" i="200" s="1"/>
  <c r="L9" i="199"/>
  <c r="M9" i="199" s="1"/>
  <c r="P13" i="200" s="1"/>
  <c r="B10" i="199"/>
  <c r="D10" i="199"/>
  <c r="D14" i="200" s="1"/>
  <c r="F10" i="199"/>
  <c r="G14" i="200" s="1"/>
  <c r="I10" i="199"/>
  <c r="J10" i="199" s="1"/>
  <c r="L14" i="200" s="1"/>
  <c r="L10" i="199"/>
  <c r="M10" i="199" s="1"/>
  <c r="P14" i="200" s="1"/>
  <c r="B11" i="199"/>
  <c r="B15" i="200" s="1"/>
  <c r="D11" i="199"/>
  <c r="D15" i="200" s="1"/>
  <c r="F11" i="199"/>
  <c r="G15" i="200" s="1"/>
  <c r="I11" i="199"/>
  <c r="J11" i="199" s="1"/>
  <c r="L15" i="200" s="1"/>
  <c r="L11" i="199"/>
  <c r="M11" i="199" s="1"/>
  <c r="P15" i="200" s="1"/>
  <c r="B12" i="199"/>
  <c r="B16" i="200" s="1"/>
  <c r="F12" i="199"/>
  <c r="G16" i="200" s="1"/>
  <c r="I12" i="199"/>
  <c r="J12" i="199" s="1"/>
  <c r="L16" i="200" s="1"/>
  <c r="L12" i="199"/>
  <c r="O16" i="200" s="1"/>
  <c r="B13" i="199"/>
  <c r="B17" i="200" s="1"/>
  <c r="D13" i="199"/>
  <c r="D17" i="200" s="1"/>
  <c r="F13" i="199"/>
  <c r="G17" i="200" s="1"/>
  <c r="I13" i="199"/>
  <c r="J13" i="199" s="1"/>
  <c r="L17" i="200" s="1"/>
  <c r="L13" i="199"/>
  <c r="O17" i="200" s="1"/>
  <c r="B14" i="199"/>
  <c r="D14" i="199" s="1"/>
  <c r="D18" i="200" s="1"/>
  <c r="F14" i="199"/>
  <c r="G18" i="200" s="1"/>
  <c r="I14" i="199"/>
  <c r="K18" i="200" s="1"/>
  <c r="L14" i="199"/>
  <c r="O18" i="200" s="1"/>
  <c r="B15" i="199"/>
  <c r="B19" i="200" s="1"/>
  <c r="D15" i="199"/>
  <c r="D19" i="200" s="1"/>
  <c r="F15" i="199"/>
  <c r="G19" i="200" s="1"/>
  <c r="I15" i="199"/>
  <c r="K19" i="200" s="1"/>
  <c r="L15" i="199"/>
  <c r="O19" i="200" s="1"/>
  <c r="M15" i="199"/>
  <c r="P19" i="200" s="1"/>
  <c r="B16" i="199"/>
  <c r="B20" i="200" s="1"/>
  <c r="F16" i="199"/>
  <c r="G20" i="200" s="1"/>
  <c r="I16" i="199"/>
  <c r="J16" i="199" s="1"/>
  <c r="L20" i="200" s="1"/>
  <c r="L16" i="199"/>
  <c r="O20" i="200" s="1"/>
  <c r="B17" i="199"/>
  <c r="D17" i="199" s="1"/>
  <c r="D21" i="200" s="1"/>
  <c r="F17" i="199"/>
  <c r="G21" i="200" s="1"/>
  <c r="I17" i="199"/>
  <c r="K21" i="200" s="1"/>
  <c r="L17" i="199"/>
  <c r="O21" i="200" s="1"/>
  <c r="D18" i="199"/>
  <c r="D22" i="200" s="1"/>
  <c r="F18" i="199"/>
  <c r="G22" i="200" s="1"/>
  <c r="G18" i="199"/>
  <c r="H22" i="200" s="1"/>
  <c r="I18" i="199"/>
  <c r="K22" i="200" s="1"/>
  <c r="L18" i="199"/>
  <c r="M18" i="199" s="1"/>
  <c r="P22" i="200" s="1"/>
  <c r="D19" i="199"/>
  <c r="D23" i="200" s="1"/>
  <c r="F19" i="199"/>
  <c r="G19" i="199" s="1"/>
  <c r="H23" i="200" s="1"/>
  <c r="I19" i="199"/>
  <c r="J19" i="199" s="1"/>
  <c r="L23" i="200" s="1"/>
  <c r="L19" i="199"/>
  <c r="M19" i="199" s="1"/>
  <c r="P23" i="200" s="1"/>
  <c r="D20" i="199"/>
  <c r="D24" i="200" s="1"/>
  <c r="F20" i="199"/>
  <c r="G24" i="200" s="1"/>
  <c r="I20" i="199"/>
  <c r="J20" i="199" s="1"/>
  <c r="L24" i="200" s="1"/>
  <c r="L20" i="199"/>
  <c r="M20" i="199" s="1"/>
  <c r="P24" i="200" s="1"/>
  <c r="D21" i="199"/>
  <c r="D25" i="200" s="1"/>
  <c r="F21" i="199"/>
  <c r="G21" i="199" s="1"/>
  <c r="H25" i="200" s="1"/>
  <c r="I21" i="199"/>
  <c r="J21" i="199" s="1"/>
  <c r="L25" i="200" s="1"/>
  <c r="L21" i="199"/>
  <c r="M21" i="199" s="1"/>
  <c r="P25" i="200" s="1"/>
  <c r="D22" i="199"/>
  <c r="D26" i="200" s="1"/>
  <c r="F22" i="199"/>
  <c r="G22" i="199" s="1"/>
  <c r="H26" i="200" s="1"/>
  <c r="I22" i="199"/>
  <c r="J22" i="199" s="1"/>
  <c r="L26" i="200" s="1"/>
  <c r="L22" i="199"/>
  <c r="M22" i="199" s="1"/>
  <c r="P26" i="200" s="1"/>
  <c r="D23" i="199"/>
  <c r="D27" i="200" s="1"/>
  <c r="F23" i="199"/>
  <c r="G23" i="199" s="1"/>
  <c r="H27" i="200" s="1"/>
  <c r="I23" i="199"/>
  <c r="K27" i="200" s="1"/>
  <c r="L23" i="199"/>
  <c r="D24" i="199"/>
  <c r="D28" i="200" s="1"/>
  <c r="F24" i="199"/>
  <c r="G24" i="199" s="1"/>
  <c r="H28" i="200" s="1"/>
  <c r="I24" i="199"/>
  <c r="J24" i="199" s="1"/>
  <c r="L28" i="200" s="1"/>
  <c r="L24" i="199"/>
  <c r="M24" i="199" s="1"/>
  <c r="P28" i="200" s="1"/>
  <c r="D25" i="199"/>
  <c r="D29" i="200" s="1"/>
  <c r="F25" i="199"/>
  <c r="G29" i="200" s="1"/>
  <c r="I25" i="199"/>
  <c r="K29" i="200" s="1"/>
  <c r="J25" i="199"/>
  <c r="L29" i="200" s="1"/>
  <c r="L25" i="199"/>
  <c r="O29" i="200" s="1"/>
  <c r="D26" i="199"/>
  <c r="D30" i="200" s="1"/>
  <c r="F26" i="199"/>
  <c r="G26" i="199" s="1"/>
  <c r="H30" i="200" s="1"/>
  <c r="I26" i="199"/>
  <c r="J26" i="199" s="1"/>
  <c r="L30" i="200" s="1"/>
  <c r="L26" i="199"/>
  <c r="M26" i="199" s="1"/>
  <c r="P30" i="200" s="1"/>
  <c r="D27" i="199"/>
  <c r="D31" i="200" s="1"/>
  <c r="F27" i="199"/>
  <c r="G31" i="200" s="1"/>
  <c r="I27" i="199"/>
  <c r="J27" i="199" s="1"/>
  <c r="L31" i="200" s="1"/>
  <c r="L27" i="199"/>
  <c r="M27" i="199" s="1"/>
  <c r="P31" i="200" s="1"/>
  <c r="D28" i="199"/>
  <c r="D32" i="200" s="1"/>
  <c r="F28" i="199"/>
  <c r="G28" i="199" s="1"/>
  <c r="H32" i="200" s="1"/>
  <c r="I28" i="199"/>
  <c r="J28" i="199" s="1"/>
  <c r="L32" i="200" s="1"/>
  <c r="L28" i="199"/>
  <c r="O32" i="200" s="1"/>
  <c r="D29" i="199"/>
  <c r="D33" i="200" s="1"/>
  <c r="F29" i="199"/>
  <c r="G29" i="199" s="1"/>
  <c r="H33" i="200" s="1"/>
  <c r="I29" i="199"/>
  <c r="J29" i="199" s="1"/>
  <c r="L33" i="200" s="1"/>
  <c r="L29" i="199"/>
  <c r="O33" i="200" s="1"/>
  <c r="D30" i="199"/>
  <c r="D34" i="200" s="1"/>
  <c r="F30" i="199"/>
  <c r="G30" i="199" s="1"/>
  <c r="H34" i="200" s="1"/>
  <c r="I30" i="199"/>
  <c r="K34" i="200" s="1"/>
  <c r="J30" i="199"/>
  <c r="L34" i="200" s="1"/>
  <c r="L30" i="199"/>
  <c r="M30" i="199" s="1"/>
  <c r="P34" i="200" s="1"/>
  <c r="D31" i="199"/>
  <c r="D35" i="200" s="1"/>
  <c r="F31" i="199"/>
  <c r="G31" i="199" s="1"/>
  <c r="H35" i="200" s="1"/>
  <c r="I31" i="199"/>
  <c r="K35" i="200" s="1"/>
  <c r="L31" i="199"/>
  <c r="M31" i="199" s="1"/>
  <c r="P35" i="200" s="1"/>
  <c r="D32" i="199"/>
  <c r="D36" i="200" s="1"/>
  <c r="F32" i="199"/>
  <c r="G36" i="200" s="1"/>
  <c r="I32" i="199"/>
  <c r="K36" i="200" s="1"/>
  <c r="L32" i="199"/>
  <c r="O36" i="200" s="1"/>
  <c r="M32" i="199"/>
  <c r="P36" i="200" s="1"/>
  <c r="D33" i="199"/>
  <c r="D37" i="200" s="1"/>
  <c r="F33" i="199"/>
  <c r="G33" i="199" s="1"/>
  <c r="H37" i="200" s="1"/>
  <c r="I33" i="199"/>
  <c r="L33" i="199"/>
  <c r="M33" i="199" s="1"/>
  <c r="P37" i="200" s="1"/>
  <c r="D34" i="199"/>
  <c r="D38" i="200" s="1"/>
  <c r="F34" i="199"/>
  <c r="G34" i="199" s="1"/>
  <c r="H38" i="200" s="1"/>
  <c r="I34" i="199"/>
  <c r="L34" i="199"/>
  <c r="O38" i="200" s="1"/>
  <c r="D35" i="199"/>
  <c r="F35" i="199"/>
  <c r="G39" i="200" s="1"/>
  <c r="I35" i="199"/>
  <c r="J35" i="199" s="1"/>
  <c r="L39" i="200" s="1"/>
  <c r="L35" i="199"/>
  <c r="M35" i="199" s="1"/>
  <c r="P39" i="200" s="1"/>
  <c r="D36" i="199"/>
  <c r="D40" i="200" s="1"/>
  <c r="F36" i="199"/>
  <c r="G40" i="200" s="1"/>
  <c r="I36" i="199"/>
  <c r="J36" i="199" s="1"/>
  <c r="L40" i="200" s="1"/>
  <c r="L36" i="199"/>
  <c r="M36" i="199" s="1"/>
  <c r="P40" i="200" s="1"/>
  <c r="D37" i="199"/>
  <c r="D41" i="200" s="1"/>
  <c r="F37" i="199"/>
  <c r="G37" i="199" s="1"/>
  <c r="H41" i="200" s="1"/>
  <c r="H37" i="199"/>
  <c r="I37" i="199"/>
  <c r="K41" i="200" s="1"/>
  <c r="L37" i="199"/>
  <c r="M37" i="199" s="1"/>
  <c r="P41" i="200" s="1"/>
  <c r="D38" i="199"/>
  <c r="D42" i="200" s="1"/>
  <c r="F38" i="199"/>
  <c r="G38" i="199" s="1"/>
  <c r="H42" i="200" s="1"/>
  <c r="H38" i="199"/>
  <c r="H58" i="199" s="1"/>
  <c r="I38" i="199"/>
  <c r="K42" i="200" s="1"/>
  <c r="L38" i="199"/>
  <c r="M38" i="199" s="1"/>
  <c r="P42" i="200" s="1"/>
  <c r="D39" i="199"/>
  <c r="D43" i="200" s="1"/>
  <c r="F39" i="199"/>
  <c r="G39" i="199" s="1"/>
  <c r="H43" i="200" s="1"/>
  <c r="I39" i="199"/>
  <c r="J39" i="199" s="1"/>
  <c r="L43" i="200" s="1"/>
  <c r="L39" i="199"/>
  <c r="M39" i="199" s="1"/>
  <c r="P43" i="200" s="1"/>
  <c r="D40" i="199"/>
  <c r="D44" i="200" s="1"/>
  <c r="F40" i="199"/>
  <c r="G40" i="199" s="1"/>
  <c r="H44" i="200" s="1"/>
  <c r="H40" i="199"/>
  <c r="J44" i="200" s="1"/>
  <c r="I40" i="199"/>
  <c r="J40" i="199" s="1"/>
  <c r="L44" i="200" s="1"/>
  <c r="L40" i="199"/>
  <c r="M40" i="199" s="1"/>
  <c r="P44" i="200" s="1"/>
  <c r="D41" i="199"/>
  <c r="D45" i="200" s="1"/>
  <c r="F41" i="199"/>
  <c r="G45" i="200" s="1"/>
  <c r="H41" i="199"/>
  <c r="J45" i="200" s="1"/>
  <c r="I41" i="199"/>
  <c r="K45" i="200" s="1"/>
  <c r="L41" i="199"/>
  <c r="D42" i="199"/>
  <c r="D46" i="200" s="1"/>
  <c r="G42" i="199"/>
  <c r="H46" i="200" s="1"/>
  <c r="H42" i="199"/>
  <c r="J42" i="199" s="1"/>
  <c r="L46" i="200" s="1"/>
  <c r="K42" i="199"/>
  <c r="C47" i="199"/>
  <c r="H47" i="199"/>
  <c r="I47" i="199"/>
  <c r="J47" i="199"/>
  <c r="K47" i="199"/>
  <c r="C48" i="199"/>
  <c r="H48" i="199"/>
  <c r="I48" i="199"/>
  <c r="K48" i="199"/>
  <c r="C49" i="199"/>
  <c r="H49" i="199"/>
  <c r="I49" i="199"/>
  <c r="K49" i="199"/>
  <c r="C50" i="199"/>
  <c r="H50" i="199"/>
  <c r="K50" i="199"/>
  <c r="C51" i="199"/>
  <c r="H51" i="199"/>
  <c r="K51" i="199"/>
  <c r="C52" i="199"/>
  <c r="H52" i="199"/>
  <c r="K52" i="199"/>
  <c r="B53" i="199"/>
  <c r="C53" i="199"/>
  <c r="H53" i="199"/>
  <c r="K53" i="199"/>
  <c r="B54" i="199"/>
  <c r="C54" i="199"/>
  <c r="H54" i="199"/>
  <c r="K54" i="199"/>
  <c r="B55" i="199"/>
  <c r="C55" i="199"/>
  <c r="H55" i="199"/>
  <c r="K55" i="199"/>
  <c r="B56" i="199"/>
  <c r="C56" i="199"/>
  <c r="K56" i="199"/>
  <c r="B57" i="199"/>
  <c r="C57" i="199"/>
  <c r="K57" i="199"/>
  <c r="B58" i="199"/>
  <c r="C58" i="199"/>
  <c r="K58" i="199"/>
  <c r="C60" i="199"/>
  <c r="B4" i="198"/>
  <c r="B5" i="198"/>
  <c r="B6" i="198"/>
  <c r="C6" i="198"/>
  <c r="D6" i="198"/>
  <c r="E6" i="198"/>
  <c r="F6" i="198"/>
  <c r="G6" i="198"/>
  <c r="H6" i="198"/>
  <c r="B7" i="198"/>
  <c r="C7" i="198"/>
  <c r="D7" i="198"/>
  <c r="E7" i="198"/>
  <c r="F7" i="198"/>
  <c r="G7" i="198"/>
  <c r="H7" i="198"/>
  <c r="C8" i="198"/>
  <c r="D8" i="198"/>
  <c r="E8" i="198"/>
  <c r="F8" i="198"/>
  <c r="G8" i="198"/>
  <c r="H8" i="198"/>
  <c r="C9" i="198"/>
  <c r="D9" i="198"/>
  <c r="E9" i="198"/>
  <c r="F9" i="198"/>
  <c r="G9" i="198"/>
  <c r="H9" i="198"/>
  <c r="C10" i="198"/>
  <c r="D10" i="198"/>
  <c r="E10" i="198"/>
  <c r="F10" i="198"/>
  <c r="G10" i="198"/>
  <c r="H10" i="198"/>
  <c r="C12" i="198"/>
  <c r="D12" i="198"/>
  <c r="E12" i="198"/>
  <c r="F12" i="198"/>
  <c r="G12" i="198"/>
  <c r="H12" i="198"/>
  <c r="C13" i="198"/>
  <c r="D13" i="198"/>
  <c r="E13" i="198"/>
  <c r="F13" i="198"/>
  <c r="G13" i="198"/>
  <c r="H13" i="198"/>
  <c r="C14" i="198"/>
  <c r="D14" i="198"/>
  <c r="E14" i="198"/>
  <c r="F14" i="198"/>
  <c r="G14" i="198"/>
  <c r="H14" i="198"/>
  <c r="C15" i="198"/>
  <c r="D15" i="198"/>
  <c r="E15" i="198"/>
  <c r="F15" i="198"/>
  <c r="G15" i="198"/>
  <c r="H15" i="198"/>
  <c r="C16" i="198"/>
  <c r="D16" i="198"/>
  <c r="E16" i="198"/>
  <c r="F16" i="198"/>
  <c r="G16" i="198"/>
  <c r="H16" i="198"/>
  <c r="C18" i="198"/>
  <c r="D18" i="198"/>
  <c r="E18" i="198"/>
  <c r="F18" i="198"/>
  <c r="G18" i="198"/>
  <c r="H18" i="198"/>
  <c r="C19" i="198"/>
  <c r="D19" i="198"/>
  <c r="E19" i="198"/>
  <c r="F19" i="198"/>
  <c r="G19" i="198"/>
  <c r="H19" i="198"/>
  <c r="C20" i="198"/>
  <c r="D20" i="198"/>
  <c r="E20" i="198"/>
  <c r="F20" i="198"/>
  <c r="G20" i="198"/>
  <c r="H20" i="198"/>
  <c r="C21" i="198"/>
  <c r="D21" i="198"/>
  <c r="E21" i="198"/>
  <c r="F21" i="198"/>
  <c r="G21" i="198"/>
  <c r="H21" i="198"/>
  <c r="C22" i="198"/>
  <c r="D22" i="198"/>
  <c r="E22" i="198"/>
  <c r="F22" i="198"/>
  <c r="G22" i="198"/>
  <c r="H22" i="198"/>
  <c r="C24" i="198"/>
  <c r="D24" i="198"/>
  <c r="E24" i="198"/>
  <c r="F24" i="198"/>
  <c r="G24" i="198"/>
  <c r="H24" i="198"/>
  <c r="C25" i="198"/>
  <c r="D25" i="198"/>
  <c r="E25" i="198"/>
  <c r="F25" i="198"/>
  <c r="G25" i="198"/>
  <c r="H25" i="198"/>
  <c r="C26" i="198"/>
  <c r="D26" i="198"/>
  <c r="E26" i="198"/>
  <c r="F26" i="198"/>
  <c r="G26" i="198"/>
  <c r="H26" i="198"/>
  <c r="C27" i="198"/>
  <c r="D27" i="198"/>
  <c r="E27" i="198"/>
  <c r="F27" i="198"/>
  <c r="G27" i="198"/>
  <c r="H27" i="198"/>
  <c r="C28" i="198"/>
  <c r="D28" i="198"/>
  <c r="E28" i="198"/>
  <c r="F28" i="198"/>
  <c r="G28" i="198"/>
  <c r="H28" i="198"/>
  <c r="C29" i="198"/>
  <c r="C30" i="198"/>
  <c r="C35" i="198" s="1"/>
  <c r="D30" i="198"/>
  <c r="E30" i="198"/>
  <c r="F30" i="198"/>
  <c r="G30" i="198"/>
  <c r="H30" i="198"/>
  <c r="C31" i="198"/>
  <c r="D31" i="198"/>
  <c r="E31" i="198"/>
  <c r="F31" i="198"/>
  <c r="G31" i="198"/>
  <c r="H31" i="198"/>
  <c r="C32" i="198"/>
  <c r="D32" i="198"/>
  <c r="E32" i="198"/>
  <c r="F32" i="198"/>
  <c r="G32" i="198"/>
  <c r="H32" i="198"/>
  <c r="C33" i="198"/>
  <c r="D33" i="198"/>
  <c r="E33" i="198"/>
  <c r="F33" i="198"/>
  <c r="G33" i="198"/>
  <c r="H33" i="198"/>
  <c r="C34" i="198"/>
  <c r="D34" i="198"/>
  <c r="E34" i="198"/>
  <c r="F34" i="198"/>
  <c r="G34" i="198"/>
  <c r="H34" i="198"/>
  <c r="C36" i="198"/>
  <c r="D36" i="198"/>
  <c r="E36" i="198"/>
  <c r="F36" i="198"/>
  <c r="G36" i="198"/>
  <c r="H36" i="198"/>
  <c r="C37" i="198"/>
  <c r="D37" i="198"/>
  <c r="E37" i="198"/>
  <c r="F37" i="198"/>
  <c r="G37" i="198"/>
  <c r="H37" i="198"/>
  <c r="C38" i="198"/>
  <c r="D38" i="198"/>
  <c r="E38" i="198"/>
  <c r="F38" i="198"/>
  <c r="G38" i="198"/>
  <c r="H38" i="198"/>
  <c r="C39" i="198"/>
  <c r="D39" i="198"/>
  <c r="E39" i="198"/>
  <c r="F39" i="198"/>
  <c r="G39" i="198"/>
  <c r="H39" i="198"/>
  <c r="C40" i="198"/>
  <c r="D40" i="198"/>
  <c r="E40" i="198"/>
  <c r="F40" i="198"/>
  <c r="G40" i="198"/>
  <c r="H40" i="198"/>
  <c r="C42" i="198"/>
  <c r="D42" i="198"/>
  <c r="E42" i="198"/>
  <c r="F42" i="198"/>
  <c r="G42" i="198"/>
  <c r="H42" i="198"/>
  <c r="C43" i="198"/>
  <c r="D43" i="198"/>
  <c r="E43" i="198"/>
  <c r="F43" i="198"/>
  <c r="G43" i="198"/>
  <c r="H43" i="198"/>
  <c r="C44" i="198"/>
  <c r="D44" i="198"/>
  <c r="E44" i="198"/>
  <c r="F44" i="198"/>
  <c r="G44" i="198"/>
  <c r="H44" i="198"/>
  <c r="I4" i="197"/>
  <c r="AB4" i="197"/>
  <c r="I5" i="197"/>
  <c r="AB5" i="197"/>
  <c r="I6" i="197"/>
  <c r="AB6" i="197"/>
  <c r="I7" i="197"/>
  <c r="AB7" i="197"/>
  <c r="I8" i="197"/>
  <c r="AB8" i="197"/>
  <c r="C9" i="197"/>
  <c r="D9" i="197"/>
  <c r="D4" i="198" s="1"/>
  <c r="E9" i="197"/>
  <c r="E4" i="198" s="1"/>
  <c r="F9" i="197"/>
  <c r="F4" i="198" s="1"/>
  <c r="G9" i="197"/>
  <c r="G4" i="198" s="1"/>
  <c r="H9" i="197"/>
  <c r="H4" i="198" s="1"/>
  <c r="I10" i="197"/>
  <c r="AB10" i="197"/>
  <c r="I11" i="197"/>
  <c r="AB11" i="197"/>
  <c r="I12" i="197"/>
  <c r="AB12" i="197"/>
  <c r="I13" i="197"/>
  <c r="AB13" i="197"/>
  <c r="I14" i="197"/>
  <c r="AB14" i="197"/>
  <c r="C15" i="197"/>
  <c r="C53" i="197" s="1"/>
  <c r="D15" i="197"/>
  <c r="D5" i="198" s="1"/>
  <c r="E15" i="197"/>
  <c r="E5" i="198" s="1"/>
  <c r="F15" i="197"/>
  <c r="F5" i="198" s="1"/>
  <c r="G15" i="197"/>
  <c r="G5" i="198" s="1"/>
  <c r="H15" i="197"/>
  <c r="I16" i="197"/>
  <c r="I6" i="198" s="1"/>
  <c r="Q16" i="197"/>
  <c r="U16" i="197" s="1"/>
  <c r="R16" i="197"/>
  <c r="T16" i="197"/>
  <c r="AB16" i="197"/>
  <c r="I17" i="197"/>
  <c r="P17" i="197" s="1"/>
  <c r="Q17" i="197"/>
  <c r="U17" i="197" s="1"/>
  <c r="R17" i="197"/>
  <c r="T17" i="197"/>
  <c r="AB17" i="197"/>
  <c r="Q18" i="197"/>
  <c r="U18" i="197" s="1"/>
  <c r="R18" i="197"/>
  <c r="AB18" i="197"/>
  <c r="B18" i="197"/>
  <c r="B8" i="198" s="1"/>
  <c r="Q19" i="197"/>
  <c r="R19" i="197"/>
  <c r="U19" i="197"/>
  <c r="AB19" i="197"/>
  <c r="B19" i="197"/>
  <c r="B9" i="198" s="1"/>
  <c r="Q20" i="197"/>
  <c r="R20" i="197"/>
  <c r="U20" i="197"/>
  <c r="AB20" i="197"/>
  <c r="Q21" i="197"/>
  <c r="R21" i="197"/>
  <c r="U21" i="197"/>
  <c r="AB21" i="197"/>
  <c r="Q22" i="197"/>
  <c r="U22" i="197" s="1"/>
  <c r="R22" i="197"/>
  <c r="AB22" i="197"/>
  <c r="Q23" i="197"/>
  <c r="U23" i="197" s="1"/>
  <c r="R23" i="197"/>
  <c r="AB23" i="197"/>
  <c r="Q24" i="197"/>
  <c r="R24" i="197"/>
  <c r="AB24" i="197"/>
  <c r="Q25" i="197"/>
  <c r="R25" i="197"/>
  <c r="AB25" i="197"/>
  <c r="Q26" i="197"/>
  <c r="U26" i="197" s="1"/>
  <c r="R26" i="197"/>
  <c r="AB26" i="197"/>
  <c r="Q27" i="197"/>
  <c r="R27" i="197"/>
  <c r="AB27" i="197"/>
  <c r="Q28" i="197"/>
  <c r="R28" i="197"/>
  <c r="AB28" i="197"/>
  <c r="Q29" i="197"/>
  <c r="U29" i="197" s="1"/>
  <c r="R29" i="197"/>
  <c r="AB29" i="197"/>
  <c r="Q30" i="197"/>
  <c r="R30" i="197"/>
  <c r="U30" i="197"/>
  <c r="AB30" i="197"/>
  <c r="Q31" i="197"/>
  <c r="U31" i="197" s="1"/>
  <c r="R31" i="197"/>
  <c r="AB31" i="197"/>
  <c r="Q32" i="197"/>
  <c r="R32" i="197"/>
  <c r="AB32" i="197"/>
  <c r="Q33" i="197"/>
  <c r="R33" i="197"/>
  <c r="AB33" i="197"/>
  <c r="Q34" i="197"/>
  <c r="R34" i="197"/>
  <c r="AB34" i="197"/>
  <c r="Q35" i="197"/>
  <c r="U35" i="197" s="1"/>
  <c r="R35" i="197"/>
  <c r="AB35" i="197"/>
  <c r="Q36" i="197"/>
  <c r="U36" i="197" s="1"/>
  <c r="R36" i="197"/>
  <c r="AB36" i="197"/>
  <c r="Q37" i="197"/>
  <c r="U37" i="197" s="1"/>
  <c r="R37" i="197"/>
  <c r="AB37" i="197"/>
  <c r="B37" i="197"/>
  <c r="B31" i="198" s="1"/>
  <c r="Q38" i="197"/>
  <c r="R38" i="197"/>
  <c r="AB38" i="197"/>
  <c r="B38" i="197"/>
  <c r="B32" i="198" s="1"/>
  <c r="Q39" i="197"/>
  <c r="R39" i="197"/>
  <c r="AB39" i="197"/>
  <c r="Q40" i="197"/>
  <c r="R40" i="197"/>
  <c r="AB40" i="197"/>
  <c r="B40" i="197"/>
  <c r="Q41" i="197"/>
  <c r="R41" i="197"/>
  <c r="AB41" i="197"/>
  <c r="Q42" i="197"/>
  <c r="R42" i="197"/>
  <c r="U42" i="197"/>
  <c r="AB42" i="197"/>
  <c r="Q43" i="197"/>
  <c r="U43" i="197" s="1"/>
  <c r="R43" i="197"/>
  <c r="AB43" i="197"/>
  <c r="Q44" i="197"/>
  <c r="R44" i="197"/>
  <c r="AB44" i="197"/>
  <c r="Q45" i="197"/>
  <c r="R45" i="197"/>
  <c r="AB45" i="197"/>
  <c r="Q46" i="197"/>
  <c r="R46" i="197"/>
  <c r="AB46" i="197"/>
  <c r="Q47" i="197"/>
  <c r="U47" i="197" s="1"/>
  <c r="AB47" i="197"/>
  <c r="Q48" i="197"/>
  <c r="U48" i="197" s="1"/>
  <c r="AB48" i="197"/>
  <c r="B49" i="197"/>
  <c r="I49" i="197"/>
  <c r="U49" i="197"/>
  <c r="D53" i="197"/>
  <c r="F53" i="197"/>
  <c r="G53" i="197"/>
  <c r="H53" i="197"/>
  <c r="S53" i="197"/>
  <c r="C56" i="197"/>
  <c r="D56" i="197"/>
  <c r="E56" i="197"/>
  <c r="F56" i="197"/>
  <c r="G56" i="197"/>
  <c r="H56" i="197"/>
  <c r="S56" i="197"/>
  <c r="C57" i="197"/>
  <c r="D57" i="197"/>
  <c r="E57" i="197"/>
  <c r="F57" i="197"/>
  <c r="G57" i="197"/>
  <c r="H57" i="197"/>
  <c r="S57" i="197"/>
  <c r="C58" i="197"/>
  <c r="D58" i="197"/>
  <c r="E58" i="197"/>
  <c r="F58" i="197"/>
  <c r="G58" i="197"/>
  <c r="H58" i="197"/>
  <c r="S58" i="197"/>
  <c r="C59" i="197"/>
  <c r="D59" i="197"/>
  <c r="E59" i="197"/>
  <c r="F59" i="197"/>
  <c r="G59" i="197"/>
  <c r="H59" i="197"/>
  <c r="S59" i="197"/>
  <c r="C60" i="197"/>
  <c r="D60" i="197"/>
  <c r="E60" i="197"/>
  <c r="F60" i="197"/>
  <c r="G60" i="197"/>
  <c r="H60" i="197"/>
  <c r="S60" i="197"/>
  <c r="C61" i="197"/>
  <c r="D61" i="197"/>
  <c r="E61" i="197"/>
  <c r="F61" i="197"/>
  <c r="G61" i="197"/>
  <c r="H61" i="197"/>
  <c r="S61" i="197"/>
  <c r="C62" i="197"/>
  <c r="D62" i="197"/>
  <c r="E62" i="197"/>
  <c r="F62" i="197"/>
  <c r="G62" i="197"/>
  <c r="H62" i="197"/>
  <c r="S62" i="197"/>
  <c r="C63" i="197"/>
  <c r="D63" i="197"/>
  <c r="E63" i="197"/>
  <c r="F63" i="197"/>
  <c r="G63" i="197"/>
  <c r="H63" i="197"/>
  <c r="S63" i="197"/>
  <c r="C64" i="197"/>
  <c r="D64" i="197"/>
  <c r="E64" i="197"/>
  <c r="F64" i="197"/>
  <c r="G64" i="197"/>
  <c r="H64" i="197"/>
  <c r="S64" i="197"/>
  <c r="I70" i="197"/>
  <c r="Q70" i="197"/>
  <c r="S70" i="197"/>
  <c r="S73" i="197" s="1"/>
  <c r="C72" i="197"/>
  <c r="D72" i="197"/>
  <c r="E72" i="197"/>
  <c r="F72" i="197"/>
  <c r="G72" i="197"/>
  <c r="AF33" i="189"/>
  <c r="T22" i="189"/>
  <c r="T24" i="189"/>
  <c r="T25" i="189"/>
  <c r="T26" i="189"/>
  <c r="T27" i="189"/>
  <c r="T28" i="189"/>
  <c r="T29" i="189"/>
  <c r="T30" i="189"/>
  <c r="T23" i="189"/>
  <c r="AD83" i="187"/>
  <c r="AD4" i="187"/>
  <c r="AD5" i="187"/>
  <c r="AD6" i="187"/>
  <c r="AD7" i="187"/>
  <c r="AD8" i="187"/>
  <c r="AD9" i="187"/>
  <c r="AD10" i="187"/>
  <c r="AD11" i="187"/>
  <c r="AD12" i="187"/>
  <c r="AD13" i="187"/>
  <c r="AD14" i="187"/>
  <c r="AD15" i="187"/>
  <c r="AD16" i="187"/>
  <c r="AD17" i="187"/>
  <c r="AD18" i="187"/>
  <c r="AD19" i="187"/>
  <c r="AD20" i="187"/>
  <c r="AD21" i="187"/>
  <c r="AD22" i="187"/>
  <c r="AD23" i="187"/>
  <c r="AD24" i="187"/>
  <c r="AD25" i="187"/>
  <c r="AD26" i="187"/>
  <c r="AD27" i="187"/>
  <c r="AD28" i="187"/>
  <c r="AD29" i="187"/>
  <c r="AD30" i="187"/>
  <c r="AD31" i="187"/>
  <c r="AD32" i="187"/>
  <c r="AD33" i="187"/>
  <c r="AD34" i="187"/>
  <c r="AD35" i="187"/>
  <c r="AD36" i="187"/>
  <c r="AD37" i="187"/>
  <c r="AD38" i="187"/>
  <c r="AD39" i="187"/>
  <c r="AD40" i="187"/>
  <c r="AD41" i="187"/>
  <c r="AD42" i="187"/>
  <c r="AD43" i="187"/>
  <c r="AD44" i="187"/>
  <c r="AD45" i="187"/>
  <c r="AD46" i="187"/>
  <c r="AD47" i="187"/>
  <c r="AD48" i="187"/>
  <c r="AD49" i="187"/>
  <c r="AD50" i="187"/>
  <c r="AD51" i="187"/>
  <c r="AD52" i="187"/>
  <c r="AD53" i="187"/>
  <c r="AD54" i="187"/>
  <c r="AD55" i="187"/>
  <c r="AD56" i="187"/>
  <c r="AD57" i="187"/>
  <c r="AD58" i="187"/>
  <c r="AD59" i="187"/>
  <c r="AD60" i="187"/>
  <c r="AD61" i="187"/>
  <c r="AD62" i="187"/>
  <c r="AD63" i="187"/>
  <c r="AD64" i="187"/>
  <c r="AD65" i="187"/>
  <c r="AD66" i="187"/>
  <c r="AD67" i="187"/>
  <c r="AD68" i="187"/>
  <c r="AD69" i="187"/>
  <c r="AD70" i="187"/>
  <c r="AD71" i="187"/>
  <c r="AD72" i="187"/>
  <c r="AD73" i="187"/>
  <c r="AD74" i="187"/>
  <c r="AD75" i="187"/>
  <c r="AD76" i="187"/>
  <c r="AD77" i="187"/>
  <c r="AD78" i="187"/>
  <c r="AD79" i="187"/>
  <c r="AD80" i="187"/>
  <c r="AD81" i="187"/>
  <c r="AD82" i="187"/>
  <c r="AD84" i="187"/>
  <c r="AD86" i="187"/>
  <c r="AD87" i="187"/>
  <c r="AD88" i="187"/>
  <c r="AD89" i="187"/>
  <c r="AD90" i="187"/>
  <c r="AD91" i="187"/>
  <c r="N77" i="187"/>
  <c r="N78" i="187"/>
  <c r="N79" i="187"/>
  <c r="N80" i="187"/>
  <c r="N81" i="187"/>
  <c r="N82" i="187"/>
  <c r="N83" i="187"/>
  <c r="N84" i="187"/>
  <c r="N85" i="187"/>
  <c r="N86" i="187"/>
  <c r="N87" i="187"/>
  <c r="N88" i="187"/>
  <c r="N89" i="187"/>
  <c r="N90" i="187"/>
  <c r="N91" i="187"/>
  <c r="F35" i="189"/>
  <c r="I35" i="189" s="1"/>
  <c r="M42" i="199" l="1"/>
  <c r="K65" i="199"/>
  <c r="K62" i="199"/>
  <c r="K64" i="199"/>
  <c r="J24" i="208"/>
  <c r="J23" i="209" s="1"/>
  <c r="I22" i="209"/>
  <c r="I17" i="209"/>
  <c r="I24" i="209"/>
  <c r="J29" i="208"/>
  <c r="J28" i="209" s="1"/>
  <c r="I28" i="209"/>
  <c r="I12" i="209"/>
  <c r="N12" i="206"/>
  <c r="I38" i="205"/>
  <c r="E30" i="205"/>
  <c r="M14" i="205"/>
  <c r="Q49" i="205"/>
  <c r="Q24" i="205"/>
  <c r="K14" i="205"/>
  <c r="D14" i="204"/>
  <c r="G16" i="205"/>
  <c r="E16" i="205"/>
  <c r="E14" i="205"/>
  <c r="R15" i="205"/>
  <c r="D18" i="204"/>
  <c r="J18" i="204" s="1"/>
  <c r="D15" i="204"/>
  <c r="Q48" i="205"/>
  <c r="M30" i="205"/>
  <c r="E7" i="205"/>
  <c r="E39" i="205"/>
  <c r="I36" i="205"/>
  <c r="G48" i="205"/>
  <c r="C67" i="205"/>
  <c r="N38" i="206"/>
  <c r="D45" i="204"/>
  <c r="N45" i="204" s="1"/>
  <c r="D31" i="204"/>
  <c r="F31" i="204" s="1"/>
  <c r="E31" i="205"/>
  <c r="C7" i="204"/>
  <c r="T51" i="205"/>
  <c r="Q40" i="206"/>
  <c r="K50" i="205"/>
  <c r="D50" i="204"/>
  <c r="R33" i="205"/>
  <c r="Q27" i="205"/>
  <c r="G11" i="205"/>
  <c r="X6" i="206"/>
  <c r="Q36" i="205"/>
  <c r="Q33" i="205"/>
  <c r="M28" i="205"/>
  <c r="B56" i="205"/>
  <c r="H56" i="203"/>
  <c r="G41" i="205"/>
  <c r="H49" i="204"/>
  <c r="J49" i="204"/>
  <c r="N49" i="204"/>
  <c r="F49" i="204"/>
  <c r="L49" i="204"/>
  <c r="C41" i="204"/>
  <c r="N50" i="206"/>
  <c r="I39" i="206"/>
  <c r="G25" i="206"/>
  <c r="N17" i="206"/>
  <c r="D46" i="204"/>
  <c r="H46" i="204" s="1"/>
  <c r="O46" i="205"/>
  <c r="P66" i="205"/>
  <c r="O27" i="205"/>
  <c r="Q15" i="205"/>
  <c r="G10" i="205"/>
  <c r="K50" i="207"/>
  <c r="M50" i="207"/>
  <c r="E50" i="207"/>
  <c r="I50" i="207"/>
  <c r="G50" i="207"/>
  <c r="E41" i="206"/>
  <c r="J23" i="199"/>
  <c r="L27" i="200" s="1"/>
  <c r="J49" i="199"/>
  <c r="J14" i="199"/>
  <c r="L18" i="200" s="1"/>
  <c r="G36" i="199"/>
  <c r="H40" i="200" s="1"/>
  <c r="F35" i="198"/>
  <c r="E41" i="198"/>
  <c r="J37" i="199"/>
  <c r="L41" i="200" s="1"/>
  <c r="J18" i="199"/>
  <c r="L22" i="200" s="1"/>
  <c r="K20" i="200"/>
  <c r="R58" i="197"/>
  <c r="D41" i="198"/>
  <c r="D35" i="198"/>
  <c r="E29" i="198"/>
  <c r="R60" i="197"/>
  <c r="X16" i="197"/>
  <c r="C41" i="198"/>
  <c r="F17" i="198"/>
  <c r="Q61" i="197"/>
  <c r="E23" i="198"/>
  <c r="J33" i="199"/>
  <c r="L37" i="200" s="1"/>
  <c r="U41" i="197"/>
  <c r="Q71" i="197"/>
  <c r="Q72" i="197" s="1"/>
  <c r="Q67" i="197"/>
  <c r="Q66" i="197"/>
  <c r="Q68" i="197"/>
  <c r="F41" i="198"/>
  <c r="S72" i="197"/>
  <c r="C17" i="198"/>
  <c r="J34" i="199"/>
  <c r="L38" i="200" s="1"/>
  <c r="M28" i="199"/>
  <c r="P32" i="200" s="1"/>
  <c r="G35" i="200"/>
  <c r="R71" i="197"/>
  <c r="R68" i="197"/>
  <c r="R67" i="197"/>
  <c r="R66" i="197"/>
  <c r="P16" i="197"/>
  <c r="M17" i="199"/>
  <c r="P21" i="200" s="1"/>
  <c r="M41" i="199"/>
  <c r="P45" i="200" s="1"/>
  <c r="T49" i="197"/>
  <c r="B46" i="198"/>
  <c r="B34" i="198"/>
  <c r="I46" i="198"/>
  <c r="P49" i="197"/>
  <c r="M21" i="207"/>
  <c r="G49" i="206"/>
  <c r="I23" i="206"/>
  <c r="E49" i="206"/>
  <c r="G23" i="206"/>
  <c r="C7" i="207"/>
  <c r="E7" i="207" s="1"/>
  <c r="G37" i="206"/>
  <c r="E37" i="206"/>
  <c r="E11" i="206"/>
  <c r="M8" i="206"/>
  <c r="K6" i="206"/>
  <c r="K49" i="206"/>
  <c r="E47" i="206"/>
  <c r="M41" i="206"/>
  <c r="I31" i="206"/>
  <c r="T21" i="206"/>
  <c r="K8" i="206"/>
  <c r="I6" i="206"/>
  <c r="X12" i="206"/>
  <c r="X17" i="206"/>
  <c r="N44" i="206"/>
  <c r="I41" i="206"/>
  <c r="E31" i="206"/>
  <c r="Q28" i="206"/>
  <c r="M21" i="206"/>
  <c r="X19" i="206"/>
  <c r="E13" i="206"/>
  <c r="M9" i="207"/>
  <c r="I43" i="204"/>
  <c r="I21" i="204"/>
  <c r="J21" i="204" s="1"/>
  <c r="I18" i="204"/>
  <c r="I33" i="204"/>
  <c r="J33" i="204" s="1"/>
  <c r="H60" i="205"/>
  <c r="F23" i="204"/>
  <c r="H54" i="205"/>
  <c r="H64" i="205"/>
  <c r="H68" i="205"/>
  <c r="M38" i="205"/>
  <c r="F14" i="204"/>
  <c r="M43" i="205"/>
  <c r="Q35" i="205"/>
  <c r="R22" i="205"/>
  <c r="H58" i="205"/>
  <c r="O11" i="205"/>
  <c r="Q31" i="205"/>
  <c r="I37" i="204"/>
  <c r="D34" i="204"/>
  <c r="H34" i="204" s="1"/>
  <c r="E40" i="205"/>
  <c r="O35" i="205"/>
  <c r="O15" i="205"/>
  <c r="Q12" i="205"/>
  <c r="O48" i="205"/>
  <c r="R34" i="205"/>
  <c r="E28" i="205"/>
  <c r="O24" i="205"/>
  <c r="Q19" i="205"/>
  <c r="O14" i="205"/>
  <c r="E32" i="205"/>
  <c r="R26" i="205"/>
  <c r="Q40" i="205"/>
  <c r="I39" i="204"/>
  <c r="I34" i="205"/>
  <c r="G34" i="205"/>
  <c r="R30" i="205"/>
  <c r="Q21" i="205"/>
  <c r="E18" i="205"/>
  <c r="Q47" i="205"/>
  <c r="Q44" i="205"/>
  <c r="Q26" i="205"/>
  <c r="J70" i="203"/>
  <c r="D74" i="205"/>
  <c r="N21" i="206"/>
  <c r="C26" i="207"/>
  <c r="K26" i="207" s="1"/>
  <c r="T41" i="206"/>
  <c r="K37" i="206"/>
  <c r="E35" i="206"/>
  <c r="C38" i="207"/>
  <c r="E38" i="207" s="1"/>
  <c r="C14" i="207"/>
  <c r="M14" i="207" s="1"/>
  <c r="I43" i="206"/>
  <c r="G41" i="206"/>
  <c r="E39" i="206"/>
  <c r="E17" i="206"/>
  <c r="N42" i="206"/>
  <c r="G43" i="206"/>
  <c r="E24" i="206"/>
  <c r="C39" i="207"/>
  <c r="M39" i="207" s="1"/>
  <c r="X41" i="206"/>
  <c r="N16" i="206"/>
  <c r="Q41" i="206"/>
  <c r="X20" i="206"/>
  <c r="B12" i="207"/>
  <c r="N32" i="206"/>
  <c r="Q20" i="206"/>
  <c r="D35" i="204"/>
  <c r="L35" i="204" s="1"/>
  <c r="J58" i="203"/>
  <c r="G35" i="205"/>
  <c r="K18" i="205"/>
  <c r="K16" i="205"/>
  <c r="D26" i="204"/>
  <c r="H26" i="204" s="1"/>
  <c r="O49" i="205"/>
  <c r="O39" i="205"/>
  <c r="E35" i="205"/>
  <c r="I20" i="205"/>
  <c r="I18" i="205"/>
  <c r="I16" i="205"/>
  <c r="R14" i="205"/>
  <c r="D20" i="204"/>
  <c r="L20" i="204" s="1"/>
  <c r="D25" i="204"/>
  <c r="L25" i="204" s="1"/>
  <c r="O26" i="205"/>
  <c r="R35" i="205"/>
  <c r="M26" i="205"/>
  <c r="O28" i="205"/>
  <c r="I42" i="205"/>
  <c r="O34" i="205"/>
  <c r="K26" i="205"/>
  <c r="C56" i="205"/>
  <c r="I26" i="205"/>
  <c r="G15" i="205"/>
  <c r="D10" i="204"/>
  <c r="F10" i="204" s="1"/>
  <c r="D16" i="204"/>
  <c r="L16" i="204" s="1"/>
  <c r="G42" i="205"/>
  <c r="R39" i="205"/>
  <c r="E26" i="205"/>
  <c r="M18" i="205"/>
  <c r="I13" i="205"/>
  <c r="Q34" i="205"/>
  <c r="Q22" i="205"/>
  <c r="G61" i="203"/>
  <c r="G64" i="203"/>
  <c r="J60" i="203"/>
  <c r="C28" i="204"/>
  <c r="O37" i="205"/>
  <c r="G57" i="203"/>
  <c r="J53" i="203"/>
  <c r="C40" i="204"/>
  <c r="O23" i="205"/>
  <c r="B7" i="207"/>
  <c r="R40" i="205"/>
  <c r="X9" i="206"/>
  <c r="B9" i="207"/>
  <c r="D48" i="204"/>
  <c r="H48" i="204" s="1"/>
  <c r="D37" i="204"/>
  <c r="H37" i="204" s="1"/>
  <c r="C16" i="204"/>
  <c r="N9" i="204"/>
  <c r="R47" i="205"/>
  <c r="K43" i="205"/>
  <c r="K6" i="205"/>
  <c r="T29" i="206"/>
  <c r="X21" i="206"/>
  <c r="T9" i="206"/>
  <c r="C48" i="204"/>
  <c r="D43" i="204"/>
  <c r="L43" i="204" s="1"/>
  <c r="D41" i="204"/>
  <c r="L41" i="204" s="1"/>
  <c r="D39" i="204"/>
  <c r="N15" i="204"/>
  <c r="I49" i="205"/>
  <c r="I43" i="205"/>
  <c r="M39" i="205"/>
  <c r="Q37" i="205"/>
  <c r="K28" i="205"/>
  <c r="O16" i="205"/>
  <c r="M15" i="205"/>
  <c r="I14" i="205"/>
  <c r="R10" i="205"/>
  <c r="I6" i="205"/>
  <c r="I47" i="206"/>
  <c r="E43" i="206"/>
  <c r="N41" i="206"/>
  <c r="N40" i="206"/>
  <c r="I35" i="206"/>
  <c r="G31" i="206"/>
  <c r="Q29" i="206"/>
  <c r="J64" i="203"/>
  <c r="H55" i="203"/>
  <c r="J55" i="203"/>
  <c r="B21" i="207"/>
  <c r="T38" i="205"/>
  <c r="D24" i="204"/>
  <c r="N24" i="204" s="1"/>
  <c r="D22" i="204"/>
  <c r="F22" i="204" s="1"/>
  <c r="I47" i="205"/>
  <c r="T34" i="205"/>
  <c r="G43" i="205"/>
  <c r="O41" i="205"/>
  <c r="O40" i="205"/>
  <c r="K39" i="205"/>
  <c r="M35" i="205"/>
  <c r="R23" i="205"/>
  <c r="I22" i="205"/>
  <c r="K15" i="205"/>
  <c r="G6" i="205"/>
  <c r="N29" i="206"/>
  <c r="I11" i="206"/>
  <c r="N9" i="206"/>
  <c r="C44" i="207"/>
  <c r="M44" i="207" s="1"/>
  <c r="C32" i="207"/>
  <c r="M32" i="207" s="1"/>
  <c r="X29" i="206"/>
  <c r="X22" i="206"/>
  <c r="G63" i="203"/>
  <c r="J61" i="203"/>
  <c r="H57" i="203"/>
  <c r="D28" i="204"/>
  <c r="F28" i="204" s="1"/>
  <c r="G47" i="205"/>
  <c r="M41" i="205"/>
  <c r="M40" i="205"/>
  <c r="I39" i="205"/>
  <c r="I37" i="205"/>
  <c r="G31" i="205"/>
  <c r="Q29" i="205"/>
  <c r="Q23" i="205"/>
  <c r="G22" i="205"/>
  <c r="R18" i="205"/>
  <c r="I15" i="205"/>
  <c r="I10" i="205"/>
  <c r="E6" i="205"/>
  <c r="I49" i="206"/>
  <c r="G47" i="206"/>
  <c r="X44" i="206"/>
  <c r="X43" i="206"/>
  <c r="K41" i="206"/>
  <c r="I37" i="206"/>
  <c r="G35" i="206"/>
  <c r="X32" i="206"/>
  <c r="M29" i="206"/>
  <c r="N28" i="206"/>
  <c r="I25" i="206"/>
  <c r="Q21" i="206"/>
  <c r="N20" i="206"/>
  <c r="Q17" i="206"/>
  <c r="G13" i="206"/>
  <c r="G11" i="206"/>
  <c r="M9" i="206"/>
  <c r="N8" i="206"/>
  <c r="C15" i="207"/>
  <c r="M15" i="207" s="1"/>
  <c r="J62" i="203"/>
  <c r="I56" i="203"/>
  <c r="T50" i="205"/>
  <c r="G56" i="203"/>
  <c r="K41" i="205"/>
  <c r="O29" i="205"/>
  <c r="P60" i="205"/>
  <c r="K29" i="206"/>
  <c r="K9" i="206"/>
  <c r="C17" i="207"/>
  <c r="M17" i="207" s="1"/>
  <c r="M7" i="207"/>
  <c r="J63" i="203"/>
  <c r="H61" i="203"/>
  <c r="I57" i="203"/>
  <c r="G53" i="203"/>
  <c r="I54" i="203"/>
  <c r="C19" i="204"/>
  <c r="D17" i="204"/>
  <c r="F17" i="204" s="1"/>
  <c r="D13" i="204"/>
  <c r="H13" i="204" s="1"/>
  <c r="D11" i="204"/>
  <c r="F11" i="204" s="1"/>
  <c r="R48" i="205"/>
  <c r="I44" i="205"/>
  <c r="O43" i="205"/>
  <c r="I41" i="205"/>
  <c r="I40" i="205"/>
  <c r="I29" i="205"/>
  <c r="M25" i="205"/>
  <c r="M23" i="205"/>
  <c r="O22" i="205"/>
  <c r="Q17" i="205"/>
  <c r="P56" i="205"/>
  <c r="Q11" i="205"/>
  <c r="K7" i="205"/>
  <c r="Q6" i="205"/>
  <c r="Q44" i="206"/>
  <c r="Q32" i="206"/>
  <c r="I29" i="206"/>
  <c r="K17" i="206"/>
  <c r="Q15" i="206"/>
  <c r="I9" i="206"/>
  <c r="C41" i="207"/>
  <c r="M41" i="207" s="1"/>
  <c r="C29" i="207"/>
  <c r="M29" i="207" s="1"/>
  <c r="C22" i="207"/>
  <c r="E22" i="207" s="1"/>
  <c r="B17" i="207"/>
  <c r="C10" i="207"/>
  <c r="M10" i="207" s="1"/>
  <c r="I64" i="203"/>
  <c r="H64" i="203"/>
  <c r="I60" i="203"/>
  <c r="J56" i="203"/>
  <c r="I55" i="203"/>
  <c r="K44" i="205"/>
  <c r="K40" i="205"/>
  <c r="Q14" i="205"/>
  <c r="R11" i="205"/>
  <c r="M17" i="206"/>
  <c r="I63" i="203"/>
  <c r="G60" i="203"/>
  <c r="J57" i="203"/>
  <c r="H54" i="203"/>
  <c r="D47" i="204"/>
  <c r="L47" i="204" s="1"/>
  <c r="C36" i="204"/>
  <c r="M48" i="205"/>
  <c r="R46" i="205"/>
  <c r="G44" i="205"/>
  <c r="Q42" i="205"/>
  <c r="Q39" i="205"/>
  <c r="I25" i="205"/>
  <c r="O17" i="205"/>
  <c r="O13" i="205"/>
  <c r="T10" i="205"/>
  <c r="I7" i="205"/>
  <c r="M44" i="206"/>
  <c r="M32" i="206"/>
  <c r="N30" i="206"/>
  <c r="G29" i="206"/>
  <c r="I17" i="206"/>
  <c r="X11" i="206"/>
  <c r="G9" i="206"/>
  <c r="B22" i="207"/>
  <c r="D29" i="204"/>
  <c r="F29" i="204" s="1"/>
  <c r="G59" i="203"/>
  <c r="H60" i="203"/>
  <c r="G55" i="203"/>
  <c r="I61" i="203"/>
  <c r="R43" i="205"/>
  <c r="O25" i="205"/>
  <c r="X31" i="206"/>
  <c r="C27" i="207"/>
  <c r="M27" i="207" s="1"/>
  <c r="D42" i="204"/>
  <c r="L42" i="204" s="1"/>
  <c r="D40" i="204"/>
  <c r="N40" i="204" s="1"/>
  <c r="D38" i="204"/>
  <c r="H38" i="204" s="1"/>
  <c r="C60" i="205"/>
  <c r="O42" i="205"/>
  <c r="G40" i="205"/>
  <c r="G29" i="205"/>
  <c r="G23" i="205"/>
  <c r="I17" i="205"/>
  <c r="M13" i="205"/>
  <c r="M11" i="205"/>
  <c r="E27" i="206"/>
  <c r="X25" i="206"/>
  <c r="G17" i="206"/>
  <c r="E9" i="206"/>
  <c r="C43" i="207"/>
  <c r="M43" i="207" s="1"/>
  <c r="C31" i="207"/>
  <c r="M31" i="207" s="1"/>
  <c r="C24" i="207"/>
  <c r="G24" i="207" s="1"/>
  <c r="C12" i="207"/>
  <c r="G12" i="207" s="1"/>
  <c r="T70" i="197"/>
  <c r="T73" i="197" s="1"/>
  <c r="Q73" i="197"/>
  <c r="E35" i="198"/>
  <c r="H11" i="198"/>
  <c r="F11" i="198"/>
  <c r="F29" i="198"/>
  <c r="F23" i="198"/>
  <c r="E17" i="198"/>
  <c r="E11" i="198"/>
  <c r="X49" i="197"/>
  <c r="AC11" i="197"/>
  <c r="AC37" i="197"/>
  <c r="AC50" i="197"/>
  <c r="AC49" i="197"/>
  <c r="AC48" i="197"/>
  <c r="AC10" i="197"/>
  <c r="AC29" i="197"/>
  <c r="I16" i="209"/>
  <c r="I10" i="209"/>
  <c r="J26" i="208"/>
  <c r="J25" i="209" s="1"/>
  <c r="I18" i="209"/>
  <c r="I19" i="209"/>
  <c r="I26" i="209"/>
  <c r="I20" i="209"/>
  <c r="I14" i="209"/>
  <c r="I8" i="209"/>
  <c r="X34" i="206"/>
  <c r="B34" i="207"/>
  <c r="X24" i="206"/>
  <c r="B24" i="207"/>
  <c r="Q24" i="206"/>
  <c r="C45" i="207"/>
  <c r="M45" i="207" s="1"/>
  <c r="E45" i="206"/>
  <c r="G45" i="206"/>
  <c r="N45" i="206"/>
  <c r="K45" i="206"/>
  <c r="M45" i="206"/>
  <c r="T45" i="206"/>
  <c r="C33" i="207"/>
  <c r="M33" i="207" s="1"/>
  <c r="E33" i="206"/>
  <c r="G33" i="206"/>
  <c r="T33" i="206"/>
  <c r="K33" i="206"/>
  <c r="N33" i="206"/>
  <c r="M33" i="206"/>
  <c r="Q45" i="206"/>
  <c r="X45" i="206"/>
  <c r="Q33" i="206"/>
  <c r="X33" i="206"/>
  <c r="B39" i="207"/>
  <c r="T19" i="206"/>
  <c r="G19" i="206"/>
  <c r="C19" i="207"/>
  <c r="E19" i="207" s="1"/>
  <c r="E46" i="206"/>
  <c r="N46" i="206"/>
  <c r="C46" i="207"/>
  <c r="K46" i="207" s="1"/>
  <c r="E34" i="206"/>
  <c r="N34" i="206"/>
  <c r="C34" i="207"/>
  <c r="E34" i="207" s="1"/>
  <c r="B60" i="206"/>
  <c r="B27" i="207"/>
  <c r="N48" i="206"/>
  <c r="E48" i="206"/>
  <c r="M48" i="206"/>
  <c r="C48" i="207"/>
  <c r="E48" i="207" s="1"/>
  <c r="X46" i="206"/>
  <c r="B46" i="207"/>
  <c r="N36" i="206"/>
  <c r="E36" i="206"/>
  <c r="M36" i="206"/>
  <c r="C36" i="207"/>
  <c r="G36" i="207" s="1"/>
  <c r="B48" i="207"/>
  <c r="Q48" i="206"/>
  <c r="X48" i="206"/>
  <c r="Q36" i="206"/>
  <c r="X36" i="206"/>
  <c r="B36" i="207"/>
  <c r="I19" i="206"/>
  <c r="X26" i="206"/>
  <c r="X13" i="206"/>
  <c r="I15" i="206"/>
  <c r="C65" i="206"/>
  <c r="E44" i="206"/>
  <c r="I27" i="206"/>
  <c r="T25" i="206"/>
  <c r="X23" i="206"/>
  <c r="I21" i="206"/>
  <c r="X16" i="206"/>
  <c r="Q13" i="206"/>
  <c r="C49" i="207"/>
  <c r="M49" i="207" s="1"/>
  <c r="C37" i="207"/>
  <c r="M37" i="207" s="1"/>
  <c r="C25" i="207"/>
  <c r="M25" i="207" s="1"/>
  <c r="C13" i="207"/>
  <c r="M13" i="207" s="1"/>
  <c r="B8" i="207"/>
  <c r="B19" i="207"/>
  <c r="X14" i="206"/>
  <c r="X38" i="206"/>
  <c r="K21" i="206"/>
  <c r="X18" i="206"/>
  <c r="T13" i="206"/>
  <c r="C8" i="207"/>
  <c r="M8" i="207" s="1"/>
  <c r="C62" i="206"/>
  <c r="T49" i="206"/>
  <c r="X47" i="206"/>
  <c r="T37" i="206"/>
  <c r="X35" i="206"/>
  <c r="Q25" i="206"/>
  <c r="G21" i="206"/>
  <c r="G15" i="206"/>
  <c r="N13" i="206"/>
  <c r="X10" i="206"/>
  <c r="I7" i="206"/>
  <c r="B49" i="207"/>
  <c r="C42" i="207"/>
  <c r="M42" i="207" s="1"/>
  <c r="B37" i="207"/>
  <c r="C30" i="207"/>
  <c r="M30" i="207" s="1"/>
  <c r="B25" i="207"/>
  <c r="K21" i="207"/>
  <c r="C18" i="207"/>
  <c r="M18" i="207" s="1"/>
  <c r="K9" i="207"/>
  <c r="X49" i="206"/>
  <c r="X37" i="206"/>
  <c r="C20" i="207"/>
  <c r="M20" i="207" s="1"/>
  <c r="C61" i="206"/>
  <c r="I45" i="206"/>
  <c r="X42" i="206"/>
  <c r="G39" i="206"/>
  <c r="I33" i="206"/>
  <c r="X30" i="206"/>
  <c r="G27" i="206"/>
  <c r="N25" i="206"/>
  <c r="E21" i="206"/>
  <c r="T17" i="206"/>
  <c r="Q16" i="206"/>
  <c r="E15" i="206"/>
  <c r="M13" i="206"/>
  <c r="X8" i="206"/>
  <c r="G7" i="206"/>
  <c r="C47" i="207"/>
  <c r="M47" i="207" s="1"/>
  <c r="B42" i="207"/>
  <c r="C35" i="207"/>
  <c r="M35" i="207" s="1"/>
  <c r="B30" i="207"/>
  <c r="C23" i="207"/>
  <c r="M23" i="207" s="1"/>
  <c r="G21" i="207"/>
  <c r="B18" i="207"/>
  <c r="C11" i="207"/>
  <c r="M11" i="207" s="1"/>
  <c r="G9" i="207"/>
  <c r="C59" i="206"/>
  <c r="N49" i="206"/>
  <c r="X40" i="206"/>
  <c r="N37" i="206"/>
  <c r="X28" i="206"/>
  <c r="M25" i="206"/>
  <c r="M16" i="206"/>
  <c r="C40" i="207"/>
  <c r="M40" i="207" s="1"/>
  <c r="C28" i="207"/>
  <c r="M28" i="207" s="1"/>
  <c r="E21" i="207"/>
  <c r="C16" i="207"/>
  <c r="M16" i="207" s="1"/>
  <c r="B11" i="207"/>
  <c r="E9" i="207"/>
  <c r="C55" i="206"/>
  <c r="N24" i="206"/>
  <c r="K16" i="206"/>
  <c r="X15" i="206"/>
  <c r="I13" i="206"/>
  <c r="Q11" i="206"/>
  <c r="B54" i="206"/>
  <c r="O37" i="200"/>
  <c r="K13" i="200"/>
  <c r="L11" i="200"/>
  <c r="D16" i="199"/>
  <c r="D20" i="200" s="1"/>
  <c r="M8" i="199"/>
  <c r="P12" i="200" s="1"/>
  <c r="D6" i="199"/>
  <c r="D10" i="200" s="1"/>
  <c r="O25" i="200"/>
  <c r="K40" i="200"/>
  <c r="D53" i="199"/>
  <c r="J48" i="199"/>
  <c r="G20" i="199"/>
  <c r="H24" i="200" s="1"/>
  <c r="G37" i="200"/>
  <c r="M16" i="199"/>
  <c r="P20" i="200" s="1"/>
  <c r="M14" i="199"/>
  <c r="P18" i="200" s="1"/>
  <c r="M12" i="199"/>
  <c r="P16" i="200" s="1"/>
  <c r="G42" i="200"/>
  <c r="L12" i="200"/>
  <c r="B18" i="200"/>
  <c r="G23" i="200"/>
  <c r="B8" i="200"/>
  <c r="J31" i="199"/>
  <c r="L35" i="200" s="1"/>
  <c r="G38" i="200"/>
  <c r="K17" i="200"/>
  <c r="K15" i="200"/>
  <c r="O13" i="200"/>
  <c r="G41" i="199"/>
  <c r="H45" i="200" s="1"/>
  <c r="M25" i="199"/>
  <c r="P29" i="200" s="1"/>
  <c r="G30" i="200"/>
  <c r="G28" i="200"/>
  <c r="B52" i="199"/>
  <c r="D57" i="199"/>
  <c r="H57" i="199"/>
  <c r="M34" i="199"/>
  <c r="P38" i="200" s="1"/>
  <c r="G32" i="199"/>
  <c r="H36" i="200" s="1"/>
  <c r="G25" i="199"/>
  <c r="H29" i="200" s="1"/>
  <c r="D12" i="199"/>
  <c r="D16" i="200" s="1"/>
  <c r="K33" i="200"/>
  <c r="K26" i="200"/>
  <c r="J41" i="199"/>
  <c r="L45" i="200" s="1"/>
  <c r="M29" i="199"/>
  <c r="P33" i="200" s="1"/>
  <c r="G27" i="199"/>
  <c r="H31" i="200" s="1"/>
  <c r="J17" i="199"/>
  <c r="L21" i="200" s="1"/>
  <c r="J15" i="199"/>
  <c r="L19" i="200" s="1"/>
  <c r="M13" i="199"/>
  <c r="P17" i="200" s="1"/>
  <c r="J41" i="200"/>
  <c r="K37" i="200"/>
  <c r="K30" i="200"/>
  <c r="K14" i="200"/>
  <c r="B11" i="200"/>
  <c r="I50" i="199"/>
  <c r="K38" i="200"/>
  <c r="G25" i="200"/>
  <c r="B21" i="200"/>
  <c r="K24" i="200"/>
  <c r="K44" i="200"/>
  <c r="K25" i="200"/>
  <c r="D55" i="199"/>
  <c r="N46" i="200"/>
  <c r="K31" i="200"/>
  <c r="G26" i="200"/>
  <c r="D56" i="199"/>
  <c r="I60" i="199"/>
  <c r="B48" i="199"/>
  <c r="J46" i="200"/>
  <c r="K16" i="200"/>
  <c r="B13" i="200"/>
  <c r="K43" i="200"/>
  <c r="B14" i="200"/>
  <c r="B9" i="200"/>
  <c r="R59" i="197"/>
  <c r="H23" i="198"/>
  <c r="H56" i="199"/>
  <c r="L54" i="199"/>
  <c r="R62" i="197"/>
  <c r="B48" i="197"/>
  <c r="B34" i="197"/>
  <c r="I34" i="197" s="1"/>
  <c r="I27" i="198" s="1"/>
  <c r="T34" i="197"/>
  <c r="E53" i="197"/>
  <c r="Q62" i="197"/>
  <c r="R61" i="197"/>
  <c r="B42" i="197"/>
  <c r="B37" i="198" s="1"/>
  <c r="X17" i="197"/>
  <c r="G23" i="198"/>
  <c r="D17" i="198"/>
  <c r="K39" i="200"/>
  <c r="K32" i="200"/>
  <c r="K28" i="200"/>
  <c r="K23" i="200"/>
  <c r="B35" i="197"/>
  <c r="B28" i="198" s="1"/>
  <c r="J42" i="200"/>
  <c r="R9" i="197"/>
  <c r="L55" i="199"/>
  <c r="L49" i="199"/>
  <c r="L47" i="199"/>
  <c r="J32" i="199"/>
  <c r="L36" i="200" s="1"/>
  <c r="B23" i="197"/>
  <c r="B14" i="198" s="1"/>
  <c r="H29" i="198"/>
  <c r="D23" i="198"/>
  <c r="H5" i="198"/>
  <c r="G44" i="200"/>
  <c r="G43" i="200"/>
  <c r="G41" i="200"/>
  <c r="G34" i="200"/>
  <c r="G33" i="200"/>
  <c r="G32" i="200"/>
  <c r="G27" i="200"/>
  <c r="G29" i="198"/>
  <c r="C23" i="198"/>
  <c r="C4" i="198"/>
  <c r="AJ49" i="197"/>
  <c r="Q15" i="197"/>
  <c r="T15" i="197" s="1"/>
  <c r="Q9" i="197"/>
  <c r="T9" i="197" s="1"/>
  <c r="T53" i="197" s="1"/>
  <c r="H35" i="198"/>
  <c r="J38" i="199"/>
  <c r="L42" i="200" s="1"/>
  <c r="B43" i="197"/>
  <c r="B38" i="198" s="1"/>
  <c r="I15" i="197"/>
  <c r="I5" i="198" s="1"/>
  <c r="G35" i="198"/>
  <c r="D29" i="198"/>
  <c r="B45" i="197"/>
  <c r="I45" i="197" s="1"/>
  <c r="I40" i="198" s="1"/>
  <c r="B22" i="197"/>
  <c r="B13" i="198" s="1"/>
  <c r="I9" i="197"/>
  <c r="H41" i="198"/>
  <c r="H17" i="198"/>
  <c r="D11" i="198"/>
  <c r="G11" i="198"/>
  <c r="C5" i="198"/>
  <c r="L48" i="199"/>
  <c r="G41" i="198"/>
  <c r="G17" i="198"/>
  <c r="C11" i="198"/>
  <c r="L50" i="199"/>
  <c r="O45" i="200"/>
  <c r="O44" i="200"/>
  <c r="O43" i="200"/>
  <c r="O42" i="200"/>
  <c r="O41" i="200"/>
  <c r="O40" i="200"/>
  <c r="O39" i="200"/>
  <c r="O35" i="200"/>
  <c r="O34" i="200"/>
  <c r="O31" i="200"/>
  <c r="O30" i="200"/>
  <c r="O28" i="200"/>
  <c r="O27" i="200"/>
  <c r="O26" i="200"/>
  <c r="O24" i="200"/>
  <c r="O23" i="200"/>
  <c r="O22" i="200"/>
  <c r="O15" i="200"/>
  <c r="O14" i="200"/>
  <c r="O11" i="200"/>
  <c r="O10" i="200"/>
  <c r="O9" i="200"/>
  <c r="O8" i="200"/>
  <c r="B47" i="197"/>
  <c r="I47" i="197" s="1"/>
  <c r="I43" i="198" s="1"/>
  <c r="B33" i="197"/>
  <c r="I33" i="197" s="1"/>
  <c r="I26" i="198" s="1"/>
  <c r="R56" i="197"/>
  <c r="I7" i="198"/>
  <c r="M23" i="199"/>
  <c r="P27" i="200" s="1"/>
  <c r="I52" i="199"/>
  <c r="B46" i="197"/>
  <c r="T46" i="197" s="1"/>
  <c r="AC43" i="197"/>
  <c r="B32" i="197"/>
  <c r="T32" i="197" s="1"/>
  <c r="B29" i="197"/>
  <c r="B21" i="198" s="1"/>
  <c r="AC23" i="197"/>
  <c r="B20" i="197"/>
  <c r="T20" i="197" s="1"/>
  <c r="B43" i="198"/>
  <c r="B27" i="197"/>
  <c r="T27" i="197" s="1"/>
  <c r="B24" i="197"/>
  <c r="T24" i="197" s="1"/>
  <c r="B21" i="197"/>
  <c r="B12" i="198" s="1"/>
  <c r="AC17" i="197"/>
  <c r="B44" i="197"/>
  <c r="B41" i="197"/>
  <c r="T40" i="197"/>
  <c r="AC38" i="197"/>
  <c r="AC35" i="197"/>
  <c r="B30" i="197"/>
  <c r="B22" i="198" s="1"/>
  <c r="AC44" i="197"/>
  <c r="AC41" i="197"/>
  <c r="B39" i="197"/>
  <c r="B33" i="198" s="1"/>
  <c r="B36" i="197"/>
  <c r="B30" i="198" s="1"/>
  <c r="AC30" i="197"/>
  <c r="AC27" i="197"/>
  <c r="AC24" i="197"/>
  <c r="AC21" i="197"/>
  <c r="AC6" i="197"/>
  <c r="I40" i="197"/>
  <c r="P40" i="197" s="1"/>
  <c r="AC4" i="197"/>
  <c r="AC33" i="197"/>
  <c r="AC18" i="197"/>
  <c r="AC14" i="197"/>
  <c r="AC42" i="197"/>
  <c r="AC39" i="197"/>
  <c r="B31" i="197"/>
  <c r="B24" i="198" s="1"/>
  <c r="B28" i="197"/>
  <c r="T28" i="197" s="1"/>
  <c r="B25" i="197"/>
  <c r="T25" i="197" s="1"/>
  <c r="AC22" i="197"/>
  <c r="AC5" i="197"/>
  <c r="AC19" i="197"/>
  <c r="AC8" i="197"/>
  <c r="AC32" i="197"/>
  <c r="AC36" i="197"/>
  <c r="AC45" i="197"/>
  <c r="AC31" i="197"/>
  <c r="B26" i="197"/>
  <c r="B18" i="198" s="1"/>
  <c r="AC25" i="197"/>
  <c r="AC16" i="197"/>
  <c r="AC13" i="197"/>
  <c r="I12" i="204"/>
  <c r="J12" i="204" s="1"/>
  <c r="I24" i="204"/>
  <c r="I42" i="204"/>
  <c r="I36" i="204"/>
  <c r="J36" i="204" s="1"/>
  <c r="F32" i="204"/>
  <c r="I9" i="204"/>
  <c r="J9" i="204" s="1"/>
  <c r="I15" i="204"/>
  <c r="J15" i="204" s="1"/>
  <c r="I45" i="204"/>
  <c r="I30" i="204"/>
  <c r="J30" i="204" s="1"/>
  <c r="I48" i="204"/>
  <c r="I27" i="204"/>
  <c r="J27" i="204" s="1"/>
  <c r="M50" i="205"/>
  <c r="I50" i="205"/>
  <c r="E50" i="206"/>
  <c r="T50" i="206"/>
  <c r="X50" i="206"/>
  <c r="Q50" i="206"/>
  <c r="M55" i="203"/>
  <c r="H49" i="207"/>
  <c r="H48" i="207"/>
  <c r="H47" i="207"/>
  <c r="H46" i="207"/>
  <c r="H45" i="207"/>
  <c r="H44" i="207"/>
  <c r="H43" i="207"/>
  <c r="H42" i="207"/>
  <c r="H41" i="207"/>
  <c r="H40" i="207"/>
  <c r="H39" i="207"/>
  <c r="H38" i="207"/>
  <c r="I38" i="207" s="1"/>
  <c r="H37" i="207"/>
  <c r="H36" i="207"/>
  <c r="H35" i="207"/>
  <c r="H34" i="207"/>
  <c r="H33" i="207"/>
  <c r="H32" i="207"/>
  <c r="H31" i="207"/>
  <c r="H30" i="207"/>
  <c r="H29" i="207"/>
  <c r="H28" i="207"/>
  <c r="H27" i="207"/>
  <c r="H26" i="207"/>
  <c r="H25" i="207"/>
  <c r="H24" i="207"/>
  <c r="H23" i="207"/>
  <c r="H22" i="207"/>
  <c r="H21" i="207"/>
  <c r="I21" i="207" s="1"/>
  <c r="H20" i="207"/>
  <c r="H19" i="207"/>
  <c r="H18" i="207"/>
  <c r="H17" i="207"/>
  <c r="H16" i="207"/>
  <c r="H15" i="207"/>
  <c r="H14" i="207"/>
  <c r="H13" i="207"/>
  <c r="H12" i="207"/>
  <c r="H11" i="207"/>
  <c r="H10" i="207"/>
  <c r="H9" i="207"/>
  <c r="I9" i="207" s="1"/>
  <c r="H8" i="207"/>
  <c r="H7" i="207"/>
  <c r="M12" i="206"/>
  <c r="C64" i="206"/>
  <c r="C57" i="206"/>
  <c r="K48" i="206"/>
  <c r="Q39" i="206"/>
  <c r="Q31" i="206"/>
  <c r="K28" i="206"/>
  <c r="K24" i="206"/>
  <c r="K12" i="206"/>
  <c r="B57" i="206"/>
  <c r="I48" i="206"/>
  <c r="N47" i="206"/>
  <c r="T46" i="206"/>
  <c r="I44" i="206"/>
  <c r="N43" i="206"/>
  <c r="T42" i="206"/>
  <c r="I40" i="206"/>
  <c r="N39" i="206"/>
  <c r="T38" i="206"/>
  <c r="I36" i="206"/>
  <c r="N35" i="206"/>
  <c r="T34" i="206"/>
  <c r="I32" i="206"/>
  <c r="N31" i="206"/>
  <c r="T30" i="206"/>
  <c r="I28" i="206"/>
  <c r="N27" i="206"/>
  <c r="T26" i="206"/>
  <c r="I24" i="206"/>
  <c r="N23" i="206"/>
  <c r="T22" i="206"/>
  <c r="I20" i="206"/>
  <c r="N19" i="206"/>
  <c r="T18" i="206"/>
  <c r="I16" i="206"/>
  <c r="N15" i="206"/>
  <c r="T14" i="206"/>
  <c r="I12" i="206"/>
  <c r="N11" i="206"/>
  <c r="T10" i="206"/>
  <c r="I8" i="206"/>
  <c r="N7" i="206"/>
  <c r="Q47" i="206"/>
  <c r="K44" i="206"/>
  <c r="K36" i="206"/>
  <c r="K20" i="206"/>
  <c r="C63" i="206"/>
  <c r="C56" i="206"/>
  <c r="M47" i="206"/>
  <c r="M43" i="206"/>
  <c r="M39" i="206"/>
  <c r="M35" i="206"/>
  <c r="M31" i="206"/>
  <c r="M27" i="206"/>
  <c r="M23" i="206"/>
  <c r="M19" i="206"/>
  <c r="M15" i="206"/>
  <c r="M11" i="206"/>
  <c r="M7" i="206"/>
  <c r="N6" i="206"/>
  <c r="Q43" i="206"/>
  <c r="K40" i="206"/>
  <c r="Q35" i="206"/>
  <c r="K32" i="206"/>
  <c r="Q27" i="206"/>
  <c r="Q23" i="206"/>
  <c r="Q19" i="206"/>
  <c r="B63" i="206"/>
  <c r="G48" i="206"/>
  <c r="K47" i="206"/>
  <c r="Q46" i="206"/>
  <c r="G44" i="206"/>
  <c r="K43" i="206"/>
  <c r="Q42" i="206"/>
  <c r="G40" i="206"/>
  <c r="K39" i="206"/>
  <c r="Q38" i="206"/>
  <c r="G36" i="206"/>
  <c r="K35" i="206"/>
  <c r="Q34" i="206"/>
  <c r="G32" i="206"/>
  <c r="K31" i="206"/>
  <c r="Q30" i="206"/>
  <c r="G28" i="206"/>
  <c r="K27" i="206"/>
  <c r="Q26" i="206"/>
  <c r="G24" i="206"/>
  <c r="K23" i="206"/>
  <c r="Q22" i="206"/>
  <c r="G20" i="206"/>
  <c r="K19" i="206"/>
  <c r="Q18" i="206"/>
  <c r="G16" i="206"/>
  <c r="K15" i="206"/>
  <c r="Q14" i="206"/>
  <c r="G12" i="206"/>
  <c r="K11" i="206"/>
  <c r="Q10" i="206"/>
  <c r="G8" i="206"/>
  <c r="K7" i="206"/>
  <c r="M6" i="206"/>
  <c r="N26" i="206"/>
  <c r="N22" i="206"/>
  <c r="N18" i="206"/>
  <c r="N14" i="206"/>
  <c r="E12" i="206"/>
  <c r="N10" i="206"/>
  <c r="M50" i="206"/>
  <c r="M34" i="206"/>
  <c r="M30" i="206"/>
  <c r="M26" i="206"/>
  <c r="M22" i="206"/>
  <c r="M18" i="206"/>
  <c r="M14" i="206"/>
  <c r="M10" i="206"/>
  <c r="M46" i="206"/>
  <c r="K50" i="206"/>
  <c r="K46" i="206"/>
  <c r="K42" i="206"/>
  <c r="K38" i="206"/>
  <c r="K34" i="206"/>
  <c r="K30" i="206"/>
  <c r="K26" i="206"/>
  <c r="K22" i="206"/>
  <c r="K18" i="206"/>
  <c r="K14" i="206"/>
  <c r="K10" i="206"/>
  <c r="C60" i="206"/>
  <c r="C54" i="206"/>
  <c r="I50" i="206"/>
  <c r="T48" i="206"/>
  <c r="I46" i="206"/>
  <c r="T44" i="206"/>
  <c r="I42" i="206"/>
  <c r="T40" i="206"/>
  <c r="X39" i="206"/>
  <c r="I38" i="206"/>
  <c r="T36" i="206"/>
  <c r="I34" i="206"/>
  <c r="T32" i="206"/>
  <c r="I30" i="206"/>
  <c r="T28" i="206"/>
  <c r="X27" i="206"/>
  <c r="I26" i="206"/>
  <c r="T24" i="206"/>
  <c r="I22" i="206"/>
  <c r="T20" i="206"/>
  <c r="I18" i="206"/>
  <c r="T16" i="206"/>
  <c r="I14" i="206"/>
  <c r="T12" i="206"/>
  <c r="I10" i="206"/>
  <c r="T8" i="206"/>
  <c r="X7" i="206"/>
  <c r="E7" i="206"/>
  <c r="G6" i="206"/>
  <c r="M42" i="206"/>
  <c r="M38" i="206"/>
  <c r="G50" i="206"/>
  <c r="G46" i="206"/>
  <c r="G38" i="206"/>
  <c r="G26" i="206"/>
  <c r="G18" i="206"/>
  <c r="G14" i="206"/>
  <c r="G10" i="206"/>
  <c r="G42" i="206"/>
  <c r="G34" i="206"/>
  <c r="G30" i="206"/>
  <c r="G22" i="206"/>
  <c r="C58" i="206"/>
  <c r="H21" i="204"/>
  <c r="L21" i="204"/>
  <c r="F21" i="204"/>
  <c r="H36" i="204"/>
  <c r="L36" i="204"/>
  <c r="F36" i="204"/>
  <c r="I46" i="204"/>
  <c r="H33" i="204"/>
  <c r="L33" i="204"/>
  <c r="F33" i="204"/>
  <c r="M37" i="205"/>
  <c r="R37" i="205"/>
  <c r="E37" i="205"/>
  <c r="G37" i="205"/>
  <c r="K37" i="205"/>
  <c r="C68" i="205"/>
  <c r="P62" i="205"/>
  <c r="Q28" i="205"/>
  <c r="R28" i="205"/>
  <c r="P64" i="205"/>
  <c r="H23" i="204"/>
  <c r="L23" i="204"/>
  <c r="H9" i="204"/>
  <c r="L9" i="204"/>
  <c r="F9" i="204"/>
  <c r="C66" i="205"/>
  <c r="H59" i="205"/>
  <c r="T45" i="205"/>
  <c r="M44" i="205"/>
  <c r="O44" i="205"/>
  <c r="R44" i="205"/>
  <c r="B68" i="205"/>
  <c r="T33" i="205"/>
  <c r="B63" i="205"/>
  <c r="C32" i="204"/>
  <c r="Q32" i="205"/>
  <c r="Q25" i="205"/>
  <c r="T21" i="205"/>
  <c r="C20" i="204"/>
  <c r="Q20" i="205"/>
  <c r="Q13" i="205"/>
  <c r="H55" i="205"/>
  <c r="I9" i="205"/>
  <c r="D44" i="204"/>
  <c r="I40" i="204"/>
  <c r="N18" i="204"/>
  <c r="C13" i="204"/>
  <c r="B66" i="205"/>
  <c r="H63" i="205"/>
  <c r="O50" i="205"/>
  <c r="O38" i="205"/>
  <c r="R36" i="205"/>
  <c r="R21" i="205"/>
  <c r="R9" i="205"/>
  <c r="E9" i="205"/>
  <c r="G9" i="205"/>
  <c r="K9" i="205"/>
  <c r="M9" i="205"/>
  <c r="O9" i="205"/>
  <c r="N12" i="204"/>
  <c r="I45" i="205"/>
  <c r="K19" i="205"/>
  <c r="Q9" i="205"/>
  <c r="T8" i="205"/>
  <c r="C33" i="204"/>
  <c r="H27" i="204"/>
  <c r="L27" i="204"/>
  <c r="F27" i="204"/>
  <c r="D19" i="204"/>
  <c r="N19" i="204" s="1"/>
  <c r="B58" i="205"/>
  <c r="M49" i="205"/>
  <c r="R49" i="205"/>
  <c r="E49" i="205"/>
  <c r="G49" i="205"/>
  <c r="K49" i="205"/>
  <c r="R32" i="205"/>
  <c r="G32" i="205"/>
  <c r="K32" i="205"/>
  <c r="M32" i="205"/>
  <c r="O32" i="205"/>
  <c r="P63" i="205"/>
  <c r="R20" i="205"/>
  <c r="G20" i="205"/>
  <c r="K20" i="205"/>
  <c r="M20" i="205"/>
  <c r="O20" i="205"/>
  <c r="Q16" i="205"/>
  <c r="R16" i="205"/>
  <c r="P55" i="205"/>
  <c r="C46" i="204"/>
  <c r="C21" i="204"/>
  <c r="H15" i="204"/>
  <c r="L15" i="204"/>
  <c r="F15" i="204"/>
  <c r="I34" i="204"/>
  <c r="P70" i="205"/>
  <c r="P71" i="205" s="1"/>
  <c r="I33" i="205"/>
  <c r="I31" i="205"/>
  <c r="B62" i="205"/>
  <c r="I28" i="205"/>
  <c r="I21" i="205"/>
  <c r="I19" i="205"/>
  <c r="B60" i="205"/>
  <c r="I12" i="205"/>
  <c r="C55" i="205"/>
  <c r="H30" i="204"/>
  <c r="L30" i="204"/>
  <c r="F30" i="204"/>
  <c r="E33" i="205"/>
  <c r="G33" i="205"/>
  <c r="K33" i="205"/>
  <c r="M33" i="205"/>
  <c r="O33" i="205"/>
  <c r="H62" i="205"/>
  <c r="I24" i="205"/>
  <c r="T22" i="205"/>
  <c r="E21" i="205"/>
  <c r="G21" i="205"/>
  <c r="K21" i="205"/>
  <c r="M21" i="205"/>
  <c r="O21" i="205"/>
  <c r="M12" i="205"/>
  <c r="O12" i="205"/>
  <c r="R12" i="205"/>
  <c r="E12" i="205"/>
  <c r="G12" i="205"/>
  <c r="K12" i="205"/>
  <c r="T15" i="205"/>
  <c r="H45" i="204"/>
  <c r="L45" i="204"/>
  <c r="F45" i="204"/>
  <c r="H32" i="204"/>
  <c r="L32" i="204"/>
  <c r="O47" i="205"/>
  <c r="C47" i="204"/>
  <c r="R45" i="205"/>
  <c r="G45" i="205"/>
  <c r="K45" i="205"/>
  <c r="M45" i="205"/>
  <c r="O45" i="205"/>
  <c r="Q41" i="205"/>
  <c r="R41" i="205"/>
  <c r="O36" i="205"/>
  <c r="E36" i="205"/>
  <c r="G36" i="205"/>
  <c r="M36" i="205"/>
  <c r="T25" i="205"/>
  <c r="M24" i="205"/>
  <c r="R24" i="205"/>
  <c r="E24" i="205"/>
  <c r="G24" i="205"/>
  <c r="K24" i="205"/>
  <c r="T13" i="205"/>
  <c r="I8" i="205"/>
  <c r="H12" i="204"/>
  <c r="L12" i="204"/>
  <c r="F12" i="204"/>
  <c r="Q50" i="205"/>
  <c r="T46" i="205"/>
  <c r="Q45" i="205"/>
  <c r="Q38" i="205"/>
  <c r="B67" i="205"/>
  <c r="C38" i="204"/>
  <c r="T32" i="205"/>
  <c r="M31" i="205"/>
  <c r="O31" i="205"/>
  <c r="R31" i="205"/>
  <c r="C64" i="205"/>
  <c r="T20" i="205"/>
  <c r="M19" i="205"/>
  <c r="C58" i="205"/>
  <c r="O19" i="205"/>
  <c r="R19" i="205"/>
  <c r="N21" i="204"/>
  <c r="H14" i="204"/>
  <c r="L14" i="204"/>
  <c r="P68" i="205"/>
  <c r="R8" i="205"/>
  <c r="G8" i="205"/>
  <c r="K8" i="205"/>
  <c r="M8" i="205"/>
  <c r="D8" i="204"/>
  <c r="N8" i="204" s="1"/>
  <c r="O8" i="205"/>
  <c r="I46" i="205"/>
  <c r="P58" i="205"/>
  <c r="Q10" i="205"/>
  <c r="O10" i="205"/>
  <c r="T7" i="205"/>
  <c r="H31" i="204"/>
  <c r="P67" i="205"/>
  <c r="T47" i="205"/>
  <c r="E46" i="205"/>
  <c r="G46" i="205"/>
  <c r="K46" i="205"/>
  <c r="M46" i="205"/>
  <c r="H67" i="205"/>
  <c r="T9" i="205"/>
  <c r="B55" i="205"/>
  <c r="T43" i="205"/>
  <c r="T30" i="205"/>
  <c r="R6" i="205"/>
  <c r="C44" i="204"/>
  <c r="C26" i="204"/>
  <c r="C14" i="204"/>
  <c r="C8" i="204"/>
  <c r="B64" i="205"/>
  <c r="P59" i="205"/>
  <c r="C59" i="205"/>
  <c r="K48" i="205"/>
  <c r="M47" i="205"/>
  <c r="T42" i="205"/>
  <c r="K35" i="205"/>
  <c r="M34" i="205"/>
  <c r="T29" i="205"/>
  <c r="K23" i="205"/>
  <c r="M22" i="205"/>
  <c r="T17" i="205"/>
  <c r="K11" i="205"/>
  <c r="M10" i="205"/>
  <c r="Q7" i="205"/>
  <c r="B59" i="205"/>
  <c r="P54" i="205"/>
  <c r="C54" i="205"/>
  <c r="G50" i="205"/>
  <c r="I48" i="205"/>
  <c r="K47" i="205"/>
  <c r="Q43" i="205"/>
  <c r="R42" i="205"/>
  <c r="T41" i="205"/>
  <c r="G38" i="205"/>
  <c r="I35" i="205"/>
  <c r="K34" i="205"/>
  <c r="Q30" i="205"/>
  <c r="R29" i="205"/>
  <c r="T28" i="205"/>
  <c r="G25" i="205"/>
  <c r="I23" i="205"/>
  <c r="K22" i="205"/>
  <c r="Q18" i="205"/>
  <c r="R17" i="205"/>
  <c r="T16" i="205"/>
  <c r="G13" i="205"/>
  <c r="I11" i="205"/>
  <c r="K10" i="205"/>
  <c r="T18" i="205"/>
  <c r="R7" i="205"/>
  <c r="H66" i="205"/>
  <c r="C63" i="205"/>
  <c r="H56" i="205"/>
  <c r="B54" i="205"/>
  <c r="E50" i="205"/>
  <c r="T40" i="205"/>
  <c r="E38" i="205"/>
  <c r="T27" i="205"/>
  <c r="E25" i="205"/>
  <c r="E13" i="205"/>
  <c r="O7" i="205"/>
  <c r="O6" i="205"/>
  <c r="T39" i="205"/>
  <c r="O30" i="205"/>
  <c r="T26" i="205"/>
  <c r="O18" i="205"/>
  <c r="T14" i="205"/>
  <c r="M7" i="205"/>
  <c r="N23" i="204"/>
  <c r="N14" i="204"/>
  <c r="C62" i="205"/>
  <c r="R50" i="205"/>
  <c r="T49" i="205"/>
  <c r="M42" i="205"/>
  <c r="R38" i="205"/>
  <c r="T37" i="205"/>
  <c r="M29" i="205"/>
  <c r="R25" i="205"/>
  <c r="T24" i="205"/>
  <c r="M17" i="205"/>
  <c r="R13" i="205"/>
  <c r="T12" i="205"/>
  <c r="I31" i="204"/>
  <c r="J31" i="204" s="1"/>
  <c r="I28" i="204"/>
  <c r="I25" i="204"/>
  <c r="I22" i="204"/>
  <c r="I19" i="204"/>
  <c r="I16" i="204"/>
  <c r="I13" i="204"/>
  <c r="I10" i="204"/>
  <c r="D7" i="204"/>
  <c r="F7" i="204" s="1"/>
  <c r="T48" i="205"/>
  <c r="K42" i="205"/>
  <c r="T36" i="205"/>
  <c r="T35" i="205"/>
  <c r="K29" i="205"/>
  <c r="T23" i="205"/>
  <c r="K17" i="205"/>
  <c r="T11" i="205"/>
  <c r="I47" i="204"/>
  <c r="I44" i="204"/>
  <c r="I41" i="204"/>
  <c r="I38" i="204"/>
  <c r="I35" i="204"/>
  <c r="I32" i="204"/>
  <c r="J32" i="204" s="1"/>
  <c r="I29" i="204"/>
  <c r="I26" i="204"/>
  <c r="I23" i="204"/>
  <c r="J23" i="204" s="1"/>
  <c r="I20" i="204"/>
  <c r="I17" i="204"/>
  <c r="I14" i="204"/>
  <c r="J14" i="204" s="1"/>
  <c r="I11" i="204"/>
  <c r="I8" i="204"/>
  <c r="T44" i="205"/>
  <c r="T31" i="205"/>
  <c r="T19" i="205"/>
  <c r="N36" i="204"/>
  <c r="N33" i="204"/>
  <c r="N32" i="204"/>
  <c r="N31" i="204"/>
  <c r="N30" i="204"/>
  <c r="N27" i="204"/>
  <c r="J43" i="204"/>
  <c r="I7" i="204"/>
  <c r="I53" i="203"/>
  <c r="H62" i="203"/>
  <c r="H58" i="203"/>
  <c r="J54" i="203"/>
  <c r="H53" i="203"/>
  <c r="I62" i="203"/>
  <c r="B70" i="203"/>
  <c r="G62" i="203"/>
  <c r="J59" i="203"/>
  <c r="G58" i="203"/>
  <c r="I58" i="203"/>
  <c r="I59" i="203"/>
  <c r="H63" i="203"/>
  <c r="H59" i="203"/>
  <c r="G54" i="203"/>
  <c r="I70" i="203"/>
  <c r="D50" i="199"/>
  <c r="J53" i="199"/>
  <c r="J54" i="199"/>
  <c r="J55" i="199"/>
  <c r="D49" i="199"/>
  <c r="L51" i="199"/>
  <c r="B49" i="199"/>
  <c r="L63" i="199"/>
  <c r="D58" i="199"/>
  <c r="D54" i="199"/>
  <c r="I58" i="199"/>
  <c r="L56" i="199"/>
  <c r="I55" i="199"/>
  <c r="L52" i="199"/>
  <c r="I51" i="199"/>
  <c r="B50" i="199"/>
  <c r="L60" i="199"/>
  <c r="L57" i="199"/>
  <c r="I56" i="199"/>
  <c r="L53" i="199"/>
  <c r="B51" i="199"/>
  <c r="B47" i="199"/>
  <c r="I54" i="199"/>
  <c r="L58" i="199"/>
  <c r="I57" i="199"/>
  <c r="I53" i="199"/>
  <c r="T38" i="197"/>
  <c r="I38" i="197"/>
  <c r="I32" i="198" s="1"/>
  <c r="T37" i="197"/>
  <c r="I37" i="197"/>
  <c r="I31" i="198" s="1"/>
  <c r="I19" i="197"/>
  <c r="I9" i="198" s="1"/>
  <c r="T19" i="197"/>
  <c r="T48" i="197"/>
  <c r="AJ34" i="197"/>
  <c r="I18" i="197"/>
  <c r="I8" i="198" s="1"/>
  <c r="T18" i="197"/>
  <c r="AC46" i="197"/>
  <c r="Q58" i="197"/>
  <c r="R57" i="197"/>
  <c r="AC7" i="197"/>
  <c r="AC26" i="197"/>
  <c r="AC40" i="197"/>
  <c r="Q56" i="197"/>
  <c r="U46" i="197"/>
  <c r="U40" i="197"/>
  <c r="U34" i="197"/>
  <c r="U28" i="197"/>
  <c r="AC34" i="197"/>
  <c r="Q59" i="197"/>
  <c r="U45" i="197"/>
  <c r="U39" i="197"/>
  <c r="U33" i="197"/>
  <c r="U27" i="197"/>
  <c r="AC12" i="197"/>
  <c r="Q60" i="197"/>
  <c r="Q57" i="197"/>
  <c r="R64" i="197"/>
  <c r="R15" i="197"/>
  <c r="R53" i="197" s="1"/>
  <c r="Q64" i="197"/>
  <c r="R63" i="197"/>
  <c r="U44" i="197"/>
  <c r="U38" i="197"/>
  <c r="U32" i="197"/>
  <c r="U25" i="197"/>
  <c r="U9" i="197"/>
  <c r="AC47" i="197"/>
  <c r="AC28" i="197"/>
  <c r="Q63" i="197"/>
  <c r="U24" i="197"/>
  <c r="AC20" i="197"/>
  <c r="R70" i="197"/>
  <c r="H70" i="203" l="1"/>
  <c r="B74" i="203"/>
  <c r="B73" i="203"/>
  <c r="P46" i="200"/>
  <c r="M64" i="199"/>
  <c r="M62" i="199"/>
  <c r="M65" i="199"/>
  <c r="E39" i="207"/>
  <c r="I39" i="207"/>
  <c r="G39" i="207"/>
  <c r="J34" i="204"/>
  <c r="J46" i="204"/>
  <c r="F18" i="204"/>
  <c r="J10" i="204"/>
  <c r="H18" i="204"/>
  <c r="L18" i="204"/>
  <c r="L31" i="204"/>
  <c r="N46" i="204"/>
  <c r="L46" i="204"/>
  <c r="F46" i="204"/>
  <c r="J45" i="204"/>
  <c r="R51" i="206"/>
  <c r="U51" i="206"/>
  <c r="R50" i="206"/>
  <c r="C65" i="205"/>
  <c r="I34" i="207"/>
  <c r="I46" i="207"/>
  <c r="I23" i="207"/>
  <c r="L50" i="204"/>
  <c r="N50" i="204"/>
  <c r="F50" i="204"/>
  <c r="H50" i="204"/>
  <c r="J50" i="204"/>
  <c r="L17" i="204"/>
  <c r="H17" i="204"/>
  <c r="O70" i="205"/>
  <c r="K39" i="207"/>
  <c r="D51" i="199"/>
  <c r="D52" i="199"/>
  <c r="M55" i="199"/>
  <c r="U15" i="197"/>
  <c r="M53" i="199"/>
  <c r="M47" i="199"/>
  <c r="M48" i="199"/>
  <c r="Q53" i="197"/>
  <c r="M49" i="199"/>
  <c r="T41" i="197"/>
  <c r="T23" i="197"/>
  <c r="I23" i="197"/>
  <c r="I14" i="198" s="1"/>
  <c r="B36" i="198"/>
  <c r="B72" i="197"/>
  <c r="AJ40" i="197"/>
  <c r="B44" i="198"/>
  <c r="B45" i="198"/>
  <c r="I12" i="207"/>
  <c r="I36" i="207"/>
  <c r="G38" i="207"/>
  <c r="G46" i="207"/>
  <c r="I35" i="207"/>
  <c r="E46" i="207"/>
  <c r="K37" i="207"/>
  <c r="I49" i="207"/>
  <c r="G43" i="207"/>
  <c r="K14" i="207"/>
  <c r="G35" i="207"/>
  <c r="M12" i="207"/>
  <c r="K7" i="207"/>
  <c r="G49" i="207"/>
  <c r="E35" i="207"/>
  <c r="M38" i="207"/>
  <c r="I7" i="207"/>
  <c r="G7" i="207"/>
  <c r="E26" i="207"/>
  <c r="K19" i="207"/>
  <c r="I48" i="207"/>
  <c r="G26" i="207"/>
  <c r="K32" i="207"/>
  <c r="I10" i="207"/>
  <c r="I47" i="207"/>
  <c r="K48" i="207"/>
  <c r="M26" i="207"/>
  <c r="E10" i="207"/>
  <c r="I26" i="207"/>
  <c r="E32" i="207"/>
  <c r="G32" i="207"/>
  <c r="K49" i="207"/>
  <c r="G34" i="207"/>
  <c r="I32" i="207"/>
  <c r="K12" i="207"/>
  <c r="M48" i="207"/>
  <c r="G10" i="207"/>
  <c r="J20" i="204"/>
  <c r="H20" i="204"/>
  <c r="N43" i="204"/>
  <c r="J28" i="204"/>
  <c r="F25" i="204"/>
  <c r="N20" i="204"/>
  <c r="H28" i="204"/>
  <c r="H25" i="204"/>
  <c r="N28" i="204"/>
  <c r="L34" i="204"/>
  <c r="F26" i="204"/>
  <c r="J26" i="204"/>
  <c r="L24" i="204"/>
  <c r="L28" i="204"/>
  <c r="N26" i="204"/>
  <c r="N34" i="204"/>
  <c r="N25" i="204"/>
  <c r="J25" i="204"/>
  <c r="L10" i="204"/>
  <c r="N48" i="204"/>
  <c r="N10" i="204"/>
  <c r="N16" i="204"/>
  <c r="H10" i="204"/>
  <c r="F16" i="204"/>
  <c r="F20" i="204"/>
  <c r="N35" i="204"/>
  <c r="H16" i="204"/>
  <c r="F34" i="204"/>
  <c r="L38" i="204"/>
  <c r="L37" i="204"/>
  <c r="J16" i="204"/>
  <c r="F37" i="204"/>
  <c r="H35" i="204"/>
  <c r="J39" i="204"/>
  <c r="R63" i="205"/>
  <c r="F35" i="204"/>
  <c r="C57" i="205"/>
  <c r="G60" i="205"/>
  <c r="H42" i="204"/>
  <c r="J35" i="204"/>
  <c r="H22" i="204"/>
  <c r="I64" i="205"/>
  <c r="J44" i="204"/>
  <c r="F24" i="204"/>
  <c r="F47" i="204"/>
  <c r="E33" i="207"/>
  <c r="K38" i="207"/>
  <c r="G8" i="207"/>
  <c r="K17" i="207"/>
  <c r="I33" i="207"/>
  <c r="E40" i="207"/>
  <c r="K25" i="207"/>
  <c r="E12" i="207"/>
  <c r="K27" i="207"/>
  <c r="K28" i="207"/>
  <c r="I28" i="207"/>
  <c r="E28" i="207"/>
  <c r="E49" i="207"/>
  <c r="G42" i="207"/>
  <c r="E14" i="207"/>
  <c r="I27" i="207"/>
  <c r="G14" i="207"/>
  <c r="K8" i="207"/>
  <c r="K10" i="207"/>
  <c r="I14" i="207"/>
  <c r="G33" i="207"/>
  <c r="M34" i="207"/>
  <c r="E8" i="207"/>
  <c r="K33" i="207"/>
  <c r="G15" i="207"/>
  <c r="R18" i="206"/>
  <c r="J42" i="204"/>
  <c r="H11" i="204"/>
  <c r="N17" i="204"/>
  <c r="G62" i="205"/>
  <c r="I67" i="205"/>
  <c r="E56" i="205"/>
  <c r="L11" i="204"/>
  <c r="H24" i="204"/>
  <c r="J11" i="204"/>
  <c r="L26" i="204"/>
  <c r="E63" i="205"/>
  <c r="F42" i="204"/>
  <c r="K55" i="205"/>
  <c r="N42" i="204"/>
  <c r="J13" i="204"/>
  <c r="M64" i="205"/>
  <c r="J17" i="204"/>
  <c r="O59" i="205"/>
  <c r="O64" i="205"/>
  <c r="N47" i="204"/>
  <c r="N13" i="204"/>
  <c r="K64" i="205"/>
  <c r="O58" i="205"/>
  <c r="N22" i="204"/>
  <c r="H41" i="204"/>
  <c r="F43" i="204"/>
  <c r="L40" i="204"/>
  <c r="F38" i="204"/>
  <c r="R64" i="205"/>
  <c r="R12" i="206"/>
  <c r="I17" i="207"/>
  <c r="I29" i="207"/>
  <c r="I41" i="207"/>
  <c r="J48" i="204"/>
  <c r="K31" i="207"/>
  <c r="K34" i="207"/>
  <c r="M24" i="207"/>
  <c r="K22" i="207"/>
  <c r="E44" i="207"/>
  <c r="I24" i="207"/>
  <c r="I13" i="207"/>
  <c r="M22" i="207"/>
  <c r="G55" i="205"/>
  <c r="I15" i="207"/>
  <c r="K45" i="207"/>
  <c r="N37" i="204"/>
  <c r="J29" i="204"/>
  <c r="F48" i="204"/>
  <c r="H43" i="204"/>
  <c r="F40" i="204"/>
  <c r="I18" i="207"/>
  <c r="K24" i="207"/>
  <c r="G18" i="207"/>
  <c r="E43" i="207"/>
  <c r="G48" i="207"/>
  <c r="E24" i="207"/>
  <c r="E27" i="207"/>
  <c r="G27" i="207"/>
  <c r="G44" i="207"/>
  <c r="J22" i="204"/>
  <c r="H39" i="204"/>
  <c r="E42" i="207"/>
  <c r="G22" i="207"/>
  <c r="N38" i="204"/>
  <c r="H40" i="204"/>
  <c r="L29" i="204"/>
  <c r="I31" i="207"/>
  <c r="I43" i="207"/>
  <c r="E25" i="207"/>
  <c r="E31" i="207"/>
  <c r="E29" i="207"/>
  <c r="G29" i="207"/>
  <c r="K29" i="207"/>
  <c r="K44" i="207"/>
  <c r="E17" i="207"/>
  <c r="G63" i="205"/>
  <c r="G17" i="207"/>
  <c r="K15" i="207"/>
  <c r="L48" i="204"/>
  <c r="J37" i="204"/>
  <c r="N39" i="204"/>
  <c r="K54" i="205"/>
  <c r="I59" i="205"/>
  <c r="H29" i="204"/>
  <c r="J40" i="204"/>
  <c r="L13" i="204"/>
  <c r="I8" i="207"/>
  <c r="I20" i="207"/>
  <c r="I44" i="207"/>
  <c r="F41" i="204"/>
  <c r="G31" i="207"/>
  <c r="G13" i="207"/>
  <c r="G30" i="207"/>
  <c r="M19" i="207"/>
  <c r="E41" i="207"/>
  <c r="J47" i="204"/>
  <c r="J19" i="204"/>
  <c r="L39" i="204"/>
  <c r="H47" i="204"/>
  <c r="E15" i="207"/>
  <c r="J24" i="204"/>
  <c r="J38" i="204"/>
  <c r="L22" i="204"/>
  <c r="G58" i="205"/>
  <c r="I60" i="205"/>
  <c r="F13" i="204"/>
  <c r="I45" i="207"/>
  <c r="K36" i="207"/>
  <c r="K43" i="207"/>
  <c r="E16" i="207"/>
  <c r="G45" i="207"/>
  <c r="K18" i="207"/>
  <c r="K35" i="207"/>
  <c r="E36" i="207"/>
  <c r="M36" i="207"/>
  <c r="F39" i="204"/>
  <c r="N63" i="206"/>
  <c r="E13" i="207"/>
  <c r="K20" i="207"/>
  <c r="J41" i="204"/>
  <c r="N29" i="204"/>
  <c r="N41" i="204"/>
  <c r="N11" i="204"/>
  <c r="O60" i="205"/>
  <c r="I62" i="205"/>
  <c r="G59" i="205"/>
  <c r="E54" i="205"/>
  <c r="I22" i="207"/>
  <c r="E45" i="207"/>
  <c r="E20" i="207"/>
  <c r="G28" i="207"/>
  <c r="G41" i="207"/>
  <c r="K41" i="207"/>
  <c r="T43" i="197"/>
  <c r="I41" i="197"/>
  <c r="T45" i="197"/>
  <c r="I36" i="197"/>
  <c r="I30" i="198" s="1"/>
  <c r="T21" i="197"/>
  <c r="T30" i="197"/>
  <c r="T42" i="197"/>
  <c r="I42" i="197"/>
  <c r="I37" i="198" s="1"/>
  <c r="T26" i="197"/>
  <c r="P33" i="197"/>
  <c r="X47" i="197"/>
  <c r="T31" i="197"/>
  <c r="AJ33" i="197"/>
  <c r="I26" i="197"/>
  <c r="I18" i="198" s="1"/>
  <c r="T22" i="197"/>
  <c r="T33" i="197"/>
  <c r="I31" i="197"/>
  <c r="I24" i="198" s="1"/>
  <c r="X33" i="197"/>
  <c r="I22" i="197"/>
  <c r="I13" i="198" s="1"/>
  <c r="T36" i="197"/>
  <c r="I21" i="197"/>
  <c r="I12" i="198" s="1"/>
  <c r="B26" i="198"/>
  <c r="I11" i="207"/>
  <c r="K42" i="207"/>
  <c r="E47" i="207"/>
  <c r="K16" i="207"/>
  <c r="R34" i="206"/>
  <c r="U50" i="206"/>
  <c r="E30" i="207"/>
  <c r="K47" i="207"/>
  <c r="I25" i="207"/>
  <c r="I37" i="207"/>
  <c r="K40" i="207"/>
  <c r="G40" i="207"/>
  <c r="M46" i="207"/>
  <c r="K11" i="207"/>
  <c r="K30" i="207"/>
  <c r="E11" i="207"/>
  <c r="G25" i="207"/>
  <c r="G11" i="207"/>
  <c r="G47" i="207"/>
  <c r="I16" i="207"/>
  <c r="I40" i="207"/>
  <c r="G16" i="207"/>
  <c r="U18" i="206"/>
  <c r="I30" i="207"/>
  <c r="I42" i="207"/>
  <c r="G19" i="207"/>
  <c r="K23" i="207"/>
  <c r="G20" i="207"/>
  <c r="E18" i="207"/>
  <c r="G37" i="207"/>
  <c r="U17" i="206"/>
  <c r="I19" i="207"/>
  <c r="E37" i="207"/>
  <c r="K13" i="207"/>
  <c r="E23" i="207"/>
  <c r="G23" i="207"/>
  <c r="D47" i="199"/>
  <c r="D48" i="199"/>
  <c r="M50" i="199"/>
  <c r="J50" i="199"/>
  <c r="J51" i="199"/>
  <c r="M51" i="199"/>
  <c r="M52" i="199"/>
  <c r="J52" i="199"/>
  <c r="M54" i="199"/>
  <c r="J58" i="199"/>
  <c r="J56" i="199"/>
  <c r="M56" i="199"/>
  <c r="M57" i="199"/>
  <c r="M58" i="199"/>
  <c r="B61" i="197"/>
  <c r="B62" i="197"/>
  <c r="AJ45" i="197"/>
  <c r="X34" i="197"/>
  <c r="I35" i="197"/>
  <c r="I28" i="198" s="1"/>
  <c r="I4" i="198"/>
  <c r="P9" i="197"/>
  <c r="X40" i="197"/>
  <c r="P45" i="197"/>
  <c r="T47" i="197"/>
  <c r="P34" i="197"/>
  <c r="B40" i="198"/>
  <c r="I48" i="197"/>
  <c r="P48" i="197" s="1"/>
  <c r="B60" i="197"/>
  <c r="P47" i="197"/>
  <c r="B27" i="198"/>
  <c r="P15" i="197"/>
  <c r="B59" i="197"/>
  <c r="I53" i="197"/>
  <c r="I30" i="197"/>
  <c r="I22" i="198" s="1"/>
  <c r="AJ47" i="197"/>
  <c r="J57" i="199"/>
  <c r="B56" i="197"/>
  <c r="I29" i="197"/>
  <c r="I21" i="198" s="1"/>
  <c r="I43" i="197"/>
  <c r="I38" i="198" s="1"/>
  <c r="T29" i="197"/>
  <c r="X45" i="197"/>
  <c r="T35" i="197"/>
  <c r="T39" i="197"/>
  <c r="I34" i="198"/>
  <c r="I44" i="197"/>
  <c r="B39" i="198"/>
  <c r="I20" i="197"/>
  <c r="B10" i="198"/>
  <c r="B11" i="198" s="1"/>
  <c r="B57" i="197"/>
  <c r="I25" i="197"/>
  <c r="B16" i="198"/>
  <c r="I32" i="197"/>
  <c r="B25" i="198"/>
  <c r="B64" i="197"/>
  <c r="I39" i="197"/>
  <c r="I33" i="198" s="1"/>
  <c r="T44" i="197"/>
  <c r="I24" i="197"/>
  <c r="B15" i="198"/>
  <c r="I28" i="197"/>
  <c r="B20" i="198"/>
  <c r="B75" i="197"/>
  <c r="I27" i="197"/>
  <c r="B19" i="198"/>
  <c r="I46" i="197"/>
  <c r="B42" i="198"/>
  <c r="B58" i="197"/>
  <c r="B63" i="197"/>
  <c r="B35" i="198"/>
  <c r="J8" i="204"/>
  <c r="N44" i="204"/>
  <c r="U48" i="206"/>
  <c r="R14" i="206"/>
  <c r="R30" i="206"/>
  <c r="R46" i="206"/>
  <c r="R9" i="206"/>
  <c r="R20" i="206"/>
  <c r="U27" i="206"/>
  <c r="U34" i="206"/>
  <c r="U13" i="206"/>
  <c r="U12" i="206"/>
  <c r="R19" i="206"/>
  <c r="R47" i="206"/>
  <c r="U22" i="206"/>
  <c r="U38" i="206"/>
  <c r="U23" i="206"/>
  <c r="U19" i="206"/>
  <c r="U47" i="206"/>
  <c r="U32" i="206"/>
  <c r="N57" i="206"/>
  <c r="U36" i="206"/>
  <c r="R23" i="206"/>
  <c r="N54" i="206"/>
  <c r="R31" i="206"/>
  <c r="R32" i="206"/>
  <c r="R28" i="206"/>
  <c r="R36" i="206"/>
  <c r="U28" i="206"/>
  <c r="U39" i="206"/>
  <c r="U8" i="206"/>
  <c r="U7" i="206"/>
  <c r="U15" i="206"/>
  <c r="U16" i="206"/>
  <c r="R22" i="206"/>
  <c r="R38" i="206"/>
  <c r="R27" i="206"/>
  <c r="R39" i="206"/>
  <c r="U33" i="206"/>
  <c r="U41" i="206"/>
  <c r="U37" i="206"/>
  <c r="U21" i="206"/>
  <c r="U29" i="206"/>
  <c r="U10" i="206"/>
  <c r="U26" i="206"/>
  <c r="U42" i="206"/>
  <c r="R44" i="206"/>
  <c r="R48" i="206"/>
  <c r="U20" i="206"/>
  <c r="U40" i="206"/>
  <c r="R35" i="206"/>
  <c r="N60" i="206"/>
  <c r="U45" i="206"/>
  <c r="R16" i="206"/>
  <c r="U49" i="206"/>
  <c r="R49" i="206"/>
  <c r="R13" i="206"/>
  <c r="R17" i="206"/>
  <c r="R21" i="206"/>
  <c r="R25" i="206"/>
  <c r="R29" i="206"/>
  <c r="R33" i="206"/>
  <c r="R37" i="206"/>
  <c r="R41" i="206"/>
  <c r="R45" i="206"/>
  <c r="R10" i="206"/>
  <c r="R11" i="206"/>
  <c r="R15" i="206"/>
  <c r="R26" i="206"/>
  <c r="R42" i="206"/>
  <c r="U11" i="206"/>
  <c r="R40" i="206"/>
  <c r="R24" i="206"/>
  <c r="U24" i="206"/>
  <c r="U44" i="206"/>
  <c r="R43" i="206"/>
  <c r="U14" i="206"/>
  <c r="U30" i="206"/>
  <c r="U46" i="206"/>
  <c r="R7" i="206"/>
  <c r="U31" i="206"/>
  <c r="R8" i="206"/>
  <c r="U25" i="206"/>
  <c r="U43" i="206"/>
  <c r="U9" i="206"/>
  <c r="U35" i="206"/>
  <c r="I68" i="205"/>
  <c r="C61" i="205"/>
  <c r="G54" i="205"/>
  <c r="K68" i="205"/>
  <c r="K66" i="205"/>
  <c r="K67" i="205"/>
  <c r="O68" i="205"/>
  <c r="O66" i="205"/>
  <c r="G66" i="205"/>
  <c r="G67" i="205"/>
  <c r="G68" i="205"/>
  <c r="E60" i="205"/>
  <c r="E55" i="205"/>
  <c r="J7" i="204"/>
  <c r="I66" i="205"/>
  <c r="O67" i="205"/>
  <c r="I63" i="205"/>
  <c r="G56" i="205"/>
  <c r="E66" i="205"/>
  <c r="E67" i="205"/>
  <c r="E68" i="205"/>
  <c r="H7" i="204"/>
  <c r="L7" i="204"/>
  <c r="M58" i="205"/>
  <c r="M59" i="205"/>
  <c r="M60" i="205"/>
  <c r="R56" i="205"/>
  <c r="R54" i="205"/>
  <c r="R55" i="205"/>
  <c r="O63" i="205"/>
  <c r="R66" i="205"/>
  <c r="R67" i="205"/>
  <c r="R68" i="205"/>
  <c r="O54" i="205"/>
  <c r="O55" i="205"/>
  <c r="O56" i="205"/>
  <c r="I54" i="205"/>
  <c r="I55" i="205"/>
  <c r="O62" i="205"/>
  <c r="H19" i="204"/>
  <c r="F19" i="204"/>
  <c r="L19" i="204"/>
  <c r="K56" i="205"/>
  <c r="M67" i="205"/>
  <c r="M68" i="205"/>
  <c r="M66" i="205"/>
  <c r="E64" i="205"/>
  <c r="G64" i="205"/>
  <c r="H44" i="204"/>
  <c r="L44" i="204"/>
  <c r="F44" i="204"/>
  <c r="R62" i="205"/>
  <c r="N7" i="204"/>
  <c r="M54" i="205"/>
  <c r="M55" i="205"/>
  <c r="M56" i="205"/>
  <c r="E58" i="205"/>
  <c r="H8" i="204"/>
  <c r="L8" i="204"/>
  <c r="F8" i="204"/>
  <c r="E62" i="205"/>
  <c r="M63" i="205"/>
  <c r="M62" i="205"/>
  <c r="K60" i="205"/>
  <c r="K59" i="205"/>
  <c r="K58" i="205"/>
  <c r="K62" i="205"/>
  <c r="R58" i="205"/>
  <c r="R59" i="205"/>
  <c r="R60" i="205"/>
  <c r="E59" i="205"/>
  <c r="R70" i="205"/>
  <c r="I58" i="205"/>
  <c r="K63" i="205"/>
  <c r="I56" i="205"/>
  <c r="B72" i="203"/>
  <c r="G70" i="203"/>
  <c r="X19" i="197"/>
  <c r="P19" i="197"/>
  <c r="X37" i="197"/>
  <c r="AJ37" i="197"/>
  <c r="P37" i="197"/>
  <c r="R72" i="197"/>
  <c r="R73" i="197"/>
  <c r="P18" i="197"/>
  <c r="X18" i="197"/>
  <c r="AJ38" i="197"/>
  <c r="X38" i="197"/>
  <c r="P38" i="197"/>
  <c r="K8" i="188"/>
  <c r="K9" i="188"/>
  <c r="K10" i="188"/>
  <c r="K11" i="188"/>
  <c r="K12" i="188"/>
  <c r="K13" i="188"/>
  <c r="K14" i="188"/>
  <c r="K15" i="188"/>
  <c r="K16" i="188"/>
  <c r="K17" i="188"/>
  <c r="K18" i="188"/>
  <c r="K19" i="188"/>
  <c r="K20" i="188"/>
  <c r="K21" i="188"/>
  <c r="K22" i="188"/>
  <c r="K23" i="188"/>
  <c r="K24" i="188"/>
  <c r="K25" i="188"/>
  <c r="K26" i="188"/>
  <c r="K27" i="188"/>
  <c r="K28" i="188"/>
  <c r="K29" i="188"/>
  <c r="K30" i="188"/>
  <c r="K31" i="188"/>
  <c r="K32" i="188"/>
  <c r="K33" i="188"/>
  <c r="K34" i="188"/>
  <c r="K35" i="188"/>
  <c r="K36" i="188"/>
  <c r="K37" i="188"/>
  <c r="K38" i="188"/>
  <c r="K39" i="188"/>
  <c r="K40" i="188"/>
  <c r="K41" i="188"/>
  <c r="K42" i="188"/>
  <c r="K43" i="188"/>
  <c r="K44" i="188"/>
  <c r="K45" i="188"/>
  <c r="K46" i="188"/>
  <c r="K47" i="188"/>
  <c r="K48" i="188"/>
  <c r="K49" i="188"/>
  <c r="K50" i="188"/>
  <c r="K51" i="188"/>
  <c r="K52" i="188"/>
  <c r="K53" i="188"/>
  <c r="K54" i="188"/>
  <c r="K55" i="188"/>
  <c r="K56" i="188"/>
  <c r="K57" i="188"/>
  <c r="K58" i="188"/>
  <c r="K59" i="188"/>
  <c r="K60" i="188"/>
  <c r="K61" i="188"/>
  <c r="K62" i="188"/>
  <c r="K63" i="188"/>
  <c r="K64" i="188"/>
  <c r="K65" i="188"/>
  <c r="K66" i="188"/>
  <c r="K67" i="188"/>
  <c r="K68" i="188"/>
  <c r="K69" i="188"/>
  <c r="K70" i="188"/>
  <c r="K71" i="188"/>
  <c r="K72" i="188"/>
  <c r="K73" i="188"/>
  <c r="K74" i="188"/>
  <c r="K7" i="188"/>
  <c r="AM5" i="187"/>
  <c r="AM6" i="187"/>
  <c r="AM7" i="187"/>
  <c r="AM8" i="187"/>
  <c r="AM9" i="187"/>
  <c r="AM10" i="187"/>
  <c r="AM11" i="187"/>
  <c r="AM12" i="187"/>
  <c r="AM13" i="187"/>
  <c r="AM14" i="187"/>
  <c r="AM15" i="187"/>
  <c r="AM16" i="187"/>
  <c r="AM17" i="187"/>
  <c r="AM18" i="187"/>
  <c r="AM19" i="187"/>
  <c r="AM20" i="187"/>
  <c r="AM21" i="187"/>
  <c r="AM22" i="187"/>
  <c r="AM23" i="187"/>
  <c r="AM24" i="187"/>
  <c r="AM25" i="187"/>
  <c r="AM26" i="187"/>
  <c r="AM27" i="187"/>
  <c r="AM28" i="187"/>
  <c r="AM29" i="187"/>
  <c r="AM30" i="187"/>
  <c r="AM31" i="187"/>
  <c r="AM32" i="187"/>
  <c r="AM33" i="187"/>
  <c r="AM34" i="187"/>
  <c r="AM35" i="187"/>
  <c r="AM36" i="187"/>
  <c r="AM37" i="187"/>
  <c r="AM38" i="187"/>
  <c r="AM39" i="187"/>
  <c r="AM40" i="187"/>
  <c r="AM41" i="187"/>
  <c r="AM42" i="187"/>
  <c r="AM43" i="187"/>
  <c r="AM44" i="187"/>
  <c r="AM45" i="187"/>
  <c r="AM46" i="187"/>
  <c r="AM47" i="187"/>
  <c r="AM48" i="187"/>
  <c r="AM49" i="187"/>
  <c r="AM50" i="187"/>
  <c r="AM51" i="187"/>
  <c r="AM52" i="187"/>
  <c r="AM53" i="187"/>
  <c r="AM54" i="187"/>
  <c r="AM55" i="187"/>
  <c r="AM56" i="187"/>
  <c r="AM57" i="187"/>
  <c r="AM58" i="187"/>
  <c r="AM59" i="187"/>
  <c r="AM60" i="187"/>
  <c r="AM61" i="187"/>
  <c r="AM62" i="187"/>
  <c r="AM63" i="187"/>
  <c r="AM64" i="187"/>
  <c r="AM65" i="187"/>
  <c r="AM66" i="187"/>
  <c r="AM67" i="187"/>
  <c r="AM68" i="187"/>
  <c r="AM69" i="187"/>
  <c r="AM70" i="187"/>
  <c r="AM71" i="187"/>
  <c r="AM72" i="187"/>
  <c r="AM73" i="187"/>
  <c r="AM74" i="187"/>
  <c r="AM75" i="187"/>
  <c r="AM76" i="187"/>
  <c r="AM77" i="187"/>
  <c r="AM78" i="187"/>
  <c r="AM79" i="187"/>
  <c r="AM80" i="187"/>
  <c r="AM81" i="187"/>
  <c r="AM82" i="187"/>
  <c r="AM83" i="187"/>
  <c r="AM84" i="187"/>
  <c r="AM85" i="187"/>
  <c r="AM86" i="187"/>
  <c r="AM87" i="187"/>
  <c r="AM88" i="187"/>
  <c r="AM89" i="187"/>
  <c r="AM90" i="187"/>
  <c r="AM91" i="187"/>
  <c r="AM4" i="187"/>
  <c r="D52" i="98"/>
  <c r="P35" i="197" l="1"/>
  <c r="X23" i="197"/>
  <c r="AJ35" i="197"/>
  <c r="P36" i="197"/>
  <c r="T66" i="197"/>
  <c r="T68" i="197"/>
  <c r="P41" i="197"/>
  <c r="X41" i="197"/>
  <c r="AJ48" i="197"/>
  <c r="X22" i="197"/>
  <c r="X48" i="197"/>
  <c r="I45" i="198"/>
  <c r="P23" i="197"/>
  <c r="I36" i="198"/>
  <c r="I72" i="197"/>
  <c r="T71" i="197"/>
  <c r="T72" i="197" s="1"/>
  <c r="AJ41" i="197"/>
  <c r="T67" i="197"/>
  <c r="I35" i="198"/>
  <c r="B29" i="198"/>
  <c r="AJ36" i="197"/>
  <c r="X36" i="197"/>
  <c r="AJ42" i="197"/>
  <c r="P42" i="197"/>
  <c r="X42" i="197"/>
  <c r="P22" i="197"/>
  <c r="T59" i="197"/>
  <c r="X39" i="197"/>
  <c r="AJ39" i="197"/>
  <c r="T60" i="197"/>
  <c r="T57" i="197"/>
  <c r="X21" i="197"/>
  <c r="P21" i="197"/>
  <c r="T58" i="197"/>
  <c r="AJ43" i="197"/>
  <c r="T56" i="197"/>
  <c r="I58" i="197"/>
  <c r="P31" i="197"/>
  <c r="I63" i="197"/>
  <c r="I62" i="197"/>
  <c r="P43" i="197"/>
  <c r="T61" i="197"/>
  <c r="X43" i="197"/>
  <c r="X26" i="197"/>
  <c r="I60" i="197"/>
  <c r="B41" i="198"/>
  <c r="AJ31" i="197"/>
  <c r="X31" i="197"/>
  <c r="P30" i="197"/>
  <c r="AJ29" i="197"/>
  <c r="P26" i="197"/>
  <c r="I61" i="197"/>
  <c r="I64" i="197"/>
  <c r="X35" i="197"/>
  <c r="X30" i="197"/>
  <c r="P53" i="197"/>
  <c r="T64" i="197"/>
  <c r="T62" i="197"/>
  <c r="P39" i="197"/>
  <c r="B23" i="198"/>
  <c r="X29" i="197"/>
  <c r="AJ30" i="197"/>
  <c r="P29" i="197"/>
  <c r="I56" i="197"/>
  <c r="I44" i="198"/>
  <c r="I73" i="197"/>
  <c r="I19" i="198"/>
  <c r="P27" i="197"/>
  <c r="X27" i="197"/>
  <c r="AJ27" i="197"/>
  <c r="B17" i="198"/>
  <c r="I39" i="198"/>
  <c r="P44" i="197"/>
  <c r="X44" i="197"/>
  <c r="AJ44" i="197"/>
  <c r="I57" i="197"/>
  <c r="I15" i="198"/>
  <c r="P24" i="197"/>
  <c r="X24" i="197"/>
  <c r="I20" i="198"/>
  <c r="AJ28" i="197"/>
  <c r="P28" i="197"/>
  <c r="X28" i="197"/>
  <c r="I10" i="198"/>
  <c r="I11" i="198" s="1"/>
  <c r="X20" i="197"/>
  <c r="P20" i="197"/>
  <c r="I16" i="198"/>
  <c r="P25" i="197"/>
  <c r="X25" i="197"/>
  <c r="T63" i="197"/>
  <c r="I59" i="197"/>
  <c r="I42" i="198"/>
  <c r="AJ46" i="197"/>
  <c r="X46" i="197"/>
  <c r="P46" i="197"/>
  <c r="I25" i="198"/>
  <c r="I29" i="198" s="1"/>
  <c r="AJ32" i="197"/>
  <c r="X32" i="197"/>
  <c r="P32" i="197"/>
  <c r="I54" i="99"/>
  <c r="H54" i="99"/>
  <c r="F54" i="99"/>
  <c r="D54" i="99"/>
  <c r="C54" i="99"/>
  <c r="B54" i="99"/>
  <c r="I53" i="99"/>
  <c r="H53" i="99"/>
  <c r="F53" i="99"/>
  <c r="C53" i="99"/>
  <c r="B53" i="99"/>
  <c r="F52" i="98"/>
  <c r="G54" i="99" s="1"/>
  <c r="I52" i="98"/>
  <c r="P68" i="197" l="1"/>
  <c r="P66" i="197"/>
  <c r="I41" i="198"/>
  <c r="P67" i="197"/>
  <c r="P63" i="197"/>
  <c r="P58" i="197"/>
  <c r="Y23" i="197"/>
  <c r="Y49" i="197"/>
  <c r="P59" i="197"/>
  <c r="Y24" i="197"/>
  <c r="P57" i="197"/>
  <c r="Y45" i="197"/>
  <c r="Y25" i="197"/>
  <c r="P60" i="197"/>
  <c r="Y44" i="197"/>
  <c r="Y17" i="197"/>
  <c r="P56" i="197"/>
  <c r="Y50" i="197"/>
  <c r="Y34" i="197"/>
  <c r="Y31" i="197"/>
  <c r="Y18" i="197"/>
  <c r="Y47" i="197"/>
  <c r="Y38" i="197"/>
  <c r="Y37" i="197"/>
  <c r="Y27" i="197"/>
  <c r="Y21" i="197"/>
  <c r="Y42" i="197"/>
  <c r="Y43" i="197"/>
  <c r="Y40" i="197"/>
  <c r="Y48" i="197"/>
  <c r="P61" i="197"/>
  <c r="Y16" i="197"/>
  <c r="Y22" i="197"/>
  <c r="Y32" i="197"/>
  <c r="Y41" i="197"/>
  <c r="Y36" i="197"/>
  <c r="Y46" i="197"/>
  <c r="Y39" i="197"/>
  <c r="Y28" i="197"/>
  <c r="I17" i="198"/>
  <c r="Y33" i="197"/>
  <c r="P62" i="197"/>
  <c r="Y35" i="197"/>
  <c r="Y26" i="197"/>
  <c r="Y30" i="197"/>
  <c r="Y19" i="197"/>
  <c r="Y29" i="197"/>
  <c r="P64" i="197"/>
  <c r="Y20" i="197"/>
  <c r="I23" i="198"/>
  <c r="N96" i="97"/>
  <c r="K64" i="95" l="1"/>
  <c r="J64" i="95"/>
  <c r="H64" i="95"/>
  <c r="G64" i="95"/>
  <c r="F64" i="95"/>
  <c r="E64" i="95"/>
  <c r="D64" i="95"/>
  <c r="B64" i="95"/>
  <c r="F67" i="188"/>
  <c r="L36" i="112"/>
  <c r="L35" i="112"/>
  <c r="L34" i="112"/>
  <c r="F35" i="112"/>
  <c r="F36" i="112"/>
  <c r="F34" i="112"/>
  <c r="M34" i="112" l="1"/>
  <c r="M35" i="112"/>
  <c r="Q36" i="112" l="1"/>
  <c r="F39" i="113" s="1"/>
  <c r="P36" i="112"/>
  <c r="E39" i="113" s="1"/>
  <c r="O36" i="112"/>
  <c r="D39" i="113" s="1"/>
  <c r="N36" i="112"/>
  <c r="C39" i="113" s="1"/>
  <c r="M36" i="112"/>
  <c r="Y60" i="82"/>
  <c r="Z59" i="82" l="1"/>
  <c r="Z60" i="82"/>
  <c r="R36" i="112"/>
  <c r="R60" i="82"/>
  <c r="T36" i="112" l="1"/>
  <c r="G39" i="113"/>
  <c r="T60" i="82"/>
  <c r="U36" i="112"/>
  <c r="V36" i="112"/>
  <c r="N60" i="82" l="1"/>
  <c r="U59" i="82"/>
  <c r="W60" i="82"/>
  <c r="S60" i="82"/>
  <c r="Y57" i="82"/>
  <c r="J57" i="82"/>
  <c r="H57" i="82"/>
  <c r="G57" i="82"/>
  <c r="R57" i="82" l="1"/>
  <c r="T57" i="82"/>
  <c r="S57" i="82" s="1"/>
  <c r="W57" i="82" l="1"/>
  <c r="N57" i="82"/>
  <c r="B36" i="190"/>
  <c r="C36" i="190"/>
  <c r="D36" i="190"/>
  <c r="E36" i="190"/>
  <c r="H36" i="190"/>
  <c r="B37" i="190"/>
  <c r="C37" i="190"/>
  <c r="D37" i="190"/>
  <c r="E37" i="190"/>
  <c r="F37" i="190"/>
  <c r="H37" i="190"/>
  <c r="AF34" i="189"/>
  <c r="O35" i="189"/>
  <c r="Y35" i="189" s="1"/>
  <c r="P35" i="189"/>
  <c r="T35" i="189" s="1"/>
  <c r="AD35" i="189" s="1"/>
  <c r="Q35" i="189"/>
  <c r="R35" i="189"/>
  <c r="AA35" i="189"/>
  <c r="AB35" i="189"/>
  <c r="AC35" i="189"/>
  <c r="AE35" i="189"/>
  <c r="AF35" i="189"/>
  <c r="E71" i="188"/>
  <c r="F71" i="188"/>
  <c r="G71" i="188"/>
  <c r="I71" i="188"/>
  <c r="J71" i="188"/>
  <c r="L71" i="188"/>
  <c r="N71" i="188"/>
  <c r="P71" i="188"/>
  <c r="Q71" i="188"/>
  <c r="E72" i="188"/>
  <c r="F72" i="188"/>
  <c r="G72" i="188"/>
  <c r="I72" i="188"/>
  <c r="J72" i="188"/>
  <c r="L72" i="188"/>
  <c r="N72" i="188"/>
  <c r="P72" i="188"/>
  <c r="Q72" i="188"/>
  <c r="E73" i="188"/>
  <c r="F73" i="188"/>
  <c r="G73" i="188"/>
  <c r="I73" i="188"/>
  <c r="J73" i="188"/>
  <c r="L73" i="188"/>
  <c r="N73" i="188"/>
  <c r="P73" i="188"/>
  <c r="Q73" i="188"/>
  <c r="E74" i="188"/>
  <c r="F74" i="188"/>
  <c r="G74" i="188"/>
  <c r="I74" i="188"/>
  <c r="J74" i="188"/>
  <c r="L74" i="188"/>
  <c r="N74" i="188"/>
  <c r="P74" i="188"/>
  <c r="Q74" i="188"/>
  <c r="AH88" i="187"/>
  <c r="AI88" i="187"/>
  <c r="AJ88" i="187"/>
  <c r="AK88" i="187"/>
  <c r="AL88" i="187"/>
  <c r="AN88" i="187"/>
  <c r="AO88" i="187"/>
  <c r="AP88" i="187"/>
  <c r="AQ88" i="187"/>
  <c r="AR88" i="187"/>
  <c r="AE89" i="187"/>
  <c r="AF89" i="187"/>
  <c r="AH89" i="187"/>
  <c r="AI89" i="187"/>
  <c r="AJ89" i="187"/>
  <c r="AK89" i="187"/>
  <c r="AL89" i="187"/>
  <c r="AN89" i="187"/>
  <c r="AO89" i="187"/>
  <c r="AP89" i="187"/>
  <c r="AQ89" i="187"/>
  <c r="AR89" i="187"/>
  <c r="AS89" i="187"/>
  <c r="AE90" i="187"/>
  <c r="AF90" i="187"/>
  <c r="AH90" i="187"/>
  <c r="AI90" i="187"/>
  <c r="AJ90" i="187"/>
  <c r="AK90" i="187"/>
  <c r="AL90" i="187"/>
  <c r="AN90" i="187"/>
  <c r="AO90" i="187"/>
  <c r="AP90" i="187"/>
  <c r="AQ90" i="187"/>
  <c r="AR90" i="187"/>
  <c r="AS90" i="187"/>
  <c r="AE91" i="187"/>
  <c r="AF91" i="187"/>
  <c r="AH91" i="187"/>
  <c r="AI91" i="187"/>
  <c r="AJ91" i="187"/>
  <c r="AK91" i="187"/>
  <c r="AL91" i="187"/>
  <c r="AN91" i="187"/>
  <c r="AO91" i="187"/>
  <c r="AP91" i="187"/>
  <c r="AQ91" i="187"/>
  <c r="AR91" i="187"/>
  <c r="AS91" i="187"/>
  <c r="D29" i="111"/>
  <c r="C29" i="111"/>
  <c r="B29" i="111"/>
  <c r="D57" i="111"/>
  <c r="C57" i="111"/>
  <c r="B57" i="111"/>
  <c r="B86" i="110"/>
  <c r="C86" i="110"/>
  <c r="D86" i="110"/>
  <c r="F57" i="110"/>
  <c r="E85" i="86"/>
  <c r="D85" i="86"/>
  <c r="C85" i="86"/>
  <c r="Z35" i="189" l="1"/>
  <c r="L35" i="189"/>
  <c r="I37" i="190"/>
  <c r="S74" i="188"/>
  <c r="S71" i="188"/>
  <c r="S72" i="188"/>
  <c r="S73" i="188"/>
  <c r="AF88" i="187"/>
  <c r="W35" i="189"/>
  <c r="AG35" i="189" s="1"/>
  <c r="AS88" i="187"/>
  <c r="AE88" i="187"/>
  <c r="D51" i="98" l="1"/>
  <c r="D53" i="99" s="1"/>
  <c r="Q39" i="112" l="1"/>
  <c r="F41" i="113" s="1"/>
  <c r="Q35" i="112"/>
  <c r="F38" i="113" s="1"/>
  <c r="Q34" i="112"/>
  <c r="F37" i="113" s="1"/>
  <c r="Q33" i="112"/>
  <c r="P39" i="112"/>
  <c r="E41" i="113" s="1"/>
  <c r="P35" i="112"/>
  <c r="E38" i="113" s="1"/>
  <c r="P34" i="112"/>
  <c r="E37" i="113" s="1"/>
  <c r="P33" i="112"/>
  <c r="O39" i="112"/>
  <c r="D41" i="113" s="1"/>
  <c r="O35" i="112"/>
  <c r="D38" i="113" s="1"/>
  <c r="O34" i="112"/>
  <c r="D37" i="113" s="1"/>
  <c r="O33" i="112"/>
  <c r="N39" i="112"/>
  <c r="C41" i="113" s="1"/>
  <c r="N35" i="112"/>
  <c r="C38" i="113" s="1"/>
  <c r="N34" i="112"/>
  <c r="N33" i="112"/>
  <c r="C36" i="113" s="1"/>
  <c r="R34" i="112" l="1"/>
  <c r="G37" i="113" s="1"/>
  <c r="R35" i="112"/>
  <c r="C37" i="113"/>
  <c r="T34" i="112"/>
  <c r="V34" i="112"/>
  <c r="G38" i="113"/>
  <c r="T35" i="112"/>
  <c r="V35" i="112"/>
  <c r="R33" i="112"/>
  <c r="T33" i="112" s="1"/>
  <c r="U35" i="112"/>
  <c r="U34" i="112"/>
  <c r="R39" i="112"/>
  <c r="G41" i="113" s="1"/>
  <c r="Y56" i="82"/>
  <c r="Y55" i="82"/>
  <c r="Y53" i="82"/>
  <c r="Y52" i="82"/>
  <c r="Y51" i="82"/>
  <c r="Y50" i="82"/>
  <c r="Y49" i="82"/>
  <c r="Y47" i="82"/>
  <c r="Y46" i="82"/>
  <c r="Y45" i="82"/>
  <c r="Y44" i="82"/>
  <c r="Y43" i="82"/>
  <c r="Y41" i="82"/>
  <c r="Y40" i="82"/>
  <c r="Y39" i="82"/>
  <c r="Y38" i="82"/>
  <c r="Y37" i="82"/>
  <c r="Y35" i="82"/>
  <c r="Y34" i="82"/>
  <c r="Y33" i="82"/>
  <c r="Y32" i="82"/>
  <c r="Y31" i="82"/>
  <c r="Y29" i="82"/>
  <c r="Y28" i="82"/>
  <c r="Y27" i="82"/>
  <c r="Y26" i="82"/>
  <c r="Y25" i="82"/>
  <c r="Y23" i="82"/>
  <c r="Y22" i="82"/>
  <c r="Y21" i="82"/>
  <c r="Y20" i="82"/>
  <c r="Y19" i="82"/>
  <c r="Y17" i="82"/>
  <c r="Y16" i="82"/>
  <c r="Y15" i="82"/>
  <c r="Y14" i="82"/>
  <c r="Y13" i="82"/>
  <c r="Y11" i="82"/>
  <c r="Y10" i="82"/>
  <c r="Y9" i="82"/>
  <c r="Y8" i="82"/>
  <c r="Y7" i="82"/>
  <c r="J33" i="153"/>
  <c r="M33" i="153"/>
  <c r="N33" i="153"/>
  <c r="P33" i="153"/>
  <c r="C29" i="154" s="1"/>
  <c r="Q33" i="153"/>
  <c r="R33" i="153"/>
  <c r="S33" i="153"/>
  <c r="F29" i="154" s="1"/>
  <c r="T33" i="153"/>
  <c r="E29" i="154" s="1"/>
  <c r="U33" i="153"/>
  <c r="G29" i="154" s="1"/>
  <c r="Z58" i="82" l="1"/>
  <c r="D29" i="154"/>
  <c r="U33" i="112"/>
  <c r="V33" i="112"/>
  <c r="Z57" i="82"/>
  <c r="O33" i="153"/>
  <c r="B29" i="154" s="1"/>
  <c r="V33" i="153"/>
  <c r="U39" i="112"/>
  <c r="Z21" i="82"/>
  <c r="Z52" i="82"/>
  <c r="Z33" i="82"/>
  <c r="Z20" i="82"/>
  <c r="Z23" i="82"/>
  <c r="Z9" i="82"/>
  <c r="Z43" i="82"/>
  <c r="Z15" i="82"/>
  <c r="Z25" i="82"/>
  <c r="Z34" i="82"/>
  <c r="Z44" i="82"/>
  <c r="Z53" i="82"/>
  <c r="Z7" i="82"/>
  <c r="Z16" i="82"/>
  <c r="Z26" i="82"/>
  <c r="Z35" i="82"/>
  <c r="Z45" i="82"/>
  <c r="Z55" i="82"/>
  <c r="Z17" i="82"/>
  <c r="Z27" i="82"/>
  <c r="Z37" i="82"/>
  <c r="Z46" i="82"/>
  <c r="Z56" i="82"/>
  <c r="Z19" i="82"/>
  <c r="Z28" i="82"/>
  <c r="Z38" i="82"/>
  <c r="Z47" i="82"/>
  <c r="Z10" i="82"/>
  <c r="Z49" i="82"/>
  <c r="Z11" i="82"/>
  <c r="Z50" i="82"/>
  <c r="Z13" i="82"/>
  <c r="Z22" i="82"/>
  <c r="Z32" i="82"/>
  <c r="Z41" i="82"/>
  <c r="Z51" i="82"/>
  <c r="Z29" i="82"/>
  <c r="Z40" i="82"/>
  <c r="Z39" i="82"/>
  <c r="Z14" i="82"/>
  <c r="Z31" i="82"/>
  <c r="Z8" i="82"/>
  <c r="V39" i="112"/>
  <c r="T39" i="112"/>
  <c r="K63" i="95" l="1"/>
  <c r="J63" i="95"/>
  <c r="H63" i="95"/>
  <c r="G63" i="95"/>
  <c r="F63" i="95"/>
  <c r="E63" i="95"/>
  <c r="D63" i="95"/>
  <c r="B63" i="95"/>
  <c r="A63" i="95"/>
  <c r="N95" i="97"/>
  <c r="H35" i="190" l="1"/>
  <c r="E35" i="190"/>
  <c r="D35" i="190"/>
  <c r="C35" i="190"/>
  <c r="B35" i="190"/>
  <c r="H34" i="190"/>
  <c r="E34" i="190"/>
  <c r="D34" i="190"/>
  <c r="C34" i="190"/>
  <c r="B34" i="190"/>
  <c r="H33" i="190"/>
  <c r="E33" i="190"/>
  <c r="D33" i="190"/>
  <c r="C33" i="190"/>
  <c r="B33" i="190"/>
  <c r="H32" i="190"/>
  <c r="E32" i="190"/>
  <c r="D32" i="190"/>
  <c r="C32" i="190"/>
  <c r="B32" i="190"/>
  <c r="H31" i="190"/>
  <c r="E31" i="190"/>
  <c r="D31" i="190"/>
  <c r="C31" i="190"/>
  <c r="B31" i="190"/>
  <c r="H30" i="190"/>
  <c r="E30" i="190"/>
  <c r="D30" i="190"/>
  <c r="C30" i="190"/>
  <c r="B30" i="190"/>
  <c r="H29" i="190"/>
  <c r="E29" i="190"/>
  <c r="D29" i="190"/>
  <c r="C29" i="190"/>
  <c r="B29" i="190"/>
  <c r="H28" i="190"/>
  <c r="E28" i="190"/>
  <c r="D28" i="190"/>
  <c r="C28" i="190"/>
  <c r="B28" i="190"/>
  <c r="H27" i="190"/>
  <c r="E27" i="190"/>
  <c r="D27" i="190"/>
  <c r="C27" i="190"/>
  <c r="B27" i="190"/>
  <c r="H26" i="190"/>
  <c r="E26" i="190"/>
  <c r="D26" i="190"/>
  <c r="C26" i="190"/>
  <c r="B26" i="190"/>
  <c r="H25" i="190"/>
  <c r="E25" i="190"/>
  <c r="D25" i="190"/>
  <c r="C25" i="190"/>
  <c r="B25" i="190"/>
  <c r="H24" i="190"/>
  <c r="E24" i="190"/>
  <c r="D24" i="190"/>
  <c r="C24" i="190"/>
  <c r="B24" i="190"/>
  <c r="H23" i="190"/>
  <c r="E23" i="190"/>
  <c r="D23" i="190"/>
  <c r="C23" i="190"/>
  <c r="B23" i="190"/>
  <c r="H22" i="190"/>
  <c r="E22" i="190"/>
  <c r="D22" i="190"/>
  <c r="C22" i="190"/>
  <c r="B22" i="190"/>
  <c r="H21" i="190"/>
  <c r="E21" i="190"/>
  <c r="D21" i="190"/>
  <c r="C21" i="190"/>
  <c r="B21" i="190"/>
  <c r="H20" i="190"/>
  <c r="E20" i="190"/>
  <c r="D20" i="190"/>
  <c r="C20" i="190"/>
  <c r="B20" i="190"/>
  <c r="H19" i="190"/>
  <c r="E19" i="190"/>
  <c r="D19" i="190"/>
  <c r="C19" i="190"/>
  <c r="B19" i="190"/>
  <c r="H18" i="190"/>
  <c r="E18" i="190"/>
  <c r="D18" i="190"/>
  <c r="C18" i="190"/>
  <c r="B18" i="190"/>
  <c r="H17" i="190"/>
  <c r="E17" i="190"/>
  <c r="D17" i="190"/>
  <c r="C17" i="190"/>
  <c r="B17" i="190"/>
  <c r="H16" i="190"/>
  <c r="E16" i="190"/>
  <c r="D16" i="190"/>
  <c r="C16" i="190"/>
  <c r="B16" i="190"/>
  <c r="H15" i="190"/>
  <c r="E15" i="190"/>
  <c r="D15" i="190"/>
  <c r="C15" i="190"/>
  <c r="B15" i="190"/>
  <c r="H14" i="190"/>
  <c r="E14" i="190"/>
  <c r="D14" i="190"/>
  <c r="C14" i="190"/>
  <c r="B14" i="190"/>
  <c r="H13" i="190"/>
  <c r="E13" i="190"/>
  <c r="D13" i="190"/>
  <c r="C13" i="190"/>
  <c r="B13" i="190"/>
  <c r="H12" i="190"/>
  <c r="E12" i="190"/>
  <c r="D12" i="190"/>
  <c r="C12" i="190"/>
  <c r="B12" i="190"/>
  <c r="H11" i="190"/>
  <c r="E11" i="190"/>
  <c r="D11" i="190"/>
  <c r="C11" i="190"/>
  <c r="B11" i="190"/>
  <c r="H10" i="190"/>
  <c r="E10" i="190"/>
  <c r="D10" i="190"/>
  <c r="C10" i="190"/>
  <c r="B10" i="190"/>
  <c r="H9" i="190"/>
  <c r="E9" i="190"/>
  <c r="D9" i="190"/>
  <c r="C9" i="190"/>
  <c r="B9" i="190"/>
  <c r="H8" i="190"/>
  <c r="E8" i="190"/>
  <c r="D8" i="190"/>
  <c r="C8" i="190"/>
  <c r="B8" i="190"/>
  <c r="H7" i="190"/>
  <c r="E7" i="190"/>
  <c r="D7" i="190"/>
  <c r="C7" i="190"/>
  <c r="B7" i="190"/>
  <c r="AE34" i="189"/>
  <c r="AC34" i="189"/>
  <c r="R34" i="189"/>
  <c r="AB34" i="189" s="1"/>
  <c r="Q34" i="189"/>
  <c r="AA34" i="189" s="1"/>
  <c r="P34" i="189"/>
  <c r="O34" i="189"/>
  <c r="Y34" i="189" s="1"/>
  <c r="F34" i="189"/>
  <c r="AE33" i="189"/>
  <c r="AC33" i="189"/>
  <c r="R33" i="189"/>
  <c r="AB33" i="189" s="1"/>
  <c r="Q33" i="189"/>
  <c r="AA33" i="189" s="1"/>
  <c r="P33" i="189"/>
  <c r="O33" i="189"/>
  <c r="Y33" i="189" s="1"/>
  <c r="F33" i="189"/>
  <c r="I33" i="189" s="1"/>
  <c r="AF32" i="189"/>
  <c r="AE32" i="189"/>
  <c r="AC32" i="189"/>
  <c r="AA32" i="189"/>
  <c r="Y32" i="189"/>
  <c r="R32" i="189"/>
  <c r="AB32" i="189" s="1"/>
  <c r="Q32" i="189"/>
  <c r="P32" i="189"/>
  <c r="F32" i="189"/>
  <c r="AF31" i="189"/>
  <c r="AE31" i="189"/>
  <c r="AC31" i="189"/>
  <c r="Z31" i="189"/>
  <c r="Y31" i="189"/>
  <c r="R31" i="189"/>
  <c r="AB31" i="189" s="1"/>
  <c r="Q31" i="189"/>
  <c r="AA31" i="189" s="1"/>
  <c r="P31" i="189"/>
  <c r="O31" i="189"/>
  <c r="F31" i="189"/>
  <c r="AF30" i="189"/>
  <c r="AE30" i="189"/>
  <c r="AC30" i="189"/>
  <c r="AB30" i="189"/>
  <c r="AA30" i="189"/>
  <c r="Z30" i="189"/>
  <c r="W30" i="189"/>
  <c r="O30" i="189"/>
  <c r="Y30" i="189" s="1"/>
  <c r="F30" i="189"/>
  <c r="AF29" i="189"/>
  <c r="AE29" i="189"/>
  <c r="AC29" i="189"/>
  <c r="AB29" i="189"/>
  <c r="AA29" i="189"/>
  <c r="Z29" i="189"/>
  <c r="Y29" i="189"/>
  <c r="W29" i="189"/>
  <c r="F29" i="189"/>
  <c r="I29" i="189" s="1"/>
  <c r="AF28" i="189"/>
  <c r="AE28" i="189"/>
  <c r="AC28" i="189"/>
  <c r="AB28" i="189"/>
  <c r="AA28" i="189"/>
  <c r="Z28" i="189"/>
  <c r="Y28" i="189"/>
  <c r="W28" i="189"/>
  <c r="F28" i="189"/>
  <c r="AF27" i="189"/>
  <c r="AE27" i="189"/>
  <c r="AC27" i="189"/>
  <c r="AB27" i="189"/>
  <c r="AA27" i="189"/>
  <c r="Z27" i="189"/>
  <c r="Y27" i="189"/>
  <c r="W27" i="189"/>
  <c r="F27" i="189"/>
  <c r="AF26" i="189"/>
  <c r="AE26" i="189"/>
  <c r="AC26" i="189"/>
  <c r="AB26" i="189"/>
  <c r="AA26" i="189"/>
  <c r="Z26" i="189"/>
  <c r="Y26" i="189"/>
  <c r="W26" i="189"/>
  <c r="F26" i="189"/>
  <c r="I26" i="189" s="1"/>
  <c r="AF25" i="189"/>
  <c r="AE25" i="189"/>
  <c r="AC25" i="189"/>
  <c r="AB25" i="189"/>
  <c r="AA25" i="189"/>
  <c r="Y25" i="189"/>
  <c r="W25" i="189"/>
  <c r="F25" i="189"/>
  <c r="F27" i="190" s="1"/>
  <c r="AF24" i="189"/>
  <c r="AE24" i="189"/>
  <c r="AC24" i="189"/>
  <c r="Y24" i="189"/>
  <c r="W24" i="189"/>
  <c r="F24" i="189"/>
  <c r="AF23" i="189"/>
  <c r="AE23" i="189"/>
  <c r="AC23" i="189"/>
  <c r="AB23" i="189"/>
  <c r="AA23" i="189"/>
  <c r="Z23" i="189"/>
  <c r="Y23" i="189"/>
  <c r="W23" i="189"/>
  <c r="F23" i="189"/>
  <c r="AD23" i="189" s="1"/>
  <c r="AF22" i="189"/>
  <c r="AE22" i="189"/>
  <c r="AC22" i="189"/>
  <c r="AB22" i="189"/>
  <c r="AA22" i="189"/>
  <c r="Z22" i="189"/>
  <c r="Y22" i="189"/>
  <c r="W22" i="189"/>
  <c r="F22" i="189"/>
  <c r="AF21" i="189"/>
  <c r="AE21" i="189"/>
  <c r="AC21" i="189"/>
  <c r="AB21" i="189"/>
  <c r="AA21" i="189"/>
  <c r="Z21" i="189"/>
  <c r="Y21" i="189"/>
  <c r="W21" i="189"/>
  <c r="F21" i="189"/>
  <c r="I21" i="189" s="1"/>
  <c r="AF20" i="189"/>
  <c r="AE20" i="189"/>
  <c r="AC20" i="189"/>
  <c r="AB20" i="189"/>
  <c r="AA20" i="189"/>
  <c r="Z20" i="189"/>
  <c r="Y20" i="189"/>
  <c r="W20" i="189"/>
  <c r="F20" i="189"/>
  <c r="F22" i="190" s="1"/>
  <c r="AF19" i="189"/>
  <c r="AE19" i="189"/>
  <c r="AC19" i="189"/>
  <c r="AB19" i="189"/>
  <c r="AA19" i="189"/>
  <c r="Z19" i="189"/>
  <c r="Y19" i="189"/>
  <c r="W19" i="189"/>
  <c r="F19" i="189"/>
  <c r="I19" i="189" s="1"/>
  <c r="AF18" i="189"/>
  <c r="AE18" i="189"/>
  <c r="AC18" i="189"/>
  <c r="AB18" i="189"/>
  <c r="AA18" i="189"/>
  <c r="Z18" i="189"/>
  <c r="Y18" i="189"/>
  <c r="W18" i="189"/>
  <c r="F18" i="189"/>
  <c r="AD18" i="189" s="1"/>
  <c r="AF17" i="189"/>
  <c r="AE17" i="189"/>
  <c r="AD17" i="189"/>
  <c r="AC17" i="189"/>
  <c r="AB17" i="189"/>
  <c r="AA17" i="189"/>
  <c r="Z17" i="189"/>
  <c r="Y17" i="189"/>
  <c r="W17" i="189"/>
  <c r="F17" i="189"/>
  <c r="F19" i="190" s="1"/>
  <c r="AF16" i="189"/>
  <c r="AE16" i="189"/>
  <c r="AC16" i="189"/>
  <c r="AB16" i="189"/>
  <c r="AA16" i="189"/>
  <c r="Z16" i="189"/>
  <c r="Y16" i="189"/>
  <c r="W16" i="189"/>
  <c r="F16" i="189"/>
  <c r="F18" i="190" s="1"/>
  <c r="AF15" i="189"/>
  <c r="AE15" i="189"/>
  <c r="AC15" i="189"/>
  <c r="AB15" i="189"/>
  <c r="AA15" i="189"/>
  <c r="Z15" i="189"/>
  <c r="Y15" i="189"/>
  <c r="W15" i="189"/>
  <c r="F15" i="189"/>
  <c r="F17" i="190" s="1"/>
  <c r="AF14" i="189"/>
  <c r="AE14" i="189"/>
  <c r="AC14" i="189"/>
  <c r="AB14" i="189"/>
  <c r="AA14" i="189"/>
  <c r="Z14" i="189"/>
  <c r="Y14" i="189"/>
  <c r="W14" i="189"/>
  <c r="F14" i="189"/>
  <c r="I14" i="189" s="1"/>
  <c r="AF13" i="189"/>
  <c r="AE13" i="189"/>
  <c r="AC13" i="189"/>
  <c r="AB13" i="189"/>
  <c r="AA13" i="189"/>
  <c r="Z13" i="189"/>
  <c r="Y13" i="189"/>
  <c r="W13" i="189"/>
  <c r="F13" i="189"/>
  <c r="F15" i="190" s="1"/>
  <c r="AF12" i="189"/>
  <c r="AE12" i="189"/>
  <c r="AC12" i="189"/>
  <c r="AB12" i="189"/>
  <c r="AA12" i="189"/>
  <c r="Z12" i="189"/>
  <c r="Y12" i="189"/>
  <c r="W12" i="189"/>
  <c r="F12" i="189"/>
  <c r="F14" i="190" s="1"/>
  <c r="AF11" i="189"/>
  <c r="AE11" i="189"/>
  <c r="AC11" i="189"/>
  <c r="AB11" i="189"/>
  <c r="AA11" i="189"/>
  <c r="Z11" i="189"/>
  <c r="Y11" i="189"/>
  <c r="W11" i="189"/>
  <c r="F11" i="189"/>
  <c r="AD11" i="189" s="1"/>
  <c r="AF10" i="189"/>
  <c r="AE10" i="189"/>
  <c r="AC10" i="189"/>
  <c r="AB10" i="189"/>
  <c r="AA10" i="189"/>
  <c r="Z10" i="189"/>
  <c r="Y10" i="189"/>
  <c r="W10" i="189"/>
  <c r="F10" i="189"/>
  <c r="F12" i="190" s="1"/>
  <c r="AF9" i="189"/>
  <c r="AE9" i="189"/>
  <c r="AC9" i="189"/>
  <c r="AB9" i="189"/>
  <c r="AA9" i="189"/>
  <c r="Z9" i="189"/>
  <c r="Y9" i="189"/>
  <c r="W9" i="189"/>
  <c r="F9" i="189"/>
  <c r="I9" i="189" s="1"/>
  <c r="AF8" i="189"/>
  <c r="AE8" i="189"/>
  <c r="AC8" i="189"/>
  <c r="AB8" i="189"/>
  <c r="AA8" i="189"/>
  <c r="Z8" i="189"/>
  <c r="Y8" i="189"/>
  <c r="W8" i="189"/>
  <c r="F8" i="189"/>
  <c r="F10" i="190" s="1"/>
  <c r="AF7" i="189"/>
  <c r="AE7" i="189"/>
  <c r="AC7" i="189"/>
  <c r="AB7" i="189"/>
  <c r="AA7" i="189"/>
  <c r="Z7" i="189"/>
  <c r="Y7" i="189"/>
  <c r="W7" i="189"/>
  <c r="F7" i="189"/>
  <c r="I7" i="189" s="1"/>
  <c r="AF6" i="189"/>
  <c r="AE6" i="189"/>
  <c r="AC6" i="189"/>
  <c r="AB6" i="189"/>
  <c r="AA6" i="189"/>
  <c r="Z6" i="189"/>
  <c r="Y6" i="189"/>
  <c r="W6" i="189"/>
  <c r="F6" i="189"/>
  <c r="AD6" i="189" s="1"/>
  <c r="AF5" i="189"/>
  <c r="AE5" i="189"/>
  <c r="AC5" i="189"/>
  <c r="AB5" i="189"/>
  <c r="AA5" i="189"/>
  <c r="Z5" i="189"/>
  <c r="Y5" i="189"/>
  <c r="W5" i="189"/>
  <c r="F5" i="189"/>
  <c r="F7" i="190" s="1"/>
  <c r="Q70" i="188"/>
  <c r="P70" i="188"/>
  <c r="N70" i="188"/>
  <c r="L70" i="188"/>
  <c r="J70" i="188"/>
  <c r="I70" i="188"/>
  <c r="G70" i="188"/>
  <c r="F70" i="188"/>
  <c r="E70" i="188"/>
  <c r="Q69" i="188"/>
  <c r="P69" i="188"/>
  <c r="N69" i="188"/>
  <c r="L69" i="188"/>
  <c r="J69" i="188"/>
  <c r="I69" i="188"/>
  <c r="G69" i="188"/>
  <c r="F69" i="188"/>
  <c r="E69" i="188"/>
  <c r="Q68" i="188"/>
  <c r="P68" i="188"/>
  <c r="N68" i="188"/>
  <c r="L68" i="188"/>
  <c r="J68" i="188"/>
  <c r="I68" i="188"/>
  <c r="G68" i="188"/>
  <c r="F68" i="188"/>
  <c r="E68" i="188"/>
  <c r="Q67" i="188"/>
  <c r="P67" i="188"/>
  <c r="N67" i="188"/>
  <c r="L67" i="188"/>
  <c r="J67" i="188"/>
  <c r="I67" i="188"/>
  <c r="G67" i="188"/>
  <c r="E67" i="188"/>
  <c r="Q66" i="188"/>
  <c r="P66" i="188"/>
  <c r="N66" i="188"/>
  <c r="L66" i="188"/>
  <c r="J66" i="188"/>
  <c r="I66" i="188"/>
  <c r="G66" i="188"/>
  <c r="F66" i="188"/>
  <c r="E66" i="188"/>
  <c r="Q65" i="188"/>
  <c r="P65" i="188"/>
  <c r="N65" i="188"/>
  <c r="L65" i="188"/>
  <c r="J65" i="188"/>
  <c r="I65" i="188"/>
  <c r="G65" i="188"/>
  <c r="F65" i="188"/>
  <c r="E65" i="188"/>
  <c r="Q64" i="188"/>
  <c r="P64" i="188"/>
  <c r="N64" i="188"/>
  <c r="L64" i="188"/>
  <c r="J64" i="188"/>
  <c r="I64" i="188"/>
  <c r="G64" i="188"/>
  <c r="F64" i="188"/>
  <c r="E64" i="188"/>
  <c r="Q63" i="188"/>
  <c r="P63" i="188"/>
  <c r="N63" i="188"/>
  <c r="L63" i="188"/>
  <c r="J63" i="188"/>
  <c r="I63" i="188"/>
  <c r="G63" i="188"/>
  <c r="F63" i="188"/>
  <c r="E63" i="188"/>
  <c r="Q62" i="188"/>
  <c r="P62" i="188"/>
  <c r="N62" i="188"/>
  <c r="L62" i="188"/>
  <c r="J62" i="188"/>
  <c r="I62" i="188"/>
  <c r="G62" i="188"/>
  <c r="F62" i="188"/>
  <c r="E62" i="188"/>
  <c r="Q61" i="188"/>
  <c r="P61" i="188"/>
  <c r="N61" i="188"/>
  <c r="L61" i="188"/>
  <c r="J61" i="188"/>
  <c r="I61" i="188"/>
  <c r="G61" i="188"/>
  <c r="F61" i="188"/>
  <c r="E61" i="188"/>
  <c r="Q60" i="188"/>
  <c r="P60" i="188"/>
  <c r="N60" i="188"/>
  <c r="L60" i="188"/>
  <c r="J60" i="188"/>
  <c r="I60" i="188"/>
  <c r="G60" i="188"/>
  <c r="F60" i="188"/>
  <c r="E60" i="188"/>
  <c r="Q59" i="188"/>
  <c r="P59" i="188"/>
  <c r="N59" i="188"/>
  <c r="L59" i="188"/>
  <c r="J59" i="188"/>
  <c r="I59" i="188"/>
  <c r="G59" i="188"/>
  <c r="F59" i="188"/>
  <c r="E59" i="188"/>
  <c r="Q58" i="188"/>
  <c r="P58" i="188"/>
  <c r="N58" i="188"/>
  <c r="L58" i="188"/>
  <c r="J58" i="188"/>
  <c r="I58" i="188"/>
  <c r="G58" i="188"/>
  <c r="F58" i="188"/>
  <c r="E58" i="188"/>
  <c r="Q57" i="188"/>
  <c r="P57" i="188"/>
  <c r="N57" i="188"/>
  <c r="L57" i="188"/>
  <c r="J57" i="188"/>
  <c r="I57" i="188"/>
  <c r="G57" i="188"/>
  <c r="F57" i="188"/>
  <c r="E57" i="188"/>
  <c r="Q56" i="188"/>
  <c r="P56" i="188"/>
  <c r="N56" i="188"/>
  <c r="L56" i="188"/>
  <c r="J56" i="188"/>
  <c r="I56" i="188"/>
  <c r="G56" i="188"/>
  <c r="F56" i="188"/>
  <c r="E56" i="188"/>
  <c r="Q55" i="188"/>
  <c r="P55" i="188"/>
  <c r="N55" i="188"/>
  <c r="L55" i="188"/>
  <c r="J55" i="188"/>
  <c r="I55" i="188"/>
  <c r="G55" i="188"/>
  <c r="F55" i="188"/>
  <c r="E55" i="188"/>
  <c r="Q54" i="188"/>
  <c r="P54" i="188"/>
  <c r="N54" i="188"/>
  <c r="L54" i="188"/>
  <c r="J54" i="188"/>
  <c r="I54" i="188"/>
  <c r="G54" i="188"/>
  <c r="F54" i="188"/>
  <c r="E54" i="188"/>
  <c r="Q53" i="188"/>
  <c r="P53" i="188"/>
  <c r="N53" i="188"/>
  <c r="L53" i="188"/>
  <c r="J53" i="188"/>
  <c r="I53" i="188"/>
  <c r="G53" i="188"/>
  <c r="F53" i="188"/>
  <c r="E53" i="188"/>
  <c r="Q52" i="188"/>
  <c r="P52" i="188"/>
  <c r="N52" i="188"/>
  <c r="L52" i="188"/>
  <c r="J52" i="188"/>
  <c r="I52" i="188"/>
  <c r="G52" i="188"/>
  <c r="F52" i="188"/>
  <c r="E52" i="188"/>
  <c r="Q51" i="188"/>
  <c r="P51" i="188"/>
  <c r="N51" i="188"/>
  <c r="L51" i="188"/>
  <c r="J51" i="188"/>
  <c r="I51" i="188"/>
  <c r="G51" i="188"/>
  <c r="F51" i="188"/>
  <c r="E51" i="188"/>
  <c r="Q50" i="188"/>
  <c r="P50" i="188"/>
  <c r="N50" i="188"/>
  <c r="L50" i="188"/>
  <c r="J50" i="188"/>
  <c r="I50" i="188"/>
  <c r="G50" i="188"/>
  <c r="F50" i="188"/>
  <c r="E50" i="188"/>
  <c r="Q49" i="188"/>
  <c r="P49" i="188"/>
  <c r="N49" i="188"/>
  <c r="L49" i="188"/>
  <c r="J49" i="188"/>
  <c r="I49" i="188"/>
  <c r="G49" i="188"/>
  <c r="F49" i="188"/>
  <c r="E49" i="188"/>
  <c r="Q48" i="188"/>
  <c r="P48" i="188"/>
  <c r="N48" i="188"/>
  <c r="L48" i="188"/>
  <c r="J48" i="188"/>
  <c r="I48" i="188"/>
  <c r="G48" i="188"/>
  <c r="F48" i="188"/>
  <c r="E48" i="188"/>
  <c r="Q47" i="188"/>
  <c r="P47" i="188"/>
  <c r="N47" i="188"/>
  <c r="L47" i="188"/>
  <c r="J47" i="188"/>
  <c r="I47" i="188"/>
  <c r="G47" i="188"/>
  <c r="F47" i="188"/>
  <c r="E47" i="188"/>
  <c r="Q46" i="188"/>
  <c r="P46" i="188"/>
  <c r="N46" i="188"/>
  <c r="L46" i="188"/>
  <c r="J46" i="188"/>
  <c r="I46" i="188"/>
  <c r="G46" i="188"/>
  <c r="F46" i="188"/>
  <c r="E46" i="188"/>
  <c r="Q45" i="188"/>
  <c r="P45" i="188"/>
  <c r="N45" i="188"/>
  <c r="L45" i="188"/>
  <c r="J45" i="188"/>
  <c r="I45" i="188"/>
  <c r="G45" i="188"/>
  <c r="F45" i="188"/>
  <c r="E45" i="188"/>
  <c r="Q44" i="188"/>
  <c r="P44" i="188"/>
  <c r="N44" i="188"/>
  <c r="L44" i="188"/>
  <c r="J44" i="188"/>
  <c r="I44" i="188"/>
  <c r="G44" i="188"/>
  <c r="F44" i="188"/>
  <c r="E44" i="188"/>
  <c r="Q43" i="188"/>
  <c r="P43" i="188"/>
  <c r="N43" i="188"/>
  <c r="L43" i="188"/>
  <c r="J43" i="188"/>
  <c r="I43" i="188"/>
  <c r="G43" i="188"/>
  <c r="F43" i="188"/>
  <c r="E43" i="188"/>
  <c r="Q42" i="188"/>
  <c r="P42" i="188"/>
  <c r="N42" i="188"/>
  <c r="L42" i="188"/>
  <c r="J42" i="188"/>
  <c r="I42" i="188"/>
  <c r="G42" i="188"/>
  <c r="F42" i="188"/>
  <c r="E42" i="188"/>
  <c r="Q41" i="188"/>
  <c r="P41" i="188"/>
  <c r="N41" i="188"/>
  <c r="L41" i="188"/>
  <c r="J41" i="188"/>
  <c r="I41" i="188"/>
  <c r="G41" i="188"/>
  <c r="F41" i="188"/>
  <c r="E41" i="188"/>
  <c r="Q40" i="188"/>
  <c r="P40" i="188"/>
  <c r="N40" i="188"/>
  <c r="L40" i="188"/>
  <c r="J40" i="188"/>
  <c r="I40" i="188"/>
  <c r="G40" i="188"/>
  <c r="F40" i="188"/>
  <c r="E40" i="188"/>
  <c r="Q39" i="188"/>
  <c r="P39" i="188"/>
  <c r="N39" i="188"/>
  <c r="L39" i="188"/>
  <c r="J39" i="188"/>
  <c r="I39" i="188"/>
  <c r="G39" i="188"/>
  <c r="F39" i="188"/>
  <c r="E39" i="188"/>
  <c r="Q38" i="188"/>
  <c r="P38" i="188"/>
  <c r="N38" i="188"/>
  <c r="L38" i="188"/>
  <c r="J38" i="188"/>
  <c r="I38" i="188"/>
  <c r="G38" i="188"/>
  <c r="F38" i="188"/>
  <c r="E38" i="188"/>
  <c r="Q37" i="188"/>
  <c r="P37" i="188"/>
  <c r="N37" i="188"/>
  <c r="L37" i="188"/>
  <c r="J37" i="188"/>
  <c r="I37" i="188"/>
  <c r="G37" i="188"/>
  <c r="F37" i="188"/>
  <c r="E37" i="188"/>
  <c r="Q36" i="188"/>
  <c r="P36" i="188"/>
  <c r="N36" i="188"/>
  <c r="L36" i="188"/>
  <c r="J36" i="188"/>
  <c r="I36" i="188"/>
  <c r="G36" i="188"/>
  <c r="F36" i="188"/>
  <c r="E36" i="188"/>
  <c r="Q35" i="188"/>
  <c r="P35" i="188"/>
  <c r="N35" i="188"/>
  <c r="L35" i="188"/>
  <c r="J35" i="188"/>
  <c r="I35" i="188"/>
  <c r="G35" i="188"/>
  <c r="F35" i="188"/>
  <c r="E35" i="188"/>
  <c r="Q34" i="188"/>
  <c r="P34" i="188"/>
  <c r="N34" i="188"/>
  <c r="L34" i="188"/>
  <c r="J34" i="188"/>
  <c r="I34" i="188"/>
  <c r="G34" i="188"/>
  <c r="F34" i="188"/>
  <c r="E34" i="188"/>
  <c r="Q33" i="188"/>
  <c r="P33" i="188"/>
  <c r="N33" i="188"/>
  <c r="L33" i="188"/>
  <c r="J33" i="188"/>
  <c r="I33" i="188"/>
  <c r="G33" i="188"/>
  <c r="F33" i="188"/>
  <c r="E33" i="188"/>
  <c r="Q32" i="188"/>
  <c r="P32" i="188"/>
  <c r="N32" i="188"/>
  <c r="L32" i="188"/>
  <c r="J32" i="188"/>
  <c r="I32" i="188"/>
  <c r="G32" i="188"/>
  <c r="F32" i="188"/>
  <c r="E32" i="188"/>
  <c r="Q31" i="188"/>
  <c r="P31" i="188"/>
  <c r="N31" i="188"/>
  <c r="L31" i="188"/>
  <c r="J31" i="188"/>
  <c r="I31" i="188"/>
  <c r="G31" i="188"/>
  <c r="F31" i="188"/>
  <c r="E31" i="188"/>
  <c r="Q30" i="188"/>
  <c r="P30" i="188"/>
  <c r="N30" i="188"/>
  <c r="L30" i="188"/>
  <c r="J30" i="188"/>
  <c r="I30" i="188"/>
  <c r="G30" i="188"/>
  <c r="F30" i="188"/>
  <c r="E30" i="188"/>
  <c r="Q29" i="188"/>
  <c r="P29" i="188"/>
  <c r="N29" i="188"/>
  <c r="L29" i="188"/>
  <c r="J29" i="188"/>
  <c r="I29" i="188"/>
  <c r="G29" i="188"/>
  <c r="F29" i="188"/>
  <c r="E29" i="188"/>
  <c r="Q28" i="188"/>
  <c r="P28" i="188"/>
  <c r="N28" i="188"/>
  <c r="L28" i="188"/>
  <c r="J28" i="188"/>
  <c r="I28" i="188"/>
  <c r="G28" i="188"/>
  <c r="F28" i="188"/>
  <c r="E28" i="188"/>
  <c r="Q27" i="188"/>
  <c r="P27" i="188"/>
  <c r="N27" i="188"/>
  <c r="L27" i="188"/>
  <c r="J27" i="188"/>
  <c r="I27" i="188"/>
  <c r="G27" i="188"/>
  <c r="F27" i="188"/>
  <c r="E27" i="188"/>
  <c r="Q26" i="188"/>
  <c r="P26" i="188"/>
  <c r="N26" i="188"/>
  <c r="L26" i="188"/>
  <c r="J26" i="188"/>
  <c r="I26" i="188"/>
  <c r="G26" i="188"/>
  <c r="F26" i="188"/>
  <c r="E26" i="188"/>
  <c r="Q25" i="188"/>
  <c r="P25" i="188"/>
  <c r="N25" i="188"/>
  <c r="L25" i="188"/>
  <c r="J25" i="188"/>
  <c r="I25" i="188"/>
  <c r="G25" i="188"/>
  <c r="F25" i="188"/>
  <c r="E25" i="188"/>
  <c r="Q24" i="188"/>
  <c r="P24" i="188"/>
  <c r="N24" i="188"/>
  <c r="L24" i="188"/>
  <c r="J24" i="188"/>
  <c r="I24" i="188"/>
  <c r="G24" i="188"/>
  <c r="F24" i="188"/>
  <c r="E24" i="188"/>
  <c r="Q23" i="188"/>
  <c r="P23" i="188"/>
  <c r="N23" i="188"/>
  <c r="L23" i="188"/>
  <c r="J23" i="188"/>
  <c r="I23" i="188"/>
  <c r="G23" i="188"/>
  <c r="F23" i="188"/>
  <c r="E23" i="188"/>
  <c r="Q22" i="188"/>
  <c r="P22" i="188"/>
  <c r="N22" i="188"/>
  <c r="L22" i="188"/>
  <c r="J22" i="188"/>
  <c r="I22" i="188"/>
  <c r="G22" i="188"/>
  <c r="F22" i="188"/>
  <c r="E22" i="188"/>
  <c r="Q21" i="188"/>
  <c r="P21" i="188"/>
  <c r="N21" i="188"/>
  <c r="L21" i="188"/>
  <c r="J21" i="188"/>
  <c r="I21" i="188"/>
  <c r="G21" i="188"/>
  <c r="F21" i="188"/>
  <c r="E21" i="188"/>
  <c r="Q20" i="188"/>
  <c r="P20" i="188"/>
  <c r="N20" i="188"/>
  <c r="L20" i="188"/>
  <c r="J20" i="188"/>
  <c r="I20" i="188"/>
  <c r="G20" i="188"/>
  <c r="F20" i="188"/>
  <c r="E20" i="188"/>
  <c r="Q19" i="188"/>
  <c r="P19" i="188"/>
  <c r="N19" i="188"/>
  <c r="L19" i="188"/>
  <c r="J19" i="188"/>
  <c r="I19" i="188"/>
  <c r="G19" i="188"/>
  <c r="F19" i="188"/>
  <c r="E19" i="188"/>
  <c r="Q18" i="188"/>
  <c r="P18" i="188"/>
  <c r="N18" i="188"/>
  <c r="L18" i="188"/>
  <c r="J18" i="188"/>
  <c r="I18" i="188"/>
  <c r="G18" i="188"/>
  <c r="F18" i="188"/>
  <c r="E18" i="188"/>
  <c r="Q17" i="188"/>
  <c r="P17" i="188"/>
  <c r="N17" i="188"/>
  <c r="L17" i="188"/>
  <c r="J17" i="188"/>
  <c r="I17" i="188"/>
  <c r="G17" i="188"/>
  <c r="F17" i="188"/>
  <c r="E17" i="188"/>
  <c r="Q16" i="188"/>
  <c r="P16" i="188"/>
  <c r="N16" i="188"/>
  <c r="L16" i="188"/>
  <c r="J16" i="188"/>
  <c r="I16" i="188"/>
  <c r="G16" i="188"/>
  <c r="F16" i="188"/>
  <c r="E16" i="188"/>
  <c r="Q15" i="188"/>
  <c r="P15" i="188"/>
  <c r="N15" i="188"/>
  <c r="L15" i="188"/>
  <c r="J15" i="188"/>
  <c r="I15" i="188"/>
  <c r="G15" i="188"/>
  <c r="F15" i="188"/>
  <c r="E15" i="188"/>
  <c r="Q14" i="188"/>
  <c r="P14" i="188"/>
  <c r="N14" i="188"/>
  <c r="L14" i="188"/>
  <c r="J14" i="188"/>
  <c r="I14" i="188"/>
  <c r="G14" i="188"/>
  <c r="F14" i="188"/>
  <c r="E14" i="188"/>
  <c r="Q13" i="188"/>
  <c r="P13" i="188"/>
  <c r="N13" i="188"/>
  <c r="L13" i="188"/>
  <c r="J13" i="188"/>
  <c r="I13" i="188"/>
  <c r="G13" i="188"/>
  <c r="F13" i="188"/>
  <c r="E13" i="188"/>
  <c r="Q12" i="188"/>
  <c r="P12" i="188"/>
  <c r="N12" i="188"/>
  <c r="L12" i="188"/>
  <c r="J12" i="188"/>
  <c r="I12" i="188"/>
  <c r="G12" i="188"/>
  <c r="F12" i="188"/>
  <c r="E12" i="188"/>
  <c r="Q11" i="188"/>
  <c r="P11" i="188"/>
  <c r="N11" i="188"/>
  <c r="L11" i="188"/>
  <c r="J11" i="188"/>
  <c r="I11" i="188"/>
  <c r="G11" i="188"/>
  <c r="F11" i="188"/>
  <c r="E11" i="188"/>
  <c r="Q10" i="188"/>
  <c r="P10" i="188"/>
  <c r="N10" i="188"/>
  <c r="L10" i="188"/>
  <c r="J10" i="188"/>
  <c r="I10" i="188"/>
  <c r="G10" i="188"/>
  <c r="F10" i="188"/>
  <c r="E10" i="188"/>
  <c r="Q9" i="188"/>
  <c r="P9" i="188"/>
  <c r="N9" i="188"/>
  <c r="L9" i="188"/>
  <c r="J9" i="188"/>
  <c r="I9" i="188"/>
  <c r="G9" i="188"/>
  <c r="F9" i="188"/>
  <c r="E9" i="188"/>
  <c r="Q8" i="188"/>
  <c r="P8" i="188"/>
  <c r="N8" i="188"/>
  <c r="L8" i="188"/>
  <c r="J8" i="188"/>
  <c r="I8" i="188"/>
  <c r="G8" i="188"/>
  <c r="F8" i="188"/>
  <c r="E8" i="188"/>
  <c r="Q7" i="188"/>
  <c r="P7" i="188"/>
  <c r="N7" i="188"/>
  <c r="L7" i="188"/>
  <c r="J7" i="188"/>
  <c r="I7" i="188"/>
  <c r="G7" i="188"/>
  <c r="F7" i="188"/>
  <c r="E7" i="188"/>
  <c r="AR87" i="187"/>
  <c r="AQ87" i="187"/>
  <c r="AP87" i="187"/>
  <c r="AO87" i="187"/>
  <c r="AN87" i="187"/>
  <c r="AL87" i="187"/>
  <c r="AK87" i="187"/>
  <c r="AJ87" i="187"/>
  <c r="AI87" i="187"/>
  <c r="AH87" i="187"/>
  <c r="AR86" i="187"/>
  <c r="AQ86" i="187"/>
  <c r="AP86" i="187"/>
  <c r="AO86" i="187"/>
  <c r="AN86" i="187"/>
  <c r="AL86" i="187"/>
  <c r="AK86" i="187"/>
  <c r="AJ86" i="187"/>
  <c r="AI86" i="187"/>
  <c r="AH86" i="187"/>
  <c r="AR85" i="187"/>
  <c r="AQ85" i="187"/>
  <c r="AP85" i="187"/>
  <c r="AO85" i="187"/>
  <c r="AN85" i="187"/>
  <c r="AL85" i="187"/>
  <c r="AK85" i="187"/>
  <c r="AJ85" i="187"/>
  <c r="AI85" i="187"/>
  <c r="AH85" i="187"/>
  <c r="AD85" i="187"/>
  <c r="AR84" i="187"/>
  <c r="AQ84" i="187"/>
  <c r="AP84" i="187"/>
  <c r="AO84" i="187"/>
  <c r="AN84" i="187"/>
  <c r="AL84" i="187"/>
  <c r="AK84" i="187"/>
  <c r="AJ84" i="187"/>
  <c r="AI84" i="187"/>
  <c r="AH84" i="187"/>
  <c r="AR83" i="187"/>
  <c r="AQ83" i="187"/>
  <c r="AP83" i="187"/>
  <c r="AO83" i="187"/>
  <c r="AN83" i="187"/>
  <c r="AL83" i="187"/>
  <c r="AK83" i="187"/>
  <c r="AJ83" i="187"/>
  <c r="AI83" i="187"/>
  <c r="AH83" i="187"/>
  <c r="AR82" i="187"/>
  <c r="AQ82" i="187"/>
  <c r="AP82" i="187"/>
  <c r="AO82" i="187"/>
  <c r="AN82" i="187"/>
  <c r="AL82" i="187"/>
  <c r="AK82" i="187"/>
  <c r="AJ82" i="187"/>
  <c r="AI82" i="187"/>
  <c r="AH82" i="187"/>
  <c r="AR81" i="187"/>
  <c r="AQ81" i="187"/>
  <c r="AP81" i="187"/>
  <c r="AO81" i="187"/>
  <c r="AN81" i="187"/>
  <c r="AL81" i="187"/>
  <c r="AK81" i="187"/>
  <c r="AJ81" i="187"/>
  <c r="AI81" i="187"/>
  <c r="AH81" i="187"/>
  <c r="AR80" i="187"/>
  <c r="AQ80" i="187"/>
  <c r="AP80" i="187"/>
  <c r="AO80" i="187"/>
  <c r="AN80" i="187"/>
  <c r="AL80" i="187"/>
  <c r="AK80" i="187"/>
  <c r="AJ80" i="187"/>
  <c r="AI80" i="187"/>
  <c r="AH80" i="187"/>
  <c r="AR79" i="187"/>
  <c r="AQ79" i="187"/>
  <c r="AP79" i="187"/>
  <c r="AO79" i="187"/>
  <c r="AN79" i="187"/>
  <c r="AL79" i="187"/>
  <c r="AK79" i="187"/>
  <c r="AJ79" i="187"/>
  <c r="AI79" i="187"/>
  <c r="AH79" i="187"/>
  <c r="AS79" i="187"/>
  <c r="AR78" i="187"/>
  <c r="AQ78" i="187"/>
  <c r="AP78" i="187"/>
  <c r="AO78" i="187"/>
  <c r="AN78" i="187"/>
  <c r="AL78" i="187"/>
  <c r="AK78" i="187"/>
  <c r="AJ78" i="187"/>
  <c r="AI78" i="187"/>
  <c r="AH78" i="187"/>
  <c r="AS78" i="187"/>
  <c r="AR77" i="187"/>
  <c r="AQ77" i="187"/>
  <c r="AP77" i="187"/>
  <c r="AO77" i="187"/>
  <c r="AN77" i="187"/>
  <c r="AL77" i="187"/>
  <c r="AK77" i="187"/>
  <c r="AJ77" i="187"/>
  <c r="AI77" i="187"/>
  <c r="AH77" i="187"/>
  <c r="AF77" i="187"/>
  <c r="AR76" i="187"/>
  <c r="AQ76" i="187"/>
  <c r="AP76" i="187"/>
  <c r="AO76" i="187"/>
  <c r="AN76" i="187"/>
  <c r="AL76" i="187"/>
  <c r="AK76" i="187"/>
  <c r="AJ76" i="187"/>
  <c r="AI76" i="187"/>
  <c r="AH76" i="187"/>
  <c r="N76" i="187"/>
  <c r="AF76" i="187" s="1"/>
  <c r="AR75" i="187"/>
  <c r="AQ75" i="187"/>
  <c r="AP75" i="187"/>
  <c r="AO75" i="187"/>
  <c r="AN75" i="187"/>
  <c r="AL75" i="187"/>
  <c r="AK75" i="187"/>
  <c r="AJ75" i="187"/>
  <c r="AI75" i="187"/>
  <c r="AH75" i="187"/>
  <c r="N75" i="187"/>
  <c r="AF75" i="187" s="1"/>
  <c r="AR74" i="187"/>
  <c r="AQ74" i="187"/>
  <c r="AP74" i="187"/>
  <c r="AO74" i="187"/>
  <c r="AN74" i="187"/>
  <c r="AL74" i="187"/>
  <c r="AK74" i="187"/>
  <c r="AJ74" i="187"/>
  <c r="AI74" i="187"/>
  <c r="AH74" i="187"/>
  <c r="N74" i="187"/>
  <c r="AF74" i="187" s="1"/>
  <c r="AR73" i="187"/>
  <c r="AQ73" i="187"/>
  <c r="AP73" i="187"/>
  <c r="AO73" i="187"/>
  <c r="AN73" i="187"/>
  <c r="AL73" i="187"/>
  <c r="AK73" i="187"/>
  <c r="AJ73" i="187"/>
  <c r="AI73" i="187"/>
  <c r="AH73" i="187"/>
  <c r="N73" i="187"/>
  <c r="AS73" i="187" s="1"/>
  <c r="AR72" i="187"/>
  <c r="AQ72" i="187"/>
  <c r="AP72" i="187"/>
  <c r="AO72" i="187"/>
  <c r="AN72" i="187"/>
  <c r="AL72" i="187"/>
  <c r="AK72" i="187"/>
  <c r="AJ72" i="187"/>
  <c r="AI72" i="187"/>
  <c r="AH72" i="187"/>
  <c r="N72" i="187"/>
  <c r="AS72" i="187" s="1"/>
  <c r="AR71" i="187"/>
  <c r="AQ71" i="187"/>
  <c r="AP71" i="187"/>
  <c r="AO71" i="187"/>
  <c r="AN71" i="187"/>
  <c r="AL71" i="187"/>
  <c r="AK71" i="187"/>
  <c r="AJ71" i="187"/>
  <c r="AI71" i="187"/>
  <c r="AH71" i="187"/>
  <c r="N71" i="187"/>
  <c r="AF71" i="187" s="1"/>
  <c r="AR70" i="187"/>
  <c r="AQ70" i="187"/>
  <c r="AP70" i="187"/>
  <c r="AO70" i="187"/>
  <c r="AN70" i="187"/>
  <c r="AL70" i="187"/>
  <c r="AK70" i="187"/>
  <c r="AJ70" i="187"/>
  <c r="AI70" i="187"/>
  <c r="AH70" i="187"/>
  <c r="N70" i="187"/>
  <c r="AF70" i="187" s="1"/>
  <c r="AR69" i="187"/>
  <c r="AQ69" i="187"/>
  <c r="AP69" i="187"/>
  <c r="AO69" i="187"/>
  <c r="AN69" i="187"/>
  <c r="AL69" i="187"/>
  <c r="AK69" i="187"/>
  <c r="AJ69" i="187"/>
  <c r="AI69" i="187"/>
  <c r="AH69" i="187"/>
  <c r="N69" i="187"/>
  <c r="AF69" i="187" s="1"/>
  <c r="AR68" i="187"/>
  <c r="AQ68" i="187"/>
  <c r="AP68" i="187"/>
  <c r="AO68" i="187"/>
  <c r="AN68" i="187"/>
  <c r="AL68" i="187"/>
  <c r="AK68" i="187"/>
  <c r="AJ68" i="187"/>
  <c r="AI68" i="187"/>
  <c r="AH68" i="187"/>
  <c r="N68" i="187"/>
  <c r="AF68" i="187" s="1"/>
  <c r="AR67" i="187"/>
  <c r="AQ67" i="187"/>
  <c r="AP67" i="187"/>
  <c r="AO67" i="187"/>
  <c r="AN67" i="187"/>
  <c r="AL67" i="187"/>
  <c r="AK67" i="187"/>
  <c r="AJ67" i="187"/>
  <c r="AI67" i="187"/>
  <c r="AH67" i="187"/>
  <c r="N67" i="187"/>
  <c r="AS67" i="187" s="1"/>
  <c r="AR66" i="187"/>
  <c r="AQ66" i="187"/>
  <c r="AP66" i="187"/>
  <c r="AO66" i="187"/>
  <c r="AN66" i="187"/>
  <c r="AL66" i="187"/>
  <c r="AK66" i="187"/>
  <c r="AJ66" i="187"/>
  <c r="AI66" i="187"/>
  <c r="AH66" i="187"/>
  <c r="N66" i="187"/>
  <c r="AS66" i="187" s="1"/>
  <c r="AR65" i="187"/>
  <c r="AQ65" i="187"/>
  <c r="AP65" i="187"/>
  <c r="AO65" i="187"/>
  <c r="AN65" i="187"/>
  <c r="AL65" i="187"/>
  <c r="AK65" i="187"/>
  <c r="AJ65" i="187"/>
  <c r="AI65" i="187"/>
  <c r="AH65" i="187"/>
  <c r="N65" i="187"/>
  <c r="AF65" i="187" s="1"/>
  <c r="AR64" i="187"/>
  <c r="AQ64" i="187"/>
  <c r="AP64" i="187"/>
  <c r="AO64" i="187"/>
  <c r="AN64" i="187"/>
  <c r="AL64" i="187"/>
  <c r="AK64" i="187"/>
  <c r="AJ64" i="187"/>
  <c r="AI64" i="187"/>
  <c r="AH64" i="187"/>
  <c r="N64" i="187"/>
  <c r="AF64" i="187" s="1"/>
  <c r="AR63" i="187"/>
  <c r="AQ63" i="187"/>
  <c r="AP63" i="187"/>
  <c r="AO63" i="187"/>
  <c r="AN63" i="187"/>
  <c r="AL63" i="187"/>
  <c r="AK63" i="187"/>
  <c r="AJ63" i="187"/>
  <c r="AI63" i="187"/>
  <c r="AH63" i="187"/>
  <c r="N63" i="187"/>
  <c r="AF63" i="187" s="1"/>
  <c r="AR62" i="187"/>
  <c r="AQ62" i="187"/>
  <c r="AP62" i="187"/>
  <c r="AO62" i="187"/>
  <c r="AN62" i="187"/>
  <c r="AL62" i="187"/>
  <c r="AK62" i="187"/>
  <c r="AJ62" i="187"/>
  <c r="AI62" i="187"/>
  <c r="AH62" i="187"/>
  <c r="N62" i="187"/>
  <c r="AF62" i="187" s="1"/>
  <c r="AR61" i="187"/>
  <c r="AQ61" i="187"/>
  <c r="AP61" i="187"/>
  <c r="AO61" i="187"/>
  <c r="AN61" i="187"/>
  <c r="AL61" i="187"/>
  <c r="AK61" i="187"/>
  <c r="AJ61" i="187"/>
  <c r="AI61" i="187"/>
  <c r="AH61" i="187"/>
  <c r="N61" i="187"/>
  <c r="AS61" i="187" s="1"/>
  <c r="AR60" i="187"/>
  <c r="AQ60" i="187"/>
  <c r="AP60" i="187"/>
  <c r="AO60" i="187"/>
  <c r="AN60" i="187"/>
  <c r="AL60" i="187"/>
  <c r="AK60" i="187"/>
  <c r="AJ60" i="187"/>
  <c r="AI60" i="187"/>
  <c r="AH60" i="187"/>
  <c r="N60" i="187"/>
  <c r="AE60" i="187" s="1"/>
  <c r="AR59" i="187"/>
  <c r="AQ59" i="187"/>
  <c r="AP59" i="187"/>
  <c r="AO59" i="187"/>
  <c r="AN59" i="187"/>
  <c r="AL59" i="187"/>
  <c r="AK59" i="187"/>
  <c r="AJ59" i="187"/>
  <c r="AI59" i="187"/>
  <c r="AH59" i="187"/>
  <c r="N59" i="187"/>
  <c r="AF59" i="187" s="1"/>
  <c r="AR58" i="187"/>
  <c r="AQ58" i="187"/>
  <c r="AP58" i="187"/>
  <c r="AO58" i="187"/>
  <c r="AN58" i="187"/>
  <c r="AL58" i="187"/>
  <c r="AK58" i="187"/>
  <c r="AJ58" i="187"/>
  <c r="AI58" i="187"/>
  <c r="AH58" i="187"/>
  <c r="N58" i="187"/>
  <c r="AF58" i="187" s="1"/>
  <c r="AR57" i="187"/>
  <c r="AQ57" i="187"/>
  <c r="AP57" i="187"/>
  <c r="AO57" i="187"/>
  <c r="AN57" i="187"/>
  <c r="AL57" i="187"/>
  <c r="AK57" i="187"/>
  <c r="AJ57" i="187"/>
  <c r="AI57" i="187"/>
  <c r="AH57" i="187"/>
  <c r="N57" i="187"/>
  <c r="AF57" i="187" s="1"/>
  <c r="AR56" i="187"/>
  <c r="AQ56" i="187"/>
  <c r="AP56" i="187"/>
  <c r="AO56" i="187"/>
  <c r="AN56" i="187"/>
  <c r="AL56" i="187"/>
  <c r="AK56" i="187"/>
  <c r="AJ56" i="187"/>
  <c r="AI56" i="187"/>
  <c r="AH56" i="187"/>
  <c r="N56" i="187"/>
  <c r="AF56" i="187" s="1"/>
  <c r="AR55" i="187"/>
  <c r="AQ55" i="187"/>
  <c r="AP55" i="187"/>
  <c r="AO55" i="187"/>
  <c r="AN55" i="187"/>
  <c r="AL55" i="187"/>
  <c r="AK55" i="187"/>
  <c r="AJ55" i="187"/>
  <c r="AI55" i="187"/>
  <c r="AH55" i="187"/>
  <c r="N55" i="187"/>
  <c r="AS55" i="187" s="1"/>
  <c r="AR54" i="187"/>
  <c r="AQ54" i="187"/>
  <c r="AP54" i="187"/>
  <c r="AO54" i="187"/>
  <c r="AN54" i="187"/>
  <c r="AL54" i="187"/>
  <c r="AK54" i="187"/>
  <c r="AJ54" i="187"/>
  <c r="AI54" i="187"/>
  <c r="AH54" i="187"/>
  <c r="N54" i="187"/>
  <c r="AS54" i="187" s="1"/>
  <c r="AR53" i="187"/>
  <c r="AQ53" i="187"/>
  <c r="AP53" i="187"/>
  <c r="AO53" i="187"/>
  <c r="AN53" i="187"/>
  <c r="AL53" i="187"/>
  <c r="AK53" i="187"/>
  <c r="AJ53" i="187"/>
  <c r="AI53" i="187"/>
  <c r="AH53" i="187"/>
  <c r="N53" i="187"/>
  <c r="AF53" i="187" s="1"/>
  <c r="AR52" i="187"/>
  <c r="AQ52" i="187"/>
  <c r="AP52" i="187"/>
  <c r="AO52" i="187"/>
  <c r="AN52" i="187"/>
  <c r="AL52" i="187"/>
  <c r="AK52" i="187"/>
  <c r="AJ52" i="187"/>
  <c r="AI52" i="187"/>
  <c r="AH52" i="187"/>
  <c r="N52" i="187"/>
  <c r="AS52" i="187" s="1"/>
  <c r="AR51" i="187"/>
  <c r="AQ51" i="187"/>
  <c r="AP51" i="187"/>
  <c r="AO51" i="187"/>
  <c r="AN51" i="187"/>
  <c r="AL51" i="187"/>
  <c r="AK51" i="187"/>
  <c r="AJ51" i="187"/>
  <c r="AI51" i="187"/>
  <c r="AH51" i="187"/>
  <c r="N51" i="187"/>
  <c r="AF51" i="187" s="1"/>
  <c r="AR50" i="187"/>
  <c r="AQ50" i="187"/>
  <c r="AP50" i="187"/>
  <c r="AO50" i="187"/>
  <c r="AN50" i="187"/>
  <c r="AL50" i="187"/>
  <c r="AK50" i="187"/>
  <c r="AJ50" i="187"/>
  <c r="AI50" i="187"/>
  <c r="AH50" i="187"/>
  <c r="N50" i="187"/>
  <c r="AF50" i="187" s="1"/>
  <c r="AR49" i="187"/>
  <c r="AQ49" i="187"/>
  <c r="AP49" i="187"/>
  <c r="AO49" i="187"/>
  <c r="AN49" i="187"/>
  <c r="AL49" i="187"/>
  <c r="AK49" i="187"/>
  <c r="AJ49" i="187"/>
  <c r="AI49" i="187"/>
  <c r="AH49" i="187"/>
  <c r="N49" i="187"/>
  <c r="AS49" i="187" s="1"/>
  <c r="AR48" i="187"/>
  <c r="AQ48" i="187"/>
  <c r="AP48" i="187"/>
  <c r="AO48" i="187"/>
  <c r="AN48" i="187"/>
  <c r="AL48" i="187"/>
  <c r="AK48" i="187"/>
  <c r="AJ48" i="187"/>
  <c r="AI48" i="187"/>
  <c r="AH48" i="187"/>
  <c r="N48" i="187"/>
  <c r="AF48" i="187" s="1"/>
  <c r="AR47" i="187"/>
  <c r="AQ47" i="187"/>
  <c r="AP47" i="187"/>
  <c r="AO47" i="187"/>
  <c r="AN47" i="187"/>
  <c r="AL47" i="187"/>
  <c r="AK47" i="187"/>
  <c r="AJ47" i="187"/>
  <c r="AI47" i="187"/>
  <c r="AH47" i="187"/>
  <c r="N47" i="187"/>
  <c r="AF47" i="187" s="1"/>
  <c r="AR46" i="187"/>
  <c r="AQ46" i="187"/>
  <c r="AP46" i="187"/>
  <c r="AO46" i="187"/>
  <c r="AN46" i="187"/>
  <c r="AL46" i="187"/>
  <c r="AK46" i="187"/>
  <c r="AJ46" i="187"/>
  <c r="AI46" i="187"/>
  <c r="AH46" i="187"/>
  <c r="N46" i="187"/>
  <c r="AS46" i="187" s="1"/>
  <c r="AR45" i="187"/>
  <c r="AQ45" i="187"/>
  <c r="AP45" i="187"/>
  <c r="AO45" i="187"/>
  <c r="AN45" i="187"/>
  <c r="AL45" i="187"/>
  <c r="AK45" i="187"/>
  <c r="AJ45" i="187"/>
  <c r="AI45" i="187"/>
  <c r="AH45" i="187"/>
  <c r="N45" i="187"/>
  <c r="AF45" i="187" s="1"/>
  <c r="AR44" i="187"/>
  <c r="AQ44" i="187"/>
  <c r="AP44" i="187"/>
  <c r="AO44" i="187"/>
  <c r="AN44" i="187"/>
  <c r="AL44" i="187"/>
  <c r="AK44" i="187"/>
  <c r="AJ44" i="187"/>
  <c r="AI44" i="187"/>
  <c r="AH44" i="187"/>
  <c r="N44" i="187"/>
  <c r="AF44" i="187" s="1"/>
  <c r="AR43" i="187"/>
  <c r="AQ43" i="187"/>
  <c r="AP43" i="187"/>
  <c r="AO43" i="187"/>
  <c r="AN43" i="187"/>
  <c r="AL43" i="187"/>
  <c r="AK43" i="187"/>
  <c r="AJ43" i="187"/>
  <c r="AI43" i="187"/>
  <c r="AH43" i="187"/>
  <c r="N43" i="187"/>
  <c r="AS43" i="187" s="1"/>
  <c r="AR42" i="187"/>
  <c r="AQ42" i="187"/>
  <c r="AP42" i="187"/>
  <c r="AO42" i="187"/>
  <c r="AN42" i="187"/>
  <c r="AL42" i="187"/>
  <c r="AK42" i="187"/>
  <c r="AJ42" i="187"/>
  <c r="AI42" i="187"/>
  <c r="AH42" i="187"/>
  <c r="N42" i="187"/>
  <c r="AE42" i="187" s="1"/>
  <c r="AR41" i="187"/>
  <c r="AQ41" i="187"/>
  <c r="AP41" i="187"/>
  <c r="AO41" i="187"/>
  <c r="AN41" i="187"/>
  <c r="AL41" i="187"/>
  <c r="AK41" i="187"/>
  <c r="AJ41" i="187"/>
  <c r="AI41" i="187"/>
  <c r="AH41" i="187"/>
  <c r="N41" i="187"/>
  <c r="AF41" i="187" s="1"/>
  <c r="AR40" i="187"/>
  <c r="AQ40" i="187"/>
  <c r="AP40" i="187"/>
  <c r="AO40" i="187"/>
  <c r="AN40" i="187"/>
  <c r="AL40" i="187"/>
  <c r="AK40" i="187"/>
  <c r="AJ40" i="187"/>
  <c r="AI40" i="187"/>
  <c r="AH40" i="187"/>
  <c r="N40" i="187"/>
  <c r="AS40" i="187" s="1"/>
  <c r="AR39" i="187"/>
  <c r="AQ39" i="187"/>
  <c r="AP39" i="187"/>
  <c r="AO39" i="187"/>
  <c r="AN39" i="187"/>
  <c r="AL39" i="187"/>
  <c r="AK39" i="187"/>
  <c r="AJ39" i="187"/>
  <c r="AI39" i="187"/>
  <c r="AH39" i="187"/>
  <c r="N39" i="187"/>
  <c r="AF39" i="187" s="1"/>
  <c r="AR38" i="187"/>
  <c r="AQ38" i="187"/>
  <c r="AP38" i="187"/>
  <c r="AO38" i="187"/>
  <c r="AN38" i="187"/>
  <c r="AL38" i="187"/>
  <c r="AK38" i="187"/>
  <c r="AJ38" i="187"/>
  <c r="AI38" i="187"/>
  <c r="AH38" i="187"/>
  <c r="N38" i="187"/>
  <c r="AF38" i="187" s="1"/>
  <c r="AR37" i="187"/>
  <c r="AQ37" i="187"/>
  <c r="AP37" i="187"/>
  <c r="AO37" i="187"/>
  <c r="AN37" i="187"/>
  <c r="AL37" i="187"/>
  <c r="AK37" i="187"/>
  <c r="AJ37" i="187"/>
  <c r="AI37" i="187"/>
  <c r="AH37" i="187"/>
  <c r="N37" i="187"/>
  <c r="AS37" i="187" s="1"/>
  <c r="AR36" i="187"/>
  <c r="AQ36" i="187"/>
  <c r="AP36" i="187"/>
  <c r="AO36" i="187"/>
  <c r="AN36" i="187"/>
  <c r="AL36" i="187"/>
  <c r="AK36" i="187"/>
  <c r="AJ36" i="187"/>
  <c r="AI36" i="187"/>
  <c r="AH36" i="187"/>
  <c r="N36" i="187"/>
  <c r="AS36" i="187" s="1"/>
  <c r="AR35" i="187"/>
  <c r="AQ35" i="187"/>
  <c r="AP35" i="187"/>
  <c r="AO35" i="187"/>
  <c r="AN35" i="187"/>
  <c r="AL35" i="187"/>
  <c r="AK35" i="187"/>
  <c r="AJ35" i="187"/>
  <c r="AI35" i="187"/>
  <c r="AH35" i="187"/>
  <c r="N35" i="187"/>
  <c r="AF35" i="187" s="1"/>
  <c r="AR34" i="187"/>
  <c r="AQ34" i="187"/>
  <c r="AP34" i="187"/>
  <c r="AO34" i="187"/>
  <c r="AN34" i="187"/>
  <c r="AL34" i="187"/>
  <c r="AK34" i="187"/>
  <c r="AJ34" i="187"/>
  <c r="AI34" i="187"/>
  <c r="AH34" i="187"/>
  <c r="N34" i="187"/>
  <c r="AS34" i="187" s="1"/>
  <c r="AR33" i="187"/>
  <c r="AQ33" i="187"/>
  <c r="AP33" i="187"/>
  <c r="AO33" i="187"/>
  <c r="AN33" i="187"/>
  <c r="AL33" i="187"/>
  <c r="AK33" i="187"/>
  <c r="AJ33" i="187"/>
  <c r="AI33" i="187"/>
  <c r="AH33" i="187"/>
  <c r="N33" i="187"/>
  <c r="AF33" i="187" s="1"/>
  <c r="AR32" i="187"/>
  <c r="AQ32" i="187"/>
  <c r="AP32" i="187"/>
  <c r="AO32" i="187"/>
  <c r="AN32" i="187"/>
  <c r="AL32" i="187"/>
  <c r="AK32" i="187"/>
  <c r="AJ32" i="187"/>
  <c r="AI32" i="187"/>
  <c r="AH32" i="187"/>
  <c r="N32" i="187"/>
  <c r="AF32" i="187" s="1"/>
  <c r="AR31" i="187"/>
  <c r="AQ31" i="187"/>
  <c r="AP31" i="187"/>
  <c r="AO31" i="187"/>
  <c r="AN31" i="187"/>
  <c r="AL31" i="187"/>
  <c r="AK31" i="187"/>
  <c r="AJ31" i="187"/>
  <c r="AI31" i="187"/>
  <c r="AH31" i="187"/>
  <c r="N31" i="187"/>
  <c r="AS31" i="187" s="1"/>
  <c r="AR30" i="187"/>
  <c r="AQ30" i="187"/>
  <c r="AP30" i="187"/>
  <c r="AO30" i="187"/>
  <c r="AN30" i="187"/>
  <c r="AL30" i="187"/>
  <c r="AK30" i="187"/>
  <c r="AJ30" i="187"/>
  <c r="AI30" i="187"/>
  <c r="AH30" i="187"/>
  <c r="N30" i="187"/>
  <c r="AS30" i="187" s="1"/>
  <c r="AR29" i="187"/>
  <c r="AQ29" i="187"/>
  <c r="AP29" i="187"/>
  <c r="AO29" i="187"/>
  <c r="AN29" i="187"/>
  <c r="AL29" i="187"/>
  <c r="AK29" i="187"/>
  <c r="AJ29" i="187"/>
  <c r="AI29" i="187"/>
  <c r="AH29" i="187"/>
  <c r="N29" i="187"/>
  <c r="AF29" i="187" s="1"/>
  <c r="AR28" i="187"/>
  <c r="AQ28" i="187"/>
  <c r="AP28" i="187"/>
  <c r="AO28" i="187"/>
  <c r="AN28" i="187"/>
  <c r="AL28" i="187"/>
  <c r="AK28" i="187"/>
  <c r="AJ28" i="187"/>
  <c r="AI28" i="187"/>
  <c r="AH28" i="187"/>
  <c r="N28" i="187"/>
  <c r="AS28" i="187" s="1"/>
  <c r="AR27" i="187"/>
  <c r="AQ27" i="187"/>
  <c r="AP27" i="187"/>
  <c r="AO27" i="187"/>
  <c r="AN27" i="187"/>
  <c r="AL27" i="187"/>
  <c r="AK27" i="187"/>
  <c r="AJ27" i="187"/>
  <c r="AI27" i="187"/>
  <c r="AH27" i="187"/>
  <c r="N27" i="187"/>
  <c r="AF27" i="187" s="1"/>
  <c r="AR26" i="187"/>
  <c r="AQ26" i="187"/>
  <c r="AP26" i="187"/>
  <c r="AO26" i="187"/>
  <c r="AN26" i="187"/>
  <c r="AL26" i="187"/>
  <c r="AK26" i="187"/>
  <c r="AJ26" i="187"/>
  <c r="AI26" i="187"/>
  <c r="AH26" i="187"/>
  <c r="N26" i="187"/>
  <c r="AF26" i="187" s="1"/>
  <c r="AR25" i="187"/>
  <c r="AQ25" i="187"/>
  <c r="AP25" i="187"/>
  <c r="AO25" i="187"/>
  <c r="AN25" i="187"/>
  <c r="AL25" i="187"/>
  <c r="AK25" i="187"/>
  <c r="AJ25" i="187"/>
  <c r="AI25" i="187"/>
  <c r="AH25" i="187"/>
  <c r="N25" i="187"/>
  <c r="AS25" i="187" s="1"/>
  <c r="AR24" i="187"/>
  <c r="AQ24" i="187"/>
  <c r="AP24" i="187"/>
  <c r="AO24" i="187"/>
  <c r="AN24" i="187"/>
  <c r="AL24" i="187"/>
  <c r="AK24" i="187"/>
  <c r="AJ24" i="187"/>
  <c r="AI24" i="187"/>
  <c r="AH24" i="187"/>
  <c r="N24" i="187"/>
  <c r="AF24" i="187" s="1"/>
  <c r="AR23" i="187"/>
  <c r="AQ23" i="187"/>
  <c r="AP23" i="187"/>
  <c r="AO23" i="187"/>
  <c r="AN23" i="187"/>
  <c r="AL23" i="187"/>
  <c r="AK23" i="187"/>
  <c r="AJ23" i="187"/>
  <c r="AI23" i="187"/>
  <c r="AH23" i="187"/>
  <c r="N23" i="187"/>
  <c r="AF23" i="187" s="1"/>
  <c r="AR22" i="187"/>
  <c r="AQ22" i="187"/>
  <c r="AP22" i="187"/>
  <c r="AO22" i="187"/>
  <c r="AN22" i="187"/>
  <c r="AL22" i="187"/>
  <c r="AK22" i="187"/>
  <c r="AJ22" i="187"/>
  <c r="AI22" i="187"/>
  <c r="AH22" i="187"/>
  <c r="N22" i="187"/>
  <c r="AS22" i="187" s="1"/>
  <c r="AR21" i="187"/>
  <c r="AQ21" i="187"/>
  <c r="AP21" i="187"/>
  <c r="AO21" i="187"/>
  <c r="AN21" i="187"/>
  <c r="AL21" i="187"/>
  <c r="AK21" i="187"/>
  <c r="AJ21" i="187"/>
  <c r="AI21" i="187"/>
  <c r="AH21" i="187"/>
  <c r="N21" i="187"/>
  <c r="AF21" i="187" s="1"/>
  <c r="AR20" i="187"/>
  <c r="AQ20" i="187"/>
  <c r="AP20" i="187"/>
  <c r="AO20" i="187"/>
  <c r="AN20" i="187"/>
  <c r="AL20" i="187"/>
  <c r="AK20" i="187"/>
  <c r="AJ20" i="187"/>
  <c r="AI20" i="187"/>
  <c r="AH20" i="187"/>
  <c r="N20" i="187"/>
  <c r="AF20" i="187" s="1"/>
  <c r="AR19" i="187"/>
  <c r="AQ19" i="187"/>
  <c r="AP19" i="187"/>
  <c r="AO19" i="187"/>
  <c r="AN19" i="187"/>
  <c r="AL19" i="187"/>
  <c r="AK19" i="187"/>
  <c r="AJ19" i="187"/>
  <c r="AI19" i="187"/>
  <c r="AH19" i="187"/>
  <c r="N19" i="187"/>
  <c r="AS19" i="187" s="1"/>
  <c r="AR18" i="187"/>
  <c r="AQ18" i="187"/>
  <c r="AP18" i="187"/>
  <c r="AO18" i="187"/>
  <c r="AN18" i="187"/>
  <c r="AL18" i="187"/>
  <c r="AK18" i="187"/>
  <c r="AJ18" i="187"/>
  <c r="AI18" i="187"/>
  <c r="AH18" i="187"/>
  <c r="N18" i="187"/>
  <c r="AE18" i="187" s="1"/>
  <c r="AR17" i="187"/>
  <c r="AQ17" i="187"/>
  <c r="AP17" i="187"/>
  <c r="AO17" i="187"/>
  <c r="AN17" i="187"/>
  <c r="AL17" i="187"/>
  <c r="AK17" i="187"/>
  <c r="AJ17" i="187"/>
  <c r="AI17" i="187"/>
  <c r="AH17" i="187"/>
  <c r="N17" i="187"/>
  <c r="AF17" i="187" s="1"/>
  <c r="AR16" i="187"/>
  <c r="AQ16" i="187"/>
  <c r="AP16" i="187"/>
  <c r="AO16" i="187"/>
  <c r="AN16" i="187"/>
  <c r="AL16" i="187"/>
  <c r="AK16" i="187"/>
  <c r="AJ16" i="187"/>
  <c r="AI16" i="187"/>
  <c r="AH16" i="187"/>
  <c r="N16" i="187"/>
  <c r="AS16" i="187" s="1"/>
  <c r="AR15" i="187"/>
  <c r="AQ15" i="187"/>
  <c r="AP15" i="187"/>
  <c r="AO15" i="187"/>
  <c r="AN15" i="187"/>
  <c r="AL15" i="187"/>
  <c r="AK15" i="187"/>
  <c r="AJ15" i="187"/>
  <c r="AI15" i="187"/>
  <c r="AH15" i="187"/>
  <c r="N15" i="187"/>
  <c r="AF15" i="187" s="1"/>
  <c r="AR14" i="187"/>
  <c r="AQ14" i="187"/>
  <c r="AP14" i="187"/>
  <c r="AO14" i="187"/>
  <c r="AN14" i="187"/>
  <c r="AL14" i="187"/>
  <c r="AK14" i="187"/>
  <c r="AJ14" i="187"/>
  <c r="AI14" i="187"/>
  <c r="AH14" i="187"/>
  <c r="N14" i="187"/>
  <c r="AF14" i="187" s="1"/>
  <c r="AR13" i="187"/>
  <c r="AQ13" i="187"/>
  <c r="AP13" i="187"/>
  <c r="AO13" i="187"/>
  <c r="AN13" i="187"/>
  <c r="AL13" i="187"/>
  <c r="AK13" i="187"/>
  <c r="AJ13" i="187"/>
  <c r="AI13" i="187"/>
  <c r="AH13" i="187"/>
  <c r="N13" i="187"/>
  <c r="AS13" i="187" s="1"/>
  <c r="AR12" i="187"/>
  <c r="AQ12" i="187"/>
  <c r="AP12" i="187"/>
  <c r="AO12" i="187"/>
  <c r="AN12" i="187"/>
  <c r="AL12" i="187"/>
  <c r="AK12" i="187"/>
  <c r="AJ12" i="187"/>
  <c r="AI12" i="187"/>
  <c r="AH12" i="187"/>
  <c r="N12" i="187"/>
  <c r="AE12" i="187" s="1"/>
  <c r="AR11" i="187"/>
  <c r="AQ11" i="187"/>
  <c r="AP11" i="187"/>
  <c r="AO11" i="187"/>
  <c r="AN11" i="187"/>
  <c r="AL11" i="187"/>
  <c r="AK11" i="187"/>
  <c r="AJ11" i="187"/>
  <c r="AI11" i="187"/>
  <c r="AH11" i="187"/>
  <c r="N11" i="187"/>
  <c r="AF11" i="187" s="1"/>
  <c r="AR10" i="187"/>
  <c r="AQ10" i="187"/>
  <c r="AP10" i="187"/>
  <c r="AO10" i="187"/>
  <c r="AN10" i="187"/>
  <c r="AL10" i="187"/>
  <c r="AK10" i="187"/>
  <c r="AJ10" i="187"/>
  <c r="AI10" i="187"/>
  <c r="AH10" i="187"/>
  <c r="N10" i="187"/>
  <c r="AS10" i="187" s="1"/>
  <c r="AR9" i="187"/>
  <c r="AQ9" i="187"/>
  <c r="AP9" i="187"/>
  <c r="AO9" i="187"/>
  <c r="AN9" i="187"/>
  <c r="AL9" i="187"/>
  <c r="AK9" i="187"/>
  <c r="AJ9" i="187"/>
  <c r="AI9" i="187"/>
  <c r="AH9" i="187"/>
  <c r="N9" i="187"/>
  <c r="AF9" i="187" s="1"/>
  <c r="AR8" i="187"/>
  <c r="AQ8" i="187"/>
  <c r="AP8" i="187"/>
  <c r="AO8" i="187"/>
  <c r="AN8" i="187"/>
  <c r="AL8" i="187"/>
  <c r="AK8" i="187"/>
  <c r="AJ8" i="187"/>
  <c r="AI8" i="187"/>
  <c r="AH8" i="187"/>
  <c r="N8" i="187"/>
  <c r="AF8" i="187" s="1"/>
  <c r="AR7" i="187"/>
  <c r="AQ7" i="187"/>
  <c r="AP7" i="187"/>
  <c r="AO7" i="187"/>
  <c r="AN7" i="187"/>
  <c r="AL7" i="187"/>
  <c r="AK7" i="187"/>
  <c r="AJ7" i="187"/>
  <c r="AI7" i="187"/>
  <c r="AH7" i="187"/>
  <c r="N7" i="187"/>
  <c r="AS7" i="187" s="1"/>
  <c r="AR6" i="187"/>
  <c r="AQ6" i="187"/>
  <c r="AP6" i="187"/>
  <c r="AO6" i="187"/>
  <c r="AN6" i="187"/>
  <c r="AL6" i="187"/>
  <c r="AK6" i="187"/>
  <c r="AJ6" i="187"/>
  <c r="AI6" i="187"/>
  <c r="AH6" i="187"/>
  <c r="N6" i="187"/>
  <c r="AF6" i="187" s="1"/>
  <c r="AR5" i="187"/>
  <c r="AQ5" i="187"/>
  <c r="AP5" i="187"/>
  <c r="AO5" i="187"/>
  <c r="AN5" i="187"/>
  <c r="AL5" i="187"/>
  <c r="AK5" i="187"/>
  <c r="AJ5" i="187"/>
  <c r="AI5" i="187"/>
  <c r="AH5" i="187"/>
  <c r="N5" i="187"/>
  <c r="AF5" i="187" s="1"/>
  <c r="AR4" i="187"/>
  <c r="AQ4" i="187"/>
  <c r="AP4" i="187"/>
  <c r="AO4" i="187"/>
  <c r="AN4" i="187"/>
  <c r="AL4" i="187"/>
  <c r="AK4" i="187"/>
  <c r="AJ4" i="187"/>
  <c r="AI4" i="187"/>
  <c r="AH4" i="187"/>
  <c r="N4" i="187"/>
  <c r="AS4" i="187" s="1"/>
  <c r="F21" i="190" l="1"/>
  <c r="AD19" i="189"/>
  <c r="I34" i="189"/>
  <c r="I36" i="190" s="1"/>
  <c r="F36" i="190"/>
  <c r="AD5" i="189"/>
  <c r="Z34" i="189"/>
  <c r="T34" i="189"/>
  <c r="F30" i="190"/>
  <c r="I28" i="189"/>
  <c r="L28" i="189" s="1"/>
  <c r="F29" i="190"/>
  <c r="I27" i="189"/>
  <c r="F34" i="190"/>
  <c r="I32" i="189"/>
  <c r="I34" i="190" s="1"/>
  <c r="Z33" i="189"/>
  <c r="T33" i="189"/>
  <c r="AD33" i="189" s="1"/>
  <c r="I5" i="189"/>
  <c r="AG5" i="189" s="1"/>
  <c r="I31" i="189"/>
  <c r="L31" i="189" s="1"/>
  <c r="Z32" i="189"/>
  <c r="T32" i="189"/>
  <c r="AD7" i="189"/>
  <c r="I24" i="190"/>
  <c r="I22" i="189"/>
  <c r="L22" i="189" s="1"/>
  <c r="AD22" i="189"/>
  <c r="I17" i="189"/>
  <c r="AG17" i="189" s="1"/>
  <c r="AD30" i="189"/>
  <c r="I30" i="189"/>
  <c r="T31" i="189"/>
  <c r="F9" i="190"/>
  <c r="F25" i="190"/>
  <c r="AE83" i="187"/>
  <c r="AE85" i="187"/>
  <c r="AS62" i="187"/>
  <c r="AF78" i="187"/>
  <c r="AS17" i="187"/>
  <c r="AS50" i="187"/>
  <c r="AS35" i="187"/>
  <c r="AE66" i="187"/>
  <c r="AF12" i="187"/>
  <c r="AE35" i="187"/>
  <c r="AE62" i="187"/>
  <c r="AF87" i="187"/>
  <c r="AF30" i="187"/>
  <c r="AE78" i="187"/>
  <c r="AS41" i="187"/>
  <c r="AF86" i="187"/>
  <c r="AE65" i="187"/>
  <c r="AS8" i="187"/>
  <c r="S47" i="188"/>
  <c r="AF42" i="187"/>
  <c r="AS48" i="187"/>
  <c r="AS6" i="187"/>
  <c r="AE20" i="187"/>
  <c r="AS74" i="187"/>
  <c r="AS42" i="187"/>
  <c r="AS44" i="187"/>
  <c r="AE54" i="187"/>
  <c r="AF60" i="187"/>
  <c r="AE74" i="187"/>
  <c r="S15" i="188"/>
  <c r="AE44" i="187"/>
  <c r="AF4" i="187"/>
  <c r="AF22" i="187"/>
  <c r="AS24" i="187"/>
  <c r="AF36" i="187"/>
  <c r="AF54" i="187"/>
  <c r="AS65" i="187"/>
  <c r="AE8" i="187"/>
  <c r="AF10" i="187"/>
  <c r="AF82" i="187"/>
  <c r="S18" i="188"/>
  <c r="AF46" i="187"/>
  <c r="S64" i="188"/>
  <c r="AF18" i="187"/>
  <c r="AS26" i="187"/>
  <c r="AE77" i="187"/>
  <c r="AE36" i="187"/>
  <c r="AS18" i="187"/>
  <c r="AS20" i="187"/>
  <c r="AE30" i="187"/>
  <c r="AF80" i="187"/>
  <c r="AD10" i="189"/>
  <c r="I10" i="189"/>
  <c r="I12" i="190" s="1"/>
  <c r="L17" i="189"/>
  <c r="F13" i="190"/>
  <c r="I19" i="190"/>
  <c r="I23" i="189"/>
  <c r="I25" i="190" s="1"/>
  <c r="AD28" i="189"/>
  <c r="F33" i="190"/>
  <c r="I11" i="189"/>
  <c r="AD16" i="189"/>
  <c r="AG28" i="189"/>
  <c r="L32" i="189"/>
  <c r="I16" i="189"/>
  <c r="L16" i="189" s="1"/>
  <c r="F26" i="190"/>
  <c r="AD25" i="189"/>
  <c r="F31" i="190"/>
  <c r="AD29" i="189"/>
  <c r="AD13" i="189"/>
  <c r="S32" i="188"/>
  <c r="S56" i="188"/>
  <c r="S8" i="188"/>
  <c r="S57" i="188"/>
  <c r="S26" i="188"/>
  <c r="S59" i="188"/>
  <c r="S20" i="188"/>
  <c r="S51" i="188"/>
  <c r="S41" i="188"/>
  <c r="S14" i="188"/>
  <c r="S22" i="188"/>
  <c r="S53" i="188"/>
  <c r="AE14" i="187"/>
  <c r="AF16" i="187"/>
  <c r="AE29" i="187"/>
  <c r="AE38" i="187"/>
  <c r="AF40" i="187"/>
  <c r="AE53" i="187"/>
  <c r="AF66" i="187"/>
  <c r="AE68" i="187"/>
  <c r="AE72" i="187"/>
  <c r="AS77" i="187"/>
  <c r="AF79" i="187"/>
  <c r="AF81" i="187"/>
  <c r="AS83" i="187"/>
  <c r="S9" i="188"/>
  <c r="S12" i="188"/>
  <c r="S16" i="188"/>
  <c r="S37" i="188"/>
  <c r="S45" i="188"/>
  <c r="S54" i="188"/>
  <c r="S60" i="188"/>
  <c r="S65" i="188"/>
  <c r="AS5" i="187"/>
  <c r="AF7" i="187"/>
  <c r="AE11" i="187"/>
  <c r="AS23" i="187"/>
  <c r="AS32" i="187"/>
  <c r="AS47" i="187"/>
  <c r="AS56" i="187"/>
  <c r="AE59" i="187"/>
  <c r="AF72" i="187"/>
  <c r="AF83" i="187"/>
  <c r="AF85" i="187"/>
  <c r="AS87" i="187"/>
  <c r="S10" i="188"/>
  <c r="S31" i="188"/>
  <c r="S35" i="188"/>
  <c r="S48" i="188"/>
  <c r="S50" i="188"/>
  <c r="S52" i="188"/>
  <c r="S58" i="188"/>
  <c r="S66" i="188"/>
  <c r="AS12" i="187"/>
  <c r="AS60" i="187"/>
  <c r="S25" i="188"/>
  <c r="S29" i="188"/>
  <c r="S39" i="188"/>
  <c r="S42" i="188"/>
  <c r="S44" i="188"/>
  <c r="S46" i="188"/>
  <c r="AS14" i="187"/>
  <c r="AE24" i="187"/>
  <c r="AS29" i="187"/>
  <c r="AS38" i="187"/>
  <c r="AE48" i="187"/>
  <c r="AS53" i="187"/>
  <c r="AS68" i="187"/>
  <c r="AE71" i="187"/>
  <c r="AE82" i="187"/>
  <c r="S19" i="188"/>
  <c r="S23" i="188"/>
  <c r="S68" i="188"/>
  <c r="AE6" i="187"/>
  <c r="AS11" i="187"/>
  <c r="AF13" i="187"/>
  <c r="AE17" i="187"/>
  <c r="AE26" i="187"/>
  <c r="AF28" i="187"/>
  <c r="AE41" i="187"/>
  <c r="AE50" i="187"/>
  <c r="AF52" i="187"/>
  <c r="AS59" i="187"/>
  <c r="AE86" i="187"/>
  <c r="S13" i="188"/>
  <c r="S17" i="188"/>
  <c r="S33" i="188"/>
  <c r="S36" i="188"/>
  <c r="S38" i="188"/>
  <c r="S40" i="188"/>
  <c r="S55" i="188"/>
  <c r="S61" i="188"/>
  <c r="S67" i="188"/>
  <c r="S69" i="188"/>
  <c r="S7" i="188"/>
  <c r="S11" i="188"/>
  <c r="S27" i="188"/>
  <c r="S30" i="188"/>
  <c r="S49" i="188"/>
  <c r="S62" i="188"/>
  <c r="S70" i="188"/>
  <c r="AE5" i="187"/>
  <c r="AE23" i="187"/>
  <c r="AE32" i="187"/>
  <c r="AF34" i="187"/>
  <c r="AE47" i="187"/>
  <c r="AE56" i="187"/>
  <c r="AS71" i="187"/>
  <c r="AF73" i="187"/>
  <c r="S21" i="188"/>
  <c r="S24" i="188"/>
  <c r="S28" i="188"/>
  <c r="S34" i="188"/>
  <c r="S43" i="188"/>
  <c r="S63" i="188"/>
  <c r="F24" i="190"/>
  <c r="AG22" i="189"/>
  <c r="AF84" i="187"/>
  <c r="L9" i="189"/>
  <c r="AG9" i="189"/>
  <c r="I11" i="190"/>
  <c r="L21" i="189"/>
  <c r="AG21" i="189"/>
  <c r="I23" i="190"/>
  <c r="L14" i="189"/>
  <c r="I16" i="190"/>
  <c r="L26" i="189"/>
  <c r="I28" i="190"/>
  <c r="AG14" i="189"/>
  <c r="AG26" i="189"/>
  <c r="L7" i="189"/>
  <c r="I9" i="190"/>
  <c r="L19" i="189"/>
  <c r="I21" i="190"/>
  <c r="AG7" i="189"/>
  <c r="AG19" i="189"/>
  <c r="L33" i="189"/>
  <c r="I35" i="190"/>
  <c r="AG12" i="189"/>
  <c r="AG24" i="189"/>
  <c r="I6" i="189"/>
  <c r="AG6" i="189" s="1"/>
  <c r="I12" i="189"/>
  <c r="I18" i="189"/>
  <c r="AG18" i="189" s="1"/>
  <c r="I24" i="189"/>
  <c r="L34" i="189"/>
  <c r="F16" i="190"/>
  <c r="F28" i="190"/>
  <c r="AD8" i="189"/>
  <c r="AD14" i="189"/>
  <c r="AD20" i="189"/>
  <c r="AD26" i="189"/>
  <c r="F11" i="190"/>
  <c r="F23" i="190"/>
  <c r="I33" i="190"/>
  <c r="F35" i="190"/>
  <c r="I13" i="189"/>
  <c r="I25" i="189"/>
  <c r="AG25" i="189" s="1"/>
  <c r="AD9" i="189"/>
  <c r="AD15" i="189"/>
  <c r="AD21" i="189"/>
  <c r="AD27" i="189"/>
  <c r="I8" i="189"/>
  <c r="AG8" i="189" s="1"/>
  <c r="I20" i="189"/>
  <c r="AG20" i="189" s="1"/>
  <c r="F8" i="190"/>
  <c r="F20" i="190"/>
  <c r="I30" i="190"/>
  <c r="F32" i="190"/>
  <c r="I13" i="190"/>
  <c r="I15" i="189"/>
  <c r="L10" i="189"/>
  <c r="AD12" i="189"/>
  <c r="AD24" i="189"/>
  <c r="AF19" i="187"/>
  <c r="AF25" i="187"/>
  <c r="AF31" i="187"/>
  <c r="AF37" i="187"/>
  <c r="AF43" i="187"/>
  <c r="AF49" i="187"/>
  <c r="AF55" i="187"/>
  <c r="AF61" i="187"/>
  <c r="AF67" i="187"/>
  <c r="AE80" i="187"/>
  <c r="AS80" i="187"/>
  <c r="AE84" i="187"/>
  <c r="AS84" i="187"/>
  <c r="AE9" i="187"/>
  <c r="AS9" i="187"/>
  <c r="AE15" i="187"/>
  <c r="AS15" i="187"/>
  <c r="AE21" i="187"/>
  <c r="AS21" i="187"/>
  <c r="AE27" i="187"/>
  <c r="AS27" i="187"/>
  <c r="AE33" i="187"/>
  <c r="AS33" i="187"/>
  <c r="AE39" i="187"/>
  <c r="AS39" i="187"/>
  <c r="AE45" i="187"/>
  <c r="AS45" i="187"/>
  <c r="AE51" i="187"/>
  <c r="AS51" i="187"/>
  <c r="AE57" i="187"/>
  <c r="AS57" i="187"/>
  <c r="AE63" i="187"/>
  <c r="AS63" i="187"/>
  <c r="AE69" i="187"/>
  <c r="AS69" i="187"/>
  <c r="AE75" i="187"/>
  <c r="AS75" i="187"/>
  <c r="AE4" i="187"/>
  <c r="AE10" i="187"/>
  <c r="AE16" i="187"/>
  <c r="AE22" i="187"/>
  <c r="AE28" i="187"/>
  <c r="AE34" i="187"/>
  <c r="AE40" i="187"/>
  <c r="AE46" i="187"/>
  <c r="AE52" i="187"/>
  <c r="AE58" i="187"/>
  <c r="AS58" i="187"/>
  <c r="AE64" i="187"/>
  <c r="AS64" i="187"/>
  <c r="AE70" i="187"/>
  <c r="AS70" i="187"/>
  <c r="AE76" i="187"/>
  <c r="AS76" i="187"/>
  <c r="AE81" i="187"/>
  <c r="AS81" i="187"/>
  <c r="AS85" i="187"/>
  <c r="AS82" i="187"/>
  <c r="AS86" i="187"/>
  <c r="AE7" i="187"/>
  <c r="AE13" i="187"/>
  <c r="AE19" i="187"/>
  <c r="AE25" i="187"/>
  <c r="AE31" i="187"/>
  <c r="AE37" i="187"/>
  <c r="AE43" i="187"/>
  <c r="AE49" i="187"/>
  <c r="AE55" i="187"/>
  <c r="AE61" i="187"/>
  <c r="AE67" i="187"/>
  <c r="AE73" i="187"/>
  <c r="AE79" i="187"/>
  <c r="AE87" i="187"/>
  <c r="L5" i="189" l="1"/>
  <c r="W33" i="189"/>
  <c r="AG33" i="189" s="1"/>
  <c r="T39" i="189"/>
  <c r="AG10" i="189"/>
  <c r="T40" i="189"/>
  <c r="I7" i="190"/>
  <c r="AG11" i="189"/>
  <c r="L11" i="189"/>
  <c r="I18" i="190"/>
  <c r="AG16" i="189"/>
  <c r="AG29" i="189"/>
  <c r="L29" i="189"/>
  <c r="I31" i="190"/>
  <c r="AG23" i="189"/>
  <c r="L23" i="189"/>
  <c r="AD31" i="189"/>
  <c r="W31" i="189"/>
  <c r="AG31" i="189" s="1"/>
  <c r="I17" i="190"/>
  <c r="L15" i="189"/>
  <c r="AG15" i="189"/>
  <c r="I29" i="190"/>
  <c r="L27" i="189"/>
  <c r="AG27" i="189"/>
  <c r="I27" i="190"/>
  <c r="L25" i="189"/>
  <c r="I15" i="190"/>
  <c r="L13" i="189"/>
  <c r="I32" i="190"/>
  <c r="AG30" i="189"/>
  <c r="L30" i="189"/>
  <c r="L24" i="189"/>
  <c r="I26" i="190"/>
  <c r="I20" i="190"/>
  <c r="L18" i="189"/>
  <c r="W32" i="189"/>
  <c r="AG32" i="189" s="1"/>
  <c r="AD32" i="189"/>
  <c r="I22" i="190"/>
  <c r="L20" i="189"/>
  <c r="L12" i="189"/>
  <c r="I14" i="190"/>
  <c r="I8" i="190"/>
  <c r="L6" i="189"/>
  <c r="W34" i="189"/>
  <c r="AG34" i="189" s="1"/>
  <c r="AD34" i="189"/>
  <c r="I10" i="190"/>
  <c r="L8" i="189"/>
  <c r="AG13" i="189"/>
  <c r="M7" i="189" l="1"/>
  <c r="M15" i="189"/>
  <c r="M23" i="189"/>
  <c r="M31" i="189"/>
  <c r="M17" i="189"/>
  <c r="M33" i="189"/>
  <c r="M29" i="189"/>
  <c r="M22" i="189"/>
  <c r="M8" i="189"/>
  <c r="M16" i="189"/>
  <c r="M24" i="189"/>
  <c r="M32" i="189"/>
  <c r="M9" i="189"/>
  <c r="M25" i="189"/>
  <c r="M37" i="189"/>
  <c r="M30" i="189"/>
  <c r="M10" i="189"/>
  <c r="M18" i="189"/>
  <c r="M26" i="189"/>
  <c r="M34" i="189"/>
  <c r="M20" i="189"/>
  <c r="M28" i="189"/>
  <c r="M13" i="189"/>
  <c r="M6" i="189"/>
  <c r="M11" i="189"/>
  <c r="M19" i="189"/>
  <c r="M27" i="189"/>
  <c r="M35" i="189"/>
  <c r="M12" i="189"/>
  <c r="M36" i="189"/>
  <c r="M21" i="189"/>
  <c r="M14" i="189"/>
  <c r="M5" i="189"/>
  <c r="I52" i="99"/>
  <c r="H52" i="99"/>
  <c r="G52" i="99"/>
  <c r="F52" i="99"/>
  <c r="C52" i="99"/>
  <c r="B52" i="99"/>
  <c r="A52" i="99"/>
  <c r="I38" i="98"/>
  <c r="I39" i="98"/>
  <c r="I40" i="98"/>
  <c r="I41" i="98"/>
  <c r="I42" i="98"/>
  <c r="I43" i="98"/>
  <c r="I44" i="98"/>
  <c r="I45" i="98"/>
  <c r="I46" i="98"/>
  <c r="I47" i="98"/>
  <c r="I49" i="98"/>
  <c r="I50" i="98"/>
  <c r="I51" i="98"/>
  <c r="D48" i="98"/>
  <c r="D49" i="98"/>
  <c r="D50" i="98"/>
  <c r="D52" i="99" s="1"/>
  <c r="D46" i="98"/>
  <c r="D47" i="98"/>
  <c r="B56" i="111" l="1"/>
  <c r="C56" i="111"/>
  <c r="D56" i="111"/>
  <c r="B28" i="111"/>
  <c r="C28" i="111"/>
  <c r="D28" i="111"/>
  <c r="F56" i="110"/>
  <c r="F34" i="110"/>
  <c r="B64" i="110"/>
  <c r="C64" i="110"/>
  <c r="D64" i="110"/>
  <c r="B65" i="110"/>
  <c r="C65" i="110"/>
  <c r="D65" i="110"/>
  <c r="B66" i="110"/>
  <c r="C66" i="110"/>
  <c r="D66" i="110"/>
  <c r="B67" i="110"/>
  <c r="C67" i="110"/>
  <c r="D67" i="110"/>
  <c r="B68" i="110"/>
  <c r="C68" i="110"/>
  <c r="D68" i="110"/>
  <c r="B69" i="110"/>
  <c r="C69" i="110"/>
  <c r="D69" i="110"/>
  <c r="B70" i="110"/>
  <c r="C70" i="110"/>
  <c r="D70" i="110"/>
  <c r="B71" i="110"/>
  <c r="C71" i="110"/>
  <c r="D71" i="110"/>
  <c r="B72" i="110"/>
  <c r="C72" i="110"/>
  <c r="D72" i="110"/>
  <c r="B73" i="110"/>
  <c r="C73" i="110"/>
  <c r="D73" i="110"/>
  <c r="B74" i="110"/>
  <c r="C74" i="110"/>
  <c r="D74" i="110"/>
  <c r="B75" i="110"/>
  <c r="C75" i="110"/>
  <c r="D75" i="110"/>
  <c r="B76" i="110"/>
  <c r="C76" i="110"/>
  <c r="D76" i="110"/>
  <c r="B77" i="110"/>
  <c r="C77" i="110"/>
  <c r="D77" i="110"/>
  <c r="B78" i="110"/>
  <c r="C78" i="110"/>
  <c r="D78" i="110"/>
  <c r="B79" i="110"/>
  <c r="C79" i="110"/>
  <c r="D79" i="110"/>
  <c r="B80" i="110"/>
  <c r="C80" i="110"/>
  <c r="D80" i="110"/>
  <c r="B81" i="110"/>
  <c r="C81" i="110"/>
  <c r="D81" i="110"/>
  <c r="B82" i="110"/>
  <c r="C82" i="110"/>
  <c r="D82" i="110"/>
  <c r="B83" i="110"/>
  <c r="C83" i="110"/>
  <c r="D83" i="110"/>
  <c r="B84" i="110"/>
  <c r="C84" i="110"/>
  <c r="D84" i="110"/>
  <c r="B85" i="110"/>
  <c r="C85" i="110"/>
  <c r="D85" i="110"/>
  <c r="D63" i="110"/>
  <c r="C63" i="110"/>
  <c r="B63" i="110"/>
  <c r="K73" i="86" l="1"/>
  <c r="J73" i="86"/>
  <c r="I73" i="86"/>
  <c r="J4" i="153" l="1"/>
  <c r="M4" i="153"/>
  <c r="N4" i="153"/>
  <c r="P4" i="153"/>
  <c r="Q4" i="153"/>
  <c r="R4" i="153"/>
  <c r="S4" i="153"/>
  <c r="T4" i="153"/>
  <c r="U4" i="153"/>
  <c r="V4" i="153" l="1"/>
  <c r="O4" i="153"/>
  <c r="K62" i="95" l="1"/>
  <c r="J62" i="95"/>
  <c r="G62" i="95"/>
  <c r="F62" i="95"/>
  <c r="E62" i="95"/>
  <c r="D62" i="95"/>
  <c r="A62" i="95"/>
  <c r="B62" i="95"/>
  <c r="H94" i="97"/>
  <c r="H62" i="95" s="1"/>
  <c r="H89" i="97"/>
  <c r="N94" i="97" l="1"/>
  <c r="U32" i="153"/>
  <c r="G28" i="154" s="1"/>
  <c r="T32" i="153"/>
  <c r="E28" i="154" s="1"/>
  <c r="S32" i="153"/>
  <c r="F28" i="154" s="1"/>
  <c r="R32" i="153"/>
  <c r="Q32" i="153"/>
  <c r="P32" i="153"/>
  <c r="C28" i="154" s="1"/>
  <c r="N32" i="153"/>
  <c r="M32" i="153"/>
  <c r="J32" i="153"/>
  <c r="U31" i="153"/>
  <c r="G27" i="154" s="1"/>
  <c r="T31" i="153"/>
  <c r="E27" i="154" s="1"/>
  <c r="S31" i="153"/>
  <c r="F27" i="154" s="1"/>
  <c r="R31" i="153"/>
  <c r="Q31" i="153"/>
  <c r="P31" i="153"/>
  <c r="C27" i="154" s="1"/>
  <c r="N31" i="153"/>
  <c r="M31" i="153"/>
  <c r="J31" i="153"/>
  <c r="U30" i="153"/>
  <c r="G26" i="154" s="1"/>
  <c r="T30" i="153"/>
  <c r="E26" i="154" s="1"/>
  <c r="S30" i="153"/>
  <c r="F26" i="154" s="1"/>
  <c r="R30" i="153"/>
  <c r="Q30" i="153"/>
  <c r="P30" i="153"/>
  <c r="N30" i="153"/>
  <c r="M30" i="153"/>
  <c r="J30" i="153"/>
  <c r="U29" i="153"/>
  <c r="T29" i="153"/>
  <c r="S29" i="153"/>
  <c r="R29" i="153"/>
  <c r="Q29" i="153"/>
  <c r="P29" i="153"/>
  <c r="N29" i="153"/>
  <c r="M29" i="153"/>
  <c r="J29" i="153"/>
  <c r="U28" i="153"/>
  <c r="T28" i="153"/>
  <c r="S28" i="153"/>
  <c r="R28" i="153"/>
  <c r="Q28" i="153"/>
  <c r="P28" i="153"/>
  <c r="N28" i="153"/>
  <c r="M28" i="153"/>
  <c r="J28" i="153"/>
  <c r="U27" i="153"/>
  <c r="G23" i="154" s="1"/>
  <c r="T27" i="153"/>
  <c r="E23" i="154" s="1"/>
  <c r="S27" i="153"/>
  <c r="F23" i="154" s="1"/>
  <c r="R27" i="153"/>
  <c r="Q27" i="153"/>
  <c r="P27" i="153"/>
  <c r="C23" i="154" s="1"/>
  <c r="N27" i="153"/>
  <c r="M27" i="153"/>
  <c r="J27" i="153"/>
  <c r="U26" i="153"/>
  <c r="G22" i="154" s="1"/>
  <c r="T26" i="153"/>
  <c r="E22" i="154" s="1"/>
  <c r="S26" i="153"/>
  <c r="F22" i="154" s="1"/>
  <c r="R26" i="153"/>
  <c r="Q26" i="153"/>
  <c r="P26" i="153"/>
  <c r="C22" i="154" s="1"/>
  <c r="N26" i="153"/>
  <c r="M26" i="153"/>
  <c r="J26" i="153"/>
  <c r="U25" i="153"/>
  <c r="G21" i="154" s="1"/>
  <c r="T25" i="153"/>
  <c r="E21" i="154" s="1"/>
  <c r="S25" i="153"/>
  <c r="F21" i="154" s="1"/>
  <c r="R25" i="153"/>
  <c r="Q25" i="153"/>
  <c r="P25" i="153"/>
  <c r="C21" i="154" s="1"/>
  <c r="N25" i="153"/>
  <c r="M25" i="153"/>
  <c r="J25" i="153"/>
  <c r="U24" i="153"/>
  <c r="T24" i="153"/>
  <c r="S24" i="153"/>
  <c r="R24" i="153"/>
  <c r="Q24" i="153"/>
  <c r="P24" i="153"/>
  <c r="N24" i="153"/>
  <c r="M24" i="153"/>
  <c r="J24" i="153"/>
  <c r="U23" i="153"/>
  <c r="T23" i="153"/>
  <c r="S23" i="153"/>
  <c r="R23" i="153"/>
  <c r="Q23" i="153"/>
  <c r="P23" i="153"/>
  <c r="N23" i="153"/>
  <c r="M23" i="153"/>
  <c r="J23" i="153"/>
  <c r="U22" i="153"/>
  <c r="T22" i="153"/>
  <c r="S22" i="153"/>
  <c r="R22" i="153"/>
  <c r="Q22" i="153"/>
  <c r="P22" i="153"/>
  <c r="C18" i="154" s="1"/>
  <c r="N22" i="153"/>
  <c r="M22" i="153"/>
  <c r="J22" i="153"/>
  <c r="U21" i="153"/>
  <c r="G17" i="154" s="1"/>
  <c r="T21" i="153"/>
  <c r="E17" i="154" s="1"/>
  <c r="S21" i="153"/>
  <c r="F17" i="154" s="1"/>
  <c r="R21" i="153"/>
  <c r="Q21" i="153"/>
  <c r="P21" i="153"/>
  <c r="C17" i="154" s="1"/>
  <c r="N21" i="153"/>
  <c r="M21" i="153"/>
  <c r="J21" i="153"/>
  <c r="U20" i="153"/>
  <c r="G16" i="154" s="1"/>
  <c r="T20" i="153"/>
  <c r="E16" i="154" s="1"/>
  <c r="S20" i="153"/>
  <c r="F16" i="154" s="1"/>
  <c r="R20" i="153"/>
  <c r="Q20" i="153"/>
  <c r="P20" i="153"/>
  <c r="C16" i="154" s="1"/>
  <c r="N20" i="153"/>
  <c r="M20" i="153"/>
  <c r="J20" i="153"/>
  <c r="U19" i="153"/>
  <c r="G15" i="154" s="1"/>
  <c r="T19" i="153"/>
  <c r="E15" i="154" s="1"/>
  <c r="S19" i="153"/>
  <c r="F15" i="154" s="1"/>
  <c r="R19" i="153"/>
  <c r="Q19" i="153"/>
  <c r="P19" i="153"/>
  <c r="C15" i="154" s="1"/>
  <c r="N19" i="153"/>
  <c r="M19" i="153"/>
  <c r="J19" i="153"/>
  <c r="U18" i="153"/>
  <c r="G14" i="154" s="1"/>
  <c r="T18" i="153"/>
  <c r="E14" i="154" s="1"/>
  <c r="S18" i="153"/>
  <c r="F14" i="154" s="1"/>
  <c r="R18" i="153"/>
  <c r="Q18" i="153"/>
  <c r="P18" i="153"/>
  <c r="C14" i="154" s="1"/>
  <c r="N18" i="153"/>
  <c r="M18" i="153"/>
  <c r="J18" i="153"/>
  <c r="U17" i="153"/>
  <c r="G13" i="154" s="1"/>
  <c r="T17" i="153"/>
  <c r="E13" i="154" s="1"/>
  <c r="S17" i="153"/>
  <c r="F13" i="154" s="1"/>
  <c r="R17" i="153"/>
  <c r="Q17" i="153"/>
  <c r="P17" i="153"/>
  <c r="C13" i="154" s="1"/>
  <c r="N17" i="153"/>
  <c r="M17" i="153"/>
  <c r="J17" i="153"/>
  <c r="U16" i="153"/>
  <c r="G12" i="154" s="1"/>
  <c r="T16" i="153"/>
  <c r="E12" i="154" s="1"/>
  <c r="S16" i="153"/>
  <c r="F12" i="154" s="1"/>
  <c r="R16" i="153"/>
  <c r="Q16" i="153"/>
  <c r="P16" i="153"/>
  <c r="C12" i="154" s="1"/>
  <c r="N16" i="153"/>
  <c r="M16" i="153"/>
  <c r="J16" i="153"/>
  <c r="U15" i="153"/>
  <c r="G11" i="154" s="1"/>
  <c r="T15" i="153"/>
  <c r="E11" i="154" s="1"/>
  <c r="S15" i="153"/>
  <c r="F11" i="154" s="1"/>
  <c r="R15" i="153"/>
  <c r="Q15" i="153"/>
  <c r="P15" i="153"/>
  <c r="C11" i="154" s="1"/>
  <c r="N15" i="153"/>
  <c r="M15" i="153"/>
  <c r="J15" i="153"/>
  <c r="U14" i="153"/>
  <c r="G10" i="154" s="1"/>
  <c r="T14" i="153"/>
  <c r="E10" i="154" s="1"/>
  <c r="S14" i="153"/>
  <c r="F10" i="154" s="1"/>
  <c r="R14" i="153"/>
  <c r="Q14" i="153"/>
  <c r="P14" i="153"/>
  <c r="C10" i="154" s="1"/>
  <c r="N14" i="153"/>
  <c r="M14" i="153"/>
  <c r="J14" i="153"/>
  <c r="U13" i="153"/>
  <c r="G9" i="154" s="1"/>
  <c r="T13" i="153"/>
  <c r="E9" i="154" s="1"/>
  <c r="S13" i="153"/>
  <c r="F9" i="154" s="1"/>
  <c r="R13" i="153"/>
  <c r="Q13" i="153"/>
  <c r="P13" i="153"/>
  <c r="C9" i="154" s="1"/>
  <c r="N13" i="153"/>
  <c r="M13" i="153"/>
  <c r="J13" i="153"/>
  <c r="U12" i="153"/>
  <c r="G8" i="154" s="1"/>
  <c r="T12" i="153"/>
  <c r="E8" i="154" s="1"/>
  <c r="S12" i="153"/>
  <c r="F8" i="154" s="1"/>
  <c r="R12" i="153"/>
  <c r="Q12" i="153"/>
  <c r="P12" i="153"/>
  <c r="C8" i="154" s="1"/>
  <c r="N12" i="153"/>
  <c r="M12" i="153"/>
  <c r="J12" i="153"/>
  <c r="U11" i="153"/>
  <c r="T11" i="153"/>
  <c r="S11" i="153"/>
  <c r="R11" i="153"/>
  <c r="Q11" i="153"/>
  <c r="P11" i="153"/>
  <c r="N11" i="153"/>
  <c r="M11" i="153"/>
  <c r="J11" i="153"/>
  <c r="U10" i="153"/>
  <c r="T10" i="153"/>
  <c r="S10" i="153"/>
  <c r="R10" i="153"/>
  <c r="Q10" i="153"/>
  <c r="P10" i="153"/>
  <c r="N10" i="153"/>
  <c r="M10" i="153"/>
  <c r="J10" i="153"/>
  <c r="U9" i="153"/>
  <c r="T9" i="153"/>
  <c r="S9" i="153"/>
  <c r="R9" i="153"/>
  <c r="Q9" i="153"/>
  <c r="P9" i="153"/>
  <c r="N9" i="153"/>
  <c r="M9" i="153"/>
  <c r="J9" i="153"/>
  <c r="U8" i="153"/>
  <c r="T8" i="153"/>
  <c r="S8" i="153"/>
  <c r="R8" i="153"/>
  <c r="Q8" i="153"/>
  <c r="P8" i="153"/>
  <c r="N8" i="153"/>
  <c r="M8" i="153"/>
  <c r="J8" i="153"/>
  <c r="U7" i="153"/>
  <c r="T7" i="153"/>
  <c r="S7" i="153"/>
  <c r="R7" i="153"/>
  <c r="Q7" i="153"/>
  <c r="P7" i="153"/>
  <c r="N7" i="153"/>
  <c r="M7" i="153"/>
  <c r="J7" i="153"/>
  <c r="U6" i="153"/>
  <c r="T6" i="153"/>
  <c r="S6" i="153"/>
  <c r="R6" i="153"/>
  <c r="Q6" i="153"/>
  <c r="P6" i="153"/>
  <c r="N6" i="153"/>
  <c r="M6" i="153"/>
  <c r="J6" i="153"/>
  <c r="U5" i="153"/>
  <c r="T5" i="153"/>
  <c r="S5" i="153"/>
  <c r="R5" i="153"/>
  <c r="Q5" i="153"/>
  <c r="P5" i="153"/>
  <c r="N5" i="153"/>
  <c r="M5" i="153"/>
  <c r="J5" i="153"/>
  <c r="U3" i="153"/>
  <c r="T3" i="153"/>
  <c r="S3" i="153"/>
  <c r="R3" i="153"/>
  <c r="Q3" i="153"/>
  <c r="P3" i="153"/>
  <c r="N3" i="153"/>
  <c r="M3" i="153"/>
  <c r="J3" i="153"/>
  <c r="F25" i="154" l="1"/>
  <c r="E25" i="154"/>
  <c r="G25" i="154"/>
  <c r="F20" i="154"/>
  <c r="C20" i="154"/>
  <c r="E20" i="154"/>
  <c r="G20" i="154"/>
  <c r="C25" i="154"/>
  <c r="C19" i="154"/>
  <c r="E24" i="154"/>
  <c r="F24" i="154"/>
  <c r="G24" i="154"/>
  <c r="D28" i="154"/>
  <c r="E19" i="154"/>
  <c r="G19" i="154"/>
  <c r="C24" i="154"/>
  <c r="F19" i="154"/>
  <c r="C7" i="154"/>
  <c r="C33" i="154" s="1"/>
  <c r="D8" i="154"/>
  <c r="B11" i="154"/>
  <c r="D16" i="154"/>
  <c r="D15" i="154"/>
  <c r="D19" i="154"/>
  <c r="D12" i="154"/>
  <c r="O17" i="153"/>
  <c r="D24" i="154"/>
  <c r="D23" i="154"/>
  <c r="B27" i="154"/>
  <c r="B8" i="154"/>
  <c r="D9" i="154"/>
  <c r="B12" i="154"/>
  <c r="B19" i="154"/>
  <c r="O25" i="153"/>
  <c r="D13" i="154"/>
  <c r="B16" i="154"/>
  <c r="D17" i="154"/>
  <c r="D21" i="154"/>
  <c r="B24" i="154"/>
  <c r="O23" i="153"/>
  <c r="O9" i="153"/>
  <c r="D7" i="154"/>
  <c r="B10" i="154"/>
  <c r="D22" i="154"/>
  <c r="O28" i="153"/>
  <c r="D25" i="154"/>
  <c r="D14" i="154"/>
  <c r="O8" i="153"/>
  <c r="O16" i="153"/>
  <c r="B20" i="154"/>
  <c r="O11" i="153"/>
  <c r="D20" i="154"/>
  <c r="O32" i="153"/>
  <c r="B28" i="154" s="1"/>
  <c r="O19" i="153"/>
  <c r="O10" i="153"/>
  <c r="O14" i="153"/>
  <c r="D11" i="154"/>
  <c r="V18" i="153"/>
  <c r="O5" i="153"/>
  <c r="V9" i="153"/>
  <c r="O13" i="153"/>
  <c r="D10" i="154"/>
  <c r="O26" i="153"/>
  <c r="D27" i="154"/>
  <c r="O18" i="153"/>
  <c r="E7" i="154"/>
  <c r="V17" i="153"/>
  <c r="V31" i="153"/>
  <c r="F7" i="154"/>
  <c r="V15" i="153"/>
  <c r="V26" i="153"/>
  <c r="G7" i="154"/>
  <c r="G33" i="154" s="1"/>
  <c r="V3" i="153"/>
  <c r="V21" i="153"/>
  <c r="V30" i="153"/>
  <c r="B14" i="154"/>
  <c r="B18" i="154"/>
  <c r="B22" i="154"/>
  <c r="O3" i="153"/>
  <c r="O12" i="153"/>
  <c r="O21" i="153"/>
  <c r="V25" i="153"/>
  <c r="O30" i="153"/>
  <c r="V7" i="153"/>
  <c r="V23" i="153"/>
  <c r="D18" i="154"/>
  <c r="V20" i="153"/>
  <c r="V29" i="153"/>
  <c r="E18" i="154"/>
  <c r="V6" i="153"/>
  <c r="O15" i="153"/>
  <c r="V24" i="153"/>
  <c r="O29" i="153"/>
  <c r="B26" i="154"/>
  <c r="F18" i="154"/>
  <c r="O6" i="153"/>
  <c r="V10" i="153"/>
  <c r="V19" i="153"/>
  <c r="O24" i="153"/>
  <c r="C26" i="154"/>
  <c r="G18" i="154"/>
  <c r="V14" i="153"/>
  <c r="V28" i="153"/>
  <c r="V32" i="153"/>
  <c r="D26" i="154"/>
  <c r="B7" i="154"/>
  <c r="B33" i="154" s="1"/>
  <c r="B9" i="154"/>
  <c r="B13" i="154"/>
  <c r="B15" i="154"/>
  <c r="B17" i="154"/>
  <c r="B21" i="154"/>
  <c r="B23" i="154"/>
  <c r="B25" i="154"/>
  <c r="V12" i="153"/>
  <c r="O7" i="153"/>
  <c r="O31" i="153"/>
  <c r="V5" i="153"/>
  <c r="V13" i="153"/>
  <c r="V8" i="153"/>
  <c r="V16" i="153"/>
  <c r="V11" i="153"/>
  <c r="V27" i="153"/>
  <c r="V22" i="153"/>
  <c r="O27" i="153"/>
  <c r="O22" i="153"/>
  <c r="E33" i="154" l="1"/>
  <c r="D33" i="154"/>
  <c r="F33" i="154"/>
  <c r="R55" i="82"/>
  <c r="T55" i="82" s="1"/>
  <c r="R53" i="82"/>
  <c r="T53" i="82" s="1"/>
  <c r="R52" i="82"/>
  <c r="T52" i="82" s="1"/>
  <c r="T61" i="82" s="1"/>
  <c r="R51" i="82"/>
  <c r="R50" i="82"/>
  <c r="R49" i="82"/>
  <c r="T49" i="82" s="1"/>
  <c r="W49" i="82" s="1"/>
  <c r="R47" i="82"/>
  <c r="T47" i="82" s="1"/>
  <c r="W47" i="82" s="1"/>
  <c r="R46" i="82"/>
  <c r="T46" i="82" s="1"/>
  <c r="W46" i="82" s="1"/>
  <c r="R45" i="82"/>
  <c r="T45" i="82" s="1"/>
  <c r="R44" i="82"/>
  <c r="T44" i="82" s="1"/>
  <c r="R43" i="82"/>
  <c r="T43" i="82" s="1"/>
  <c r="R41" i="82"/>
  <c r="R40" i="82"/>
  <c r="T40" i="82" s="1"/>
  <c r="R39" i="82"/>
  <c r="T39" i="82" s="1"/>
  <c r="R38" i="82"/>
  <c r="T38" i="82" s="1"/>
  <c r="R37" i="82"/>
  <c r="T37" i="82" s="1"/>
  <c r="R35" i="82"/>
  <c r="T35" i="82" s="1"/>
  <c r="R34" i="82"/>
  <c r="T34" i="82" s="1"/>
  <c r="W34" i="82" s="1"/>
  <c r="R33" i="82"/>
  <c r="T33" i="82" s="1"/>
  <c r="W33" i="82" s="1"/>
  <c r="R32" i="82"/>
  <c r="T32" i="82" s="1"/>
  <c r="R31" i="82"/>
  <c r="T31" i="82" s="1"/>
  <c r="R29" i="82"/>
  <c r="T29" i="82" s="1"/>
  <c r="R28" i="82"/>
  <c r="T28" i="82" s="1"/>
  <c r="R27" i="82"/>
  <c r="T27" i="82" s="1"/>
  <c r="R26" i="82"/>
  <c r="T26" i="82" s="1"/>
  <c r="R25" i="82"/>
  <c r="R23" i="82"/>
  <c r="T23" i="82" s="1"/>
  <c r="R22" i="82"/>
  <c r="T22" i="82" s="1"/>
  <c r="R21" i="82"/>
  <c r="T21" i="82" s="1"/>
  <c r="R20" i="82"/>
  <c r="T20" i="82" s="1"/>
  <c r="R19" i="82"/>
  <c r="R17" i="82"/>
  <c r="T17" i="82" s="1"/>
  <c r="R16" i="82"/>
  <c r="T16" i="82" s="1"/>
  <c r="R15" i="82"/>
  <c r="T15" i="82" s="1"/>
  <c r="R14" i="82"/>
  <c r="T14" i="82" s="1"/>
  <c r="R13" i="82"/>
  <c r="T13" i="82" s="1"/>
  <c r="R8" i="82"/>
  <c r="R9" i="82"/>
  <c r="R10" i="82"/>
  <c r="R11" i="82"/>
  <c r="R7" i="82"/>
  <c r="F51" i="98"/>
  <c r="G53" i="99" s="1"/>
  <c r="T51" i="82" l="1"/>
  <c r="W51" i="82" s="1"/>
  <c r="R61" i="82"/>
  <c r="N47" i="82"/>
  <c r="N39" i="82"/>
  <c r="W39" i="82"/>
  <c r="S21" i="82"/>
  <c r="W21" i="82"/>
  <c r="S55" i="82"/>
  <c r="W55" i="82"/>
  <c r="N22" i="82"/>
  <c r="W22" i="82"/>
  <c r="S23" i="82"/>
  <c r="W23" i="82"/>
  <c r="N13" i="82"/>
  <c r="W13" i="82"/>
  <c r="S38" i="82"/>
  <c r="W38" i="82"/>
  <c r="S29" i="82"/>
  <c r="W29" i="82"/>
  <c r="N55" i="82"/>
  <c r="T50" i="82"/>
  <c r="N26" i="82"/>
  <c r="W26" i="82"/>
  <c r="N40" i="82"/>
  <c r="W40" i="82"/>
  <c r="N43" i="82"/>
  <c r="W43" i="82"/>
  <c r="N16" i="82"/>
  <c r="W16" i="82"/>
  <c r="N31" i="82"/>
  <c r="W31" i="82"/>
  <c r="S44" i="82"/>
  <c r="W44" i="82"/>
  <c r="N49" i="82"/>
  <c r="N37" i="82"/>
  <c r="W37" i="82"/>
  <c r="N14" i="82"/>
  <c r="W14" i="82"/>
  <c r="S32" i="82"/>
  <c r="W32" i="82"/>
  <c r="N45" i="82"/>
  <c r="W45" i="82"/>
  <c r="N52" i="82"/>
  <c r="W52" i="82"/>
  <c r="S27" i="82"/>
  <c r="W27" i="82"/>
  <c r="N15" i="82"/>
  <c r="W15" i="82"/>
  <c r="N17" i="82"/>
  <c r="W17" i="82"/>
  <c r="N46" i="82"/>
  <c r="N35" i="82"/>
  <c r="W35" i="82"/>
  <c r="N53" i="82"/>
  <c r="W53" i="82"/>
  <c r="N28" i="82"/>
  <c r="W28" i="82"/>
  <c r="S20" i="82"/>
  <c r="W20" i="82"/>
  <c r="N34" i="82"/>
  <c r="S33" i="82"/>
  <c r="N33" i="82"/>
  <c r="S39" i="82"/>
  <c r="N32" i="82"/>
  <c r="T7" i="82"/>
  <c r="N44" i="82"/>
  <c r="N29" i="82"/>
  <c r="S26" i="82"/>
  <c r="N27" i="82"/>
  <c r="N38" i="82"/>
  <c r="N23" i="82"/>
  <c r="N21" i="82"/>
  <c r="N20" i="82"/>
  <c r="S17" i="82"/>
  <c r="S49" i="82"/>
  <c r="S52" i="82"/>
  <c r="S53" i="82"/>
  <c r="S45" i="82"/>
  <c r="S43" i="82"/>
  <c r="S46" i="82"/>
  <c r="S47" i="82"/>
  <c r="S37" i="82"/>
  <c r="S40" i="82"/>
  <c r="T41" i="82"/>
  <c r="S31" i="82"/>
  <c r="S34" i="82"/>
  <c r="S35" i="82"/>
  <c r="T25" i="82"/>
  <c r="W25" i="82" s="1"/>
  <c r="S28" i="82"/>
  <c r="T19" i="82"/>
  <c r="W19" i="82" s="1"/>
  <c r="S22" i="82"/>
  <c r="S15" i="82"/>
  <c r="S13" i="82"/>
  <c r="S16" i="82"/>
  <c r="S14" i="82"/>
  <c r="T9" i="82"/>
  <c r="W9" i="82" s="1"/>
  <c r="T11" i="82"/>
  <c r="W11" i="82" s="1"/>
  <c r="T10" i="82"/>
  <c r="T8" i="82"/>
  <c r="W8" i="82" s="1"/>
  <c r="U57" i="82" l="1"/>
  <c r="U58" i="82"/>
  <c r="S51" i="82"/>
  <c r="N51" i="82"/>
  <c r="S50" i="82"/>
  <c r="W50" i="82"/>
  <c r="N7" i="82"/>
  <c r="W7" i="82"/>
  <c r="N10" i="82"/>
  <c r="W10" i="82"/>
  <c r="N41" i="82"/>
  <c r="P41" i="82" s="1"/>
  <c r="W41" i="82"/>
  <c r="N50" i="82"/>
  <c r="P53" i="82" s="1"/>
  <c r="S10" i="82"/>
  <c r="S25" i="82"/>
  <c r="N25" i="82"/>
  <c r="S41" i="82"/>
  <c r="S7" i="82"/>
  <c r="S8" i="82"/>
  <c r="N8" i="82"/>
  <c r="S9" i="82"/>
  <c r="N9" i="82"/>
  <c r="S11" i="82"/>
  <c r="N11" i="82"/>
  <c r="S19" i="82"/>
  <c r="N19" i="82"/>
  <c r="D27" i="111"/>
  <c r="C27" i="111"/>
  <c r="B27" i="111"/>
  <c r="D55" i="111"/>
  <c r="B55" i="111"/>
  <c r="Q73" i="86"/>
  <c r="P73" i="86"/>
  <c r="O73" i="86"/>
  <c r="P29" i="82" l="1"/>
  <c r="P17" i="82"/>
  <c r="C55" i="111"/>
  <c r="F55" i="110"/>
  <c r="U55" i="82" l="1"/>
  <c r="U17" i="82"/>
  <c r="U25" i="82"/>
  <c r="U23" i="82"/>
  <c r="U26" i="82"/>
  <c r="U27" i="82"/>
  <c r="U19" i="82"/>
  <c r="U44" i="82"/>
  <c r="U29" i="82"/>
  <c r="U15" i="82"/>
  <c r="U14" i="82"/>
  <c r="U16" i="82"/>
  <c r="U51" i="82"/>
  <c r="U9" i="82"/>
  <c r="U31" i="82"/>
  <c r="U11" i="82"/>
  <c r="U41" i="82"/>
  <c r="U8" i="82"/>
  <c r="U53" i="82"/>
  <c r="U22" i="82"/>
  <c r="U47" i="82"/>
  <c r="U10" i="82"/>
  <c r="U40" i="82"/>
  <c r="U46" i="82"/>
  <c r="U13" i="82"/>
  <c r="U38" i="82"/>
  <c r="U35" i="82"/>
  <c r="U33" i="82"/>
  <c r="U21" i="82"/>
  <c r="U28" i="82"/>
  <c r="U49" i="82"/>
  <c r="U34" i="82"/>
  <c r="U52" i="82"/>
  <c r="U60" i="82"/>
  <c r="U32" i="82"/>
  <c r="U39" i="82"/>
  <c r="U37" i="82"/>
  <c r="U43" i="82"/>
  <c r="U45" i="82"/>
  <c r="U50" i="82"/>
  <c r="U20" i="82"/>
  <c r="U7" i="82"/>
  <c r="F36" i="113" l="1"/>
  <c r="E36" i="113"/>
  <c r="D36" i="113"/>
  <c r="L33" i="112"/>
  <c r="F33" i="112"/>
  <c r="M33" i="112" l="1"/>
  <c r="I8" i="99"/>
  <c r="I9" i="99"/>
  <c r="I10" i="99"/>
  <c r="I11" i="99"/>
  <c r="I12" i="99"/>
  <c r="I13" i="99"/>
  <c r="I14" i="99"/>
  <c r="I7" i="99"/>
  <c r="I49" i="99"/>
  <c r="I50" i="99"/>
  <c r="I51" i="99"/>
  <c r="H49" i="99"/>
  <c r="H50" i="99"/>
  <c r="H51" i="99"/>
  <c r="F50" i="99"/>
  <c r="F51" i="99"/>
  <c r="F49" i="99"/>
  <c r="F45" i="98"/>
  <c r="F46" i="98"/>
  <c r="F47" i="98"/>
  <c r="G49" i="99" s="1"/>
  <c r="F48" i="98"/>
  <c r="G50" i="99" s="1"/>
  <c r="F49" i="98"/>
  <c r="G51" i="99" s="1"/>
  <c r="F39" i="98"/>
  <c r="F40" i="98"/>
  <c r="F41" i="98"/>
  <c r="F42" i="98"/>
  <c r="F43" i="98"/>
  <c r="F44" i="98"/>
  <c r="F33" i="98"/>
  <c r="F34" i="98"/>
  <c r="F35" i="98"/>
  <c r="F36" i="98"/>
  <c r="F37" i="98"/>
  <c r="F38" i="98"/>
  <c r="F28" i="98"/>
  <c r="F29" i="98"/>
  <c r="F30" i="98"/>
  <c r="F31" i="98"/>
  <c r="F32" i="98"/>
  <c r="F23" i="98"/>
  <c r="F24" i="98"/>
  <c r="F25" i="98"/>
  <c r="F26" i="98"/>
  <c r="F27" i="98"/>
  <c r="F18" i="98"/>
  <c r="F19" i="98"/>
  <c r="F20" i="98"/>
  <c r="F21" i="98"/>
  <c r="F22" i="98"/>
  <c r="F15" i="98"/>
  <c r="F16" i="98"/>
  <c r="F17" i="98"/>
  <c r="F11" i="98"/>
  <c r="F12" i="98"/>
  <c r="F13" i="98"/>
  <c r="F14" i="98"/>
  <c r="F6" i="98"/>
  <c r="F7" i="98"/>
  <c r="F8" i="98"/>
  <c r="F9" i="98"/>
  <c r="F10" i="98"/>
  <c r="F5" i="98"/>
  <c r="D50" i="99"/>
  <c r="D41" i="98"/>
  <c r="D43" i="99" s="1"/>
  <c r="D42" i="98"/>
  <c r="D43" i="98"/>
  <c r="D44" i="98"/>
  <c r="D46" i="99" s="1"/>
  <c r="D45" i="98"/>
  <c r="D47" i="99" s="1"/>
  <c r="D48" i="99"/>
  <c r="D35" i="98"/>
  <c r="D37" i="99" s="1"/>
  <c r="D36" i="98"/>
  <c r="D38" i="99" s="1"/>
  <c r="D37" i="98"/>
  <c r="D39" i="99" s="1"/>
  <c r="D38" i="98"/>
  <c r="D40" i="99" s="1"/>
  <c r="D39" i="98"/>
  <c r="D41" i="99" s="1"/>
  <c r="D40" i="98"/>
  <c r="D42" i="99" s="1"/>
  <c r="D28" i="98"/>
  <c r="D30" i="99" s="1"/>
  <c r="D29" i="98"/>
  <c r="D31" i="99" s="1"/>
  <c r="D30" i="98"/>
  <c r="D32" i="99" s="1"/>
  <c r="D31" i="98"/>
  <c r="D33" i="99" s="1"/>
  <c r="D32" i="98"/>
  <c r="D34" i="99" s="1"/>
  <c r="D33" i="98"/>
  <c r="D35" i="99" s="1"/>
  <c r="D34" i="98"/>
  <c r="D36" i="99" s="1"/>
  <c r="D24" i="98"/>
  <c r="D26" i="99" s="1"/>
  <c r="D25" i="98"/>
  <c r="D27" i="99" s="1"/>
  <c r="D26" i="98"/>
  <c r="D28" i="99" s="1"/>
  <c r="D27" i="98"/>
  <c r="D29" i="99" s="1"/>
  <c r="D16" i="98"/>
  <c r="D18" i="99" s="1"/>
  <c r="D17" i="98"/>
  <c r="D19" i="99" s="1"/>
  <c r="D18" i="98"/>
  <c r="D20" i="99" s="1"/>
  <c r="D19" i="98"/>
  <c r="D21" i="99" s="1"/>
  <c r="D20" i="98"/>
  <c r="D22" i="99" s="1"/>
  <c r="D21" i="98"/>
  <c r="D23" i="99" s="1"/>
  <c r="D22" i="98"/>
  <c r="D24" i="99" s="1"/>
  <c r="D23" i="98"/>
  <c r="D25" i="99" s="1"/>
  <c r="D15" i="98"/>
  <c r="D17" i="99" s="1"/>
  <c r="D9" i="98"/>
  <c r="D11" i="99" s="1"/>
  <c r="D10" i="98"/>
  <c r="D12" i="99" s="1"/>
  <c r="D11" i="98"/>
  <c r="D13" i="99" s="1"/>
  <c r="D12" i="98"/>
  <c r="D14" i="99" s="1"/>
  <c r="D13" i="98"/>
  <c r="D15" i="99" s="1"/>
  <c r="D14" i="98"/>
  <c r="D16" i="99" s="1"/>
  <c r="D7" i="98"/>
  <c r="D9" i="99" s="1"/>
  <c r="D8" i="98"/>
  <c r="D10" i="99" s="1"/>
  <c r="D6" i="98"/>
  <c r="D8" i="99" s="1"/>
  <c r="D5" i="98"/>
  <c r="C17" i="99"/>
  <c r="C18" i="99"/>
  <c r="C19" i="99"/>
  <c r="C20" i="99"/>
  <c r="C21" i="99"/>
  <c r="C22" i="99"/>
  <c r="C23" i="99"/>
  <c r="C24" i="99"/>
  <c r="C25" i="99"/>
  <c r="C26" i="99"/>
  <c r="C27" i="99"/>
  <c r="C28" i="99"/>
  <c r="C29" i="99"/>
  <c r="C30" i="99"/>
  <c r="C31" i="99"/>
  <c r="C32" i="99"/>
  <c r="C33" i="99"/>
  <c r="C34" i="99"/>
  <c r="C35" i="99"/>
  <c r="C36" i="99"/>
  <c r="C37" i="99"/>
  <c r="C38" i="99"/>
  <c r="C39" i="99"/>
  <c r="C40" i="99"/>
  <c r="C41" i="99"/>
  <c r="C42" i="99"/>
  <c r="C43" i="99"/>
  <c r="C44" i="99"/>
  <c r="C45" i="99"/>
  <c r="C46" i="99"/>
  <c r="C47" i="99"/>
  <c r="C48" i="99"/>
  <c r="C50" i="99"/>
  <c r="C8" i="99"/>
  <c r="C9" i="99"/>
  <c r="C10" i="99"/>
  <c r="C11" i="99"/>
  <c r="C12" i="99"/>
  <c r="C13" i="99"/>
  <c r="C14" i="99"/>
  <c r="C15" i="99"/>
  <c r="C16" i="99"/>
  <c r="C7" i="99"/>
  <c r="B17" i="99"/>
  <c r="B18" i="99"/>
  <c r="B19" i="99"/>
  <c r="B20" i="99"/>
  <c r="B21" i="99"/>
  <c r="B22" i="99"/>
  <c r="B23" i="99"/>
  <c r="B24" i="99"/>
  <c r="B25" i="99"/>
  <c r="B26" i="99"/>
  <c r="B27" i="99"/>
  <c r="B28" i="99"/>
  <c r="B29" i="99"/>
  <c r="B30" i="99"/>
  <c r="B31" i="99"/>
  <c r="B32" i="99"/>
  <c r="B33" i="99"/>
  <c r="B34" i="99"/>
  <c r="B35" i="99"/>
  <c r="B36" i="99"/>
  <c r="B37" i="99"/>
  <c r="B38" i="99"/>
  <c r="B39" i="99"/>
  <c r="B40" i="99"/>
  <c r="B41" i="99"/>
  <c r="B42" i="99"/>
  <c r="B43" i="99"/>
  <c r="B44" i="99"/>
  <c r="B45" i="99"/>
  <c r="B46" i="99"/>
  <c r="B47" i="99"/>
  <c r="B48" i="99"/>
  <c r="B49" i="99"/>
  <c r="B50" i="99"/>
  <c r="B51" i="99"/>
  <c r="B8" i="99"/>
  <c r="B9" i="99"/>
  <c r="B10" i="99"/>
  <c r="B11" i="99"/>
  <c r="B12" i="99"/>
  <c r="B13" i="99"/>
  <c r="B14" i="99"/>
  <c r="B15" i="99"/>
  <c r="B16" i="99"/>
  <c r="B7" i="99"/>
  <c r="A8" i="99"/>
  <c r="A9" i="99"/>
  <c r="A10" i="99"/>
  <c r="A11" i="99"/>
  <c r="A12" i="99"/>
  <c r="A13" i="99"/>
  <c r="A14" i="99"/>
  <c r="A15" i="99"/>
  <c r="A16" i="99"/>
  <c r="A17" i="99"/>
  <c r="A18" i="99"/>
  <c r="A19" i="99"/>
  <c r="A20" i="99"/>
  <c r="A21" i="99"/>
  <c r="A22" i="99"/>
  <c r="A23" i="99"/>
  <c r="A24" i="99"/>
  <c r="A25" i="99"/>
  <c r="A26" i="99"/>
  <c r="A27" i="99"/>
  <c r="A28" i="99"/>
  <c r="A29" i="99"/>
  <c r="A30" i="99"/>
  <c r="A31" i="99"/>
  <c r="A32" i="99"/>
  <c r="A33" i="99"/>
  <c r="A34" i="99"/>
  <c r="A35" i="99"/>
  <c r="A36" i="99"/>
  <c r="A37" i="99"/>
  <c r="A38" i="99"/>
  <c r="A39" i="99"/>
  <c r="A40" i="99"/>
  <c r="A41" i="99"/>
  <c r="A42" i="99"/>
  <c r="A43" i="99"/>
  <c r="A44" i="99"/>
  <c r="A45" i="99"/>
  <c r="A46" i="99"/>
  <c r="A47" i="99"/>
  <c r="A48" i="99"/>
  <c r="A49" i="99"/>
  <c r="A50" i="99"/>
  <c r="A51" i="99"/>
  <c r="A7" i="99"/>
  <c r="K23" i="95"/>
  <c r="K25" i="95"/>
  <c r="K26" i="95"/>
  <c r="K27" i="95"/>
  <c r="K28" i="95"/>
  <c r="K29" i="95"/>
  <c r="K30" i="95"/>
  <c r="K31" i="95"/>
  <c r="K32" i="95"/>
  <c r="K34" i="95"/>
  <c r="K35" i="95"/>
  <c r="K36" i="95"/>
  <c r="K37" i="95"/>
  <c r="K38" i="95"/>
  <c r="K39" i="95"/>
  <c r="K40" i="95"/>
  <c r="K41" i="95"/>
  <c r="K43" i="95"/>
  <c r="K44" i="95"/>
  <c r="K45" i="95"/>
  <c r="K46" i="95"/>
  <c r="K47" i="95"/>
  <c r="K48" i="95"/>
  <c r="K49" i="95"/>
  <c r="K50" i="95"/>
  <c r="K52" i="95"/>
  <c r="K53" i="95"/>
  <c r="K54" i="95"/>
  <c r="K55" i="95"/>
  <c r="K56" i="95"/>
  <c r="K57" i="95"/>
  <c r="K58" i="95"/>
  <c r="K59" i="95"/>
  <c r="J23" i="95"/>
  <c r="J25" i="95"/>
  <c r="J26" i="95"/>
  <c r="J27" i="95"/>
  <c r="J28" i="95"/>
  <c r="J29" i="95"/>
  <c r="J30" i="95"/>
  <c r="J31" i="95"/>
  <c r="J32" i="95"/>
  <c r="J34" i="95"/>
  <c r="J35" i="95"/>
  <c r="J36" i="95"/>
  <c r="J37" i="95"/>
  <c r="J38" i="95"/>
  <c r="J39" i="95"/>
  <c r="J40" i="95"/>
  <c r="J41" i="95"/>
  <c r="J43" i="95"/>
  <c r="J44" i="95"/>
  <c r="J45" i="95"/>
  <c r="J46" i="95"/>
  <c r="J47" i="95"/>
  <c r="J48" i="95"/>
  <c r="J49" i="95"/>
  <c r="J50" i="95"/>
  <c r="J52" i="95"/>
  <c r="J53" i="95"/>
  <c r="J54" i="95"/>
  <c r="J55" i="95"/>
  <c r="J56" i="95"/>
  <c r="J57" i="95"/>
  <c r="J58" i="95"/>
  <c r="J59" i="95"/>
  <c r="H23" i="95"/>
  <c r="H25" i="95"/>
  <c r="H31" i="95"/>
  <c r="H32" i="95"/>
  <c r="H34" i="95"/>
  <c r="H40" i="95"/>
  <c r="H41" i="95"/>
  <c r="H43" i="95"/>
  <c r="H49" i="95"/>
  <c r="H50" i="95"/>
  <c r="H52" i="95"/>
  <c r="H57" i="95"/>
  <c r="H58" i="95"/>
  <c r="H59" i="95"/>
  <c r="G23" i="95"/>
  <c r="G25" i="95"/>
  <c r="G31" i="95"/>
  <c r="G32" i="95"/>
  <c r="G34" i="95"/>
  <c r="G40" i="95"/>
  <c r="G41" i="95"/>
  <c r="G43" i="95"/>
  <c r="G49" i="95"/>
  <c r="G50" i="95"/>
  <c r="G52" i="95"/>
  <c r="G55" i="95"/>
  <c r="G56" i="95"/>
  <c r="G57" i="95"/>
  <c r="G58" i="95"/>
  <c r="G59" i="95"/>
  <c r="F23" i="95"/>
  <c r="F25" i="95"/>
  <c r="F26" i="95"/>
  <c r="F27" i="95"/>
  <c r="F28" i="95"/>
  <c r="F29" i="95"/>
  <c r="F30" i="95"/>
  <c r="F31" i="95"/>
  <c r="F32" i="95"/>
  <c r="F34" i="95"/>
  <c r="F35" i="95"/>
  <c r="F36" i="95"/>
  <c r="F37" i="95"/>
  <c r="F38" i="95"/>
  <c r="F39" i="95"/>
  <c r="F40" i="95"/>
  <c r="F41" i="95"/>
  <c r="F43" i="95"/>
  <c r="F44" i="95"/>
  <c r="F45" i="95"/>
  <c r="F46" i="95"/>
  <c r="F47" i="95"/>
  <c r="F48" i="95"/>
  <c r="F49" i="95"/>
  <c r="F50" i="95"/>
  <c r="F52" i="95"/>
  <c r="F53" i="95"/>
  <c r="F54" i="95"/>
  <c r="F55" i="95"/>
  <c r="F56" i="95"/>
  <c r="F57" i="95"/>
  <c r="F58" i="95"/>
  <c r="F59" i="95"/>
  <c r="E23" i="95"/>
  <c r="E25" i="95"/>
  <c r="E26" i="95"/>
  <c r="E31" i="95"/>
  <c r="E32" i="95"/>
  <c r="E34" i="95"/>
  <c r="E40" i="95"/>
  <c r="E41" i="95"/>
  <c r="E43" i="95"/>
  <c r="E49" i="95"/>
  <c r="E50" i="95"/>
  <c r="E52" i="95"/>
  <c r="E55" i="95"/>
  <c r="E56" i="95"/>
  <c r="E57" i="95"/>
  <c r="E58" i="95"/>
  <c r="E59" i="95"/>
  <c r="D23" i="95"/>
  <c r="D25" i="95"/>
  <c r="D31" i="95"/>
  <c r="D32" i="95"/>
  <c r="D34" i="95"/>
  <c r="D40" i="95"/>
  <c r="D41" i="95"/>
  <c r="D43" i="95"/>
  <c r="D49" i="95"/>
  <c r="D50" i="95"/>
  <c r="D52" i="95"/>
  <c r="D55" i="95"/>
  <c r="D56" i="95"/>
  <c r="D57" i="95"/>
  <c r="D58" i="95"/>
  <c r="D59" i="95"/>
  <c r="B23" i="95"/>
  <c r="B25" i="95"/>
  <c r="B26" i="95"/>
  <c r="B27" i="95"/>
  <c r="B28" i="95"/>
  <c r="B29" i="95"/>
  <c r="B30" i="95"/>
  <c r="B31" i="95"/>
  <c r="B32" i="95"/>
  <c r="B34" i="95"/>
  <c r="B35" i="95"/>
  <c r="B36" i="95"/>
  <c r="B37" i="95"/>
  <c r="B38" i="95"/>
  <c r="B39" i="95"/>
  <c r="B40" i="95"/>
  <c r="B41" i="95"/>
  <c r="B43" i="95"/>
  <c r="B44" i="95"/>
  <c r="B45" i="95"/>
  <c r="B46" i="95"/>
  <c r="B47" i="95"/>
  <c r="B48" i="95"/>
  <c r="B49" i="95"/>
  <c r="B50" i="95"/>
  <c r="B52" i="95"/>
  <c r="B53" i="95"/>
  <c r="B54" i="95"/>
  <c r="B55" i="95"/>
  <c r="B56" i="95"/>
  <c r="B57" i="95"/>
  <c r="B58" i="95"/>
  <c r="B59" i="95"/>
  <c r="A23" i="95"/>
  <c r="A24" i="95"/>
  <c r="A25" i="95"/>
  <c r="A26" i="95"/>
  <c r="A27" i="95"/>
  <c r="A28" i="95"/>
  <c r="A29" i="95"/>
  <c r="A30" i="95"/>
  <c r="A31" i="95"/>
  <c r="A32" i="95"/>
  <c r="A33" i="95"/>
  <c r="A34" i="95"/>
  <c r="A35" i="95"/>
  <c r="A36" i="95"/>
  <c r="A37" i="95"/>
  <c r="A38" i="95"/>
  <c r="A39" i="95"/>
  <c r="A40" i="95"/>
  <c r="A41" i="95"/>
  <c r="A42" i="95"/>
  <c r="A43" i="95"/>
  <c r="A44" i="95"/>
  <c r="A45" i="95"/>
  <c r="A46" i="95"/>
  <c r="A47" i="95"/>
  <c r="A48" i="95"/>
  <c r="A49" i="95"/>
  <c r="A50" i="95"/>
  <c r="A51" i="95"/>
  <c r="A52" i="95"/>
  <c r="A53" i="95"/>
  <c r="A54" i="95"/>
  <c r="A55" i="95"/>
  <c r="A56" i="95"/>
  <c r="A57" i="95"/>
  <c r="A58" i="95"/>
  <c r="A59" i="95"/>
  <c r="A60" i="95"/>
  <c r="E8" i="95"/>
  <c r="F8" i="95"/>
  <c r="G8" i="95"/>
  <c r="H8" i="95"/>
  <c r="I8" i="95"/>
  <c r="J8" i="95"/>
  <c r="K8" i="95"/>
  <c r="I9" i="95"/>
  <c r="E10" i="95"/>
  <c r="F10" i="95"/>
  <c r="G10" i="95"/>
  <c r="H10" i="95"/>
  <c r="I10" i="95"/>
  <c r="J10" i="95"/>
  <c r="K10" i="95"/>
  <c r="E11" i="95"/>
  <c r="F11" i="95"/>
  <c r="G11" i="95"/>
  <c r="H11" i="95"/>
  <c r="I11" i="95"/>
  <c r="J11" i="95"/>
  <c r="K11" i="95"/>
  <c r="I12" i="95"/>
  <c r="E13" i="95"/>
  <c r="F13" i="95"/>
  <c r="G13" i="95"/>
  <c r="H13" i="95"/>
  <c r="I13" i="95"/>
  <c r="J13" i="95"/>
  <c r="K13" i="95"/>
  <c r="E14" i="95"/>
  <c r="F14" i="95"/>
  <c r="G14" i="95"/>
  <c r="H14" i="95"/>
  <c r="I14" i="95"/>
  <c r="J14" i="95"/>
  <c r="K14" i="95"/>
  <c r="I15" i="95"/>
  <c r="E16" i="95"/>
  <c r="F16" i="95"/>
  <c r="G16" i="95"/>
  <c r="H16" i="95"/>
  <c r="I16" i="95"/>
  <c r="J16" i="95"/>
  <c r="K16" i="95"/>
  <c r="E17" i="95"/>
  <c r="F17" i="95"/>
  <c r="G17" i="95"/>
  <c r="H17" i="95"/>
  <c r="I17" i="95"/>
  <c r="J17" i="95"/>
  <c r="K17" i="95"/>
  <c r="I18" i="95"/>
  <c r="E19" i="95"/>
  <c r="F19" i="95"/>
  <c r="G19" i="95"/>
  <c r="H19" i="95"/>
  <c r="I19" i="95"/>
  <c r="J19" i="95"/>
  <c r="K19" i="95"/>
  <c r="E20" i="95"/>
  <c r="F20" i="95"/>
  <c r="G20" i="95"/>
  <c r="H20" i="95"/>
  <c r="I20" i="95"/>
  <c r="J20" i="95"/>
  <c r="K20" i="95"/>
  <c r="I21" i="95"/>
  <c r="E22" i="95"/>
  <c r="F22" i="95"/>
  <c r="G22" i="95"/>
  <c r="H22" i="95"/>
  <c r="I22" i="95"/>
  <c r="J22" i="95"/>
  <c r="K22" i="95"/>
  <c r="D8" i="95"/>
  <c r="D10" i="95"/>
  <c r="D11" i="95"/>
  <c r="D13" i="95"/>
  <c r="D14" i="95"/>
  <c r="D16" i="95"/>
  <c r="D17" i="95"/>
  <c r="D19" i="95"/>
  <c r="D20" i="95"/>
  <c r="D22" i="95"/>
  <c r="B8" i="95"/>
  <c r="B10" i="95"/>
  <c r="B11" i="95"/>
  <c r="B13" i="95"/>
  <c r="B14" i="95"/>
  <c r="B16" i="95"/>
  <c r="B17" i="95"/>
  <c r="B19" i="95"/>
  <c r="B20" i="95"/>
  <c r="B22" i="95"/>
  <c r="A22" i="95"/>
  <c r="A21" i="95"/>
  <c r="A20" i="95"/>
  <c r="A19" i="95"/>
  <c r="A18" i="95"/>
  <c r="A17" i="95"/>
  <c r="A16" i="95"/>
  <c r="A15" i="95"/>
  <c r="A14" i="95"/>
  <c r="A13" i="95"/>
  <c r="A12" i="95"/>
  <c r="A11" i="95"/>
  <c r="A10" i="95"/>
  <c r="A9" i="95"/>
  <c r="A8" i="95"/>
  <c r="N93" i="97"/>
  <c r="K92" i="97"/>
  <c r="K60" i="95" s="1"/>
  <c r="J92" i="97"/>
  <c r="J60" i="95" s="1"/>
  <c r="F92" i="97"/>
  <c r="F60" i="95" s="1"/>
  <c r="B92" i="97"/>
  <c r="B60" i="95" s="1"/>
  <c r="N91" i="97"/>
  <c r="N90" i="97"/>
  <c r="N89" i="97"/>
  <c r="N88" i="97"/>
  <c r="H88" i="97"/>
  <c r="H56" i="95" s="1"/>
  <c r="N87" i="97"/>
  <c r="H87" i="97"/>
  <c r="H55" i="95" s="1"/>
  <c r="G86" i="97"/>
  <c r="N86" i="97" s="1"/>
  <c r="E86" i="97"/>
  <c r="D86" i="97"/>
  <c r="D54" i="95" s="1"/>
  <c r="G85" i="97"/>
  <c r="E85" i="97"/>
  <c r="E53" i="95" s="1"/>
  <c r="D85" i="97"/>
  <c r="N84" i="97"/>
  <c r="K83" i="97"/>
  <c r="K51" i="95" s="1"/>
  <c r="J83" i="97"/>
  <c r="J51" i="95" s="1"/>
  <c r="F83" i="97"/>
  <c r="F51" i="95" s="1"/>
  <c r="B83" i="97"/>
  <c r="B51" i="95" s="1"/>
  <c r="N82" i="97"/>
  <c r="N81" i="97"/>
  <c r="G80" i="97"/>
  <c r="G48" i="95" s="1"/>
  <c r="E80" i="97"/>
  <c r="E48" i="95" s="1"/>
  <c r="D80" i="97"/>
  <c r="D48" i="95" s="1"/>
  <c r="G79" i="97"/>
  <c r="N79" i="97" s="1"/>
  <c r="E79" i="97"/>
  <c r="E47" i="95" s="1"/>
  <c r="D79" i="97"/>
  <c r="D47" i="95" s="1"/>
  <c r="G78" i="97"/>
  <c r="N78" i="97" s="1"/>
  <c r="E78" i="97"/>
  <c r="E46" i="95" s="1"/>
  <c r="D78" i="97"/>
  <c r="D46" i="95" s="1"/>
  <c r="G77" i="97"/>
  <c r="E77" i="97"/>
  <c r="E45" i="95" s="1"/>
  <c r="D77" i="97"/>
  <c r="D45" i="95" s="1"/>
  <c r="G76" i="97"/>
  <c r="G44" i="95" s="1"/>
  <c r="E76" i="97"/>
  <c r="E44" i="95" s="1"/>
  <c r="D76" i="97"/>
  <c r="N75" i="97"/>
  <c r="K74" i="97"/>
  <c r="K42" i="95" s="1"/>
  <c r="J74" i="97"/>
  <c r="J42" i="95" s="1"/>
  <c r="F74" i="97"/>
  <c r="F42" i="95" s="1"/>
  <c r="B74" i="97"/>
  <c r="B42" i="95" s="1"/>
  <c r="N73" i="97"/>
  <c r="N72" i="97"/>
  <c r="G71" i="97"/>
  <c r="N71" i="97" s="1"/>
  <c r="E71" i="97"/>
  <c r="E39" i="95" s="1"/>
  <c r="D71" i="97"/>
  <c r="D39" i="95" s="1"/>
  <c r="G70" i="97"/>
  <c r="N70" i="97" s="1"/>
  <c r="E70" i="97"/>
  <c r="E38" i="95" s="1"/>
  <c r="D70" i="97"/>
  <c r="D38" i="95" s="1"/>
  <c r="G69" i="97"/>
  <c r="N69" i="97" s="1"/>
  <c r="E69" i="97"/>
  <c r="E37" i="95" s="1"/>
  <c r="D69" i="97"/>
  <c r="D37" i="95" s="1"/>
  <c r="G68" i="97"/>
  <c r="G36" i="95" s="1"/>
  <c r="E68" i="97"/>
  <c r="E36" i="95" s="1"/>
  <c r="D68" i="97"/>
  <c r="D36" i="95" s="1"/>
  <c r="G67" i="97"/>
  <c r="N67" i="97" s="1"/>
  <c r="E67" i="97"/>
  <c r="D67" i="97"/>
  <c r="D35" i="95" s="1"/>
  <c r="N66" i="97"/>
  <c r="K65" i="97"/>
  <c r="K33" i="95" s="1"/>
  <c r="J65" i="97"/>
  <c r="J33" i="95" s="1"/>
  <c r="F65" i="97"/>
  <c r="F33" i="95" s="1"/>
  <c r="B65" i="97"/>
  <c r="B33" i="95" s="1"/>
  <c r="N64" i="97"/>
  <c r="N63" i="97"/>
  <c r="G62" i="97"/>
  <c r="N62" i="97" s="1"/>
  <c r="E62" i="97"/>
  <c r="E30" i="95" s="1"/>
  <c r="D62" i="97"/>
  <c r="D30" i="95" s="1"/>
  <c r="G61" i="97"/>
  <c r="N61" i="97" s="1"/>
  <c r="E61" i="97"/>
  <c r="E29" i="95" s="1"/>
  <c r="D61" i="97"/>
  <c r="D29" i="95" s="1"/>
  <c r="G60" i="97"/>
  <c r="G28" i="95" s="1"/>
  <c r="E60" i="97"/>
  <c r="E28" i="95" s="1"/>
  <c r="D60" i="97"/>
  <c r="D28" i="95" s="1"/>
  <c r="G59" i="97"/>
  <c r="E59" i="97"/>
  <c r="D59" i="97"/>
  <c r="D27" i="95" s="1"/>
  <c r="G58" i="97"/>
  <c r="N58" i="97" s="1"/>
  <c r="D58" i="97"/>
  <c r="N57" i="97"/>
  <c r="K56" i="97"/>
  <c r="K24" i="95" s="1"/>
  <c r="J56" i="97"/>
  <c r="J24" i="95" s="1"/>
  <c r="F56" i="97"/>
  <c r="F24" i="95" s="1"/>
  <c r="E56" i="97"/>
  <c r="E24" i="95" s="1"/>
  <c r="B56" i="97"/>
  <c r="B24" i="95" s="1"/>
  <c r="N55" i="97"/>
  <c r="N54" i="97"/>
  <c r="N53" i="97"/>
  <c r="H53" i="97"/>
  <c r="D53" i="97"/>
  <c r="N52" i="97"/>
  <c r="H52" i="97"/>
  <c r="D52" i="97"/>
  <c r="N51" i="97"/>
  <c r="H51" i="97"/>
  <c r="D51" i="97"/>
  <c r="G50" i="97"/>
  <c r="D50" i="97"/>
  <c r="G49" i="97"/>
  <c r="N48" i="97"/>
  <c r="K47" i="97"/>
  <c r="K21" i="95" s="1"/>
  <c r="J47" i="97"/>
  <c r="J21" i="95" s="1"/>
  <c r="F47" i="97"/>
  <c r="F21" i="95" s="1"/>
  <c r="E47" i="97"/>
  <c r="E21" i="95" s="1"/>
  <c r="B47" i="97"/>
  <c r="B21" i="95" s="1"/>
  <c r="N46" i="97"/>
  <c r="N45" i="97"/>
  <c r="G44" i="97"/>
  <c r="N44" i="97" s="1"/>
  <c r="D44" i="97"/>
  <c r="N43" i="97"/>
  <c r="H43" i="97"/>
  <c r="D43" i="97"/>
  <c r="N42" i="97"/>
  <c r="H42" i="97"/>
  <c r="N41" i="97"/>
  <c r="H41" i="97"/>
  <c r="N40" i="97"/>
  <c r="H40" i="97"/>
  <c r="N39" i="97"/>
  <c r="K38" i="97"/>
  <c r="K18" i="95" s="1"/>
  <c r="J38" i="97"/>
  <c r="J18" i="95" s="1"/>
  <c r="G38" i="97"/>
  <c r="F38" i="97"/>
  <c r="F18" i="95" s="1"/>
  <c r="E38" i="97"/>
  <c r="E18" i="95" s="1"/>
  <c r="D38" i="97"/>
  <c r="D18" i="95" s="1"/>
  <c r="B38" i="97"/>
  <c r="B18" i="95" s="1"/>
  <c r="N37" i="97"/>
  <c r="N36" i="97"/>
  <c r="N35" i="97"/>
  <c r="H35" i="97"/>
  <c r="N34" i="97"/>
  <c r="H34" i="97"/>
  <c r="N33" i="97"/>
  <c r="H33" i="97"/>
  <c r="N32" i="97"/>
  <c r="H32" i="97"/>
  <c r="N31" i="97"/>
  <c r="H31" i="97"/>
  <c r="N30" i="97"/>
  <c r="K29" i="97"/>
  <c r="K15" i="95" s="1"/>
  <c r="J29" i="97"/>
  <c r="J15" i="95" s="1"/>
  <c r="G29" i="97"/>
  <c r="F29" i="97"/>
  <c r="E29" i="97"/>
  <c r="E15" i="95" s="1"/>
  <c r="D29" i="97"/>
  <c r="D15" i="95" s="1"/>
  <c r="B29" i="97"/>
  <c r="B15" i="95" s="1"/>
  <c r="N28" i="97"/>
  <c r="N27" i="97"/>
  <c r="N26" i="97"/>
  <c r="H26" i="97"/>
  <c r="N25" i="97"/>
  <c r="H25" i="97"/>
  <c r="N24" i="97"/>
  <c r="H24" i="97"/>
  <c r="N23" i="97"/>
  <c r="H23" i="97"/>
  <c r="N22" i="97"/>
  <c r="H22" i="97"/>
  <c r="N21" i="97"/>
  <c r="K20" i="97"/>
  <c r="K12" i="95" s="1"/>
  <c r="J20" i="97"/>
  <c r="J12" i="95" s="1"/>
  <c r="G20" i="97"/>
  <c r="F20" i="97"/>
  <c r="F12" i="95" s="1"/>
  <c r="E20" i="97"/>
  <c r="E12" i="95" s="1"/>
  <c r="D20" i="97"/>
  <c r="D12" i="95" s="1"/>
  <c r="B20" i="97"/>
  <c r="B12" i="95" s="1"/>
  <c r="N19" i="97"/>
  <c r="N18" i="97"/>
  <c r="N17" i="97"/>
  <c r="H17" i="97"/>
  <c r="N16" i="97"/>
  <c r="H16" i="97"/>
  <c r="N15" i="97"/>
  <c r="H15" i="97"/>
  <c r="N14" i="97"/>
  <c r="H14" i="97"/>
  <c r="N13" i="97"/>
  <c r="H13" i="97"/>
  <c r="N12" i="97"/>
  <c r="K11" i="97"/>
  <c r="K9" i="95" s="1"/>
  <c r="J11" i="97"/>
  <c r="J9" i="95" s="1"/>
  <c r="G11" i="97"/>
  <c r="F11" i="97"/>
  <c r="E11" i="97"/>
  <c r="E9" i="95" s="1"/>
  <c r="D11" i="97"/>
  <c r="D9" i="95" s="1"/>
  <c r="B11" i="97"/>
  <c r="B9" i="95" s="1"/>
  <c r="N10" i="97"/>
  <c r="N9" i="97"/>
  <c r="N8" i="97"/>
  <c r="H8" i="97"/>
  <c r="N7" i="97"/>
  <c r="H7" i="97"/>
  <c r="N6" i="97"/>
  <c r="H6" i="97"/>
  <c r="N5" i="97"/>
  <c r="H5" i="97"/>
  <c r="D45" i="99" l="1"/>
  <c r="D44" i="99"/>
  <c r="H29" i="97"/>
  <c r="H15" i="95" s="1"/>
  <c r="H44" i="97"/>
  <c r="H50" i="97"/>
  <c r="N20" i="97"/>
  <c r="N60" i="97"/>
  <c r="D56" i="97"/>
  <c r="D24" i="95" s="1"/>
  <c r="N68" i="97"/>
  <c r="N76" i="97"/>
  <c r="H11" i="97"/>
  <c r="H9" i="95" s="1"/>
  <c r="D47" i="97"/>
  <c r="D21" i="95" s="1"/>
  <c r="D65" i="97"/>
  <c r="D33" i="95" s="1"/>
  <c r="G83" i="97"/>
  <c r="G51" i="95" s="1"/>
  <c r="G92" i="97"/>
  <c r="G60" i="95" s="1"/>
  <c r="G65" i="97"/>
  <c r="G33" i="95" s="1"/>
  <c r="H20" i="97"/>
  <c r="H12" i="95" s="1"/>
  <c r="N38" i="97"/>
  <c r="N50" i="97"/>
  <c r="H58" i="97"/>
  <c r="H26" i="95" s="1"/>
  <c r="D83" i="97"/>
  <c r="D51" i="95" s="1"/>
  <c r="H80" i="97"/>
  <c r="H48" i="95" s="1"/>
  <c r="E92" i="97"/>
  <c r="E60" i="95" s="1"/>
  <c r="G54" i="95"/>
  <c r="G46" i="95"/>
  <c r="G38" i="95"/>
  <c r="G30" i="95"/>
  <c r="G36" i="113"/>
  <c r="H49" i="97"/>
  <c r="G35" i="95"/>
  <c r="G27" i="95"/>
  <c r="N11" i="97"/>
  <c r="N29" i="97"/>
  <c r="N49" i="97"/>
  <c r="H60" i="97"/>
  <c r="H28" i="95" s="1"/>
  <c r="H68" i="97"/>
  <c r="H36" i="95" s="1"/>
  <c r="H76" i="97"/>
  <c r="H44" i="95" s="1"/>
  <c r="G9" i="95"/>
  <c r="G26" i="95"/>
  <c r="G12" i="95"/>
  <c r="F9" i="95"/>
  <c r="G47" i="97"/>
  <c r="N47" i="97" s="1"/>
  <c r="H62" i="97"/>
  <c r="H30" i="95" s="1"/>
  <c r="D74" i="97"/>
  <c r="D42" i="95" s="1"/>
  <c r="H70" i="97"/>
  <c r="H38" i="95" s="1"/>
  <c r="H78" i="97"/>
  <c r="H46" i="95" s="1"/>
  <c r="N80" i="97"/>
  <c r="D92" i="97"/>
  <c r="D60" i="95" s="1"/>
  <c r="H86" i="97"/>
  <c r="H54" i="95" s="1"/>
  <c r="G15" i="95"/>
  <c r="D53" i="95"/>
  <c r="E54" i="95"/>
  <c r="G56" i="97"/>
  <c r="H56" i="97" s="1"/>
  <c r="H24" i="95" s="1"/>
  <c r="E65" i="97"/>
  <c r="E33" i="95" s="1"/>
  <c r="E74" i="97"/>
  <c r="E42" i="95" s="1"/>
  <c r="G18" i="95"/>
  <c r="F15" i="95"/>
  <c r="D44" i="95"/>
  <c r="G47" i="95"/>
  <c r="G39" i="95"/>
  <c r="H38" i="97"/>
  <c r="H18" i="95" s="1"/>
  <c r="H61" i="97"/>
  <c r="H29" i="95" s="1"/>
  <c r="H69" i="97"/>
  <c r="H37" i="95" s="1"/>
  <c r="H77" i="97"/>
  <c r="H45" i="95" s="1"/>
  <c r="H85" i="97"/>
  <c r="H53" i="95" s="1"/>
  <c r="D26" i="95"/>
  <c r="E35" i="95"/>
  <c r="E27" i="95"/>
  <c r="G53" i="95"/>
  <c r="G45" i="95"/>
  <c r="G37" i="95"/>
  <c r="G29" i="95"/>
  <c r="E83" i="97"/>
  <c r="E51" i="95" s="1"/>
  <c r="N77" i="97"/>
  <c r="N85" i="97"/>
  <c r="H59" i="97"/>
  <c r="H27" i="95" s="1"/>
  <c r="H67" i="97"/>
  <c r="H35" i="95" s="1"/>
  <c r="H71" i="97"/>
  <c r="H39" i="95" s="1"/>
  <c r="G74" i="97"/>
  <c r="G42" i="95" s="1"/>
  <c r="H79" i="97"/>
  <c r="H47" i="95" s="1"/>
  <c r="N59" i="97"/>
  <c r="H92" i="97" l="1"/>
  <c r="H60" i="95" s="1"/>
  <c r="C49" i="99"/>
  <c r="D49" i="99"/>
  <c r="N92" i="97"/>
  <c r="H83" i="97"/>
  <c r="H51" i="95" s="1"/>
  <c r="H65" i="97"/>
  <c r="H33" i="95" s="1"/>
  <c r="N65" i="97"/>
  <c r="N83" i="97"/>
  <c r="H47" i="97"/>
  <c r="H21" i="95" s="1"/>
  <c r="G21" i="95"/>
  <c r="N56" i="97"/>
  <c r="G24" i="95"/>
  <c r="H74" i="97"/>
  <c r="H42" i="95" s="1"/>
  <c r="N74" i="97"/>
  <c r="C51" i="99" l="1"/>
  <c r="D51" i="99"/>
  <c r="D26" i="111" l="1"/>
  <c r="C26" i="111"/>
  <c r="B26" i="111"/>
  <c r="D25" i="111"/>
  <c r="C25" i="111"/>
  <c r="B25" i="111"/>
  <c r="D54" i="111"/>
  <c r="C54" i="111"/>
  <c r="D53" i="111"/>
  <c r="C53" i="111"/>
  <c r="B54" i="111"/>
  <c r="B53" i="111"/>
  <c r="F54" i="110"/>
  <c r="E73" i="86"/>
  <c r="D73" i="86"/>
  <c r="C73" i="86"/>
  <c r="F23" i="113" l="1"/>
  <c r="F22" i="113"/>
  <c r="F21" i="113"/>
  <c r="F20" i="113"/>
  <c r="F19" i="113"/>
  <c r="F18" i="113"/>
  <c r="G17" i="113"/>
  <c r="F17" i="113"/>
  <c r="E17" i="113"/>
  <c r="D17" i="113"/>
  <c r="F16" i="113"/>
  <c r="E16" i="113"/>
  <c r="G15" i="113"/>
  <c r="F15" i="113"/>
  <c r="E15" i="113"/>
  <c r="F14" i="113"/>
  <c r="E14" i="113"/>
  <c r="F13" i="113"/>
  <c r="E13" i="113"/>
  <c r="F12" i="113"/>
  <c r="E12" i="113"/>
  <c r="D12" i="113"/>
  <c r="C12" i="113"/>
  <c r="F11" i="113"/>
  <c r="F10" i="113"/>
  <c r="F9" i="113"/>
  <c r="E9" i="113"/>
  <c r="C9" i="113"/>
  <c r="F8" i="113"/>
  <c r="F7" i="113"/>
  <c r="Q32" i="112"/>
  <c r="F35" i="113" s="1"/>
  <c r="P32" i="112"/>
  <c r="E35" i="113" s="1"/>
  <c r="O32" i="112"/>
  <c r="D35" i="113" s="1"/>
  <c r="N32" i="112"/>
  <c r="C35" i="113" s="1"/>
  <c r="L32" i="112"/>
  <c r="F32" i="112"/>
  <c r="Q31" i="112"/>
  <c r="F34" i="113" s="1"/>
  <c r="P31" i="112"/>
  <c r="E34" i="113" s="1"/>
  <c r="O31" i="112"/>
  <c r="D34" i="113" s="1"/>
  <c r="N31" i="112"/>
  <c r="C34" i="113" s="1"/>
  <c r="L31" i="112"/>
  <c r="F31" i="112"/>
  <c r="Q30" i="112"/>
  <c r="F33" i="113" s="1"/>
  <c r="P30" i="112"/>
  <c r="O30" i="112"/>
  <c r="D33" i="113" s="1"/>
  <c r="N30" i="112"/>
  <c r="L30" i="112"/>
  <c r="F30" i="112"/>
  <c r="Q29" i="112"/>
  <c r="F32" i="113" s="1"/>
  <c r="P29" i="112"/>
  <c r="E32" i="113" s="1"/>
  <c r="O29" i="112"/>
  <c r="D32" i="113" s="1"/>
  <c r="N29" i="112"/>
  <c r="L29" i="112"/>
  <c r="F29" i="112"/>
  <c r="Q28" i="112"/>
  <c r="F31" i="113" s="1"/>
  <c r="P28" i="112"/>
  <c r="E31" i="113" s="1"/>
  <c r="O28" i="112"/>
  <c r="D31" i="113" s="1"/>
  <c r="N28" i="112"/>
  <c r="C31" i="113" s="1"/>
  <c r="L28" i="112"/>
  <c r="F28" i="112"/>
  <c r="Q27" i="112"/>
  <c r="F30" i="113" s="1"/>
  <c r="P27" i="112"/>
  <c r="O27" i="112"/>
  <c r="D30" i="113" s="1"/>
  <c r="N27" i="112"/>
  <c r="C30" i="113" s="1"/>
  <c r="L27" i="112"/>
  <c r="F27" i="112"/>
  <c r="Q26" i="112"/>
  <c r="F29" i="113" s="1"/>
  <c r="P26" i="112"/>
  <c r="E29" i="113" s="1"/>
  <c r="O26" i="112"/>
  <c r="D29" i="113" s="1"/>
  <c r="N26" i="112"/>
  <c r="C29" i="113" s="1"/>
  <c r="L26" i="112"/>
  <c r="F26" i="112"/>
  <c r="Q25" i="112"/>
  <c r="F28" i="113" s="1"/>
  <c r="P25" i="112"/>
  <c r="E28" i="113" s="1"/>
  <c r="O25" i="112"/>
  <c r="D28" i="113" s="1"/>
  <c r="N25" i="112"/>
  <c r="L25" i="112"/>
  <c r="F25" i="112"/>
  <c r="Q24" i="112"/>
  <c r="F27" i="113" s="1"/>
  <c r="P24" i="112"/>
  <c r="E27" i="113" s="1"/>
  <c r="O24" i="112"/>
  <c r="D27" i="113" s="1"/>
  <c r="N24" i="112"/>
  <c r="C27" i="113" s="1"/>
  <c r="L24" i="112"/>
  <c r="F24" i="112"/>
  <c r="Q23" i="112"/>
  <c r="F26" i="113" s="1"/>
  <c r="P23" i="112"/>
  <c r="E26" i="113" s="1"/>
  <c r="O23" i="112"/>
  <c r="D26" i="113" s="1"/>
  <c r="N23" i="112"/>
  <c r="C26" i="113" s="1"/>
  <c r="L23" i="112"/>
  <c r="F23" i="112"/>
  <c r="Q22" i="112"/>
  <c r="F25" i="113" s="1"/>
  <c r="P22" i="112"/>
  <c r="O22" i="112"/>
  <c r="D25" i="113" s="1"/>
  <c r="N22" i="112"/>
  <c r="C25" i="113" s="1"/>
  <c r="L22" i="112"/>
  <c r="F22" i="112"/>
  <c r="Q21" i="112"/>
  <c r="F24" i="113" s="1"/>
  <c r="P21" i="112"/>
  <c r="E24" i="113" s="1"/>
  <c r="O21" i="112"/>
  <c r="D24" i="113" s="1"/>
  <c r="N21" i="112"/>
  <c r="C24" i="113" s="1"/>
  <c r="L21" i="112"/>
  <c r="F21" i="112"/>
  <c r="P20" i="112"/>
  <c r="E23" i="113" s="1"/>
  <c r="O20" i="112"/>
  <c r="D23" i="113" s="1"/>
  <c r="N20" i="112"/>
  <c r="C23" i="113" s="1"/>
  <c r="L20" i="112"/>
  <c r="F20" i="112"/>
  <c r="P19" i="112"/>
  <c r="O19" i="112"/>
  <c r="N19" i="112"/>
  <c r="F19" i="112"/>
  <c r="M19" i="112" s="1"/>
  <c r="P18" i="112"/>
  <c r="E21" i="113" s="1"/>
  <c r="O18" i="112"/>
  <c r="D21" i="113" s="1"/>
  <c r="N18" i="112"/>
  <c r="L18" i="112"/>
  <c r="F18" i="112"/>
  <c r="P17" i="112"/>
  <c r="E20" i="113" s="1"/>
  <c r="O17" i="112"/>
  <c r="D20" i="113" s="1"/>
  <c r="N17" i="112"/>
  <c r="C20" i="113" s="1"/>
  <c r="L17" i="112"/>
  <c r="F17" i="112"/>
  <c r="P16" i="112"/>
  <c r="E19" i="113" s="1"/>
  <c r="O16" i="112"/>
  <c r="D19" i="113" s="1"/>
  <c r="N16" i="112"/>
  <c r="C19" i="113" s="1"/>
  <c r="L16" i="112"/>
  <c r="F16" i="112"/>
  <c r="P15" i="112"/>
  <c r="E18" i="113" s="1"/>
  <c r="O15" i="112"/>
  <c r="D18" i="113" s="1"/>
  <c r="N15" i="112"/>
  <c r="C18" i="113" s="1"/>
  <c r="L15" i="112"/>
  <c r="F15" i="112"/>
  <c r="N14" i="112"/>
  <c r="C17" i="113" s="1"/>
  <c r="L14" i="112"/>
  <c r="F14" i="112"/>
  <c r="N13" i="112"/>
  <c r="C16" i="113" s="1"/>
  <c r="L13" i="112"/>
  <c r="F13" i="112"/>
  <c r="O12" i="112"/>
  <c r="D15" i="113" s="1"/>
  <c r="N12" i="112"/>
  <c r="C15" i="113" s="1"/>
  <c r="L12" i="112"/>
  <c r="F12" i="112"/>
  <c r="N11" i="112"/>
  <c r="C14" i="113" s="1"/>
  <c r="L11" i="112"/>
  <c r="F11" i="112"/>
  <c r="N10" i="112"/>
  <c r="C13" i="113" s="1"/>
  <c r="L10" i="112"/>
  <c r="F10" i="112"/>
  <c r="L9" i="112"/>
  <c r="F9" i="112"/>
  <c r="P8" i="112"/>
  <c r="E11" i="113" s="1"/>
  <c r="N8" i="112"/>
  <c r="C11" i="113" s="1"/>
  <c r="L8" i="112"/>
  <c r="F8" i="112"/>
  <c r="P7" i="112"/>
  <c r="E10" i="113" s="1"/>
  <c r="N7" i="112"/>
  <c r="C10" i="113" s="1"/>
  <c r="L7" i="112"/>
  <c r="F7" i="112"/>
  <c r="L6" i="112"/>
  <c r="F6" i="112"/>
  <c r="P5" i="112"/>
  <c r="E8" i="113" s="1"/>
  <c r="O5" i="112"/>
  <c r="D8" i="113" s="1"/>
  <c r="N5" i="112"/>
  <c r="C8" i="113" s="1"/>
  <c r="L5" i="112"/>
  <c r="F5" i="112"/>
  <c r="P4" i="112"/>
  <c r="E7" i="113" s="1"/>
  <c r="N4" i="112"/>
  <c r="C7" i="113" s="1"/>
  <c r="L4" i="112"/>
  <c r="F4" i="112"/>
  <c r="M30" i="112" l="1"/>
  <c r="R9" i="112"/>
  <c r="G12" i="113" s="1"/>
  <c r="R18" i="112"/>
  <c r="T18" i="112" s="1"/>
  <c r="M23" i="112"/>
  <c r="M29" i="112"/>
  <c r="M39" i="112"/>
  <c r="M12" i="112"/>
  <c r="M31" i="112"/>
  <c r="M18" i="112"/>
  <c r="M24" i="112"/>
  <c r="M28" i="112"/>
  <c r="R5" i="112"/>
  <c r="G8" i="113" s="1"/>
  <c r="R6" i="112"/>
  <c r="O6" i="112" s="1"/>
  <c r="D9" i="113" s="1"/>
  <c r="M21" i="112"/>
  <c r="R11" i="112"/>
  <c r="M17" i="112"/>
  <c r="M20" i="112"/>
  <c r="M25" i="112"/>
  <c r="R13" i="112"/>
  <c r="M5" i="112"/>
  <c r="M7" i="112"/>
  <c r="M9" i="112"/>
  <c r="M11" i="112"/>
  <c r="R22" i="112"/>
  <c r="G25" i="113" s="1"/>
  <c r="R25" i="112"/>
  <c r="V25" i="112" s="1"/>
  <c r="R29" i="112"/>
  <c r="G32" i="113" s="1"/>
  <c r="C28" i="113"/>
  <c r="C21" i="113"/>
  <c r="M14" i="112"/>
  <c r="M16" i="112"/>
  <c r="M22" i="112"/>
  <c r="M27" i="112"/>
  <c r="C33" i="113"/>
  <c r="C22" i="113"/>
  <c r="R27" i="112"/>
  <c r="V27" i="112" s="1"/>
  <c r="R30" i="112"/>
  <c r="D22" i="113"/>
  <c r="E25" i="113"/>
  <c r="E33" i="113"/>
  <c r="M4" i="112"/>
  <c r="R8" i="112"/>
  <c r="R10" i="112"/>
  <c r="M6" i="112"/>
  <c r="M8" i="112"/>
  <c r="M15" i="112"/>
  <c r="R19" i="112"/>
  <c r="G22" i="113" s="1"/>
  <c r="M26" i="112"/>
  <c r="M32" i="112"/>
  <c r="E22" i="113"/>
  <c r="E30" i="113"/>
  <c r="C32" i="113"/>
  <c r="R4" i="112"/>
  <c r="R15" i="112"/>
  <c r="T15" i="112" s="1"/>
  <c r="M10" i="112"/>
  <c r="R20" i="112"/>
  <c r="G23" i="113" s="1"/>
  <c r="R28" i="112"/>
  <c r="G31" i="113" s="1"/>
  <c r="M13" i="112"/>
  <c r="R16" i="112"/>
  <c r="G19" i="113" s="1"/>
  <c r="R23" i="112"/>
  <c r="V23" i="112" s="1"/>
  <c r="R31" i="112"/>
  <c r="R7" i="112"/>
  <c r="R26" i="112"/>
  <c r="R17" i="112"/>
  <c r="R21" i="112"/>
  <c r="R24" i="112"/>
  <c r="T24" i="112" s="1"/>
  <c r="R32" i="112"/>
  <c r="T29" i="112" l="1"/>
  <c r="U25" i="112"/>
  <c r="G9" i="113"/>
  <c r="U18" i="112"/>
  <c r="V18" i="112"/>
  <c r="U29" i="112"/>
  <c r="G21" i="113"/>
  <c r="U22" i="112"/>
  <c r="U28" i="112"/>
  <c r="T20" i="112"/>
  <c r="U19" i="112"/>
  <c r="V21" i="112"/>
  <c r="G24" i="113"/>
  <c r="U30" i="112"/>
  <c r="G33" i="113"/>
  <c r="V30" i="112"/>
  <c r="O13" i="112"/>
  <c r="D16" i="113" s="1"/>
  <c r="G16" i="113"/>
  <c r="V17" i="112"/>
  <c r="G20" i="113"/>
  <c r="T16" i="112"/>
  <c r="T21" i="112"/>
  <c r="T26" i="112"/>
  <c r="G29" i="113"/>
  <c r="V20" i="112"/>
  <c r="V19" i="112"/>
  <c r="T27" i="112"/>
  <c r="G30" i="113"/>
  <c r="O7" i="112"/>
  <c r="D10" i="113" s="1"/>
  <c r="G10" i="113"/>
  <c r="T17" i="112"/>
  <c r="V29" i="112"/>
  <c r="V16" i="112"/>
  <c r="U27" i="112"/>
  <c r="O10" i="112"/>
  <c r="D13" i="113" s="1"/>
  <c r="G13" i="113"/>
  <c r="T22" i="112"/>
  <c r="T30" i="112"/>
  <c r="V31" i="112"/>
  <c r="G34" i="113"/>
  <c r="V15" i="112"/>
  <c r="G18" i="113"/>
  <c r="U17" i="112"/>
  <c r="O8" i="112"/>
  <c r="D11" i="113" s="1"/>
  <c r="G11" i="113"/>
  <c r="T19" i="112"/>
  <c r="T25" i="112"/>
  <c r="G28" i="113"/>
  <c r="T23" i="112"/>
  <c r="G26" i="113"/>
  <c r="U32" i="112"/>
  <c r="G35" i="113"/>
  <c r="O11" i="112"/>
  <c r="D14" i="113" s="1"/>
  <c r="G14" i="113"/>
  <c r="O4" i="112"/>
  <c r="D7" i="113" s="1"/>
  <c r="G7" i="113"/>
  <c r="V28" i="112"/>
  <c r="U20" i="112"/>
  <c r="U23" i="112"/>
  <c r="U24" i="112"/>
  <c r="G27" i="113"/>
  <c r="U16" i="112"/>
  <c r="T28" i="112"/>
  <c r="V32" i="112"/>
  <c r="V22" i="112"/>
  <c r="V26" i="112"/>
  <c r="U31" i="112"/>
  <c r="U26" i="112"/>
  <c r="V24" i="112"/>
  <c r="U21" i="112"/>
  <c r="U15" i="112"/>
  <c r="T31" i="112"/>
  <c r="T32" i="112"/>
  <c r="V41" i="112" l="1"/>
  <c r="U41" i="112"/>
  <c r="T41" i="112"/>
  <c r="D52" i="111"/>
  <c r="C52" i="111"/>
  <c r="B52" i="111"/>
  <c r="D51" i="111"/>
  <c r="C51" i="111"/>
  <c r="B51" i="111"/>
  <c r="D50" i="111"/>
  <c r="C50" i="111"/>
  <c r="B50" i="111"/>
  <c r="D49" i="111"/>
  <c r="C49" i="111"/>
  <c r="B49" i="111"/>
  <c r="D48" i="111"/>
  <c r="C48" i="111"/>
  <c r="B48" i="111"/>
  <c r="D47" i="111"/>
  <c r="C47" i="111"/>
  <c r="B47" i="111"/>
  <c r="D46" i="111"/>
  <c r="C46" i="111"/>
  <c r="B46" i="111"/>
  <c r="D45" i="111"/>
  <c r="C45" i="111"/>
  <c r="B45" i="111"/>
  <c r="D44" i="111"/>
  <c r="C44" i="111"/>
  <c r="B44" i="111"/>
  <c r="D43" i="111"/>
  <c r="C43" i="111"/>
  <c r="B43" i="111"/>
  <c r="D42" i="111"/>
  <c r="C42" i="111"/>
  <c r="B42" i="111"/>
  <c r="D41" i="111"/>
  <c r="C41" i="111"/>
  <c r="B41" i="111"/>
  <c r="D40" i="111"/>
  <c r="C40" i="111"/>
  <c r="B40" i="111"/>
  <c r="D39" i="111"/>
  <c r="C39" i="111"/>
  <c r="B39" i="111"/>
  <c r="D38" i="111"/>
  <c r="C38" i="111"/>
  <c r="B38" i="111"/>
  <c r="D37" i="111"/>
  <c r="C37" i="111"/>
  <c r="B37" i="111"/>
  <c r="D36" i="111"/>
  <c r="C36" i="111"/>
  <c r="B36" i="111"/>
  <c r="D35" i="111"/>
  <c r="C35" i="111"/>
  <c r="B35" i="111"/>
  <c r="D34" i="111"/>
  <c r="C34" i="111"/>
  <c r="B34" i="111"/>
  <c r="D24" i="111"/>
  <c r="C24" i="111"/>
  <c r="B24" i="111"/>
  <c r="D23" i="111"/>
  <c r="C23" i="111"/>
  <c r="B23" i="111"/>
  <c r="D22" i="111"/>
  <c r="C22" i="111"/>
  <c r="B22" i="111"/>
  <c r="D21" i="111"/>
  <c r="C21" i="111"/>
  <c r="B21" i="111"/>
  <c r="D20" i="111"/>
  <c r="C20" i="111"/>
  <c r="B20" i="111"/>
  <c r="D19" i="111"/>
  <c r="C19" i="111"/>
  <c r="B19" i="111"/>
  <c r="D18" i="111"/>
  <c r="C18" i="111"/>
  <c r="B18" i="111"/>
  <c r="D17" i="111"/>
  <c r="C17" i="111"/>
  <c r="B17" i="111"/>
  <c r="D16" i="111"/>
  <c r="C16" i="111"/>
  <c r="B16" i="111"/>
  <c r="D15" i="111"/>
  <c r="C15" i="111"/>
  <c r="B15" i="111"/>
  <c r="D14" i="111"/>
  <c r="C14" i="111"/>
  <c r="B14" i="111"/>
  <c r="D13" i="111"/>
  <c r="C13" i="111"/>
  <c r="B13" i="111"/>
  <c r="D12" i="111"/>
  <c r="C12" i="111"/>
  <c r="B12" i="111"/>
  <c r="D11" i="111"/>
  <c r="C11" i="111"/>
  <c r="B11" i="111"/>
  <c r="D10" i="111"/>
  <c r="C10" i="111"/>
  <c r="B10" i="111"/>
  <c r="D9" i="111"/>
  <c r="C9" i="111"/>
  <c r="B9" i="111"/>
  <c r="D8" i="111"/>
  <c r="C8" i="111"/>
  <c r="B8" i="111"/>
  <c r="D7" i="111"/>
  <c r="C7" i="111"/>
  <c r="B7" i="111"/>
  <c r="D6" i="111"/>
  <c r="C6" i="111"/>
  <c r="B6" i="111"/>
  <c r="F53" i="110"/>
  <c r="F52" i="110"/>
  <c r="F51" i="110"/>
  <c r="F50" i="110"/>
  <c r="F49" i="110"/>
  <c r="F48" i="110"/>
  <c r="F47" i="110"/>
  <c r="F46" i="110"/>
  <c r="F45" i="110"/>
  <c r="F44" i="110"/>
  <c r="F43" i="110"/>
  <c r="F42" i="110"/>
  <c r="F41" i="110"/>
  <c r="F40" i="110"/>
  <c r="F39" i="110"/>
  <c r="F38" i="110"/>
  <c r="F37" i="110"/>
  <c r="F36" i="110"/>
  <c r="F35" i="110"/>
  <c r="E21" i="110"/>
  <c r="I48" i="99" l="1"/>
  <c r="H48" i="99"/>
  <c r="G48" i="99"/>
  <c r="F48" i="99"/>
  <c r="I47" i="99"/>
  <c r="H47" i="99"/>
  <c r="G47" i="99"/>
  <c r="F47" i="99"/>
  <c r="I46" i="99"/>
  <c r="H46" i="99"/>
  <c r="G46" i="99"/>
  <c r="F46" i="99"/>
  <c r="I45" i="99"/>
  <c r="H45" i="99"/>
  <c r="G45" i="99"/>
  <c r="F45" i="99"/>
  <c r="I44" i="99"/>
  <c r="H44" i="99"/>
  <c r="G44" i="99"/>
  <c r="F44" i="99"/>
  <c r="I43" i="99"/>
  <c r="H43" i="99"/>
  <c r="G43" i="99"/>
  <c r="F43" i="99"/>
  <c r="I42" i="99"/>
  <c r="H42" i="99"/>
  <c r="G42" i="99"/>
  <c r="F42" i="99"/>
  <c r="I41" i="99"/>
  <c r="H41" i="99"/>
  <c r="G41" i="99"/>
  <c r="F41" i="99"/>
  <c r="I40" i="99"/>
  <c r="H40" i="99"/>
  <c r="G40" i="99"/>
  <c r="F40" i="99"/>
  <c r="I39" i="99"/>
  <c r="H39" i="99"/>
  <c r="G39" i="99"/>
  <c r="F39" i="99"/>
  <c r="I38" i="99"/>
  <c r="H38" i="99"/>
  <c r="G38" i="99"/>
  <c r="F38" i="99"/>
  <c r="I37" i="99"/>
  <c r="H37" i="99"/>
  <c r="G37" i="99"/>
  <c r="F37" i="99"/>
  <c r="I36" i="99"/>
  <c r="H36" i="99"/>
  <c r="G36" i="99"/>
  <c r="F36" i="99"/>
  <c r="I35" i="99"/>
  <c r="H35" i="99"/>
  <c r="G35" i="99"/>
  <c r="F35" i="99"/>
  <c r="I34" i="99"/>
  <c r="H34" i="99"/>
  <c r="G34" i="99"/>
  <c r="F34" i="99"/>
  <c r="I33" i="99"/>
  <c r="H33" i="99"/>
  <c r="G33" i="99"/>
  <c r="F33" i="99"/>
  <c r="I32" i="99"/>
  <c r="H32" i="99"/>
  <c r="G32" i="99"/>
  <c r="F32" i="99"/>
  <c r="I31" i="99"/>
  <c r="H31" i="99"/>
  <c r="G31" i="99"/>
  <c r="F31" i="99"/>
  <c r="I30" i="99"/>
  <c r="H30" i="99"/>
  <c r="G30" i="99"/>
  <c r="F30" i="99"/>
  <c r="I29" i="99"/>
  <c r="H29" i="99"/>
  <c r="G29" i="99"/>
  <c r="F29" i="99"/>
  <c r="I28" i="99"/>
  <c r="H28" i="99"/>
  <c r="G28" i="99"/>
  <c r="F28" i="99"/>
  <c r="I27" i="99"/>
  <c r="H27" i="99"/>
  <c r="G27" i="99"/>
  <c r="F27" i="99"/>
  <c r="I26" i="99"/>
  <c r="H26" i="99"/>
  <c r="G26" i="99"/>
  <c r="F26" i="99"/>
  <c r="I25" i="99"/>
  <c r="H25" i="99"/>
  <c r="G25" i="99"/>
  <c r="F25" i="99"/>
  <c r="I24" i="99"/>
  <c r="H24" i="99"/>
  <c r="G24" i="99"/>
  <c r="F24" i="99"/>
  <c r="I23" i="99"/>
  <c r="H23" i="99"/>
  <c r="G23" i="99"/>
  <c r="F23" i="99"/>
  <c r="I22" i="99"/>
  <c r="H22" i="99"/>
  <c r="G22" i="99"/>
  <c r="F22" i="99"/>
  <c r="I21" i="99"/>
  <c r="H21" i="99"/>
  <c r="G21" i="99"/>
  <c r="F21" i="99"/>
  <c r="I20" i="99"/>
  <c r="H20" i="99"/>
  <c r="G20" i="99"/>
  <c r="F20" i="99"/>
  <c r="I19" i="99"/>
  <c r="H19" i="99"/>
  <c r="G19" i="99"/>
  <c r="F19" i="99"/>
  <c r="I18" i="99"/>
  <c r="H18" i="99"/>
  <c r="G18" i="99"/>
  <c r="F18" i="99"/>
  <c r="I17" i="99"/>
  <c r="H17" i="99"/>
  <c r="G17" i="99"/>
  <c r="F17" i="99"/>
  <c r="I16" i="99"/>
  <c r="H16" i="99"/>
  <c r="G16" i="99"/>
  <c r="F16" i="99"/>
  <c r="I15" i="99"/>
  <c r="H15" i="99"/>
  <c r="G15" i="99"/>
  <c r="F15" i="99"/>
  <c r="H14" i="99"/>
  <c r="G14" i="99"/>
  <c r="F14" i="99"/>
  <c r="H13" i="99"/>
  <c r="G13" i="99"/>
  <c r="F13" i="99"/>
  <c r="H12" i="99"/>
  <c r="G12" i="99"/>
  <c r="F12" i="99"/>
  <c r="H11" i="99"/>
  <c r="G11" i="99"/>
  <c r="F11" i="99"/>
  <c r="H10" i="99"/>
  <c r="G10" i="99"/>
  <c r="F10" i="99"/>
  <c r="H9" i="99"/>
  <c r="G9" i="99"/>
  <c r="F9" i="99"/>
  <c r="H8" i="99"/>
  <c r="G8" i="99"/>
  <c r="F8" i="99"/>
  <c r="H7" i="99"/>
  <c r="G7" i="99"/>
  <c r="F7" i="99"/>
  <c r="D7" i="99"/>
  <c r="I36" i="98"/>
  <c r="I35" i="98"/>
  <c r="I34" i="98"/>
  <c r="I33" i="98"/>
  <c r="I32" i="98"/>
  <c r="I31" i="98"/>
  <c r="I30" i="98"/>
  <c r="I29" i="98"/>
  <c r="I28" i="98"/>
  <c r="I27" i="98"/>
  <c r="I25" i="98"/>
  <c r="I24" i="98"/>
  <c r="I23" i="98"/>
  <c r="I22" i="98"/>
  <c r="I21" i="98"/>
  <c r="I20" i="98"/>
  <c r="I19" i="98"/>
  <c r="I18" i="98"/>
  <c r="I17" i="98"/>
  <c r="I16" i="98"/>
  <c r="I14" i="98"/>
  <c r="I13" i="98"/>
  <c r="I12" i="98"/>
  <c r="I11" i="98"/>
  <c r="I10" i="98"/>
  <c r="I9" i="98"/>
  <c r="I8" i="98"/>
  <c r="I7" i="98"/>
  <c r="I6" i="98"/>
  <c r="I5" i="98"/>
  <c r="C22" i="95"/>
  <c r="C21" i="95"/>
  <c r="C20" i="95"/>
  <c r="C19" i="95"/>
  <c r="C18" i="95"/>
  <c r="C17" i="95"/>
  <c r="C16" i="95"/>
  <c r="C15" i="95"/>
  <c r="C14" i="95"/>
  <c r="C13" i="95"/>
  <c r="C12" i="95"/>
  <c r="C11" i="95"/>
  <c r="C10" i="95"/>
  <c r="C9" i="95"/>
  <c r="C8" i="95"/>
  <c r="P71" i="97"/>
  <c r="P70" i="97"/>
  <c r="C44" i="88" l="1"/>
  <c r="F31" i="88"/>
  <c r="E31" i="88"/>
  <c r="C31" i="88"/>
  <c r="Q61" i="86" l="1"/>
  <c r="P61" i="86"/>
  <c r="O61" i="86"/>
  <c r="K61" i="86"/>
  <c r="J61" i="86"/>
  <c r="I61" i="86"/>
  <c r="C15" i="44" l="1"/>
  <c r="C10" i="44"/>
  <c r="H7" i="43"/>
  <c r="G7" i="43"/>
  <c r="F7" i="43"/>
  <c r="E7" i="43"/>
  <c r="D7" i="43"/>
  <c r="C7" i="43"/>
  <c r="R67" i="4"/>
  <c r="P67" i="4"/>
  <c r="O67" i="4"/>
  <c r="M67" i="4"/>
  <c r="K67" i="4"/>
  <c r="J67" i="4"/>
  <c r="I67" i="4"/>
  <c r="G67" i="4"/>
  <c r="F67" i="4"/>
  <c r="E67" i="4"/>
  <c r="T67" i="4" s="1"/>
  <c r="R66" i="4"/>
  <c r="P66" i="4"/>
  <c r="O66" i="4"/>
  <c r="M66" i="4"/>
  <c r="K66" i="4"/>
  <c r="J66" i="4"/>
  <c r="I66" i="4"/>
  <c r="G66" i="4"/>
  <c r="F66" i="4"/>
  <c r="E66" i="4"/>
  <c r="T66" i="4" s="1"/>
  <c r="R65" i="4"/>
  <c r="P65" i="4"/>
  <c r="O65" i="4"/>
  <c r="M65" i="4"/>
  <c r="K65" i="4"/>
  <c r="J65" i="4"/>
  <c r="I65" i="4"/>
  <c r="G65" i="4"/>
  <c r="F65" i="4"/>
  <c r="E65" i="4"/>
  <c r="T65" i="4" s="1"/>
  <c r="R64" i="4"/>
  <c r="P64" i="4"/>
  <c r="O64" i="4"/>
  <c r="M64" i="4"/>
  <c r="K64" i="4"/>
  <c r="J64" i="4"/>
  <c r="I64" i="4"/>
  <c r="G64" i="4"/>
  <c r="F64" i="4"/>
  <c r="E64" i="4"/>
  <c r="T64" i="4" s="1"/>
  <c r="R63" i="4"/>
  <c r="P63" i="4"/>
  <c r="O63" i="4"/>
  <c r="M63" i="4"/>
  <c r="K63" i="4"/>
  <c r="J63" i="4"/>
  <c r="I63" i="4"/>
  <c r="G63" i="4"/>
  <c r="F63" i="4"/>
  <c r="E63" i="4"/>
  <c r="T63" i="4" s="1"/>
  <c r="R62" i="4"/>
  <c r="P62" i="4"/>
  <c r="O62" i="4"/>
  <c r="M62" i="4"/>
  <c r="K62" i="4"/>
  <c r="J62" i="4"/>
  <c r="I62" i="4"/>
  <c r="G62" i="4"/>
  <c r="F62" i="4"/>
  <c r="E62" i="4"/>
  <c r="T62" i="4" s="1"/>
  <c r="R61" i="4"/>
  <c r="P61" i="4"/>
  <c r="O61" i="4"/>
  <c r="M61" i="4"/>
  <c r="K61" i="4"/>
  <c r="J61" i="4"/>
  <c r="I61" i="4"/>
  <c r="G61" i="4"/>
  <c r="F61" i="4"/>
  <c r="E61" i="4"/>
  <c r="T61" i="4" s="1"/>
  <c r="R60" i="4"/>
  <c r="P60" i="4"/>
  <c r="O60" i="4"/>
  <c r="M60" i="4"/>
  <c r="K60" i="4"/>
  <c r="J60" i="4"/>
  <c r="I60" i="4"/>
  <c r="G60" i="4"/>
  <c r="F60" i="4"/>
  <c r="E60" i="4"/>
  <c r="T60" i="4" s="1"/>
  <c r="R59" i="4"/>
  <c r="P59" i="4"/>
  <c r="O59" i="4"/>
  <c r="M59" i="4"/>
  <c r="K59" i="4"/>
  <c r="J59" i="4"/>
  <c r="I59" i="4"/>
  <c r="G59" i="4"/>
  <c r="F59" i="4"/>
  <c r="E59" i="4"/>
  <c r="T59" i="4" s="1"/>
  <c r="R58" i="4"/>
  <c r="P58" i="4"/>
  <c r="O58" i="4"/>
  <c r="M58" i="4"/>
  <c r="K58" i="4"/>
  <c r="J58" i="4"/>
  <c r="I58" i="4"/>
  <c r="G58" i="4"/>
  <c r="F58" i="4"/>
  <c r="E58" i="4"/>
  <c r="T58" i="4" s="1"/>
  <c r="R57" i="4"/>
  <c r="P57" i="4"/>
  <c r="O57" i="4"/>
  <c r="M57" i="4"/>
  <c r="K57" i="4"/>
  <c r="J57" i="4"/>
  <c r="I57" i="4"/>
  <c r="G57" i="4"/>
  <c r="F57" i="4"/>
  <c r="E57" i="4"/>
  <c r="T57" i="4" s="1"/>
  <c r="R56" i="4"/>
  <c r="P56" i="4"/>
  <c r="O56" i="4"/>
  <c r="M56" i="4"/>
  <c r="K56" i="4"/>
  <c r="J56" i="4"/>
  <c r="I56" i="4"/>
  <c r="G56" i="4"/>
  <c r="F56" i="4"/>
  <c r="E56" i="4"/>
  <c r="T56" i="4" s="1"/>
  <c r="R55" i="4"/>
  <c r="P55" i="4"/>
  <c r="O55" i="4"/>
  <c r="M55" i="4"/>
  <c r="K55" i="4"/>
  <c r="J55" i="4"/>
  <c r="I55" i="4"/>
  <c r="G55" i="4"/>
  <c r="F55" i="4"/>
  <c r="E55" i="4"/>
  <c r="T55" i="4" s="1"/>
  <c r="R54" i="4"/>
  <c r="P54" i="4"/>
  <c r="O54" i="4"/>
  <c r="M54" i="4"/>
  <c r="K54" i="4"/>
  <c r="J54" i="4"/>
  <c r="I54" i="4"/>
  <c r="G54" i="4"/>
  <c r="F54" i="4"/>
  <c r="E54" i="4"/>
  <c r="T54" i="4" s="1"/>
  <c r="R53" i="4"/>
  <c r="P53" i="4"/>
  <c r="O53" i="4"/>
  <c r="M53" i="4"/>
  <c r="K53" i="4"/>
  <c r="J53" i="4"/>
  <c r="I53" i="4"/>
  <c r="G53" i="4"/>
  <c r="F53" i="4"/>
  <c r="E53" i="4"/>
  <c r="T53" i="4" s="1"/>
  <c r="R52" i="4"/>
  <c r="P52" i="4"/>
  <c r="O52" i="4"/>
  <c r="M52" i="4"/>
  <c r="K52" i="4"/>
  <c r="J52" i="4"/>
  <c r="I52" i="4"/>
  <c r="G52" i="4"/>
  <c r="F52" i="4"/>
  <c r="E52" i="4"/>
  <c r="T52" i="4" s="1"/>
  <c r="R51" i="4"/>
  <c r="P51" i="4"/>
  <c r="O51" i="4"/>
  <c r="M51" i="4"/>
  <c r="K51" i="4"/>
  <c r="J51" i="4"/>
  <c r="I51" i="4"/>
  <c r="G51" i="4"/>
  <c r="F51" i="4"/>
  <c r="E51" i="4"/>
  <c r="T51" i="4" s="1"/>
  <c r="R50" i="4"/>
  <c r="P50" i="4"/>
  <c r="O50" i="4"/>
  <c r="M50" i="4"/>
  <c r="K50" i="4"/>
  <c r="J50" i="4"/>
  <c r="I50" i="4"/>
  <c r="G50" i="4"/>
  <c r="F50" i="4"/>
  <c r="E50" i="4"/>
  <c r="T50" i="4" s="1"/>
  <c r="R49" i="4"/>
  <c r="P49" i="4"/>
  <c r="O49" i="4"/>
  <c r="M49" i="4"/>
  <c r="K49" i="4"/>
  <c r="J49" i="4"/>
  <c r="I49" i="4"/>
  <c r="G49" i="4"/>
  <c r="F49" i="4"/>
  <c r="E49" i="4"/>
  <c r="T49" i="4" s="1"/>
  <c r="R48" i="4"/>
  <c r="P48" i="4"/>
  <c r="O48" i="4"/>
  <c r="M48" i="4"/>
  <c r="K48" i="4"/>
  <c r="J48" i="4"/>
  <c r="I48" i="4"/>
  <c r="G48" i="4"/>
  <c r="F48" i="4"/>
  <c r="E48" i="4"/>
  <c r="T48" i="4" s="1"/>
  <c r="R47" i="4"/>
  <c r="P47" i="4"/>
  <c r="O47" i="4"/>
  <c r="M47" i="4"/>
  <c r="K47" i="4"/>
  <c r="J47" i="4"/>
  <c r="I47" i="4"/>
  <c r="G47" i="4"/>
  <c r="F47" i="4"/>
  <c r="E47" i="4"/>
  <c r="T47" i="4" s="1"/>
  <c r="R46" i="4"/>
  <c r="P46" i="4"/>
  <c r="O46" i="4"/>
  <c r="M46" i="4"/>
  <c r="K46" i="4"/>
  <c r="J46" i="4"/>
  <c r="I46" i="4"/>
  <c r="G46" i="4"/>
  <c r="F46" i="4"/>
  <c r="E46" i="4"/>
  <c r="T46" i="4" s="1"/>
  <c r="R45" i="4"/>
  <c r="P45" i="4"/>
  <c r="O45" i="4"/>
  <c r="M45" i="4"/>
  <c r="K45" i="4"/>
  <c r="J45" i="4"/>
  <c r="I45" i="4"/>
  <c r="G45" i="4"/>
  <c r="F45" i="4"/>
  <c r="E45" i="4"/>
  <c r="T45" i="4" s="1"/>
  <c r="R44" i="4"/>
  <c r="P44" i="4"/>
  <c r="O44" i="4"/>
  <c r="M44" i="4"/>
  <c r="K44" i="4"/>
  <c r="J44" i="4"/>
  <c r="I44" i="4"/>
  <c r="G44" i="4"/>
  <c r="F44" i="4"/>
  <c r="E44" i="4"/>
  <c r="T44" i="4" s="1"/>
  <c r="R43" i="4"/>
  <c r="P43" i="4"/>
  <c r="O43" i="4"/>
  <c r="M43" i="4"/>
  <c r="K43" i="4"/>
  <c r="J43" i="4"/>
  <c r="I43" i="4"/>
  <c r="G43" i="4"/>
  <c r="F43" i="4"/>
  <c r="E43" i="4"/>
  <c r="T43" i="4" s="1"/>
  <c r="R42" i="4"/>
  <c r="P42" i="4"/>
  <c r="O42" i="4"/>
  <c r="M42" i="4"/>
  <c r="K42" i="4"/>
  <c r="J42" i="4"/>
  <c r="I42" i="4"/>
  <c r="G42" i="4"/>
  <c r="F42" i="4"/>
  <c r="E42" i="4"/>
  <c r="T42" i="4" s="1"/>
  <c r="R41" i="4"/>
  <c r="P41" i="4"/>
  <c r="O41" i="4"/>
  <c r="M41" i="4"/>
  <c r="K41" i="4"/>
  <c r="J41" i="4"/>
  <c r="I41" i="4"/>
  <c r="G41" i="4"/>
  <c r="F41" i="4"/>
  <c r="E41" i="4"/>
  <c r="T41" i="4" s="1"/>
  <c r="R40" i="4"/>
  <c r="P40" i="4"/>
  <c r="O40" i="4"/>
  <c r="M40" i="4"/>
  <c r="K40" i="4"/>
  <c r="J40" i="4"/>
  <c r="I40" i="4"/>
  <c r="G40" i="4"/>
  <c r="F40" i="4"/>
  <c r="E40" i="4"/>
  <c r="T40" i="4" s="1"/>
  <c r="R39" i="4"/>
  <c r="P39" i="4"/>
  <c r="O39" i="4"/>
  <c r="M39" i="4"/>
  <c r="K39" i="4"/>
  <c r="J39" i="4"/>
  <c r="I39" i="4"/>
  <c r="G39" i="4"/>
  <c r="F39" i="4"/>
  <c r="E39" i="4"/>
  <c r="T39" i="4" s="1"/>
  <c r="R38" i="4"/>
  <c r="P38" i="4"/>
  <c r="O38" i="4"/>
  <c r="M38" i="4"/>
  <c r="K38" i="4"/>
  <c r="J38" i="4"/>
  <c r="I38" i="4"/>
  <c r="G38" i="4"/>
  <c r="F38" i="4"/>
  <c r="E38" i="4"/>
  <c r="T38" i="4" s="1"/>
  <c r="R37" i="4"/>
  <c r="P37" i="4"/>
  <c r="O37" i="4"/>
  <c r="M37" i="4"/>
  <c r="K37" i="4"/>
  <c r="J37" i="4"/>
  <c r="I37" i="4"/>
  <c r="G37" i="4"/>
  <c r="F37" i="4"/>
  <c r="E37" i="4"/>
  <c r="T37" i="4" s="1"/>
  <c r="R36" i="4"/>
  <c r="P36" i="4"/>
  <c r="O36" i="4"/>
  <c r="M36" i="4"/>
  <c r="K36" i="4"/>
  <c r="J36" i="4"/>
  <c r="I36" i="4"/>
  <c r="G36" i="4"/>
  <c r="F36" i="4"/>
  <c r="E36" i="4"/>
  <c r="T36" i="4" s="1"/>
  <c r="R35" i="4"/>
  <c r="P35" i="4"/>
  <c r="O35" i="4"/>
  <c r="M35" i="4"/>
  <c r="K35" i="4"/>
  <c r="J35" i="4"/>
  <c r="I35" i="4"/>
  <c r="G35" i="4"/>
  <c r="F35" i="4"/>
  <c r="E35" i="4"/>
  <c r="T35" i="4" s="1"/>
  <c r="R34" i="4"/>
  <c r="P34" i="4"/>
  <c r="O34" i="4"/>
  <c r="M34" i="4"/>
  <c r="K34" i="4"/>
  <c r="J34" i="4"/>
  <c r="I34" i="4"/>
  <c r="G34" i="4"/>
  <c r="F34" i="4"/>
  <c r="E34" i="4"/>
  <c r="T34" i="4" s="1"/>
  <c r="R33" i="4"/>
  <c r="P33" i="4"/>
  <c r="O33" i="4"/>
  <c r="M33" i="4"/>
  <c r="K33" i="4"/>
  <c r="J33" i="4"/>
  <c r="I33" i="4"/>
  <c r="G33" i="4"/>
  <c r="F33" i="4"/>
  <c r="E33" i="4"/>
  <c r="T33" i="4" s="1"/>
  <c r="R32" i="4"/>
  <c r="P32" i="4"/>
  <c r="O32" i="4"/>
  <c r="M32" i="4"/>
  <c r="K32" i="4"/>
  <c r="J32" i="4"/>
  <c r="I32" i="4"/>
  <c r="G32" i="4"/>
  <c r="F32" i="4"/>
  <c r="E32" i="4"/>
  <c r="T32" i="4" s="1"/>
  <c r="R31" i="4"/>
  <c r="P31" i="4"/>
  <c r="O31" i="4"/>
  <c r="M31" i="4"/>
  <c r="K31" i="4"/>
  <c r="J31" i="4"/>
  <c r="I31" i="4"/>
  <c r="G31" i="4"/>
  <c r="F31" i="4"/>
  <c r="E31" i="4"/>
  <c r="T31" i="4" s="1"/>
  <c r="R30" i="4"/>
  <c r="P30" i="4"/>
  <c r="O30" i="4"/>
  <c r="M30" i="4"/>
  <c r="K30" i="4"/>
  <c r="J30" i="4"/>
  <c r="I30" i="4"/>
  <c r="G30" i="4"/>
  <c r="F30" i="4"/>
  <c r="E30" i="4"/>
  <c r="T30" i="4" s="1"/>
  <c r="R29" i="4"/>
  <c r="P29" i="4"/>
  <c r="O29" i="4"/>
  <c r="M29" i="4"/>
  <c r="K29" i="4"/>
  <c r="J29" i="4"/>
  <c r="I29" i="4"/>
  <c r="G29" i="4"/>
  <c r="F29" i="4"/>
  <c r="E29" i="4"/>
  <c r="T29" i="4" s="1"/>
  <c r="R28" i="4"/>
  <c r="P28" i="4"/>
  <c r="O28" i="4"/>
  <c r="M28" i="4"/>
  <c r="K28" i="4"/>
  <c r="J28" i="4"/>
  <c r="I28" i="4"/>
  <c r="G28" i="4"/>
  <c r="F28" i="4"/>
  <c r="E28" i="4"/>
  <c r="T28" i="4" s="1"/>
  <c r="R27" i="4"/>
  <c r="P27" i="4"/>
  <c r="O27" i="4"/>
  <c r="M27" i="4"/>
  <c r="K27" i="4"/>
  <c r="J27" i="4"/>
  <c r="I27" i="4"/>
  <c r="G27" i="4"/>
  <c r="F27" i="4"/>
  <c r="E27" i="4"/>
  <c r="T27" i="4" s="1"/>
  <c r="R26" i="4"/>
  <c r="P26" i="4"/>
  <c r="O26" i="4"/>
  <c r="M26" i="4"/>
  <c r="K26" i="4"/>
  <c r="J26" i="4"/>
  <c r="I26" i="4"/>
  <c r="G26" i="4"/>
  <c r="F26" i="4"/>
  <c r="E26" i="4"/>
  <c r="T26" i="4" s="1"/>
  <c r="R25" i="4"/>
  <c r="P25" i="4"/>
  <c r="O25" i="4"/>
  <c r="M25" i="4"/>
  <c r="K25" i="4"/>
  <c r="J25" i="4"/>
  <c r="I25" i="4"/>
  <c r="G25" i="4"/>
  <c r="F25" i="4"/>
  <c r="E25" i="4"/>
  <c r="T25" i="4" s="1"/>
  <c r="R24" i="4"/>
  <c r="P24" i="4"/>
  <c r="O24" i="4"/>
  <c r="M24" i="4"/>
  <c r="K24" i="4"/>
  <c r="J24" i="4"/>
  <c r="I24" i="4"/>
  <c r="G24" i="4"/>
  <c r="F24" i="4"/>
  <c r="E24" i="4"/>
  <c r="T24" i="4" s="1"/>
  <c r="R23" i="4"/>
  <c r="P23" i="4"/>
  <c r="O23" i="4"/>
  <c r="M23" i="4"/>
  <c r="K23" i="4"/>
  <c r="J23" i="4"/>
  <c r="I23" i="4"/>
  <c r="G23" i="4"/>
  <c r="F23" i="4"/>
  <c r="E23" i="4"/>
  <c r="T23" i="4" s="1"/>
  <c r="R22" i="4"/>
  <c r="P22" i="4"/>
  <c r="O22" i="4"/>
  <c r="M22" i="4"/>
  <c r="K22" i="4"/>
  <c r="J22" i="4"/>
  <c r="I22" i="4"/>
  <c r="G22" i="4"/>
  <c r="F22" i="4"/>
  <c r="E22" i="4"/>
  <c r="T22" i="4" s="1"/>
  <c r="R21" i="4"/>
  <c r="P21" i="4"/>
  <c r="O21" i="4"/>
  <c r="M21" i="4"/>
  <c r="K21" i="4"/>
  <c r="J21" i="4"/>
  <c r="I21" i="4"/>
  <c r="G21" i="4"/>
  <c r="F21" i="4"/>
  <c r="E21" i="4"/>
  <c r="T21" i="4" s="1"/>
  <c r="R20" i="4"/>
  <c r="P20" i="4"/>
  <c r="O20" i="4"/>
  <c r="M20" i="4"/>
  <c r="K20" i="4"/>
  <c r="J20" i="4"/>
  <c r="I20" i="4"/>
  <c r="G20" i="4"/>
  <c r="F20" i="4"/>
  <c r="E20" i="4"/>
  <c r="T20" i="4" s="1"/>
  <c r="R19" i="4"/>
  <c r="P19" i="4"/>
  <c r="O19" i="4"/>
  <c r="M19" i="4"/>
  <c r="K19" i="4"/>
  <c r="J19" i="4"/>
  <c r="I19" i="4"/>
  <c r="G19" i="4"/>
  <c r="F19" i="4"/>
  <c r="E19" i="4"/>
  <c r="T19" i="4" s="1"/>
  <c r="R18" i="4"/>
  <c r="P18" i="4"/>
  <c r="O18" i="4"/>
  <c r="M18" i="4"/>
  <c r="K18" i="4"/>
  <c r="J18" i="4"/>
  <c r="I18" i="4"/>
  <c r="G18" i="4"/>
  <c r="F18" i="4"/>
  <c r="E18" i="4"/>
  <c r="T18" i="4" s="1"/>
  <c r="R17" i="4"/>
  <c r="P17" i="4"/>
  <c r="O17" i="4"/>
  <c r="M17" i="4"/>
  <c r="K17" i="4"/>
  <c r="J17" i="4"/>
  <c r="I17" i="4"/>
  <c r="G17" i="4"/>
  <c r="F17" i="4"/>
  <c r="E17" i="4"/>
  <c r="T17" i="4" s="1"/>
  <c r="R16" i="4"/>
  <c r="P16" i="4"/>
  <c r="O16" i="4"/>
  <c r="M16" i="4"/>
  <c r="K16" i="4"/>
  <c r="J16" i="4"/>
  <c r="I16" i="4"/>
  <c r="G16" i="4"/>
  <c r="F16" i="4"/>
  <c r="E16" i="4"/>
  <c r="T16" i="4" s="1"/>
  <c r="R15" i="4"/>
  <c r="P15" i="4"/>
  <c r="O15" i="4"/>
  <c r="M15" i="4"/>
  <c r="K15" i="4"/>
  <c r="J15" i="4"/>
  <c r="I15" i="4"/>
  <c r="G15" i="4"/>
  <c r="F15" i="4"/>
  <c r="E15" i="4"/>
  <c r="T15" i="4" s="1"/>
  <c r="R14" i="4"/>
  <c r="P14" i="4"/>
  <c r="O14" i="4"/>
  <c r="M14" i="4"/>
  <c r="K14" i="4"/>
  <c r="J14" i="4"/>
  <c r="I14" i="4"/>
  <c r="G14" i="4"/>
  <c r="F14" i="4"/>
  <c r="E14" i="4"/>
  <c r="T14" i="4" s="1"/>
  <c r="R13" i="4"/>
  <c r="P13" i="4"/>
  <c r="O13" i="4"/>
  <c r="M13" i="4"/>
  <c r="K13" i="4"/>
  <c r="J13" i="4"/>
  <c r="I13" i="4"/>
  <c r="G13" i="4"/>
  <c r="F13" i="4"/>
  <c r="E13" i="4"/>
  <c r="T13" i="4" s="1"/>
  <c r="R12" i="4"/>
  <c r="P12" i="4"/>
  <c r="O12" i="4"/>
  <c r="M12" i="4"/>
  <c r="K12" i="4"/>
  <c r="J12" i="4"/>
  <c r="I12" i="4"/>
  <c r="G12" i="4"/>
  <c r="F12" i="4"/>
  <c r="E12" i="4"/>
  <c r="T12" i="4" s="1"/>
  <c r="R11" i="4"/>
  <c r="P11" i="4"/>
  <c r="O11" i="4"/>
  <c r="M11" i="4"/>
  <c r="K11" i="4"/>
  <c r="J11" i="4"/>
  <c r="I11" i="4"/>
  <c r="G11" i="4"/>
  <c r="F11" i="4"/>
  <c r="E11" i="4"/>
  <c r="T11" i="4" s="1"/>
  <c r="R10" i="4"/>
  <c r="P10" i="4"/>
  <c r="O10" i="4"/>
  <c r="M10" i="4"/>
  <c r="K10" i="4"/>
  <c r="J10" i="4"/>
  <c r="I10" i="4"/>
  <c r="G10" i="4"/>
  <c r="F10" i="4"/>
  <c r="E10" i="4"/>
  <c r="T10" i="4" s="1"/>
  <c r="R9" i="4"/>
  <c r="P9" i="4"/>
  <c r="O9" i="4"/>
  <c r="M9" i="4"/>
  <c r="K9" i="4"/>
  <c r="J9" i="4"/>
  <c r="I9" i="4"/>
  <c r="G9" i="4"/>
  <c r="F9" i="4"/>
  <c r="E9" i="4"/>
  <c r="T9" i="4" s="1"/>
  <c r="R8" i="4"/>
  <c r="P8" i="4"/>
  <c r="O8" i="4"/>
  <c r="M8" i="4"/>
  <c r="K8" i="4"/>
  <c r="J8" i="4"/>
  <c r="I8" i="4"/>
  <c r="G8" i="4"/>
  <c r="F8" i="4"/>
  <c r="E8" i="4"/>
  <c r="T8" i="4" s="1"/>
  <c r="R7" i="4"/>
  <c r="P7" i="4"/>
  <c r="O7" i="4"/>
  <c r="M7" i="4"/>
  <c r="K7" i="4"/>
  <c r="J7" i="4"/>
  <c r="I7" i="4"/>
  <c r="G7" i="4"/>
  <c r="F7" i="4"/>
  <c r="E7" i="4"/>
  <c r="T7" i="4" s="1"/>
  <c r="R6" i="4"/>
  <c r="P6" i="4"/>
  <c r="O6" i="4"/>
  <c r="M6" i="4"/>
  <c r="K6" i="4"/>
  <c r="J6" i="4"/>
  <c r="I6" i="4"/>
  <c r="G6" i="4"/>
  <c r="F6" i="4"/>
  <c r="E6" i="4"/>
  <c r="T6" i="4" s="1"/>
  <c r="R5" i="4"/>
  <c r="P5" i="4"/>
  <c r="O5" i="4"/>
  <c r="M5" i="4"/>
  <c r="K5" i="4"/>
  <c r="J5" i="4"/>
  <c r="I5" i="4"/>
  <c r="G5" i="4"/>
  <c r="F5" i="4"/>
  <c r="E5" i="4"/>
  <c r="T5" i="4" s="1"/>
  <c r="R4" i="4"/>
  <c r="P4" i="4"/>
  <c r="O4" i="4"/>
  <c r="M4" i="4"/>
  <c r="K4" i="4"/>
  <c r="J4" i="4"/>
  <c r="I4" i="4"/>
  <c r="G4" i="4"/>
  <c r="F4" i="4"/>
  <c r="E4" i="4"/>
  <c r="T4" i="4" s="1"/>
  <c r="C18" i="4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Jeff Whisler</author>
  </authors>
  <commentList>
    <comment ref="D15" authorId="0" shapeId="0" xr:uid="{68ED9CDE-E666-4905-A329-B096A763D1D7}">
      <text>
        <r>
          <rPr>
            <b/>
            <sz val="9"/>
            <color indexed="81"/>
            <rFont val="Tahoma"/>
            <family val="2"/>
          </rPr>
          <t>Jeff Whisler:</t>
        </r>
        <r>
          <rPr>
            <sz val="9"/>
            <color indexed="81"/>
            <rFont val="Tahoma"/>
            <family val="2"/>
          </rPr>
          <t xml:space="preserve">
need to have lower Skamania abundance from T14 to complete.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Jeff Whisler</author>
    <author>A. Storch</author>
    <author>Anthony C Siniscal</author>
  </authors>
  <commentList>
    <comment ref="K1" authorId="0" shapeId="0" xr:uid="{00000000-0006-0000-0100-000001000000}">
      <text>
        <r>
          <rPr>
            <b/>
            <sz val="9"/>
            <color indexed="81"/>
            <rFont val="Tahoma"/>
            <family val="2"/>
          </rPr>
          <t>Jeff Whisler:</t>
        </r>
        <r>
          <rPr>
            <sz val="9"/>
            <color indexed="81"/>
            <rFont val="Tahoma"/>
            <family val="2"/>
          </rPr>
          <t xml:space="preserve">
relates to the trib mouth reconstructions.  F=Final, P=Prelim., NA=CRC estimate not yet available, alt method used to develop placeholder</t>
        </r>
      </text>
    </comment>
    <comment ref="A9" authorId="1" shapeId="0" xr:uid="{00000000-0006-0000-0100-000002000000}">
      <text>
        <r>
          <rPr>
            <b/>
            <sz val="10"/>
            <color indexed="81"/>
            <rFont val="Tahoma"/>
            <family val="2"/>
          </rPr>
          <t>A. Storch:</t>
        </r>
        <r>
          <rPr>
            <sz val="10"/>
            <color indexed="81"/>
            <rFont val="Tahoma"/>
            <family val="2"/>
          </rPr>
          <t xml:space="preserve">
Mean values include jacks but individual years do not.</t>
        </r>
      </text>
    </comment>
    <comment ref="AF9" authorId="2" shapeId="0" xr:uid="{00000000-0006-0000-0100-000003000000}">
      <text>
        <r>
          <rPr>
            <b/>
            <sz val="9"/>
            <color indexed="81"/>
            <rFont val="Tahoma"/>
            <family val="2"/>
          </rPr>
          <t>Anthony C Siniscal:</t>
        </r>
        <r>
          <rPr>
            <sz val="9"/>
            <color indexed="81"/>
            <rFont val="Tahoma"/>
            <family val="2"/>
          </rPr>
          <t xml:space="preserve">
From JSR Table 31</t>
        </r>
      </text>
    </comment>
    <comment ref="AG9" authorId="2" shapeId="0" xr:uid="{00000000-0006-0000-0100-000004000000}">
      <text>
        <r>
          <rPr>
            <b/>
            <sz val="9"/>
            <color indexed="81"/>
            <rFont val="Tahoma"/>
            <family val="2"/>
          </rPr>
          <t>Anthony C Siniscal:</t>
        </r>
        <r>
          <rPr>
            <sz val="9"/>
            <color indexed="81"/>
            <rFont val="Tahoma"/>
            <family val="2"/>
          </rPr>
          <t xml:space="preserve">
From JSR Table 30</t>
        </r>
      </text>
    </comment>
    <comment ref="AJ9" authorId="0" shapeId="0" xr:uid="{00000000-0006-0000-0100-000005000000}">
      <text>
        <r>
          <rPr>
            <b/>
            <sz val="9"/>
            <color indexed="81"/>
            <rFont val="Tahoma"/>
            <family val="2"/>
          </rPr>
          <t>Jeff Whisler:</t>
        </r>
        <r>
          <rPr>
            <sz val="9"/>
            <color indexed="81"/>
            <rFont val="Tahoma"/>
            <family val="2"/>
          </rPr>
          <t xml:space="preserve">
used in preseason LCR sport season/catch model</t>
        </r>
      </text>
    </comment>
    <comment ref="B18" authorId="1" shapeId="0" xr:uid="{00000000-0006-0000-0100-000006000000}">
      <text>
        <r>
          <rPr>
            <b/>
            <sz val="10"/>
            <color indexed="81"/>
            <rFont val="Tahoma"/>
            <family val="2"/>
          </rPr>
          <t>Anthony C Siniscal:</t>
        </r>
        <r>
          <rPr>
            <sz val="10"/>
            <color indexed="81"/>
            <rFont val="Tahoma"/>
            <family val="2"/>
          </rPr>
          <t xml:space="preserve">
Added SAFE Sport Catch to the Select Area origin Commercial Chinook Catch</t>
        </r>
        <r>
          <rPr>
            <sz val="10"/>
            <color indexed="81"/>
            <rFont val="Tahoma"/>
            <family val="2"/>
          </rPr>
          <t xml:space="preserve">
</t>
        </r>
      </text>
    </comment>
    <comment ref="A70" authorId="0" shapeId="0" xr:uid="{00000000-0006-0000-0100-000007000000}">
      <text>
        <r>
          <rPr>
            <b/>
            <sz val="9"/>
            <color indexed="81"/>
            <rFont val="Tahoma"/>
            <family val="2"/>
          </rPr>
          <t>Jeff Whisler:</t>
        </r>
        <r>
          <rPr>
            <sz val="9"/>
            <color indexed="81"/>
            <rFont val="Tahoma"/>
            <family val="2"/>
          </rPr>
          <t xml:space="preserve">
tributary forecasts are at the trib mouth for comparison to returns.  Starting in 2018, forecasts reported will be at CR mouth. Will need to note this in text,; no intent to try to reconstruct CR mouth returns for the trib stocks so will probably have to present both values in JSR text.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Jeff Whisler</author>
  </authors>
  <commentList>
    <comment ref="H3" authorId="0" shapeId="0" xr:uid="{00000000-0006-0000-0300-000001000000}">
      <text>
        <r>
          <rPr>
            <b/>
            <sz val="9"/>
            <color indexed="81"/>
            <rFont val="Tahoma"/>
            <family val="2"/>
          </rPr>
          <t>Jeff Whisler:</t>
        </r>
        <r>
          <rPr>
            <sz val="9"/>
            <color indexed="81"/>
            <rFont val="Tahoma"/>
            <family val="2"/>
          </rPr>
          <t xml:space="preserve">
trib mouth forecasts thru 2017.  CR mouth forecasts thereafter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Robert Reagan</author>
  </authors>
  <commentList>
    <comment ref="C3" authorId="0" shapeId="0" xr:uid="{00000000-0006-0000-0700-000001000000}">
      <text>
        <r>
          <rPr>
            <b/>
            <sz val="9"/>
            <color indexed="81"/>
            <rFont val="Tahoma"/>
            <family val="2"/>
          </rPr>
          <t>Robert Reagan:</t>
        </r>
        <r>
          <rPr>
            <sz val="9"/>
            <color indexed="81"/>
            <rFont val="Tahoma"/>
            <family val="2"/>
          </rPr>
          <t xml:space="preserve">
See "Upper Will Catch Card and Hatch Ret Summaries.xlsx"</t>
        </r>
      </text>
    </comment>
    <comment ref="E3" authorId="0" shapeId="0" xr:uid="{00000000-0006-0000-0700-000002000000}">
      <text>
        <r>
          <rPr>
            <b/>
            <sz val="9"/>
            <color indexed="81"/>
            <rFont val="Tahoma"/>
            <family val="2"/>
          </rPr>
          <t>Robert Reagan:</t>
        </r>
        <r>
          <rPr>
            <sz val="9"/>
            <color indexed="81"/>
            <rFont val="Tahoma"/>
            <family val="2"/>
          </rPr>
          <t xml:space="preserve">
See "Upper Will Catch Card and Hatch Ret Summaries.xlsx"</t>
        </r>
      </text>
    </comment>
    <comment ref="G3" authorId="0" shapeId="0" xr:uid="{00000000-0006-0000-0700-000003000000}">
      <text>
        <r>
          <rPr>
            <b/>
            <sz val="9"/>
            <color indexed="81"/>
            <rFont val="Tahoma"/>
            <family val="2"/>
          </rPr>
          <t>Robert Reagan:</t>
        </r>
        <r>
          <rPr>
            <sz val="9"/>
            <color indexed="81"/>
            <rFont val="Tahoma"/>
            <family val="2"/>
          </rPr>
          <t xml:space="preserve">
Willamette Big Sheet values for Clack Hatch swim-ins and transfers from N.F. Dam.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WDFW</author>
    <author>Jeff Whisler</author>
  </authors>
  <commentList>
    <comment ref="J4" authorId="0" shapeId="0" xr:uid="{00000000-0006-0000-0C00-000001000000}">
      <text>
        <r>
          <rPr>
            <b/>
            <sz val="9"/>
            <color indexed="81"/>
            <rFont val="Tahoma"/>
            <family val="2"/>
          </rPr>
          <t>WDFW:</t>
        </r>
        <r>
          <rPr>
            <sz val="9"/>
            <color indexed="81"/>
            <rFont val="Tahoma"/>
            <family val="2"/>
          </rPr>
          <t xml:space="preserve">
Zone 6 escapement minus Rock Island</t>
        </r>
      </text>
    </comment>
    <comment ref="D5" authorId="1" shapeId="0" xr:uid="{00000000-0006-0000-0C00-000002000000}">
      <text>
        <r>
          <rPr>
            <b/>
            <sz val="9"/>
            <color indexed="81"/>
            <rFont val="Tahoma"/>
            <family val="2"/>
          </rPr>
          <t>Jeff Whisler:</t>
        </r>
        <r>
          <rPr>
            <sz val="9"/>
            <color indexed="81"/>
            <rFont val="Tahoma"/>
            <family val="2"/>
          </rPr>
          <t xml:space="preserve">
column Q from BA table T3a (needs to include Wanapum harvest so don't use T3)</t>
        </r>
      </text>
    </comment>
    <comment ref="F5" authorId="1" shapeId="0" xr:uid="{00000000-0006-0000-0C00-000003000000}">
      <text>
        <r>
          <rPr>
            <b/>
            <sz val="9"/>
            <color indexed="81"/>
            <rFont val="Tahoma"/>
            <family val="2"/>
          </rPr>
          <t>Jeff Whisler:</t>
        </r>
        <r>
          <rPr>
            <sz val="9"/>
            <color indexed="81"/>
            <rFont val="Tahoma"/>
            <family val="2"/>
          </rPr>
          <t xml:space="preserve">
column X in T3a of BA table file</t>
        </r>
      </text>
    </comment>
    <comment ref="J5" authorId="0" shapeId="0" xr:uid="{00000000-0006-0000-0C00-000004000000}">
      <text>
        <r>
          <rPr>
            <b/>
            <sz val="9"/>
            <color indexed="81"/>
            <rFont val="Tahoma"/>
            <family val="2"/>
          </rPr>
          <t>WDFW:</t>
        </r>
        <r>
          <rPr>
            <sz val="9"/>
            <color indexed="81"/>
            <rFont val="Tahoma"/>
            <family val="2"/>
          </rPr>
          <t xml:space="preserve">
Col S T3 of BA Tables</t>
        </r>
      </text>
    </comment>
    <comment ref="L5" authorId="0" shapeId="0" xr:uid="{00000000-0006-0000-0C00-000005000000}">
      <text>
        <r>
          <rPr>
            <b/>
            <sz val="9"/>
            <color indexed="81"/>
            <rFont val="Tahoma"/>
            <family val="2"/>
          </rPr>
          <t>WDFW:</t>
        </r>
        <r>
          <rPr>
            <sz val="9"/>
            <color indexed="81"/>
            <rFont val="Tahoma"/>
            <family val="2"/>
          </rPr>
          <t xml:space="preserve">
Col T T3 of BA Tables</t>
        </r>
      </text>
    </comment>
    <comment ref="Q73" authorId="1" shapeId="0" xr:uid="{00000000-0006-0000-0C00-000006000000}">
      <text>
        <r>
          <rPr>
            <b/>
            <sz val="9"/>
            <color indexed="81"/>
            <rFont val="Tahoma"/>
            <family val="2"/>
          </rPr>
          <t>Jeff Whisler:</t>
        </r>
        <r>
          <rPr>
            <sz val="9"/>
            <color indexed="81"/>
            <rFont val="Tahoma"/>
            <family val="2"/>
          </rPr>
          <t xml:space="preserve">
for JSR - recent 10-yr avg including current return year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WDFW</author>
    <author>Jeff Whisler</author>
  </authors>
  <commentList>
    <comment ref="D5" authorId="0" shapeId="0" xr:uid="{00000000-0006-0000-0E00-000001000000}">
      <text>
        <r>
          <rPr>
            <b/>
            <sz val="9"/>
            <color indexed="81"/>
            <rFont val="Tahoma"/>
            <family val="2"/>
          </rPr>
          <t>WDFW:</t>
        </r>
        <r>
          <rPr>
            <sz val="9"/>
            <color indexed="81"/>
            <rFont val="Tahoma"/>
            <family val="2"/>
          </rPr>
          <t xml:space="preserve">
Col Q T2a from BA tables</t>
        </r>
      </text>
    </comment>
    <comment ref="F5" authorId="0" shapeId="0" xr:uid="{00000000-0006-0000-0E00-000002000000}">
      <text>
        <r>
          <rPr>
            <b/>
            <sz val="9"/>
            <color indexed="81"/>
            <rFont val="Tahoma"/>
            <family val="2"/>
          </rPr>
          <t>Whisler:</t>
        </r>
        <r>
          <rPr>
            <sz val="9"/>
            <color indexed="81"/>
            <rFont val="Tahoma"/>
            <family val="2"/>
          </rPr>
          <t xml:space="preserve">
Col AA of T2a in BA table file</t>
        </r>
      </text>
    </comment>
    <comment ref="J5" authorId="1" shapeId="0" xr:uid="{00000000-0006-0000-0E00-000003000000}">
      <text>
        <r>
          <rPr>
            <b/>
            <sz val="9"/>
            <color indexed="81"/>
            <rFont val="Tahoma"/>
            <family val="2"/>
          </rPr>
          <t>Jeff Whisler:</t>
        </r>
        <r>
          <rPr>
            <sz val="9"/>
            <color indexed="81"/>
            <rFont val="Tahoma"/>
            <family val="2"/>
          </rPr>
          <t xml:space="preserve">
column W of T2 in BA tables
</t>
        </r>
      </text>
    </comment>
    <comment ref="L5" authorId="1" shapeId="0" xr:uid="{00000000-0006-0000-0E00-000004000000}">
      <text>
        <r>
          <rPr>
            <b/>
            <sz val="9"/>
            <color indexed="81"/>
            <rFont val="Tahoma"/>
            <family val="2"/>
          </rPr>
          <t>Jeff Whisler:</t>
        </r>
        <r>
          <rPr>
            <sz val="9"/>
            <color indexed="81"/>
            <rFont val="Tahoma"/>
            <family val="2"/>
          </rPr>
          <t xml:space="preserve">
sum of columns X+Y of T2 in BA table file</t>
        </r>
      </text>
    </comment>
    <comment ref="W54" authorId="1" shapeId="0" xr:uid="{00000000-0006-0000-0E00-000005000000}">
      <text>
        <r>
          <rPr>
            <b/>
            <sz val="9"/>
            <color indexed="81"/>
            <rFont val="Tahoma"/>
            <family val="2"/>
          </rPr>
          <t>Jeff Whisler:</t>
        </r>
        <r>
          <rPr>
            <sz val="9"/>
            <color indexed="81"/>
            <rFont val="Tahoma"/>
            <family val="2"/>
          </rPr>
          <t xml:space="preserve">
1980+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Sippel, Timothy J (DFW)</author>
    <author>tc={233DD867-95A5-447F-8225-CFA43284FF47}</author>
  </authors>
  <commentList>
    <comment ref="H42" authorId="0" shapeId="0" xr:uid="{AC190BA5-FF22-4556-AE96-5F29380A0DEA}">
      <text>
        <r>
          <rPr>
            <b/>
            <sz val="9"/>
            <color indexed="81"/>
            <rFont val="Tahoma"/>
            <family val="2"/>
          </rPr>
          <t>Sippel, Timothy J (DFW):</t>
        </r>
        <r>
          <rPr>
            <sz val="9"/>
            <color indexed="81"/>
            <rFont val="Tahoma"/>
            <family val="2"/>
          </rPr>
          <t xml:space="preserve">
133 kept + 15% mortality on 18 released</t>
        </r>
      </text>
    </comment>
    <comment ref="K42" authorId="0" shapeId="0" xr:uid="{8D1C844A-92F2-4AC6-BA9C-E3F2F55DB878}">
      <text>
        <r>
          <rPr>
            <b/>
            <sz val="9"/>
            <color indexed="81"/>
            <rFont val="Tahoma"/>
            <family val="2"/>
          </rPr>
          <t>Sippel, Timothy J (DFW):</t>
        </r>
        <r>
          <rPr>
            <sz val="9"/>
            <color indexed="81"/>
            <rFont val="Tahoma"/>
            <family val="2"/>
          </rPr>
          <t xml:space="preserve">
115 kept + 15% mortality on 76 released</t>
        </r>
      </text>
    </comment>
    <comment ref="B73" authorId="1" shapeId="0" xr:uid="{233DD867-95A5-447F-8225-CFA43284FF47}">
      <text>
        <t>[Threaded comment]
Your version of Excel allows you to read this threaded comment; however, any edits to it will get removed if the file is opened in a newer version of Excel. Learn more: https://go.microsoft.com/fwlink/?linkid=870924
Comment:
    53,000 is '24 TAC CR mouth forecast; pre- NOF</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Jeff Whisler</author>
  </authors>
  <commentList>
    <comment ref="B38" authorId="0" shapeId="0" xr:uid="{017E67E5-2FC7-4F5D-AB00-EA6205ED2992}">
      <text>
        <r>
          <rPr>
            <b/>
            <sz val="9"/>
            <color indexed="81"/>
            <rFont val="Tahoma"/>
            <family val="2"/>
          </rPr>
          <t>Jeff Whisler:</t>
        </r>
        <r>
          <rPr>
            <sz val="9"/>
            <color indexed="81"/>
            <rFont val="Tahoma"/>
            <family val="2"/>
          </rPr>
          <t xml:space="preserve">
this is the estimate of true wild-origin fish after adjustment with GSI/PBT data.  From IDFG</t>
        </r>
      </text>
    </comment>
    <comment ref="B39" authorId="0" shapeId="0" xr:uid="{C24BD67C-08B5-4A2C-96CF-827867A41970}">
      <text>
        <r>
          <rPr>
            <b/>
            <sz val="9"/>
            <color indexed="81"/>
            <rFont val="Tahoma"/>
            <family val="2"/>
          </rPr>
          <t>Jeff Whisler:</t>
        </r>
        <r>
          <rPr>
            <sz val="9"/>
            <color indexed="81"/>
            <rFont val="Tahoma"/>
            <family val="2"/>
          </rPr>
          <t xml:space="preserve">
this is the estimate of true wild-origin fish after adjustment with GSI/PBT data.  From IDFG</t>
        </r>
      </text>
    </comment>
    <comment ref="B40" authorId="0" shapeId="0" xr:uid="{231EAB69-F1B4-4FC0-B089-BFCD20F907D8}">
      <text>
        <r>
          <rPr>
            <b/>
            <sz val="9"/>
            <color indexed="81"/>
            <rFont val="Tahoma"/>
            <family val="2"/>
          </rPr>
          <t>WDFW:</t>
        </r>
        <r>
          <rPr>
            <sz val="9"/>
            <color indexed="81"/>
            <rFont val="Tahoma"/>
            <family val="2"/>
          </rPr>
          <t xml:space="preserve">
this is the estimate of true wild-origin fish after adjustment with GSI/PBT data.  From IDFG</t>
        </r>
      </text>
    </comment>
    <comment ref="B41" authorId="0" shapeId="0" xr:uid="{2E55B153-721E-440A-BCA8-5314DC06F63E}">
      <text>
        <r>
          <rPr>
            <b/>
            <sz val="9"/>
            <color indexed="81"/>
            <rFont val="Tahoma"/>
            <family val="2"/>
          </rPr>
          <t>WDFW:</t>
        </r>
        <r>
          <rPr>
            <sz val="9"/>
            <color indexed="81"/>
            <rFont val="Tahoma"/>
            <family val="2"/>
          </rPr>
          <t xml:space="preserve">
this is the unclipped passage value; placeholder until GSI/PBT adjusted estimate is available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Daugherty, Quinten L (DFW)</author>
    <author>Reviewer</author>
    <author>Jeff Whisler</author>
    <author>Q</author>
    <author>Windows User</author>
  </authors>
  <commentList>
    <comment ref="AJ5" authorId="0" shapeId="0" xr:uid="{65E0C8B8-141B-4307-BE17-C3B8F399DA79}">
      <text>
        <r>
          <rPr>
            <b/>
            <sz val="9"/>
            <color indexed="81"/>
            <rFont val="Tahoma"/>
            <family val="2"/>
          </rPr>
          <t>Daugherty, Quinten L (DFW):</t>
        </r>
        <r>
          <rPr>
            <sz val="9"/>
            <color indexed="81"/>
            <rFont val="Tahoma"/>
            <family val="2"/>
          </rPr>
          <t xml:space="preserve">
Clackamas, https://portlandgeneral.com/about/recreation-fish-wildlife/fish-counts/clackamas-fish-counts</t>
        </r>
      </text>
    </comment>
    <comment ref="AH17" authorId="1" shapeId="0" xr:uid="{12E2C8BA-E66D-41FA-A3D6-4EE9238B3CB7}">
      <text>
        <r>
          <rPr>
            <b/>
            <sz val="9"/>
            <color indexed="81"/>
            <rFont val="Tahoma"/>
            <family val="2"/>
          </rPr>
          <t>Reviewer:</t>
        </r>
        <r>
          <rPr>
            <sz val="9"/>
            <color indexed="81"/>
            <rFont val="Tahoma"/>
            <family val="2"/>
          </rPr>
          <t xml:space="preserve">
Would be 3773 based on WF count and MR but got this from WV</t>
        </r>
      </text>
    </comment>
    <comment ref="B44" authorId="2" shapeId="0" xr:uid="{BAF46AFB-097F-4080-9DFD-8572C529DA7A}">
      <text>
        <r>
          <rPr>
            <b/>
            <sz val="9"/>
            <color indexed="81"/>
            <rFont val="Tahoma"/>
            <family val="2"/>
          </rPr>
          <t>Jeff Whisler:</t>
        </r>
        <r>
          <rPr>
            <sz val="9"/>
            <color indexed="81"/>
            <rFont val="Tahoma"/>
            <family val="2"/>
          </rPr>
          <t xml:space="preserve">
this needs to be hard entered for years where scaled trib catch projections are being made (to ensure scaled return fraction is accurate).  Can get from 'NTsum STHD model' file or T10 in this file.</t>
        </r>
      </text>
    </comment>
    <comment ref="B45" authorId="2" shapeId="0" xr:uid="{DC0929D1-CDF6-4824-B232-BB09A4843F35}">
      <text>
        <r>
          <rPr>
            <b/>
            <sz val="9"/>
            <color indexed="81"/>
            <rFont val="Tahoma"/>
            <family val="2"/>
          </rPr>
          <t>Jeff Whisler:</t>
        </r>
        <r>
          <rPr>
            <sz val="9"/>
            <color indexed="81"/>
            <rFont val="Tahoma"/>
            <family val="2"/>
          </rPr>
          <t xml:space="preserve">
this needs to be hard entered for years where scaled trib catch projections are being made (to ensure scaled return fraction is accurate).  Can get from 'NTsum STHD model' file or T10 in this file.</t>
        </r>
      </text>
    </comment>
    <comment ref="AG55" authorId="2" shapeId="0" xr:uid="{A08E1B95-6054-41A5-B800-4435CAC2DA0F}">
      <text>
        <r>
          <rPr>
            <b/>
            <sz val="9"/>
            <color indexed="81"/>
            <rFont val="Tahoma"/>
            <family val="2"/>
          </rPr>
          <t>Jeff Whisler:</t>
        </r>
        <r>
          <rPr>
            <sz val="9"/>
            <color indexed="81"/>
            <rFont val="Tahoma"/>
            <family val="2"/>
          </rPr>
          <t xml:space="preserve">
data source: ODFW hatchery system, in 2018 used AATR015 report to update values for run years 2014-18.  See file '2014-2019 BY Clackamas-Sandy STS Counts' file saved in 2019 spring JSR folder.</t>
        </r>
      </text>
    </comment>
    <comment ref="AQ55" authorId="1" shapeId="0" xr:uid="{A5F6324F-13BA-4D46-B621-A8F02842FE83}">
      <text>
        <r>
          <rPr>
            <b/>
            <sz val="9"/>
            <color indexed="81"/>
            <rFont val="Tahoma"/>
            <family val="2"/>
          </rPr>
          <t>Reviewer:</t>
        </r>
        <r>
          <rPr>
            <sz val="9"/>
            <color indexed="81"/>
            <rFont val="Tahoma"/>
            <family val="2"/>
          </rPr>
          <t xml:space="preserve">
through 6/2 only</t>
        </r>
      </text>
    </comment>
    <comment ref="AH59" authorId="3" shapeId="0" xr:uid="{B5B37DD5-B1FA-43DE-8FAB-8FAA39F4156D}">
      <text>
        <r>
          <rPr>
            <b/>
            <sz val="9"/>
            <color indexed="81"/>
            <rFont val="Tahoma"/>
            <family val="2"/>
          </rPr>
          <t>Q:</t>
        </r>
        <r>
          <rPr>
            <sz val="9"/>
            <color indexed="81"/>
            <rFont val="Tahoma"/>
            <family val="2"/>
          </rPr>
          <t xml:space="preserve">
Merwin FCF + Lewis H (those are the traps on the NFL) Merwin recieves fish from both facilities</t>
        </r>
      </text>
    </comment>
    <comment ref="AH60" authorId="4" shapeId="0" xr:uid="{9A428B89-E18D-4ABF-8B2A-C3B64A2937C9}">
      <text>
        <r>
          <rPr>
            <b/>
            <sz val="9"/>
            <color indexed="81"/>
            <rFont val="Tahoma"/>
            <family val="2"/>
          </rPr>
          <t>Windows User:</t>
        </r>
        <r>
          <rPr>
            <sz val="9"/>
            <color indexed="81"/>
            <rFont val="Tahoma"/>
            <family val="2"/>
          </rPr>
          <t xml:space="preserve">
Cowlitz Trout and Cowlitz Salmon hatchery</t>
        </r>
      </text>
    </comment>
    <comment ref="AH61" authorId="2" shapeId="0" xr:uid="{31B9293B-50EE-4786-A86D-865568305D35}">
      <text>
        <r>
          <rPr>
            <b/>
            <sz val="9"/>
            <color indexed="81"/>
            <rFont val="Tahoma"/>
            <family val="2"/>
          </rPr>
          <t>Jeff Whisler:</t>
        </r>
        <r>
          <rPr>
            <sz val="9"/>
            <color indexed="81"/>
            <rFont val="Tahoma"/>
            <family val="2"/>
          </rPr>
          <t xml:space="preserve">
multiple facilities?
</t>
        </r>
        <r>
          <rPr>
            <b/>
            <sz val="9"/>
            <color indexed="81"/>
            <rFont val="Tahoma"/>
            <family val="2"/>
          </rPr>
          <t>Q:</t>
        </r>
        <r>
          <rPr>
            <sz val="9"/>
            <color indexed="81"/>
            <rFont val="Tahoma"/>
            <family val="2"/>
          </rPr>
          <t xml:space="preserve">
Fallert+Kalama Falls+ Modrow trap morts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Kevleen Melcher</author>
  </authors>
  <commentList>
    <comment ref="N1" authorId="0" shapeId="0" xr:uid="{00000000-0006-0000-2400-000001000000}">
      <text>
        <r>
          <rPr>
            <b/>
            <sz val="9"/>
            <color indexed="81"/>
            <rFont val="Tahoma"/>
            <family val="2"/>
          </rPr>
          <t>Kevleen Melcher:</t>
        </r>
        <r>
          <rPr>
            <sz val="9"/>
            <color indexed="81"/>
            <rFont val="Tahoma"/>
            <family val="2"/>
          </rPr>
          <t xml:space="preserve">
Source:  final impact models</t>
        </r>
      </text>
    </comment>
    <comment ref="S2" authorId="0" shapeId="0" xr:uid="{00000000-0006-0000-2400-000002000000}">
      <text>
        <r>
          <rPr>
            <b/>
            <sz val="9"/>
            <color indexed="81"/>
            <rFont val="Tahoma"/>
            <family val="2"/>
          </rPr>
          <t>Kevleen Melcher:</t>
        </r>
        <r>
          <rPr>
            <sz val="9"/>
            <color indexed="81"/>
            <rFont val="Tahoma"/>
            <family val="2"/>
          </rPr>
          <t xml:space="preserve">
From JS Report Table 20 </t>
        </r>
      </text>
    </comment>
    <comment ref="A22" authorId="0" shapeId="0" xr:uid="{00000000-0006-0000-2400-000003000000}">
      <text>
        <r>
          <rPr>
            <b/>
            <sz val="9"/>
            <color indexed="81"/>
            <rFont val="Tahoma"/>
            <family val="2"/>
          </rPr>
          <t>Kevleen Melcher:</t>
        </r>
        <r>
          <rPr>
            <sz val="9"/>
            <color indexed="81"/>
            <rFont val="Tahoma"/>
            <family val="2"/>
          </rPr>
          <t xml:space="preserve">
Not updated by timeframe since impact model did not have final catch</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wdfw</author>
    <author>Sippel, Timothy J (DFW)</author>
  </authors>
  <commentList>
    <comment ref="E31" authorId="0" shapeId="0" xr:uid="{A7B99006-0D40-4B55-945E-A37B7E3B2A15}">
      <text>
        <r>
          <rPr>
            <b/>
            <sz val="9"/>
            <color indexed="81"/>
            <rFont val="Tahoma"/>
            <family val="2"/>
          </rPr>
          <t>wdfw:</t>
        </r>
        <r>
          <rPr>
            <sz val="9"/>
            <color indexed="81"/>
            <rFont val="Tahoma"/>
            <family val="2"/>
          </rPr>
          <t xml:space="preserve">
open from 1 mile upstream of LGO downstream to Texas Ramp (~5 miles)  and (for the first time in over 30yrs) open from Clarkston upstream to heller Bar (located just downstream of the Grande Ronde mouth).  Apr 22,2002 News Release.  Open TH-Su, through May 19, then was extended to include May 23-27 in both areas and May 30- Jun2 in the LGO fishery (May 20,2002 news release).</t>
        </r>
      </text>
    </comment>
    <comment ref="D46" authorId="1" shapeId="0" xr:uid="{DAE109AC-ACA2-479F-A26F-D356D528D91A}">
      <text>
        <r>
          <rPr>
            <b/>
            <sz val="9"/>
            <color indexed="81"/>
            <rFont val="Tahoma"/>
            <family val="2"/>
          </rPr>
          <t>Sippel, Timothy J (DFW):</t>
        </r>
        <r>
          <rPr>
            <sz val="9"/>
            <color indexed="81"/>
            <rFont val="Tahoma"/>
            <family val="2"/>
          </rPr>
          <t xml:space="preserve">
IHR: Apr 28-29, May 5-6, May 12-13
LGO &amp; Clarkson: Apr 30-May1, May 7-8, May 12-13.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Jimmy Watts</author>
  </authors>
  <commentList>
    <comment ref="C7" authorId="0" shapeId="0" xr:uid="{AA7170E5-F6E5-4095-830C-1BA12929898D}">
      <text>
        <r>
          <rPr>
            <b/>
            <sz val="9"/>
            <color indexed="81"/>
            <rFont val="Tahoma"/>
            <family val="2"/>
          </rPr>
          <t>Jimmy Watts:</t>
        </r>
        <r>
          <rPr>
            <sz val="9"/>
            <color indexed="81"/>
            <rFont val="Tahoma"/>
            <family val="2"/>
          </rPr>
          <t xml:space="preserve">
This value was changed in 2022.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Kevleen Melcher</author>
  </authors>
  <commentList>
    <comment ref="L19" authorId="0" shapeId="0" xr:uid="{00000000-0006-0000-2D00-000001000000}">
      <text>
        <r>
          <rPr>
            <b/>
            <sz val="9"/>
            <color indexed="81"/>
            <rFont val="Tahoma"/>
            <family val="2"/>
          </rPr>
          <t>Kevleen Melcher:</t>
        </r>
        <r>
          <rPr>
            <sz val="9"/>
            <color indexed="81"/>
            <rFont val="Tahoma"/>
            <family val="2"/>
          </rPr>
          <t xml:space="preserve">
Unsure how the 724 fish from June 1-15 timeframe were parceled into stocks. My 2005 final Spring impact file only goes thru May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Deacy, Beth M (DFW)</author>
  </authors>
  <commentList>
    <comment ref="H59" authorId="0" shapeId="0" xr:uid="{9CF269B4-C892-4BB3-ADFB-F28E997F8E7A}">
      <text>
        <r>
          <rPr>
            <b/>
            <sz val="9"/>
            <color indexed="81"/>
            <rFont val="Tahoma"/>
            <family val="2"/>
          </rPr>
          <t>Deacy, Beth M (DFW):</t>
        </r>
        <r>
          <rPr>
            <sz val="9"/>
            <color indexed="81"/>
            <rFont val="Tahoma"/>
            <family val="2"/>
          </rPr>
          <t xml:space="preserve">
Hannah update sandy number here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Anthony C Siniscal</author>
    <author>Cynthia F Baker</author>
    <author>Cameron Duff</author>
  </authors>
  <commentList>
    <comment ref="M7" authorId="0" shapeId="0" xr:uid="{32DF72FD-F82D-4846-B2E6-9867A3A3A495}">
      <text>
        <r>
          <rPr>
            <b/>
            <sz val="9"/>
            <color indexed="81"/>
            <rFont val="Tahoma"/>
            <family val="2"/>
          </rPr>
          <t>Anthony C Siniscal:</t>
        </r>
        <r>
          <rPr>
            <sz val="9"/>
            <color indexed="81"/>
            <rFont val="Tahoma"/>
            <family val="2"/>
          </rPr>
          <t xml:space="preserve">
This number changed in RMIS. It was previously 273,108</t>
        </r>
      </text>
    </comment>
    <comment ref="E52" authorId="1" shapeId="0" xr:uid="{CEEACCA9-F3A7-470C-B68A-BE7AEAD9F99F}">
      <text>
        <r>
          <rPr>
            <b/>
            <sz val="9"/>
            <color indexed="81"/>
            <rFont val="Tahoma"/>
            <family val="2"/>
          </rPr>
          <t>Cynthia F Baker:</t>
        </r>
        <r>
          <rPr>
            <sz val="9"/>
            <color indexed="81"/>
            <rFont val="Tahoma"/>
            <family val="2"/>
          </rPr>
          <t xml:space="preserve">
was 631,337 - 090619
was 443,942 RMIS = 443,055, FLR 155734 = 443,518; Gabe says use RMIS #</t>
        </r>
      </text>
    </comment>
    <comment ref="J67" authorId="1" shapeId="0" xr:uid="{86A11C5B-B1F7-467D-A1A0-571C8656F084}">
      <text>
        <r>
          <rPr>
            <b/>
            <sz val="9"/>
            <color indexed="81"/>
            <rFont val="Tahoma"/>
            <family val="2"/>
          </rPr>
          <t>Cynthia F Baker:</t>
        </r>
        <r>
          <rPr>
            <sz val="9"/>
            <color indexed="81"/>
            <rFont val="Tahoma"/>
            <family val="2"/>
          </rPr>
          <t xml:space="preserve">
was 747,057; 091027 FLR was correct; RMIS apparently corrected 4/14/22 - same as FLR (396,050)</t>
        </r>
      </text>
    </comment>
    <comment ref="E68" authorId="0" shapeId="0" xr:uid="{7FE283BC-D3E8-4675-9A26-8CEB06B8D043}">
      <text>
        <r>
          <rPr>
            <b/>
            <sz val="9"/>
            <color indexed="81"/>
            <rFont val="Tahoma"/>
            <family val="2"/>
          </rPr>
          <t>091155 - HMS has this number at 526,867 but the December 2019 RMIS run has this number at 526,866.
3/13/23 - changed to match RMIS as per Gabe</t>
        </r>
      </text>
    </comment>
    <comment ref="I68" authorId="0" shapeId="0" xr:uid="{8F62F654-755D-49F2-A23D-515EB1E0425B}">
      <text>
        <r>
          <rPr>
            <b/>
            <sz val="9"/>
            <color indexed="81"/>
            <rFont val="Tahoma"/>
            <family val="2"/>
          </rPr>
          <t>Anthony C Siniscal:</t>
        </r>
        <r>
          <rPr>
            <sz val="9"/>
            <color indexed="81"/>
            <rFont val="Tahoma"/>
            <family val="2"/>
          </rPr>
          <t xml:space="preserve">
Not yet reported in RMIS.
</t>
        </r>
        <r>
          <rPr>
            <b/>
            <sz val="9"/>
            <color indexed="81"/>
            <rFont val="Tahoma"/>
            <family val="2"/>
          </rPr>
          <t>Cameron Duff 1/2/20:</t>
        </r>
        <r>
          <rPr>
            <sz val="9"/>
            <color indexed="81"/>
            <rFont val="Tahoma"/>
            <family val="2"/>
          </rPr>
          <t xml:space="preserve">
It is now reported in RMIS</t>
        </r>
      </text>
    </comment>
    <comment ref="C71" authorId="0" shapeId="0" xr:uid="{6DCA9FA1-99A2-499A-A52A-2657DC8480E9}">
      <text>
        <r>
          <rPr>
            <b/>
            <sz val="9"/>
            <color indexed="81"/>
            <rFont val="Tahoma"/>
            <family val="2"/>
          </rPr>
          <t>12/19/23 CB - multiple corr was 487,419
Anthony C Siniscal:</t>
        </r>
        <r>
          <rPr>
            <sz val="9"/>
            <color indexed="81"/>
            <rFont val="Tahoma"/>
            <family val="2"/>
          </rPr>
          <t xml:space="preserve">
Values in RMIS havent been updated.
</t>
        </r>
        <r>
          <rPr>
            <b/>
            <sz val="9"/>
            <color indexed="81"/>
            <rFont val="Tahoma"/>
            <family val="2"/>
          </rPr>
          <t>Cameron Duff 1/2/20:</t>
        </r>
        <r>
          <rPr>
            <sz val="9"/>
            <color indexed="81"/>
            <rFont val="Tahoma"/>
            <family val="2"/>
          </rPr>
          <t xml:space="preserve">
Still doesn’t match CCF and HMIS.  RMIS has 198,622
CB 12/15/20 - was 487,415 but our db and HMS has 288,792.  CWT# 091158 is split between SFK and TP so can't compare</t>
        </r>
      </text>
    </comment>
    <comment ref="D71" authorId="2" shapeId="0" xr:uid="{D15F2972-B135-4304-8188-01C276C8463D}">
      <text>
        <r>
          <rPr>
            <b/>
            <sz val="9"/>
            <color indexed="81"/>
            <rFont val="Tahoma"/>
            <family val="2"/>
          </rPr>
          <t>Cameron Duff 1/2/20:</t>
        </r>
        <r>
          <rPr>
            <sz val="9"/>
            <color indexed="81"/>
            <rFont val="Tahoma"/>
            <family val="2"/>
          </rPr>
          <t xml:space="preserve">
Still doesn’t match ODFW and HMIS. RMIS has 1,764,704 which included both N Fk Klaskanine ane Klaskanine R.
CB 12/15/2020 - was 1,693,979 changed because this now matches both RMIS and HMS
12/19/13 CB was 1688946
see All SAFE Release for details</t>
        </r>
      </text>
    </comment>
    <comment ref="E71" authorId="2" shapeId="0" xr:uid="{050CAE12-9A4D-4C82-8906-3AEC02EADC05}">
      <text>
        <r>
          <rPr>
            <b/>
            <sz val="9"/>
            <color indexed="81"/>
            <rFont val="Tahoma"/>
            <family val="2"/>
          </rPr>
          <t>Cameron Duff 1/2/20:</t>
        </r>
        <r>
          <rPr>
            <sz val="9"/>
            <color indexed="81"/>
            <rFont val="Tahoma"/>
            <family val="2"/>
          </rPr>
          <t xml:space="preserve">
Still doesn’t match CCF and HMIS. RMIS has 556,056
CB 12/15/20 - this is the correct #; RMIS is missing two FLRs that are associated with 091151 but not tagged (182503, 182504)</t>
        </r>
      </text>
    </comment>
    <comment ref="J71" authorId="2" shapeId="0" xr:uid="{27AF25D6-CD3D-4D4E-97D8-E6526981BE46}">
      <text>
        <r>
          <rPr>
            <b/>
            <sz val="9"/>
            <color indexed="81"/>
            <rFont val="Tahoma"/>
            <family val="2"/>
          </rPr>
          <t>Cameron Duff 1/2/20:</t>
        </r>
        <r>
          <rPr>
            <sz val="9"/>
            <color indexed="81"/>
            <rFont val="Tahoma"/>
            <family val="2"/>
          </rPr>
          <t xml:space="preserve">
Still doesn’t match CCF and HMIS. RMIS has 1,140,524
CB 12/15/20 - it won't match with RMIS 091158 was released in TP and SFK
you had 922,455 and I had one more fish</t>
        </r>
      </text>
    </comment>
    <comment ref="D72" authorId="2" shapeId="0" xr:uid="{D6814601-AA09-4646-AABF-6026C8DEAA7C}">
      <text>
        <r>
          <rPr>
            <b/>
            <sz val="9"/>
            <color indexed="81"/>
            <rFont val="Tahoma"/>
            <family val="2"/>
          </rPr>
          <t>Cameron Duff 1/2/20:</t>
        </r>
        <r>
          <rPr>
            <sz val="9"/>
            <color indexed="81"/>
            <rFont val="Tahoma"/>
            <family val="2"/>
          </rPr>
          <t xml:space="preserve">
Still doesn’t match ODFW and HMIS. RMIS has 0 reported.
CB 12/15/20 none are cwt so not in RMIS - ok</t>
        </r>
      </text>
    </comment>
    <comment ref="E72" authorId="2" shapeId="0" xr:uid="{B85149DF-F19C-461E-842B-244B610909A0}">
      <text>
        <r>
          <rPr>
            <b/>
            <sz val="9"/>
            <color indexed="81"/>
            <rFont val="Tahoma"/>
            <family val="2"/>
          </rPr>
          <t>Cameron Duff 1/2/20:</t>
        </r>
        <r>
          <rPr>
            <sz val="9"/>
            <color indexed="81"/>
            <rFont val="Tahoma"/>
            <family val="2"/>
          </rPr>
          <t xml:space="preserve">
Still doesn’t match CCF and HMIS. RMIS has 1,027,795
CB 12/16/2020 - RMIS has 918,739 on 3 tag codes but missing 49,487 release with no cwt.  The number in this cell matches All Release database</t>
        </r>
      </text>
    </comment>
    <comment ref="J72" authorId="1" shapeId="0" xr:uid="{FF5D0E5D-92EF-4DC2-9B41-51363C6F99DC}">
      <text>
        <r>
          <rPr>
            <b/>
            <sz val="9"/>
            <color indexed="81"/>
            <rFont val="Tahoma"/>
            <family val="2"/>
          </rPr>
          <t>Cynthia F Baker:</t>
        </r>
        <r>
          <rPr>
            <sz val="9"/>
            <color indexed="81"/>
            <rFont val="Tahoma"/>
            <family val="2"/>
          </rPr>
          <t xml:space="preserve">
was 419,608 RMIS has 419,608</t>
        </r>
      </text>
    </comment>
    <comment ref="K72" authorId="2" shapeId="0" xr:uid="{E24D080D-D83F-4BB7-8471-6DCD8EEE7916}">
      <text>
        <r>
          <rPr>
            <b/>
            <sz val="9"/>
            <color indexed="81"/>
            <rFont val="Tahoma"/>
            <family val="2"/>
          </rPr>
          <t>Cameron Duff:</t>
        </r>
        <r>
          <rPr>
            <sz val="9"/>
            <color indexed="81"/>
            <rFont val="Tahoma"/>
            <family val="2"/>
          </rPr>
          <t xml:space="preserve">
Released in 2018 as subyearling. Added 1/7/20 by CD.</t>
        </r>
      </text>
    </comment>
    <comment ref="E75" authorId="1" shapeId="0" xr:uid="{A4CEF4D5-D6D3-497B-AFE9-85CA9DCE73A7}">
      <text>
        <r>
          <rPr>
            <b/>
            <sz val="9"/>
            <color indexed="81"/>
            <rFont val="Tahoma"/>
            <family val="2"/>
          </rPr>
          <t>Cynthia F Baker:</t>
        </r>
        <r>
          <rPr>
            <sz val="9"/>
            <color indexed="81"/>
            <rFont val="Tahoma"/>
            <family val="2"/>
          </rPr>
          <t xml:space="preserve">
changed 12/29 as per RMIS #</t>
        </r>
      </text>
    </comment>
    <comment ref="D76" authorId="1" shapeId="0" xr:uid="{A905B766-F07E-4B50-B5A4-B6F3FD534B67}">
      <text>
        <r>
          <rPr>
            <b/>
            <sz val="9"/>
            <color indexed="81"/>
            <rFont val="Tahoma"/>
            <family val="2"/>
          </rPr>
          <t>Cynthia F Baker:</t>
        </r>
        <r>
          <rPr>
            <sz val="9"/>
            <color indexed="81"/>
            <rFont val="Tahoma"/>
            <family val="2"/>
          </rPr>
          <t xml:space="preserve">
was 235,655 but updated during 2022 validation - Cynthia F Baker:
RMIS = 69,135 but should include additional 166,320 !05NT2726 &amp; !05NT2683</t>
        </r>
      </text>
    </comment>
    <comment ref="D77" authorId="1" shapeId="0" xr:uid="{263CEDB6-37FE-4AE9-BC71-AD568EBAECA0}">
      <text>
        <r>
          <rPr>
            <b/>
            <sz val="9"/>
            <color indexed="81"/>
            <rFont val="Tahoma"/>
            <family val="2"/>
          </rPr>
          <t>Cynthia F Baker:</t>
        </r>
        <r>
          <rPr>
            <sz val="9"/>
            <color indexed="81"/>
            <rFont val="Tahoma"/>
            <family val="2"/>
          </rPr>
          <t xml:space="preserve">
was 398,347
# confirmed by ODFW 7/2020
3/1/23 - Gabe said go with RMIS #</t>
        </r>
      </text>
    </comment>
    <comment ref="D80" authorId="1" shapeId="0" xr:uid="{6F7322ED-3BFF-46F8-A621-A2F21864E601}">
      <text>
        <r>
          <rPr>
            <b/>
            <sz val="9"/>
            <color indexed="81"/>
            <rFont val="Tahoma"/>
            <family val="2"/>
          </rPr>
          <t>Cynthia F Baker:</t>
        </r>
        <r>
          <rPr>
            <sz val="9"/>
            <color indexed="81"/>
            <rFont val="Tahoma"/>
            <family val="2"/>
          </rPr>
          <t xml:space="preserve">
was 493,518
changed 2/27/23 to match RMIS as per Gabe - 2 FLRs, 2 sites 091481/!05NT2771</t>
        </r>
      </text>
    </comment>
    <comment ref="F80" authorId="1" shapeId="0" xr:uid="{6634F9CF-F03B-40D1-A0BD-982907FC0922}">
      <text>
        <r>
          <rPr>
            <b/>
            <sz val="9"/>
            <color indexed="81"/>
            <rFont val="Tahoma"/>
            <family val="2"/>
          </rPr>
          <t>Cynthia F Baker:</t>
        </r>
        <r>
          <rPr>
            <sz val="9"/>
            <color indexed="81"/>
            <rFont val="Tahoma"/>
            <family val="2"/>
          </rPr>
          <t xml:space="preserve">
was 247,266 - 091465 and !05NT2771 were changed 2/27/23 as per Gabe; 12/19/23 - removed NT code !05NT2773 (error in RMIS BY 2020 not 2019 )
was 268,244</t>
        </r>
      </text>
    </comment>
    <comment ref="I80" authorId="1" shapeId="0" xr:uid="{50B407F5-CAFD-4187-B6BA-530DD399F7C6}">
      <text>
        <r>
          <rPr>
            <b/>
            <sz val="9"/>
            <color indexed="81"/>
            <rFont val="Tahoma"/>
            <family val="2"/>
          </rPr>
          <t>Cynthia F Baker:</t>
        </r>
        <r>
          <rPr>
            <sz val="9"/>
            <color indexed="81"/>
            <rFont val="Tahoma"/>
            <family val="2"/>
          </rPr>
          <t xml:space="preserve">
was 630,665 2/27/23 changed to RMIS # as per Gabe</t>
        </r>
      </text>
    </comment>
    <comment ref="F83" authorId="1" shapeId="0" xr:uid="{E2E4BC7E-260D-4E51-B9DA-53A734791DCF}">
      <text>
        <r>
          <rPr>
            <b/>
            <sz val="9"/>
            <color indexed="81"/>
            <rFont val="Tahoma"/>
            <family val="2"/>
          </rPr>
          <t>Cynthia F Baker:</t>
        </r>
        <r>
          <rPr>
            <sz val="9"/>
            <color indexed="81"/>
            <rFont val="Tahoma"/>
            <family val="2"/>
          </rPr>
          <t xml:space="preserve">
was 747,509 - 180183&amp;7 = 751,013; RMIS = 751,019 - Gabe says use RMIS #
</t>
        </r>
      </text>
    </comment>
    <comment ref="F84" authorId="1" shapeId="0" xr:uid="{90999904-183F-4B79-B8AD-6C2054FF3F8C}">
      <text>
        <r>
          <rPr>
            <b/>
            <sz val="9"/>
            <color indexed="81"/>
            <rFont val="Tahoma"/>
            <family val="2"/>
          </rPr>
          <t>Cynthia F Baker:</t>
        </r>
        <r>
          <rPr>
            <sz val="9"/>
            <color indexed="81"/>
            <rFont val="Tahoma"/>
            <family val="2"/>
          </rPr>
          <t xml:space="preserve">
was 281,227
 RMIS says 251,366  for 091519 - not 251,364 as in FLR 180192 (Gabe approved 251,366 6/14/23)
NT2773 was listed in RMIS as BY2019 but is really 2020 (FLR 180191).  I asked Gabe to correct in RMIS</t>
        </r>
      </text>
    </comment>
    <comment ref="J84" authorId="1" shapeId="0" xr:uid="{ACD43E2B-C799-449C-BE23-08DA9886DD9F}">
      <text>
        <r>
          <rPr>
            <b/>
            <sz val="9"/>
            <color indexed="81"/>
            <rFont val="Tahoma"/>
            <family val="2"/>
          </rPr>
          <t>Cynthia F Baker:</t>
        </r>
        <r>
          <rPr>
            <sz val="9"/>
            <color indexed="81"/>
            <rFont val="Tahoma"/>
            <family val="2"/>
          </rPr>
          <t xml:space="preserve">
was 397,487 not sure source of error</t>
        </r>
      </text>
    </comment>
    <comment ref="K87" authorId="1" shapeId="0" xr:uid="{7B781842-3EBA-48B0-93C6-CB88805C6685}">
      <text>
        <r>
          <rPr>
            <b/>
            <sz val="9"/>
            <color indexed="81"/>
            <rFont val="Tahoma"/>
            <family val="2"/>
          </rPr>
          <t>Cynthia F Baker:</t>
        </r>
        <r>
          <rPr>
            <sz val="9"/>
            <color indexed="81"/>
            <rFont val="Tahoma"/>
            <family val="2"/>
          </rPr>
          <t xml:space="preserve">
was 319,272
</t>
        </r>
      </text>
    </comment>
    <comment ref="D88" authorId="1" shapeId="0" xr:uid="{B65355C1-FCA0-40D9-A027-6F51DD0C0693}">
      <text>
        <r>
          <rPr>
            <b/>
            <sz val="9"/>
            <color indexed="81"/>
            <rFont val="Tahoma"/>
            <family val="2"/>
          </rPr>
          <t>Cynthia F Baker:</t>
        </r>
        <r>
          <rPr>
            <sz val="9"/>
            <color indexed="81"/>
            <rFont val="Tahoma"/>
            <family val="2"/>
          </rPr>
          <t xml:space="preserve">
this could change by 1 - Gabe is reviewing</t>
        </r>
      </text>
    </comment>
    <comment ref="T88" authorId="1" shapeId="0" xr:uid="{F87AC7B2-40FF-4F94-B51D-8B43449259E0}">
      <text>
        <r>
          <rPr>
            <b/>
            <sz val="9"/>
            <color indexed="81"/>
            <rFont val="Tahoma"/>
            <family val="2"/>
          </rPr>
          <t>Cynthia F Baker:</t>
        </r>
        <r>
          <rPr>
            <sz val="9"/>
            <color indexed="81"/>
            <rFont val="Tahoma"/>
            <family val="2"/>
          </rPr>
          <t xml:space="preserve">
this could change by 1 - Gabe is reviewing</t>
        </r>
      </text>
    </comment>
    <comment ref="T92" authorId="1" shapeId="0" xr:uid="{BAFADA40-57F3-4E43-A5C2-5961A7DFA0C6}">
      <text>
        <r>
          <rPr>
            <b/>
            <sz val="9"/>
            <color indexed="81"/>
            <rFont val="Tahoma"/>
            <family val="2"/>
          </rPr>
          <t>Cynthia F Baker:</t>
        </r>
        <r>
          <rPr>
            <sz val="9"/>
            <color indexed="81"/>
            <rFont val="Tahoma"/>
            <family val="2"/>
          </rPr>
          <t xml:space="preserve">
12/17/25 was 487,735 Gabe adjusted 12/9/25</t>
        </r>
      </text>
    </comment>
    <comment ref="Z92" authorId="1" shapeId="0" xr:uid="{F8498761-B414-49A7-8848-AB32BBF92A02}">
      <text>
        <r>
          <rPr>
            <b/>
            <sz val="9"/>
            <color indexed="81"/>
            <rFont val="Tahoma"/>
            <family val="2"/>
          </rPr>
          <t>Cynthia F Baker:</t>
        </r>
        <r>
          <rPr>
            <sz val="9"/>
            <color indexed="81"/>
            <rFont val="Tahoma"/>
            <family val="2"/>
          </rPr>
          <t xml:space="preserve">
12/17/2025 was 475,896 Gabe adjusted 12/9/25</t>
        </r>
      </text>
    </comment>
    <comment ref="AA92" authorId="1" shapeId="0" xr:uid="{85B4FE3A-EB40-4341-9614-7A276318FCCD}">
      <text>
        <r>
          <rPr>
            <b/>
            <sz val="9"/>
            <color indexed="81"/>
            <rFont val="Tahoma"/>
            <family val="2"/>
          </rPr>
          <t>Cynthia F Baker:</t>
        </r>
        <r>
          <rPr>
            <sz val="9"/>
            <color indexed="81"/>
            <rFont val="Tahoma"/>
            <family val="2"/>
          </rPr>
          <t xml:space="preserve">
12/17/2025 was 220,657
Shane updated</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Cynthia F Baker</author>
  </authors>
  <commentList>
    <comment ref="B22" authorId="0" shapeId="0" xr:uid="{739AA75C-E701-42CD-8821-173184214A05}">
      <text>
        <r>
          <rPr>
            <b/>
            <sz val="9"/>
            <color indexed="81"/>
            <rFont val="Tahoma"/>
            <family val="2"/>
          </rPr>
          <t>Cynthia F Baker:</t>
        </r>
        <r>
          <rPr>
            <sz val="9"/>
            <color indexed="81"/>
            <rFont val="Tahoma"/>
            <family val="2"/>
          </rPr>
          <t xml:space="preserve">
was 20,751 changed 12/20/23</t>
        </r>
      </text>
    </comment>
    <comment ref="E22" authorId="0" shapeId="0" xr:uid="{99216CFC-5C3C-41BF-8D8C-187562435A49}">
      <text>
        <r>
          <rPr>
            <b/>
            <sz val="9"/>
            <color indexed="81"/>
            <rFont val="Tahoma"/>
            <family val="2"/>
          </rPr>
          <t>Cynthia F Baker:</t>
        </r>
        <r>
          <rPr>
            <sz val="9"/>
            <color indexed="81"/>
            <rFont val="Tahoma"/>
            <family val="2"/>
          </rPr>
          <t xml:space="preserve">
error found 1/27/23 changed from 415</t>
        </r>
      </text>
    </comment>
    <comment ref="B23" authorId="0" shapeId="0" xr:uid="{CD5E1549-5A6C-4FD2-B77E-9D1F53D01238}">
      <text>
        <r>
          <rPr>
            <b/>
            <sz val="9"/>
            <color indexed="81"/>
            <rFont val="Tahoma"/>
            <family val="2"/>
          </rPr>
          <t>Cynthia F Baker:</t>
        </r>
        <r>
          <rPr>
            <sz val="9"/>
            <color indexed="81"/>
            <rFont val="Tahoma"/>
            <family val="2"/>
          </rPr>
          <t xml:space="preserve">
was 8,751 changed 12/20/23; landings db also corrected
https://www.dfw.state.or.us/fish/OSCRP/CRM/landings/11%20FINAL/2011_SAFE_WIN-SPR-SUM_Combnd_Landing_Sum_FINAL_11-12-19.pdf</t>
        </r>
      </text>
    </comment>
    <comment ref="B26" authorId="0" shapeId="0" xr:uid="{A3E0703A-1D19-49D6-AEED-CDAE4BD7DF51}">
      <text>
        <r>
          <rPr>
            <b/>
            <sz val="9"/>
            <color indexed="81"/>
            <rFont val="Tahoma"/>
            <family val="2"/>
          </rPr>
          <t>Cynthia F Baker:</t>
        </r>
        <r>
          <rPr>
            <sz val="9"/>
            <color indexed="81"/>
            <rFont val="Tahoma"/>
            <family val="2"/>
          </rPr>
          <t xml:space="preserve">
12/19/23 changed from 4,034</t>
        </r>
      </text>
    </comment>
    <comment ref="H29" authorId="0" shapeId="0" xr:uid="{1F83C33D-75D8-445A-BDBE-6957B0D836DC}">
      <text>
        <r>
          <rPr>
            <b/>
            <sz val="9"/>
            <color indexed="81"/>
            <rFont val="Tahoma"/>
            <family val="2"/>
          </rPr>
          <t>Cynthia F Baker:</t>
        </r>
        <r>
          <rPr>
            <sz val="9"/>
            <color indexed="81"/>
            <rFont val="Tahoma"/>
            <family val="2"/>
          </rPr>
          <t xml:space="preserve">
was 1781 12/20/23 corr from sportHarv DB</t>
        </r>
      </text>
    </comment>
    <comment ref="H30" authorId="0" shapeId="0" xr:uid="{79B99859-B280-4B9F-95C9-2A895190CE94}">
      <text>
        <r>
          <rPr>
            <b/>
            <sz val="9"/>
            <color indexed="81"/>
            <rFont val="Tahoma"/>
            <family val="2"/>
          </rPr>
          <t>Cynthia F Baker 12/27/19:email from C.Duff "676 is the total sport punchcard estimate for Chinook in the Select Areas in 2018"</t>
        </r>
        <r>
          <rPr>
            <sz val="9"/>
            <color indexed="81"/>
            <rFont val="Tahoma"/>
            <family val="2"/>
          </rPr>
          <t xml:space="preserve">
11/9/2021 see downloaded data from AHR007 update to 682</t>
        </r>
      </text>
    </comment>
    <comment ref="B31" authorId="0" shapeId="0" xr:uid="{604C2AB2-646F-486C-A3CC-E9DB2A27A200}">
      <text>
        <r>
          <rPr>
            <b/>
            <sz val="9"/>
            <color indexed="81"/>
            <rFont val="Tahoma"/>
            <family val="2"/>
          </rPr>
          <t>Cynthia F Baker:</t>
        </r>
        <r>
          <rPr>
            <sz val="9"/>
            <color indexed="81"/>
            <rFont val="Tahoma"/>
            <family val="2"/>
          </rPr>
          <t xml:space="preserve">
this was updated https://www.dfw.state.or.us/fish/OSCRP/CRM/landings/19%20FINAL/2019_SAFE_WIN-SPR-SUM_combnd_landing_Summ_2019_FINAL_10-21-19.pdf</t>
        </r>
      </text>
    </comment>
    <comment ref="D31" authorId="0" shapeId="0" xr:uid="{6B169D43-B119-4221-80C6-639876F1096D}">
      <text>
        <r>
          <rPr>
            <b/>
            <sz val="9"/>
            <color indexed="81"/>
            <rFont val="Tahoma"/>
            <family val="2"/>
          </rPr>
          <t>Cynthia F Baker:</t>
        </r>
        <r>
          <rPr>
            <sz val="9"/>
            <color indexed="81"/>
            <rFont val="Tahoma"/>
            <family val="2"/>
          </rPr>
          <t xml:space="preserve">
changed 12/29/20 - 
in landings db - 3/1/2020 update from 374 to 386 during spring for CHS</t>
        </r>
      </text>
    </comment>
    <comment ref="H31" authorId="0" shapeId="0" xr:uid="{83B04D0E-DCA2-482A-8AFD-0717FD67AE52}">
      <text>
        <r>
          <rPr>
            <b/>
            <sz val="9"/>
            <color indexed="81"/>
            <rFont val="Tahoma"/>
            <family val="2"/>
          </rPr>
          <t>Cynthia F Baker:</t>
        </r>
        <r>
          <rPr>
            <sz val="9"/>
            <color indexed="81"/>
            <rFont val="Tahoma"/>
            <family val="2"/>
          </rPr>
          <t xml:space="preserve">
was 136 but corrected from data Michelle Jones sent 11/8/2021 (but 172); 12/20/23 corr from sportHarv DB</t>
        </r>
      </text>
    </comment>
    <comment ref="H32" authorId="0" shapeId="0" xr:uid="{8CA15A2A-282C-4B3E-ACCA-68A8967A6ED8}">
      <text>
        <r>
          <rPr>
            <b/>
            <sz val="9"/>
            <color indexed="81"/>
            <rFont val="Tahoma"/>
            <family val="2"/>
          </rPr>
          <t>Cynthia F Baker:</t>
        </r>
        <r>
          <rPr>
            <sz val="9"/>
            <color indexed="81"/>
            <rFont val="Tahoma"/>
            <family val="2"/>
          </rPr>
          <t xml:space="preserve">
from data Michelle Jones sent 11/8/2021</t>
        </r>
      </text>
    </comment>
    <comment ref="H33" authorId="0" shapeId="0" xr:uid="{B55AFFE7-3D12-4EED-A9E5-B73FAF4933D4}">
      <text>
        <r>
          <rPr>
            <b/>
            <sz val="9"/>
            <color indexed="81"/>
            <rFont val="Tahoma"/>
            <family val="2"/>
          </rPr>
          <t>Cynthia F Baker:</t>
        </r>
        <r>
          <rPr>
            <sz val="9"/>
            <color indexed="81"/>
            <rFont val="Tahoma"/>
            <family val="2"/>
          </rPr>
          <t xml:space="preserve">
was 462 - corrected to 995
10/20/2023 - should have been corrected to 1143 Jan-July</t>
        </r>
      </text>
    </comment>
    <comment ref="H34" authorId="0" shapeId="0" xr:uid="{66AE97AC-EF2C-4FE4-BFC1-A2B726A59B54}">
      <text>
        <r>
          <rPr>
            <b/>
            <sz val="9"/>
            <color indexed="81"/>
            <rFont val="Tahoma"/>
            <family val="2"/>
          </rPr>
          <t>Cynthia F Baker:</t>
        </r>
        <r>
          <rPr>
            <sz val="9"/>
            <color indexed="81"/>
            <rFont val="Tahoma"/>
            <family val="2"/>
          </rPr>
          <t xml:space="preserve">
was 2170 corr 11/15/23 CB</t>
        </r>
      </text>
    </comment>
    <comment ref="H35" authorId="0" shapeId="0" xr:uid="{BB2F6819-4625-45EF-B5D7-20AD105B4B67}">
      <text>
        <r>
          <rPr>
            <b/>
            <sz val="9"/>
            <color indexed="81"/>
            <rFont val="Tahoma"/>
            <family val="2"/>
          </rPr>
          <t>Cynthia F Baker:</t>
        </r>
        <r>
          <rPr>
            <sz val="9"/>
            <color indexed="81"/>
            <rFont val="Tahoma"/>
            <family val="2"/>
          </rPr>
          <t xml:space="preserve">
was 3,568</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Cameron Duff</author>
  </authors>
  <commentList>
    <comment ref="C2" authorId="0" shapeId="0" xr:uid="{10A38BEF-20E1-4CDA-9FB4-133B49782C2D}">
      <text>
        <r>
          <rPr>
            <b/>
            <sz val="9"/>
            <color indexed="81"/>
            <rFont val="Tahoma"/>
            <family val="2"/>
          </rPr>
          <t>Cameron Duff:</t>
        </r>
        <r>
          <rPr>
            <sz val="9"/>
            <color indexed="81"/>
            <rFont val="Tahoma"/>
            <family val="2"/>
          </rPr>
          <t xml:space="preserve">
Found error that SAB values did not include 3 year old adults from 1992-2019.  I fixed it 1/25/22.</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Hannah M Moore</author>
    <author>John North</author>
  </authors>
  <commentList>
    <comment ref="K2" authorId="0" shapeId="0" xr:uid="{545056C5-8487-4CCB-A659-A7A8D174F672}">
      <text>
        <r>
          <rPr>
            <b/>
            <sz val="9"/>
            <color indexed="81"/>
            <rFont val="Tahoma"/>
            <family val="2"/>
          </rPr>
          <t>Hannah M Moore:
2023 numbers not used due to early closure</t>
        </r>
      </text>
    </comment>
    <comment ref="P3" authorId="1" shapeId="0" xr:uid="{1266B292-3475-4E0F-BE17-F03CCC71F661}">
      <text>
        <r>
          <rPr>
            <b/>
            <sz val="9"/>
            <color indexed="81"/>
            <rFont val="Tahoma"/>
            <family val="2"/>
          </rPr>
          <t>John North:</t>
        </r>
        <r>
          <rPr>
            <sz val="9"/>
            <color indexed="81"/>
            <rFont val="Tahoma"/>
            <family val="2"/>
          </rPr>
          <t xml:space="preserve">
Wasn't sure what to use  for 2020 expectations
</t>
        </r>
      </text>
    </comment>
    <comment ref="W4" authorId="1" shapeId="0" xr:uid="{D91F8133-FA93-4FEA-97A0-6FAB1D5B7626}">
      <text>
        <r>
          <rPr>
            <b/>
            <sz val="9"/>
            <color indexed="81"/>
            <rFont val="Tahoma"/>
            <family val="2"/>
          </rPr>
          <t>John North:</t>
        </r>
        <r>
          <rPr>
            <sz val="9"/>
            <color indexed="81"/>
            <rFont val="Tahoma"/>
            <family val="2"/>
          </rPr>
          <t xml:space="preserve">
Didn't want to use 2017 in expectations
</t>
        </r>
      </text>
    </comment>
    <comment ref="G5" authorId="1" shapeId="0" xr:uid="{63C28A80-793A-4267-A2ED-4B6951FB3BAF}">
      <text>
        <r>
          <rPr>
            <b/>
            <sz val="9"/>
            <color indexed="81"/>
            <rFont val="Tahoma"/>
            <family val="2"/>
          </rPr>
          <t>John North:</t>
        </r>
        <r>
          <rPr>
            <sz val="9"/>
            <color indexed="81"/>
            <rFont val="Tahoma"/>
            <family val="2"/>
          </rPr>
          <t xml:space="preserve">
UPC Wanapum at 0.18% was higher than SR</t>
        </r>
      </text>
    </comment>
    <comment ref="P7" authorId="1" shapeId="0" xr:uid="{4934B0B9-7714-451B-833C-E6CF17AFC7D7}">
      <text>
        <r>
          <rPr>
            <b/>
            <sz val="9"/>
            <color indexed="81"/>
            <rFont val="Tahoma"/>
            <family val="2"/>
          </rPr>
          <t>John North:</t>
        </r>
        <r>
          <rPr>
            <sz val="9"/>
            <color indexed="81"/>
            <rFont val="Tahoma"/>
            <family val="2"/>
          </rPr>
          <t xml:space="preserve">
Wasn't sure what to use  for 2020 expectations
</t>
        </r>
      </text>
    </comment>
    <comment ref="AG18" authorId="1" shapeId="0" xr:uid="{8A1632F3-00E4-4E14-9EEF-C04263946413}">
      <text>
        <r>
          <rPr>
            <b/>
            <sz val="9"/>
            <color indexed="81"/>
            <rFont val="Tahoma"/>
            <family val="2"/>
          </rPr>
          <t>John North:</t>
        </r>
        <r>
          <rPr>
            <sz val="9"/>
            <color indexed="81"/>
            <rFont val="Tahoma"/>
            <family val="2"/>
          </rPr>
          <t xml:space="preserve">
Used this average since SOK rtention may be allowed in 2020</t>
        </r>
      </text>
    </comment>
    <comment ref="B28" authorId="1" shapeId="0" xr:uid="{BB7355E2-E1E4-4EDD-9BFE-55C83EEB1411}">
      <text>
        <r>
          <rPr>
            <b/>
            <sz val="9"/>
            <color indexed="81"/>
            <rFont val="Tahoma"/>
            <family val="2"/>
          </rPr>
          <t>John North:</t>
        </r>
        <r>
          <rPr>
            <sz val="9"/>
            <color indexed="81"/>
            <rFont val="Tahoma"/>
            <family val="2"/>
          </rPr>
          <t xml:space="preserve">
Included seine reearch so did not use</t>
        </r>
      </text>
    </comment>
  </commentList>
</comments>
</file>

<file path=xl/sharedStrings.xml><?xml version="1.0" encoding="utf-8"?>
<sst xmlns="http://schemas.openxmlformats.org/spreadsheetml/2006/main" count="6384" uniqueCount="1780">
  <si>
    <t>Group 1 due date:</t>
  </si>
  <si>
    <t>Group 2 due date:</t>
  </si>
  <si>
    <t>Table #</t>
  </si>
  <si>
    <t>Lead</t>
  </si>
  <si>
    <t>Group 1</t>
  </si>
  <si>
    <t>Group 2</t>
  </si>
  <si>
    <t>ODFW (Moore)</t>
  </si>
  <si>
    <t>X</t>
  </si>
  <si>
    <t>ODFW (Ollerenshaw)</t>
  </si>
  <si>
    <t>5add</t>
  </si>
  <si>
    <t>WDFW (Lothrop)</t>
  </si>
  <si>
    <t>11a&amp;b</t>
  </si>
  <si>
    <t>WDFW (Sorel)</t>
  </si>
  <si>
    <t>JW: prior run year final reconstruction should be available from A. Byrne IDFG by mid-Dec, prelim estimate for current run year in January.</t>
  </si>
  <si>
    <t>WDFW/ODFW (Daugherty/Moore)</t>
  </si>
  <si>
    <t>ODFW (Reagan)</t>
  </si>
  <si>
    <t>ODFW (Morgan)</t>
  </si>
  <si>
    <t>JW: timeseries (start in '05) needs to be double checked for consistency with landings posted on web; web should represent final, most accurate estimates. If any of these these table numbers are the best estimate, they should be flagged to indicate they should stay in.</t>
  </si>
  <si>
    <t>ODFW (Watts)</t>
  </si>
  <si>
    <t>WDFW (Lothrop/Trump)</t>
  </si>
  <si>
    <t>WDFW (Deacy)</t>
  </si>
  <si>
    <t>ODFW (Duff)</t>
  </si>
  <si>
    <t>CRITFC (Ellis)</t>
  </si>
  <si>
    <t>links to T35</t>
  </si>
  <si>
    <t>JW: question for CRITFC has not been addressed</t>
  </si>
  <si>
    <t>Table 1. Minimum Adult Spring Chinook Run Entering the Columbia River, 1980-</t>
  </si>
  <si>
    <t>CRC estimate status</t>
  </si>
  <si>
    <t>RANK</t>
  </si>
  <si>
    <t>Year</t>
  </si>
  <si>
    <r>
      <t>Select Areas</t>
    </r>
    <r>
      <rPr>
        <i/>
        <vertAlign val="superscript"/>
        <sz val="10"/>
        <rFont val="Times New Roman"/>
        <family val="1"/>
      </rPr>
      <t>2</t>
    </r>
  </si>
  <si>
    <t xml:space="preserve">Cowlitz River </t>
  </si>
  <si>
    <t xml:space="preserve">Kalama River </t>
  </si>
  <si>
    <t xml:space="preserve">Lewis River </t>
  </si>
  <si>
    <t xml:space="preserve">Sandy River </t>
  </si>
  <si>
    <r>
      <t>Willamette River</t>
    </r>
    <r>
      <rPr>
        <vertAlign val="superscript"/>
        <sz val="10"/>
        <rFont val="Times New Roman"/>
        <family val="1"/>
      </rPr>
      <t>3</t>
    </r>
    <r>
      <rPr>
        <sz val="10"/>
        <rFont val="Times New Roman"/>
        <family val="1"/>
      </rPr>
      <t xml:space="preserve"> </t>
    </r>
  </si>
  <si>
    <r>
      <t>Upriver Run</t>
    </r>
    <r>
      <rPr>
        <i/>
        <vertAlign val="superscript"/>
        <sz val="10"/>
        <rFont val="Times New Roman"/>
        <family val="1"/>
      </rPr>
      <t>4</t>
    </r>
    <r>
      <rPr>
        <vertAlign val="superscript"/>
        <sz val="10"/>
        <rFont val="Times New Roman"/>
        <family val="1"/>
      </rPr>
      <t xml:space="preserve"> </t>
    </r>
  </si>
  <si>
    <t>Total</t>
  </si>
  <si>
    <t>C</t>
  </si>
  <si>
    <t>K</t>
  </si>
  <si>
    <t>L</t>
  </si>
  <si>
    <t>S</t>
  </si>
  <si>
    <t>Prop Upriver</t>
  </si>
  <si>
    <t>CKLS</t>
  </si>
  <si>
    <t>CKLS+Safe</t>
  </si>
  <si>
    <t>CKL Only</t>
  </si>
  <si>
    <t>year</t>
  </si>
  <si>
    <t xml:space="preserve">TTL </t>
  </si>
  <si>
    <t>Rank</t>
  </si>
  <si>
    <t>--</t>
  </si>
  <si>
    <t>F</t>
  </si>
  <si>
    <t>1980-84 Ave.</t>
  </si>
  <si>
    <t>Select Area Origin CHS in SAFE Commercial</t>
  </si>
  <si>
    <t>SAFE Recreational Catch</t>
  </si>
  <si>
    <t>total lower river stocks (w/o Select Area fish)</t>
  </si>
  <si>
    <t>1985-89 Ave.</t>
  </si>
  <si>
    <t>P</t>
  </si>
  <si>
    <t>NA</t>
  </si>
  <si>
    <t>1980s Ave</t>
  </si>
  <si>
    <t>Min</t>
  </si>
  <si>
    <t>Max</t>
  </si>
  <si>
    <t>1990s Ave</t>
  </si>
  <si>
    <t>2000s Ave</t>
  </si>
  <si>
    <t>2010s Ave</t>
  </si>
  <si>
    <t>10-yr ave(y-1)</t>
  </si>
  <si>
    <t>2026 Forecast</t>
  </si>
  <si>
    <t>XX</t>
  </si>
  <si>
    <t>10X</t>
  </si>
  <si>
    <t>Forecast is</t>
  </si>
  <si>
    <t>of 10X</t>
  </si>
  <si>
    <t>of last year</t>
  </si>
  <si>
    <r>
      <t>Table 1.  Minimum adult spring Chinook run entering the Columbia River, 1990–2025.</t>
    </r>
    <r>
      <rPr>
        <i/>
        <vertAlign val="superscript"/>
        <sz val="12"/>
        <rFont val="Times New Roman"/>
        <family val="1"/>
      </rPr>
      <t>1</t>
    </r>
  </si>
  <si>
    <t xml:space="preserve">Lewis                          River </t>
  </si>
  <si>
    <t xml:space="preserve">Sandy                          River </t>
  </si>
  <si>
    <r>
      <t>Willamette River</t>
    </r>
    <r>
      <rPr>
        <i/>
        <vertAlign val="superscript"/>
        <sz val="10"/>
        <rFont val="Times New Roman"/>
        <family val="1"/>
      </rPr>
      <t>3</t>
    </r>
    <r>
      <rPr>
        <i/>
        <sz val="10"/>
        <rFont val="Times New Roman"/>
        <family val="1"/>
      </rPr>
      <t xml:space="preserve"> </t>
    </r>
  </si>
  <si>
    <r>
      <t>Upriver Run</t>
    </r>
    <r>
      <rPr>
        <i/>
        <vertAlign val="superscript"/>
        <sz val="10"/>
        <rFont val="Times New Roman"/>
        <family val="1"/>
      </rPr>
      <t xml:space="preserve">4 </t>
    </r>
  </si>
  <si>
    <t>1980-84 Avg.</t>
  </si>
  <si>
    <t>1985-89 Avg.</t>
  </si>
  <si>
    <t>1990-94 Avg.</t>
  </si>
  <si>
    <t>1995-99 Avg.</t>
  </si>
  <si>
    <t>2000-04 Avg.</t>
  </si>
  <si>
    <t>2005-09 Avg.</t>
  </si>
  <si>
    <t>2010-14 Avg.</t>
  </si>
  <si>
    <t>2015-19 Avg.</t>
  </si>
  <si>
    <r>
      <rPr>
        <i/>
        <vertAlign val="superscript"/>
        <sz val="12"/>
        <rFont val="Times New Roman"/>
        <family val="1"/>
      </rPr>
      <t>1</t>
    </r>
    <r>
      <rPr>
        <i/>
        <sz val="12"/>
        <rFont val="Times New Roman"/>
        <family val="1"/>
      </rPr>
      <t>Tributary run sizes prior to 2018 are to the tributary mouth only and include hatchery returns or dam counts, recreational catch estimates, and estimates of natural spawning populations. Willamette return is to the Columbia River mouth.</t>
    </r>
  </si>
  <si>
    <r>
      <rPr>
        <i/>
        <vertAlign val="superscript"/>
        <sz val="12"/>
        <rFont val="Times New Roman"/>
        <family val="1"/>
      </rPr>
      <t>2</t>
    </r>
    <r>
      <rPr>
        <i/>
        <sz val="12"/>
        <rFont val="Times New Roman"/>
        <family val="1"/>
      </rPr>
      <t xml:space="preserve">Minimum run size for Select Area spring Chinook is based on harvest of returning Select Area-origin adults in Select Area commercial and recreational fisheries.  Estimates of escapement are not available. </t>
    </r>
  </si>
  <si>
    <r>
      <rPr>
        <i/>
        <vertAlign val="superscript"/>
        <sz val="12"/>
        <rFont val="Times New Roman"/>
        <family val="1"/>
      </rPr>
      <t>3</t>
    </r>
    <r>
      <rPr>
        <i/>
        <sz val="12"/>
        <rFont val="Times New Roman"/>
        <family val="1"/>
      </rPr>
      <t>Includes Clackamas River return.</t>
    </r>
  </si>
  <si>
    <r>
      <rPr>
        <i/>
        <vertAlign val="superscript"/>
        <sz val="12"/>
        <rFont val="Times New Roman"/>
        <family val="1"/>
      </rPr>
      <t>4</t>
    </r>
    <r>
      <rPr>
        <i/>
        <sz val="12"/>
        <rFont val="Times New Roman"/>
        <family val="1"/>
      </rPr>
      <t>Upriver counts prior to 2005 are adjusted for current spring management period.  Counts include Snake River summer Chinook and continue through June 15 at Bonneville Dam.  Adjustments may result in data being inconsistent with data found elsewhere in this document.</t>
    </r>
  </si>
  <si>
    <t>Comments:</t>
  </si>
  <si>
    <t>Table 2. Predicted and Actual Spring Chinook Entering the Columbia River,  and  Projections.</t>
  </si>
  <si>
    <t>Willamette River (All Age Classes)</t>
  </si>
  <si>
    <t>Sandy River (Adults)</t>
  </si>
  <si>
    <t>Cowlitz, Kalama, &amp; Lewis Rivers Combined (Adults)</t>
  </si>
  <si>
    <t>Upriver (Adults)</t>
  </si>
  <si>
    <t>PreseasonForecast</t>
  </si>
  <si>
    <t>Actual Return</t>
  </si>
  <si>
    <t>PercOfPredicted</t>
  </si>
  <si>
    <t>Preseason Forecast</t>
  </si>
  <si>
    <t>—</t>
  </si>
  <si>
    <t>late 1980s Ave</t>
  </si>
  <si>
    <t>current year return is</t>
  </si>
  <si>
    <t>of prior year</t>
  </si>
  <si>
    <t>5-yr ave</t>
  </si>
  <si>
    <t>10-yr ave</t>
  </si>
  <si>
    <t>forecast is</t>
  </si>
  <si>
    <t>of 10-yr ave</t>
  </si>
  <si>
    <t>Table 2.  Forecasted and actual abundance of spring Chinook entering the Columbia River, 1985–2025 and 2026 forecasts.</t>
  </si>
  <si>
    <t>Willamette River                                   (All Age Classes)</t>
  </si>
  <si>
    <t>Sandy River                                   (Adults)</t>
  </si>
  <si>
    <r>
      <t>Cowlitz, Kalama, &amp; Lewis Rivers Combined (Adults)</t>
    </r>
    <r>
      <rPr>
        <i/>
        <vertAlign val="superscript"/>
        <sz val="10"/>
        <rFont val="Times New Roman"/>
        <family val="1"/>
      </rPr>
      <t>1</t>
    </r>
  </si>
  <si>
    <r>
      <t>Upriver (Adults)</t>
    </r>
    <r>
      <rPr>
        <i/>
        <vertAlign val="superscript"/>
        <sz val="10"/>
        <rFont val="Times New Roman"/>
        <family val="1"/>
      </rPr>
      <t>2</t>
    </r>
  </si>
  <si>
    <t>% of Forecast</t>
  </si>
  <si>
    <r>
      <rPr>
        <i/>
        <vertAlign val="superscript"/>
        <sz val="12"/>
        <rFont val="Times New Roman"/>
        <family val="1"/>
      </rPr>
      <t>1</t>
    </r>
    <r>
      <rPr>
        <i/>
        <sz val="12"/>
        <rFont val="Times New Roman"/>
        <family val="1"/>
      </rPr>
      <t>Forecasts and return estimates are for return to the tributary mouth for years prior to 2018.</t>
    </r>
  </si>
  <si>
    <r>
      <rPr>
        <i/>
        <vertAlign val="superscript"/>
        <sz val="12"/>
        <rFont val="Times New Roman"/>
        <family val="1"/>
      </rPr>
      <t>2</t>
    </r>
    <r>
      <rPr>
        <i/>
        <sz val="12"/>
        <rFont val="Times New Roman"/>
        <family val="1"/>
      </rPr>
      <t>Includes Snake River summer Chinook since 2005 and reflects current spring management period of Jan 1–Jun 15.  Data prior to 2005 have not been adjusted.  Adjustments may result in data being inconsistent with data found elsewhere in this document.</t>
    </r>
  </si>
  <si>
    <t>Minimum Run</t>
  </si>
  <si>
    <t xml:space="preserve">Mainstem </t>
  </si>
  <si>
    <t>Run</t>
  </si>
  <si>
    <t>Lower</t>
  </si>
  <si>
    <t>Willamette</t>
  </si>
  <si>
    <t>Run Entering</t>
  </si>
  <si>
    <t>Entering</t>
  </si>
  <si>
    <t>Columbia River</t>
  </si>
  <si>
    <t>Willamette River</t>
  </si>
  <si>
    <r>
      <t>Recreational Catch</t>
    </r>
    <r>
      <rPr>
        <i/>
        <vertAlign val="superscript"/>
        <sz val="10"/>
        <rFont val="Times New Roman"/>
        <family val="1"/>
      </rPr>
      <t>3</t>
    </r>
  </si>
  <si>
    <r>
      <t>Comm.</t>
    </r>
    <r>
      <rPr>
        <i/>
        <vertAlign val="superscript"/>
        <sz val="10"/>
        <rFont val="Times New Roman"/>
        <family val="1"/>
      </rPr>
      <t>1</t>
    </r>
  </si>
  <si>
    <r>
      <t>Sport</t>
    </r>
    <r>
      <rPr>
        <i/>
        <shadow/>
        <vertAlign val="superscript"/>
        <sz val="10"/>
        <rFont val="Times New Roman"/>
        <family val="1"/>
      </rPr>
      <t>2</t>
    </r>
  </si>
  <si>
    <r>
      <t>Number</t>
    </r>
    <r>
      <rPr>
        <i/>
        <vertAlign val="superscript"/>
        <sz val="10"/>
        <rFont val="Times New Roman"/>
        <family val="1"/>
      </rPr>
      <t>4</t>
    </r>
  </si>
  <si>
    <t>% of Run</t>
  </si>
  <si>
    <t>Falls Count</t>
  </si>
  <si>
    <t>Clackamas River</t>
  </si>
  <si>
    <t>1971-1974</t>
  </si>
  <si>
    <t>Average</t>
  </si>
  <si>
    <t>1975-1979</t>
  </si>
  <si>
    <t>1980-1984</t>
  </si>
  <si>
    <t>1985-1989</t>
  </si>
  <si>
    <t>1990-1994</t>
  </si>
  <si>
    <t>1995-1999</t>
  </si>
  <si>
    <t>2000-2004</t>
  </si>
  <si>
    <t>2005-2009</t>
  </si>
  <si>
    <t>2010-2014</t>
  </si>
  <si>
    <t>2015-2019</t>
  </si>
  <si>
    <t>2020-2024</t>
  </si>
  <si>
    <t>Caption:</t>
  </si>
  <si>
    <t>Table 3.  Components (in thousands) of the minimum Willamette River spring Chinook run and percentage caught in lower Willamette recreational fishery, 1971–2025.  Includes jacks.</t>
  </si>
  <si>
    <t>Minimum Run Entering Columbia River</t>
  </si>
  <si>
    <t>Mainstem Columbia River</t>
  </si>
  <si>
    <t>Run Entering Willamette River</t>
  </si>
  <si>
    <r>
      <t>Lower Willamette River Recreational Catch</t>
    </r>
    <r>
      <rPr>
        <i/>
        <vertAlign val="superscript"/>
        <sz val="10"/>
        <rFont val="Times New Roman"/>
        <family val="1"/>
      </rPr>
      <t>3</t>
    </r>
  </si>
  <si>
    <t>Willamette Falls Count</t>
  </si>
  <si>
    <t>Run Entering Clackamas River</t>
  </si>
  <si>
    <r>
      <rPr>
        <i/>
        <vertAlign val="superscript"/>
        <sz val="12"/>
        <rFont val="Times New Roman"/>
        <family val="1"/>
      </rPr>
      <t>1</t>
    </r>
    <r>
      <rPr>
        <i/>
        <sz val="12"/>
        <rFont val="Times New Roman"/>
        <family val="1"/>
      </rPr>
      <t xml:space="preserve">Includes spring Chinook destined for the Willamette River landed in Select Area commercial fisheries of Youngs Bay (since 1992), Tongue Point (since 1998), and Blind Slough (since 1998).  Also, includes estimated release mortalities from Lower Columbia mainstem commercial selective fisheries since 2001. </t>
    </r>
  </si>
  <si>
    <r>
      <rPr>
        <i/>
        <vertAlign val="superscript"/>
        <sz val="12"/>
        <rFont val="Times New Roman"/>
        <family val="1"/>
      </rPr>
      <t>2</t>
    </r>
    <r>
      <rPr>
        <i/>
        <sz val="12"/>
        <rFont val="Times New Roman"/>
        <family val="1"/>
      </rPr>
      <t>Includes spring Chinook destined for the Willamette River landed in Columbia River boat and/or bank fisheries.  Also includes estimated hook and release mortalities in the Lower Columbia mainstem selective recreational fishery since 2001.</t>
    </r>
  </si>
  <si>
    <r>
      <rPr>
        <i/>
        <vertAlign val="superscript"/>
        <sz val="12"/>
        <rFont val="Times New Roman"/>
        <family val="1"/>
      </rPr>
      <t>3</t>
    </r>
    <r>
      <rPr>
        <i/>
        <sz val="12"/>
        <rFont val="Times New Roman"/>
        <family val="1"/>
      </rPr>
      <t xml:space="preserve">Lower Willamette recreational fishery managed for quotas in 1996, 1997, 1998, 1999, and 2000.  2009 season was set based on a closure date of April 30 and 3 days per week fishing allowed from March 19–April 30.  </t>
    </r>
  </si>
  <si>
    <r>
      <rPr>
        <i/>
        <vertAlign val="superscript"/>
        <sz val="12"/>
        <rFont val="Times New Roman"/>
        <family val="1"/>
      </rPr>
      <t>4</t>
    </r>
    <r>
      <rPr>
        <i/>
        <sz val="12"/>
        <rFont val="Times New Roman"/>
        <family val="1"/>
      </rPr>
      <t>Includes estimated hook and release mortalities in the Lower Willamette selective recreational fishery since 2000.</t>
    </r>
  </si>
  <si>
    <t xml:space="preserve"> </t>
  </si>
  <si>
    <t xml:space="preserve">Upper Willamette </t>
  </si>
  <si>
    <r>
      <t>Upper Willamette</t>
    </r>
    <r>
      <rPr>
        <u/>
        <sz val="10"/>
        <rFont val="Times New Roman"/>
        <family val="1"/>
      </rPr>
      <t xml:space="preserve"> </t>
    </r>
  </si>
  <si>
    <t>Recreational Catch</t>
  </si>
  <si>
    <t>Hatchery Return</t>
  </si>
  <si>
    <r>
      <t>Willamette     Falls Count</t>
    </r>
    <r>
      <rPr>
        <i/>
        <vertAlign val="superscript"/>
        <sz val="10"/>
        <rFont val="Times New Roman"/>
        <family val="1"/>
      </rPr>
      <t>1</t>
    </r>
  </si>
  <si>
    <t>Number</t>
  </si>
  <si>
    <t>% of Will.      Falls Count</t>
  </si>
  <si>
    <r>
      <t>Clackamas Hatchery  Return</t>
    </r>
    <r>
      <rPr>
        <i/>
        <vertAlign val="superscript"/>
        <sz val="10"/>
        <rFont val="Times New Roman"/>
        <family val="1"/>
      </rPr>
      <t>2</t>
    </r>
  </si>
  <si>
    <r>
      <t>Received by    Columbia                 River Tribes</t>
    </r>
    <r>
      <rPr>
        <i/>
        <vertAlign val="superscript"/>
        <sz val="10"/>
        <rFont val="Times New Roman"/>
        <family val="1"/>
      </rPr>
      <t>3</t>
    </r>
  </si>
  <si>
    <t>min falls count</t>
  </si>
  <si>
    <t>max falls count</t>
  </si>
  <si>
    <t>Table 4.  Willamette Falls spring Chinook escapement, upper Willamette recreational catch, number returning to hatcheries, and tribal use, 1980–2025.  Includes jacks.</t>
  </si>
  <si>
    <t>Upper Willamette           Recreational Catch</t>
  </si>
  <si>
    <t>Upper Willamette                Hatchery Return</t>
  </si>
  <si>
    <t>Willamette     Falls Count</t>
  </si>
  <si>
    <r>
      <t>Clackamas Hatchery  Return</t>
    </r>
    <r>
      <rPr>
        <i/>
        <vertAlign val="superscript"/>
        <sz val="10"/>
        <rFont val="Times New Roman"/>
        <family val="1"/>
      </rPr>
      <t>1</t>
    </r>
  </si>
  <si>
    <r>
      <t>Received by    Columbia                 River Tribes</t>
    </r>
    <r>
      <rPr>
        <i/>
        <vertAlign val="superscript"/>
        <sz val="10"/>
        <rFont val="Times New Roman"/>
        <family val="1"/>
      </rPr>
      <t>2</t>
    </r>
  </si>
  <si>
    <r>
      <rPr>
        <i/>
        <vertAlign val="superscript"/>
        <sz val="12"/>
        <rFont val="Times New Roman"/>
        <family val="1"/>
      </rPr>
      <t>1</t>
    </r>
    <r>
      <rPr>
        <i/>
        <sz val="12"/>
        <rFont val="Times New Roman"/>
        <family val="1"/>
      </rPr>
      <t>Includes fish transferred from North Fork trap.</t>
    </r>
  </si>
  <si>
    <r>
      <rPr>
        <i/>
        <vertAlign val="superscript"/>
        <sz val="12"/>
        <rFont val="Times New Roman"/>
        <family val="1"/>
      </rPr>
      <t>2</t>
    </r>
    <r>
      <rPr>
        <i/>
        <sz val="12"/>
        <rFont val="Times New Roman"/>
        <family val="1"/>
      </rPr>
      <t>Given toward the treaty tribes' minimum ceremonial and subsistence entitlement per the Columbia River Fish Management Plan or U.S. v. OR Management Agreement.</t>
    </r>
  </si>
  <si>
    <r>
      <rPr>
        <i/>
        <vertAlign val="superscript"/>
        <sz val="12"/>
        <rFont val="Times New Roman"/>
        <family val="1"/>
      </rPr>
      <t>3</t>
    </r>
    <r>
      <rPr>
        <i/>
        <sz val="12"/>
        <rFont val="Times New Roman"/>
        <family val="1"/>
      </rPr>
      <t>Columbia River treaty tribes also harvested 759 Chinook and 396 marked summer steelhead at Willamette Falls.</t>
    </r>
  </si>
  <si>
    <r>
      <rPr>
        <i/>
        <vertAlign val="superscript"/>
        <sz val="12"/>
        <rFont val="Times New Roman"/>
        <family val="1"/>
      </rPr>
      <t>4</t>
    </r>
    <r>
      <rPr>
        <i/>
        <sz val="12"/>
        <rFont val="Times New Roman"/>
        <family val="1"/>
      </rPr>
      <t>Columbia River treaty tribes also harvested 29 Chinook June 12–17 and 112 summer steelhead at Willamette Falls.</t>
    </r>
  </si>
  <si>
    <r>
      <rPr>
        <i/>
        <vertAlign val="superscript"/>
        <sz val="12"/>
        <rFont val="Times New Roman"/>
        <family val="1"/>
      </rPr>
      <t>5</t>
    </r>
    <r>
      <rPr>
        <i/>
        <sz val="12"/>
        <rFont val="Times New Roman"/>
        <family val="1"/>
      </rPr>
      <t>Columbia River treaty tribes also harvested 12 Chinook at Willamette Falls.</t>
    </r>
  </si>
  <si>
    <t>from TAC's BA table T1</t>
  </si>
  <si>
    <t>Upriver</t>
  </si>
  <si>
    <t>Zones 1-5 Non-Indian  a_/</t>
  </si>
  <si>
    <t>Treaty</t>
  </si>
  <si>
    <t xml:space="preserve">Below </t>
  </si>
  <si>
    <t>BON</t>
  </si>
  <si>
    <t>Zone 6 Treaty Indian b_/</t>
  </si>
  <si>
    <t>Zone 6</t>
  </si>
  <si>
    <t>Z6 Harvest</t>
  </si>
  <si>
    <t>updated using standard BA file dated 11/30/22</t>
  </si>
  <si>
    <t>Below</t>
  </si>
  <si>
    <t>DAM</t>
  </si>
  <si>
    <t>Winter</t>
  </si>
  <si>
    <t>Comm.</t>
  </si>
  <si>
    <t>Ceremonial</t>
  </si>
  <si>
    <t>Escapement</t>
  </si>
  <si>
    <t>Sport  c_/</t>
  </si>
  <si>
    <t>Misc. d_/</t>
  </si>
  <si>
    <t>Bonn</t>
  </si>
  <si>
    <t>Harvest</t>
  </si>
  <si>
    <t>Count e_/</t>
  </si>
  <si>
    <t>Sport</t>
  </si>
  <si>
    <t>Gillnet</t>
  </si>
  <si>
    <t>&amp; platform f_/</t>
  </si>
  <si>
    <t>No. g_/</t>
  </si>
  <si>
    <t>Table 5.  Estimated numbers of adult upriver spring Chinook entering the Columbia River, 1980–2025.</t>
  </si>
  <si>
    <t>Harvest impact downstream of Bonneville Dam (Zones 1–5)</t>
  </si>
  <si>
    <t>Harvest impact from Bonneville Dam upstream to McNary Dam (Zone 6)</t>
  </si>
  <si>
    <r>
      <t>Non-Treaty Harvest</t>
    </r>
    <r>
      <rPr>
        <i/>
        <vertAlign val="superscript"/>
        <sz val="10"/>
        <rFont val="Times New Roman"/>
        <family val="1"/>
      </rPr>
      <t>1</t>
    </r>
  </si>
  <si>
    <t>Bonneville     Dam   Count</t>
  </si>
  <si>
    <r>
      <t>Treaty Harvest</t>
    </r>
    <r>
      <rPr>
        <i/>
        <vertAlign val="superscript"/>
        <sz val="10"/>
        <rFont val="Times New Roman"/>
        <family val="1"/>
      </rPr>
      <t>2</t>
    </r>
  </si>
  <si>
    <t>Escapement past Zone 6 fisheries</t>
  </si>
  <si>
    <t>Return      Year</t>
  </si>
  <si>
    <r>
      <t>Upriver Run</t>
    </r>
    <r>
      <rPr>
        <i/>
        <vertAlign val="superscript"/>
        <sz val="10"/>
        <rFont val="Times New Roman"/>
        <family val="1"/>
      </rPr>
      <t>3</t>
    </r>
  </si>
  <si>
    <t xml:space="preserve">Sport </t>
  </si>
  <si>
    <r>
      <t>Misc.</t>
    </r>
    <r>
      <rPr>
        <i/>
        <vertAlign val="superscript"/>
        <sz val="10"/>
        <rFont val="Times New Roman"/>
        <family val="1"/>
      </rPr>
      <t>4</t>
    </r>
  </si>
  <si>
    <t>Grand Total</t>
  </si>
  <si>
    <t>Non-Treaty Sport</t>
  </si>
  <si>
    <t>Winter Gillnet</t>
  </si>
  <si>
    <t>Comm. Gillnet</t>
  </si>
  <si>
    <t xml:space="preserve">C&amp;S          &amp; Platform </t>
  </si>
  <si>
    <t>Zone 6 Total</t>
  </si>
  <si>
    <r>
      <t>Total</t>
    </r>
    <r>
      <rPr>
        <i/>
        <vertAlign val="superscript"/>
        <sz val="10"/>
        <rFont val="Times New Roman"/>
        <family val="1"/>
      </rPr>
      <t>5</t>
    </r>
  </si>
  <si>
    <t>%Run</t>
  </si>
  <si>
    <t>80–84</t>
  </si>
  <si>
    <t>85–89</t>
  </si>
  <si>
    <t>90–94</t>
  </si>
  <si>
    <r>
      <rPr>
        <i/>
        <vertAlign val="superscript"/>
        <sz val="12"/>
        <rFont val="Times New Roman"/>
        <family val="1"/>
      </rPr>
      <t>1</t>
    </r>
    <r>
      <rPr>
        <i/>
        <sz val="12"/>
        <rFont val="Times New Roman"/>
        <family val="1"/>
      </rPr>
      <t>Includes kept catch plus release mortalities.</t>
    </r>
  </si>
  <si>
    <r>
      <rPr>
        <i/>
        <vertAlign val="superscript"/>
        <sz val="12"/>
        <rFont val="Times New Roman"/>
        <family val="1"/>
      </rPr>
      <t>2</t>
    </r>
    <r>
      <rPr>
        <i/>
        <sz val="12"/>
        <rFont val="Times New Roman"/>
        <family val="1"/>
      </rPr>
      <t xml:space="preserve">Ceremonial and subsistence includes catch by gillnet, dipnet, and hook-and-line since 1982.  </t>
    </r>
  </si>
  <si>
    <r>
      <rPr>
        <i/>
        <vertAlign val="superscript"/>
        <sz val="12"/>
        <rFont val="Times New Roman"/>
        <family val="1"/>
      </rPr>
      <t>3</t>
    </r>
    <r>
      <rPr>
        <i/>
        <sz val="12"/>
        <rFont val="Times New Roman"/>
        <family val="1"/>
      </rPr>
      <t xml:space="preserve">Run sizes adjusted to reflect the counting period from January 1- June 15. Run includes upriver spring Chinook and Snake River summer Chinook.  </t>
    </r>
  </si>
  <si>
    <r>
      <rPr>
        <i/>
        <vertAlign val="superscript"/>
        <sz val="12"/>
        <rFont val="Times New Roman"/>
        <family val="1"/>
      </rPr>
      <t>4</t>
    </r>
    <r>
      <rPr>
        <i/>
        <sz val="12"/>
        <rFont val="Times New Roman"/>
        <family val="1"/>
      </rPr>
      <t xml:space="preserve">Includes mortalities from mainstem test fishing and research activities occuring downstream of Bonneville Dam. </t>
    </r>
  </si>
  <si>
    <r>
      <rPr>
        <i/>
        <vertAlign val="superscript"/>
        <sz val="12"/>
        <rFont val="Times New Roman"/>
        <family val="1"/>
      </rPr>
      <t>5</t>
    </r>
    <r>
      <rPr>
        <i/>
        <sz val="12"/>
        <rFont val="Times New Roman"/>
        <family val="1"/>
      </rPr>
      <t xml:space="preserve">Bonneville count minus Zone 6 harvest. </t>
    </r>
  </si>
  <si>
    <t>data for calculations.  DOES NOT GET INSERTED INTO JSR</t>
  </si>
  <si>
    <t>from TAC's BA tables: T3, T2</t>
  </si>
  <si>
    <t>updated using standard BA file dated 11/30/22 (…sp_ch_Reconstruction_tables_...)</t>
  </si>
  <si>
    <t xml:space="preserve"> Upriver Run</t>
  </si>
  <si>
    <t>Upper Col Spring</t>
  </si>
  <si>
    <t>Upper Col Wild</t>
  </si>
  <si>
    <t>Snake R</t>
  </si>
  <si>
    <t>Snake R Wild</t>
  </si>
  <si>
    <t>Prop Upper C</t>
  </si>
  <si>
    <t>Prop Snake R</t>
  </si>
  <si>
    <t>SRW Prop of SR</t>
  </si>
  <si>
    <t>UCWPropOfUC</t>
  </si>
  <si>
    <t>Upriver Run</t>
  </si>
  <si>
    <t>Up. Col. Run</t>
  </si>
  <si>
    <t>Snake R. Run</t>
  </si>
  <si>
    <t>forecasts</t>
  </si>
  <si>
    <t>"would-be" rank since 1980</t>
  </si>
  <si>
    <t>"would-be" rank since 2000</t>
  </si>
  <si>
    <t>2000s</t>
  </si>
  <si>
    <t>2010s</t>
  </si>
  <si>
    <t>10-yr X (x-1)</t>
  </si>
  <si>
    <t>2025 prop of 10-yr</t>
  </si>
  <si>
    <t>Prior yr return is</t>
  </si>
  <si>
    <t>of forecast</t>
  </si>
  <si>
    <t>from TAC's BA tables: T3, T3a</t>
  </si>
  <si>
    <t>Estimated Numbers of Adult Upper Columbia Wild Spring Chinook Entering the Columbia River.</t>
  </si>
  <si>
    <t>Return to Col R</t>
  </si>
  <si>
    <t>Non-treatyWild Catch</t>
  </si>
  <si>
    <r>
      <t>Treaty Wild Catch</t>
    </r>
    <r>
      <rPr>
        <vertAlign val="superscript"/>
        <sz val="10"/>
        <rFont val="Times New Roman"/>
        <family val="1"/>
      </rPr>
      <t xml:space="preserve"> </t>
    </r>
  </si>
  <si>
    <t>Total Wild Catch</t>
  </si>
  <si>
    <t>Wild Passage Loss</t>
  </si>
  <si>
    <t>Wild Escapement</t>
  </si>
  <si>
    <t>Wild</t>
  </si>
  <si>
    <t>No.</t>
  </si>
  <si>
    <t>PropWild</t>
  </si>
  <si>
    <t>Aggregate</t>
  </si>
  <si>
    <t>Prop upCR of Agg</t>
  </si>
  <si>
    <t>PropWildOfAgg</t>
  </si>
  <si>
    <t>RankOfTotal</t>
  </si>
  <si>
    <t>10-yr ave (y-1)</t>
  </si>
  <si>
    <t>CurrYrProp10-yr</t>
  </si>
  <si>
    <t xml:space="preserve">10-yr ave </t>
  </si>
  <si>
    <t>ave since '80</t>
  </si>
  <si>
    <t>see T5a for analysis</t>
  </si>
  <si>
    <t>Table 6.  Estimated numbers of adult upper Columbia wild spring Chinook entering the Columbia River, 1980–2025.</t>
  </si>
  <si>
    <t xml:space="preserve"> Return to Columbia River</t>
  </si>
  <si>
    <r>
      <t>Non-Treaty                      Wild Harvest</t>
    </r>
    <r>
      <rPr>
        <i/>
        <vertAlign val="superscript"/>
        <sz val="10"/>
        <rFont val="Times New Roman"/>
        <family val="1"/>
      </rPr>
      <t>1</t>
    </r>
  </si>
  <si>
    <r>
      <t>Treaty                     Wild Harvest</t>
    </r>
    <r>
      <rPr>
        <i/>
        <vertAlign val="superscript"/>
        <sz val="10"/>
        <rFont val="Times New Roman"/>
        <family val="1"/>
      </rPr>
      <t>2</t>
    </r>
  </si>
  <si>
    <t>Total                  Wild Harvest</t>
  </si>
  <si>
    <r>
      <t>Wild                  Passage Loss</t>
    </r>
    <r>
      <rPr>
        <i/>
        <vertAlign val="superscript"/>
        <sz val="10"/>
        <rFont val="Times New Roman"/>
        <family val="1"/>
      </rPr>
      <t>3</t>
    </r>
  </si>
  <si>
    <r>
      <t xml:space="preserve"> Wild         Escapement</t>
    </r>
    <r>
      <rPr>
        <i/>
        <vertAlign val="superscript"/>
        <sz val="10"/>
        <rFont val="Times New Roman"/>
        <family val="1"/>
      </rPr>
      <t>4</t>
    </r>
    <r>
      <rPr>
        <i/>
        <sz val="10"/>
        <rFont val="Times New Roman"/>
        <family val="1"/>
      </rPr>
      <t xml:space="preserve"> </t>
    </r>
  </si>
  <si>
    <r>
      <rPr>
        <i/>
        <vertAlign val="superscript"/>
        <sz val="12"/>
        <rFont val="Times New Roman"/>
        <family val="1"/>
      </rPr>
      <t>1</t>
    </r>
    <r>
      <rPr>
        <i/>
        <sz val="12"/>
        <rFont val="Times New Roman"/>
        <family val="1"/>
      </rPr>
      <t>Includes incidental release mortalities in mainstem recreational and commercial fisheries.  Includes Wanapum tribal harvest.</t>
    </r>
  </si>
  <si>
    <r>
      <rPr>
        <i/>
        <vertAlign val="superscript"/>
        <sz val="12"/>
        <rFont val="Times New Roman"/>
        <family val="1"/>
      </rPr>
      <t>2</t>
    </r>
    <r>
      <rPr>
        <i/>
        <sz val="12"/>
        <rFont val="Times New Roman"/>
        <family val="1"/>
      </rPr>
      <t>Since 1982 C&amp;S catch includes gillnet, dip net, and hook and line.  Includes harvest downstream of Bonneville Dam from C&amp;S fishery.</t>
    </r>
  </si>
  <si>
    <r>
      <rPr>
        <i/>
        <vertAlign val="superscript"/>
        <sz val="12"/>
        <rFont val="Times New Roman"/>
        <family val="1"/>
      </rPr>
      <t>3</t>
    </r>
    <r>
      <rPr>
        <i/>
        <sz val="12"/>
        <rFont val="Times New Roman"/>
        <family val="1"/>
      </rPr>
      <t xml:space="preserve">Bonneville Dam through McNary Dam; calculated by Zone 6 escapement minus Rock Island Dam passage. </t>
    </r>
  </si>
  <si>
    <r>
      <rPr>
        <i/>
        <vertAlign val="superscript"/>
        <sz val="12"/>
        <rFont val="Times New Roman"/>
        <family val="1"/>
      </rPr>
      <t>4</t>
    </r>
    <r>
      <rPr>
        <i/>
        <sz val="12"/>
        <rFont val="Times New Roman"/>
        <family val="1"/>
      </rPr>
      <t>Estimated Rock Island Dam passage.</t>
    </r>
  </si>
  <si>
    <t>Estimated Numbers of Adult Snake River Wild Spring/Summer Chinook Entering the Columbia River.</t>
  </si>
  <si>
    <t xml:space="preserve"> Return to</t>
  </si>
  <si>
    <t>Non-Treaty</t>
  </si>
  <si>
    <t xml:space="preserve">Treaty </t>
  </si>
  <si>
    <t xml:space="preserve">Wild </t>
  </si>
  <si>
    <r>
      <t>Wild Catch</t>
    </r>
    <r>
      <rPr>
        <i/>
        <vertAlign val="superscript"/>
        <sz val="10"/>
        <rFont val="Times New Roman"/>
        <family val="1"/>
      </rPr>
      <t>1</t>
    </r>
  </si>
  <si>
    <r>
      <t>Wild Catch</t>
    </r>
    <r>
      <rPr>
        <i/>
        <vertAlign val="superscript"/>
        <sz val="10"/>
        <rFont val="Times New Roman"/>
        <family val="1"/>
      </rPr>
      <t>2</t>
    </r>
    <r>
      <rPr>
        <vertAlign val="superscript"/>
        <sz val="10"/>
        <rFont val="Times New Roman"/>
        <family val="1"/>
      </rPr>
      <t xml:space="preserve"> </t>
    </r>
  </si>
  <si>
    <t>Wild Catch</t>
  </si>
  <si>
    <r>
      <t xml:space="preserve"> Passage Loss</t>
    </r>
    <r>
      <rPr>
        <vertAlign val="superscript"/>
        <sz val="10"/>
        <rFont val="Times New Roman"/>
        <family val="1"/>
      </rPr>
      <t>3</t>
    </r>
  </si>
  <si>
    <r>
      <t>Escapement</t>
    </r>
    <r>
      <rPr>
        <i/>
        <vertAlign val="superscript"/>
        <sz val="10"/>
        <rFont val="Times New Roman"/>
        <family val="1"/>
      </rPr>
      <t>4</t>
    </r>
  </si>
  <si>
    <t>% Wild</t>
  </si>
  <si>
    <t>SR Total</t>
  </si>
  <si>
    <t>PropOfAgg</t>
  </si>
  <si>
    <t>wild</t>
  </si>
  <si>
    <t>TS Mean</t>
  </si>
  <si>
    <t>10 yr Mean</t>
  </si>
  <si>
    <t>forecast</t>
  </si>
  <si>
    <t>Table 7.  Estimated numbers of adult Snake River wild spring/summer Chinook entering the Columbia River, 1980–2025.</t>
  </si>
  <si>
    <t xml:space="preserve"> Return to                                  Columbia River</t>
  </si>
  <si>
    <r>
      <t>Non-Treaty                                   Wild Catch</t>
    </r>
    <r>
      <rPr>
        <vertAlign val="superscript"/>
        <sz val="10"/>
        <rFont val="Times New Roman"/>
        <family val="1"/>
      </rPr>
      <t>1</t>
    </r>
  </si>
  <si>
    <r>
      <t>Treaty                                       Wild Catch</t>
    </r>
    <r>
      <rPr>
        <vertAlign val="superscript"/>
        <sz val="10"/>
        <rFont val="Times New Roman"/>
        <family val="1"/>
      </rPr>
      <t xml:space="preserve">2 </t>
    </r>
  </si>
  <si>
    <t>Total                                         Wild Catch</t>
  </si>
  <si>
    <r>
      <t>Wild                                  Passage Loss</t>
    </r>
    <r>
      <rPr>
        <vertAlign val="superscript"/>
        <sz val="10"/>
        <rFont val="Times New Roman"/>
        <family val="1"/>
      </rPr>
      <t>3</t>
    </r>
  </si>
  <si>
    <r>
      <t>Wild                             Escapement</t>
    </r>
    <r>
      <rPr>
        <vertAlign val="superscript"/>
        <sz val="10"/>
        <rFont val="Times New Roman"/>
        <family val="1"/>
      </rPr>
      <t>4</t>
    </r>
  </si>
  <si>
    <r>
      <rPr>
        <i/>
        <vertAlign val="superscript"/>
        <sz val="12"/>
        <rFont val="Times New Roman"/>
        <family val="1"/>
      </rPr>
      <t>1</t>
    </r>
    <r>
      <rPr>
        <i/>
        <sz val="12"/>
        <rFont val="Times New Roman"/>
        <family val="1"/>
      </rPr>
      <t>Includes incidental mortalities in mainstem recreational and commercial fisheries and lower Snake River (WA waters) recreational fisheries.</t>
    </r>
  </si>
  <si>
    <r>
      <rPr>
        <i/>
        <vertAlign val="superscript"/>
        <sz val="12"/>
        <rFont val="Times New Roman"/>
        <family val="1"/>
      </rPr>
      <t>2</t>
    </r>
    <r>
      <rPr>
        <i/>
        <sz val="12"/>
        <rFont val="Times New Roman"/>
        <family val="1"/>
      </rPr>
      <t>Since 1982 C&amp;S catch includes gill net, dip net and hook-and-line.  Includes harvest downstream of Bonneville Dam from C&amp;S fishery.</t>
    </r>
  </si>
  <si>
    <r>
      <rPr>
        <i/>
        <vertAlign val="superscript"/>
        <sz val="12"/>
        <rFont val="Times New Roman"/>
        <family val="1"/>
      </rPr>
      <t>3</t>
    </r>
    <r>
      <rPr>
        <i/>
        <sz val="12"/>
        <rFont val="Times New Roman"/>
        <family val="1"/>
      </rPr>
      <t>Bonneville Dam to Lower Granite Dam; calculated by Zone 6 escapement - (Snake River recreational + Tucannon River escapement + Lower Granite Dam escapement).</t>
    </r>
  </si>
  <si>
    <r>
      <rPr>
        <i/>
        <vertAlign val="superscript"/>
        <sz val="12"/>
        <rFont val="Times New Roman"/>
        <family val="1"/>
      </rPr>
      <t>4</t>
    </r>
    <r>
      <rPr>
        <i/>
        <sz val="12"/>
        <rFont val="Times New Roman"/>
        <family val="1"/>
      </rPr>
      <t>Lower Granite Dam passage plus Tucannon River escapement.</t>
    </r>
  </si>
  <si>
    <t xml:space="preserve"> Estimated Numbers of Adult Upper Columbia Summer Chinook Entering the Columbia River.</t>
  </si>
  <si>
    <t>data should be sourced from TAC's BA table T4_UPC Summer; format isn't exactly the same so can't just copy the entire T4 and paste in.</t>
  </si>
  <si>
    <t>Catch downstream of Bonneville Dam (Zones 1-5)</t>
  </si>
  <si>
    <t>Catch Bonneville Dam upstream to McNary Dam (Zone 6)</t>
  </si>
  <si>
    <t>MCN to</t>
  </si>
  <si>
    <t>Wanapum</t>
  </si>
  <si>
    <t xml:space="preserve">PRD </t>
  </si>
  <si>
    <t>updated using BA file dated XX/XX/XX</t>
  </si>
  <si>
    <t xml:space="preserve"> Non-Treaty (NT)</t>
  </si>
  <si>
    <t>Dam</t>
  </si>
  <si>
    <t>NT</t>
  </si>
  <si>
    <t>PRD</t>
  </si>
  <si>
    <t>Tribal</t>
  </si>
  <si>
    <t>to GCD</t>
  </si>
  <si>
    <t>Colville</t>
  </si>
  <si>
    <t>&gt;PRD</t>
  </si>
  <si>
    <t>Run1</t>
  </si>
  <si>
    <t>Misc2</t>
  </si>
  <si>
    <t>Count</t>
  </si>
  <si>
    <t xml:space="preserve">Catch 3 </t>
  </si>
  <si>
    <t>Escapement5</t>
  </si>
  <si>
    <t>(&lt; PRD)</t>
  </si>
  <si>
    <t>2020s</t>
  </si>
  <si>
    <t>10-yr X (y-1)</t>
  </si>
  <si>
    <t>since 2001</t>
  </si>
  <si>
    <t>1980-2000</t>
  </si>
  <si>
    <t>Table 8.  Estimated numbers of adult upper Columbia summer Chinook entering the Columbia River, 1980–2025.</t>
  </si>
  <si>
    <t>Zones 1–5: Harvest downstream of Bonneville Dam (BON)</t>
  </si>
  <si>
    <t>BON     Dam   Count</t>
  </si>
  <si>
    <t>Zone 6 Harvest BON–McNary (MCN)</t>
  </si>
  <si>
    <t>MCN to Priest Rapids Dam (PRD)</t>
  </si>
  <si>
    <t>PRD to Grand Coulee Dam</t>
  </si>
  <si>
    <r>
      <t>Upriver Run</t>
    </r>
    <r>
      <rPr>
        <i/>
        <vertAlign val="superscript"/>
        <sz val="10"/>
        <rFont val="Times New Roman"/>
        <family val="1"/>
      </rPr>
      <t>1</t>
    </r>
  </si>
  <si>
    <t>Non-Treaty (NT)</t>
  </si>
  <si>
    <r>
      <t>Zone 6 Escapement</t>
    </r>
    <r>
      <rPr>
        <i/>
        <vertAlign val="superscript"/>
        <sz val="10"/>
        <rFont val="Times New Roman"/>
        <family val="1"/>
      </rPr>
      <t>4</t>
    </r>
  </si>
  <si>
    <t>Wanapum Tribal</t>
  </si>
  <si>
    <t>Colville Tribal</t>
  </si>
  <si>
    <r>
      <t>Misc</t>
    </r>
    <r>
      <rPr>
        <i/>
        <vertAlign val="superscript"/>
        <sz val="10"/>
        <rFont val="Times New Roman"/>
        <family val="1"/>
      </rPr>
      <t>2</t>
    </r>
  </si>
  <si>
    <r>
      <t xml:space="preserve">Catch </t>
    </r>
    <r>
      <rPr>
        <i/>
        <vertAlign val="superscript"/>
        <sz val="9"/>
        <rFont val="Times New Roman"/>
        <family val="1"/>
      </rPr>
      <t>3</t>
    </r>
  </si>
  <si>
    <t>(&gt;PRD)</t>
  </si>
  <si>
    <r>
      <rPr>
        <i/>
        <vertAlign val="superscript"/>
        <sz val="12"/>
        <rFont val="Times New Roman"/>
        <family val="1"/>
      </rPr>
      <t>1</t>
    </r>
    <r>
      <rPr>
        <i/>
        <sz val="12"/>
        <rFont val="Times New Roman"/>
        <family val="1"/>
      </rPr>
      <t>Includes only upper Columbia summer Chinook and reflects current summer management period of Jun 16–Jul 31.  All data has been adjusted.  Adjustments may result in data being inconsistent with data found elsewhere in this document.  Non–treaty catch includes incidental release mortalities.</t>
    </r>
  </si>
  <si>
    <r>
      <rPr>
        <i/>
        <vertAlign val="superscript"/>
        <sz val="12"/>
        <rFont val="Times New Roman"/>
        <family val="1"/>
      </rPr>
      <t>2</t>
    </r>
    <r>
      <rPr>
        <i/>
        <sz val="12"/>
        <rFont val="Times New Roman"/>
        <family val="1"/>
      </rPr>
      <t xml:space="preserve">Includes incidental non-retention mortality in commercial test, research, American Shad, and sockeye fisheries, and harvest in Select Area fisheries. </t>
    </r>
  </si>
  <si>
    <r>
      <rPr>
        <i/>
        <vertAlign val="superscript"/>
        <sz val="12"/>
        <rFont val="Times New Roman"/>
        <family val="1"/>
      </rPr>
      <t>3</t>
    </r>
    <r>
      <rPr>
        <i/>
        <sz val="12"/>
        <rFont val="Times New Roman"/>
        <family val="1"/>
      </rPr>
      <t>Includes commercial and C&amp;S catches.</t>
    </r>
  </si>
  <si>
    <r>
      <rPr>
        <i/>
        <vertAlign val="superscript"/>
        <sz val="12"/>
        <rFont val="Times New Roman"/>
        <family val="1"/>
      </rPr>
      <t>4</t>
    </r>
    <r>
      <rPr>
        <i/>
        <sz val="12"/>
        <rFont val="Times New Roman"/>
        <family val="1"/>
      </rPr>
      <t>Bonneville counts minus Zone 6 harvest.</t>
    </r>
  </si>
  <si>
    <t>All data in this table comes from the NT STHD model file.  Should make sure that this table reflects the latest updates to that file.</t>
  </si>
  <si>
    <r>
      <t>Winter Steelhead Harvest and Incidental Release Mortalities in Mainstem Columbia River Non-Treaty Fisheries</t>
    </r>
    <r>
      <rPr>
        <b/>
        <vertAlign val="superscript"/>
        <sz val="8"/>
        <rFont val="Times New Roman"/>
        <family val="1"/>
      </rPr>
      <t>1</t>
    </r>
  </si>
  <si>
    <t xml:space="preserve">Winter Steelhead </t>
  </si>
  <si>
    <t>Wild Winter</t>
  </si>
  <si>
    <t>Col R</t>
  </si>
  <si>
    <t xml:space="preserve">Comm. </t>
  </si>
  <si>
    <r>
      <t xml:space="preserve">Recreational &lt;BONN </t>
    </r>
    <r>
      <rPr>
        <vertAlign val="superscript"/>
        <sz val="8"/>
        <rFont val="Times New Roman"/>
        <family val="1"/>
      </rPr>
      <t>3</t>
    </r>
  </si>
  <si>
    <r>
      <t>Bonneville Pool</t>
    </r>
    <r>
      <rPr>
        <vertAlign val="superscript"/>
        <sz val="8"/>
        <rFont val="Times New Roman"/>
        <family val="1"/>
      </rPr>
      <t>4</t>
    </r>
  </si>
  <si>
    <t xml:space="preserve">Total </t>
  </si>
  <si>
    <r>
      <t>Impact Rate</t>
    </r>
    <r>
      <rPr>
        <vertAlign val="superscript"/>
        <sz val="8"/>
        <rFont val="Times New Roman"/>
        <family val="1"/>
      </rPr>
      <t>5</t>
    </r>
  </si>
  <si>
    <t>Recreational &lt;BON</t>
  </si>
  <si>
    <t>Bonneville Pool</t>
  </si>
  <si>
    <t>Return</t>
  </si>
  <si>
    <t>Rel. Wild</t>
  </si>
  <si>
    <t>Hatchery</t>
  </si>
  <si>
    <t>Actual</t>
  </si>
  <si>
    <t xml:space="preserve"> Allowed</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</si>
  <si>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</si>
  <si>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</si>
  <si>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</si>
  <si>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</si>
  <si>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</si>
  <si>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</si>
  <si>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</si>
  <si>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</si>
  <si>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</si>
  <si>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</si>
  <si>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</si>
  <si>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</si>
  <si>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</si>
  <si>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</si>
  <si>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</si>
  <si>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</si>
  <si>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</si>
  <si>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</si>
  <si>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</si>
  <si>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</si>
  <si>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</si>
  <si>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</si>
  <si>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</si>
  <si>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</si>
  <si>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</si>
  <si>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5-yr ave(y-1)</t>
  </si>
  <si>
    <t>2024 forecast</t>
  </si>
  <si>
    <t>return is</t>
  </si>
  <si>
    <t>2025 Forecast</t>
  </si>
  <si>
    <r>
      <t>Table 9.  Winter steelhead harvest and incidental release mortalities in mainstem Columbia River non-treaty fisheries, run years 2000/01–2023/24.</t>
    </r>
    <r>
      <rPr>
        <i/>
        <vertAlign val="superscript"/>
        <sz val="12"/>
        <rFont val="Times New Roman"/>
        <family val="1"/>
      </rPr>
      <t>1</t>
    </r>
  </si>
  <si>
    <t>Run Year</t>
  </si>
  <si>
    <t>Natural-Origin Columbia River Return</t>
  </si>
  <si>
    <t>Commercial</t>
  </si>
  <si>
    <r>
      <t>Recreational Downstream of Bonneville Dam</t>
    </r>
    <r>
      <rPr>
        <i/>
        <vertAlign val="superscript"/>
        <sz val="10"/>
        <rFont val="Times New Roman"/>
        <family val="1"/>
      </rPr>
      <t>2</t>
    </r>
  </si>
  <si>
    <r>
      <t>Recreational in Bonneville Pool</t>
    </r>
    <r>
      <rPr>
        <i/>
        <vertAlign val="superscript"/>
        <sz val="10"/>
        <rFont val="Times New Roman"/>
        <family val="1"/>
      </rPr>
      <t>3</t>
    </r>
  </si>
  <si>
    <t>Natural-Origin Winter Steelhead Impact Rate</t>
  </si>
  <si>
    <r>
      <t>Unclipped Release Mortalities</t>
    </r>
    <r>
      <rPr>
        <i/>
        <vertAlign val="superscript"/>
        <sz val="10"/>
        <rFont val="Times New Roman"/>
        <family val="1"/>
      </rPr>
      <t>4</t>
    </r>
  </si>
  <si>
    <t>Clipped Hatchery Kept</t>
  </si>
  <si>
    <t>Unclipped Release Mortalities</t>
  </si>
  <si>
    <r>
      <t>Actual</t>
    </r>
    <r>
      <rPr>
        <i/>
        <vertAlign val="superscript"/>
        <sz val="10"/>
        <rFont val="Times New Roman"/>
        <family val="1"/>
      </rPr>
      <t>5</t>
    </r>
  </si>
  <si>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</si>
  <si>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</si>
  <si>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</si>
  <si>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</si>
  <si>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</si>
  <si>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</si>
  <si>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</si>
  <si>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</si>
  <si>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</si>
  <si>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</si>
  <si>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</si>
  <si>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</si>
  <si>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</si>
  <si>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</si>
  <si>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</si>
  <si>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</si>
  <si>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</si>
  <si>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</si>
  <si>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</si>
  <si>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</si>
  <si>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</si>
  <si>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</si>
  <si>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</si>
  <si>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</si>
  <si>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</si>
  <si>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r>
      <rPr>
        <i/>
        <vertAlign val="superscript"/>
        <sz val="12"/>
        <rFont val="Times New Roman"/>
        <family val="1"/>
      </rPr>
      <t>1</t>
    </r>
    <r>
      <rPr>
        <i/>
        <sz val="12"/>
        <rFont val="Times New Roman"/>
        <family val="1"/>
      </rPr>
      <t>2022-23 and 2023-24 data are preliminary; all data are subject to change.</t>
    </r>
  </si>
  <si>
    <r>
      <rPr>
        <i/>
        <vertAlign val="superscript"/>
        <sz val="12"/>
        <rFont val="Times New Roman"/>
        <family val="1"/>
      </rPr>
      <t>2</t>
    </r>
    <r>
      <rPr>
        <i/>
        <sz val="12"/>
        <rFont val="Times New Roman"/>
        <family val="1"/>
      </rPr>
      <t>Estimates for fisheries occurring from November–April.  Kept catch based on catch record card data or creel when available.</t>
    </r>
  </si>
  <si>
    <r>
      <rPr>
        <i/>
        <vertAlign val="superscript"/>
        <sz val="12"/>
        <rFont val="Times New Roman"/>
        <family val="1"/>
      </rPr>
      <t>3</t>
    </r>
    <r>
      <rPr>
        <i/>
        <sz val="12"/>
        <rFont val="Times New Roman"/>
        <family val="1"/>
      </rPr>
      <t xml:space="preserve">Winter steelhead upper range extends into Bonneville Pool.  Estimates for fisheries occurring from November–March.  Kept catch based on catch record card data.   </t>
    </r>
  </si>
  <si>
    <r>
      <rPr>
        <i/>
        <vertAlign val="superscript"/>
        <sz val="12"/>
        <rFont val="Times New Roman"/>
        <family val="1"/>
      </rPr>
      <t>4</t>
    </r>
    <r>
      <rPr>
        <i/>
        <sz val="12"/>
        <rFont val="Times New Roman"/>
        <family val="1"/>
      </rPr>
      <t xml:space="preserve">Incidental release mortality estimates based on observation data.  Includes estimates for Select Area commercial fisheries beginning with the 2017-18 run year. </t>
    </r>
  </si>
  <si>
    <r>
      <rPr>
        <i/>
        <vertAlign val="superscript"/>
        <sz val="12"/>
        <rFont val="Times New Roman"/>
        <family val="1"/>
      </rPr>
      <t>5</t>
    </r>
    <r>
      <rPr>
        <i/>
        <sz val="12"/>
        <rFont val="Times New Roman"/>
        <family val="1"/>
      </rPr>
      <t>Harvest rate based on Columbia River natural-origin winter steelhead return.</t>
    </r>
  </si>
  <si>
    <r>
      <t>Table 10.  Skamania Run summer steelhead harvest in mainstem Columbia River non-treaty fisheries, 1999–2024.</t>
    </r>
    <r>
      <rPr>
        <i/>
        <vertAlign val="superscript"/>
        <sz val="12"/>
        <rFont val="Times New Roman"/>
        <family val="1"/>
      </rPr>
      <t>1</t>
    </r>
  </si>
  <si>
    <t>Downstream of Bonneville Dam  (May–June)</t>
  </si>
  <si>
    <t xml:space="preserve">Bonneville Pool (April–June) </t>
  </si>
  <si>
    <t>Impact Rates</t>
  </si>
  <si>
    <t>Recreational</t>
  </si>
  <si>
    <t>Total Mortalities</t>
  </si>
  <si>
    <r>
      <t>Recreational</t>
    </r>
    <r>
      <rPr>
        <i/>
        <vertAlign val="superscript"/>
        <sz val="10"/>
        <rFont val="Times New Roman"/>
        <family val="1"/>
      </rPr>
      <t>2</t>
    </r>
  </si>
  <si>
    <t xml:space="preserve">Clipped Hatchery </t>
  </si>
  <si>
    <t>Unclipped</t>
  </si>
  <si>
    <t>Clipped Release Mortalities</t>
  </si>
  <si>
    <t xml:space="preserve"> Unclipped Release Mortalities</t>
  </si>
  <si>
    <t>Clipped</t>
  </si>
  <si>
    <t>Lower River Skamania</t>
  </si>
  <si>
    <t>Upriver Skamania</t>
  </si>
  <si>
    <r>
      <t>Lower River Skamania</t>
    </r>
    <r>
      <rPr>
        <i/>
        <vertAlign val="superscript"/>
        <sz val="10"/>
        <rFont val="Times New Roman"/>
        <family val="1"/>
      </rPr>
      <t>3</t>
    </r>
  </si>
  <si>
    <r>
      <rPr>
        <i/>
        <vertAlign val="superscript"/>
        <sz val="12"/>
        <rFont val="Times New Roman"/>
        <family val="1"/>
      </rPr>
      <t>1</t>
    </r>
    <r>
      <rPr>
        <i/>
        <sz val="12"/>
        <rFont val="Times New Roman"/>
        <family val="1"/>
      </rPr>
      <t xml:space="preserve">Steelhead handled downstream of Bonneville Dam during May and June are considered lower river Skamania stock.  Steelhead handled in Bonneville Pool during April through June are considered upriver Skamania stock.  </t>
    </r>
  </si>
  <si>
    <r>
      <rPr>
        <i/>
        <vertAlign val="superscript"/>
        <sz val="12"/>
        <rFont val="Times New Roman"/>
        <family val="1"/>
      </rPr>
      <t>2</t>
    </r>
    <r>
      <rPr>
        <i/>
        <sz val="12"/>
        <rFont val="Times New Roman"/>
        <family val="1"/>
      </rPr>
      <t xml:space="preserve">Kept data based on catch record cards.  Estimates of unclipped fish based on clip rate observed at Bonneville Dam.  </t>
    </r>
  </si>
  <si>
    <r>
      <rPr>
        <i/>
        <vertAlign val="superscript"/>
        <sz val="12"/>
        <rFont val="Times New Roman"/>
        <family val="1"/>
      </rPr>
      <t>3</t>
    </r>
    <r>
      <rPr>
        <i/>
        <sz val="12"/>
        <rFont val="Times New Roman"/>
        <family val="1"/>
      </rPr>
      <t xml:space="preserve">Abundance estimates for unclipped lower river Skamania stock summer steelhead are not available.  To estimate the impact rate on unclipped fish, it is assumed the harvest rate of clipped hatchery-origin fish equals the handle rate of unclipped fish and a release mortality rate of 10% is applied.  Includes estimates for Select Area commercial fisheries beginning with the 2018 run year. </t>
    </r>
  </si>
  <si>
    <t>JW: hatchery fish recreational kept catches in Table 14 are linked to this table</t>
  </si>
  <si>
    <r>
      <t>Table 11a.  A-Index summer steelhead harvest in mainstem Columbia River non-treaty fisheries during winter, spring, and summer seasons, 1999–2023.</t>
    </r>
    <r>
      <rPr>
        <i/>
        <vertAlign val="superscript"/>
        <sz val="12"/>
        <rFont val="Times New Roman"/>
        <family val="1"/>
      </rPr>
      <t>1</t>
    </r>
  </si>
  <si>
    <t>Below Bonneville Dam (July)</t>
  </si>
  <si>
    <t>Bonneville Dam – Hwy 395 (July)</t>
  </si>
  <si>
    <t xml:space="preserve">The Dalles Dam – Hwy 395 (January – June of year+1) </t>
  </si>
  <si>
    <r>
      <t>Commercial</t>
    </r>
    <r>
      <rPr>
        <i/>
        <vertAlign val="superscript"/>
        <sz val="10"/>
        <rFont val="Times New Roman"/>
        <family val="1"/>
      </rPr>
      <t>2</t>
    </r>
  </si>
  <si>
    <r>
      <t>Recreational</t>
    </r>
    <r>
      <rPr>
        <i/>
        <vertAlign val="superscript"/>
        <sz val="10"/>
        <rFont val="Times New Roman"/>
        <family val="1"/>
      </rPr>
      <t>3</t>
    </r>
  </si>
  <si>
    <r>
      <t>Recreational</t>
    </r>
    <r>
      <rPr>
        <i/>
        <vertAlign val="superscript"/>
        <sz val="10"/>
        <rFont val="Times New Roman"/>
        <family val="1"/>
      </rPr>
      <t>4</t>
    </r>
  </si>
  <si>
    <t>Mortalities</t>
  </si>
  <si>
    <t>Harvest/Impact Rates</t>
  </si>
  <si>
    <t>Hatchery-Origin Release Mortalities (clipped and unclipped)</t>
  </si>
  <si>
    <t>Natural-Origin Release Mortalities</t>
  </si>
  <si>
    <t>Hatchery-Origin</t>
  </si>
  <si>
    <t>Natural-Origin</t>
  </si>
  <si>
    <t xml:space="preserve">Kept </t>
  </si>
  <si>
    <t>Rel. Mort.</t>
  </si>
  <si>
    <r>
      <rPr>
        <i/>
        <vertAlign val="superscript"/>
        <sz val="12"/>
        <rFont val="Times New Roman"/>
        <family val="1"/>
      </rPr>
      <t>1</t>
    </r>
    <r>
      <rPr>
        <i/>
        <sz val="12"/>
        <rFont val="Times New Roman"/>
        <family val="1"/>
      </rPr>
      <t>Steelhead handled in fisheries during the month of July are considered A-Index or B-Index upriver summer steelhead from the current run year.  Steelhead handled in fisheries between The Dalles Dam and the Highway 395 Bridge during the months of January through June are considered A-Index or B-Index upriver summer steelhead from the prior run year.  Stock composition and clip rates of handled steelhead are based on sampling data collected at Bonneville Dam if not available from fisheries sampling programs.  All natural-origin steelhead are expressed as handle/release mortalities.  Estimates of release mortality for unclipped hatchery-origin steelhead are not available prior to 2008.  2023 and 2024 data are preliminary; all data are subject to change.</t>
    </r>
  </si>
  <si>
    <r>
      <rPr>
        <i/>
        <vertAlign val="superscript"/>
        <sz val="12"/>
        <rFont val="Times New Roman"/>
        <family val="1"/>
      </rPr>
      <t>2</t>
    </r>
    <r>
      <rPr>
        <i/>
        <sz val="12"/>
        <rFont val="Times New Roman"/>
        <family val="1"/>
      </rPr>
      <t xml:space="preserve">Includes estimates for Select Area commercial fisheries beginning with the 2018 run year. </t>
    </r>
  </si>
  <si>
    <r>
      <rPr>
        <i/>
        <vertAlign val="superscript"/>
        <sz val="12"/>
        <rFont val="Times New Roman"/>
        <family val="1"/>
      </rPr>
      <t>3</t>
    </r>
    <r>
      <rPr>
        <i/>
        <sz val="12"/>
        <rFont val="Times New Roman"/>
        <family val="1"/>
      </rPr>
      <t xml:space="preserve">Includes mortalities in "dip-in" areas.  Kept data based on catch record cards.  </t>
    </r>
  </si>
  <si>
    <r>
      <rPr>
        <i/>
        <vertAlign val="superscript"/>
        <sz val="12"/>
        <rFont val="Times New Roman"/>
        <family val="1"/>
      </rPr>
      <t>4</t>
    </r>
    <r>
      <rPr>
        <i/>
        <sz val="12"/>
        <rFont val="Times New Roman"/>
        <family val="1"/>
      </rPr>
      <t xml:space="preserve">Kept data based on catch record cards.  </t>
    </r>
  </si>
  <si>
    <r>
      <t>Table 11b.  B-Index summer steelhead harvest in mainstem Columbia River non-treaty fisheries during winter, spring, and summer seasons, 1999–2023.</t>
    </r>
    <r>
      <rPr>
        <i/>
        <vertAlign val="superscript"/>
        <sz val="12"/>
        <rFont val="Times New Roman"/>
        <family val="1"/>
      </rPr>
      <t>1</t>
    </r>
  </si>
  <si>
    <t>Returns of Upriver Summer Steelhead to Bonneville Dam</t>
  </si>
  <si>
    <t>Skamania Index</t>
  </si>
  <si>
    <t>Group A Index</t>
  </si>
  <si>
    <t>Group B Index</t>
  </si>
  <si>
    <t>Total Passage</t>
  </si>
  <si>
    <t>Jul-Oct</t>
  </si>
  <si>
    <t>PropWildOfTot</t>
  </si>
  <si>
    <t>PropGpAOfTot</t>
  </si>
  <si>
    <t>SumGroupA/BWild</t>
  </si>
  <si>
    <t>SumGroupA/Btotal</t>
  </si>
  <si>
    <t>GroupA/BPropWild</t>
  </si>
  <si>
    <t>GroupAPropWild</t>
  </si>
  <si>
    <t>% wild</t>
  </si>
  <si>
    <t>PropSKAOfTot</t>
  </si>
  <si>
    <t>SKAPropWild</t>
  </si>
  <si>
    <t>STLAtBonn</t>
  </si>
  <si>
    <t>WStlAtBonn</t>
  </si>
  <si>
    <t>-</t>
  </si>
  <si>
    <t>10X (y-1)</t>
  </si>
  <si>
    <t>10-yr Mean</t>
  </si>
  <si>
    <t>10X Min</t>
  </si>
  <si>
    <t>10X Max</t>
  </si>
  <si>
    <t>All X (84-y-1)</t>
  </si>
  <si>
    <t>1990s</t>
  </si>
  <si>
    <t>22 as % of 10X</t>
  </si>
  <si>
    <t>2022 forecast</t>
  </si>
  <si>
    <t xml:space="preserve">10X </t>
  </si>
  <si>
    <t>% of 10X</t>
  </si>
  <si>
    <t>% of 2021</t>
  </si>
  <si>
    <t>Table 12.  Upriver summer steelhead passage at Bonneville Dam (April–October), 1984–2024.</t>
  </si>
  <si>
    <t>A-Index</t>
  </si>
  <si>
    <t>B-Index</t>
  </si>
  <si>
    <r>
      <rPr>
        <vertAlign val="superscript"/>
        <sz val="12"/>
        <rFont val="Times New Roman"/>
        <family val="1"/>
      </rPr>
      <t>1</t>
    </r>
    <r>
      <rPr>
        <sz val="12"/>
        <rFont val="Times New Roman"/>
        <family val="1"/>
      </rPr>
      <t xml:space="preserve"> </t>
    </r>
    <r>
      <rPr>
        <i/>
        <sz val="10"/>
        <rFont val="Times New Roman"/>
        <family val="1"/>
      </rPr>
      <t>Data needed to make component-specific estimates was not available at time of publication</t>
    </r>
  </si>
  <si>
    <t>Group A</t>
  </si>
  <si>
    <t>Group B</t>
  </si>
  <si>
    <t>All data updated with current estimates from IDFG per Alan Byrne 1/27/20</t>
  </si>
  <si>
    <r>
      <t>Year</t>
    </r>
    <r>
      <rPr>
        <vertAlign val="superscript"/>
        <sz val="10"/>
        <color indexed="8"/>
        <rFont val="Times New Roman"/>
        <family val="1"/>
      </rPr>
      <t>1</t>
    </r>
  </si>
  <si>
    <t>1984–85</t>
  </si>
  <si>
    <t>1985–86</t>
  </si>
  <si>
    <t>1986–87</t>
  </si>
  <si>
    <t>1987–88</t>
  </si>
  <si>
    <t>1988–89</t>
  </si>
  <si>
    <t>1989–90</t>
  </si>
  <si>
    <t>1990–91</t>
  </si>
  <si>
    <t>1991–92</t>
  </si>
  <si>
    <t>1992–93</t>
  </si>
  <si>
    <t>1993–94</t>
  </si>
  <si>
    <t>1994–95</t>
  </si>
  <si>
    <t>1995–96</t>
  </si>
  <si>
    <t>1996–97</t>
  </si>
  <si>
    <t>1997–98</t>
  </si>
  <si>
    <t>1998–99</t>
  </si>
  <si>
    <t>1999–00</t>
  </si>
  <si>
    <t>2024-2025</t>
  </si>
  <si>
    <t>All X (84-19)</t>
  </si>
  <si>
    <t>2021/22 as % of 10X</t>
  </si>
  <si>
    <t>Table 13.  Summer steelhead passage at Lower Granite Dam, 1984–2024.</t>
  </si>
  <si>
    <r>
      <t>Run Year</t>
    </r>
    <r>
      <rPr>
        <i/>
        <vertAlign val="superscript"/>
        <sz val="10"/>
        <rFont val="Times New Roman"/>
        <family val="1"/>
      </rPr>
      <t>1</t>
    </r>
  </si>
  <si>
    <r>
      <t>Hatchery</t>
    </r>
    <r>
      <rPr>
        <i/>
        <vertAlign val="superscript"/>
        <sz val="10"/>
        <rFont val="Times New Roman"/>
        <family val="1"/>
      </rPr>
      <t>2</t>
    </r>
  </si>
  <si>
    <r>
      <t>2024–25</t>
    </r>
    <r>
      <rPr>
        <i/>
        <vertAlign val="superscript"/>
        <sz val="10"/>
        <rFont val="Times New Roman"/>
        <family val="1"/>
      </rPr>
      <t>3</t>
    </r>
  </si>
  <si>
    <r>
      <rPr>
        <i/>
        <vertAlign val="superscript"/>
        <sz val="12"/>
        <rFont val="Times New Roman"/>
        <family val="1"/>
      </rPr>
      <t>1</t>
    </r>
    <r>
      <rPr>
        <i/>
        <sz val="12"/>
        <rFont val="Times New Roman"/>
        <family val="1"/>
      </rPr>
      <t>Run year is July 1 through June 30 of following year.</t>
    </r>
  </si>
  <si>
    <r>
      <rPr>
        <i/>
        <vertAlign val="superscript"/>
        <sz val="12"/>
        <rFont val="Times New Roman"/>
        <family val="1"/>
      </rPr>
      <t>2</t>
    </r>
    <r>
      <rPr>
        <i/>
        <sz val="12"/>
        <rFont val="Times New Roman"/>
        <family val="1"/>
      </rPr>
      <t>Hatchery-origin includes fish with clipped and unclipped adipose fins.</t>
    </r>
  </si>
  <si>
    <r>
      <rPr>
        <i/>
        <vertAlign val="superscript"/>
        <sz val="12"/>
        <rFont val="Times New Roman"/>
        <family val="1"/>
      </rPr>
      <t>3</t>
    </r>
    <r>
      <rPr>
        <i/>
        <sz val="12"/>
        <rFont val="Times New Roman"/>
        <family val="1"/>
      </rPr>
      <t>Values are preliminary; passage is through December 31 and subcomponent determination is based on visual sampling at Lower Granite Dam.</t>
    </r>
  </si>
  <si>
    <t>Lower  Col.</t>
  </si>
  <si>
    <t>Tributary</t>
  </si>
  <si>
    <t>Recreational Kept Catch</t>
  </si>
  <si>
    <t>Dam counts (hatchery fish only)</t>
  </si>
  <si>
    <t>NF Dam Passage - Summer Steelhead</t>
  </si>
  <si>
    <t xml:space="preserve"> Kept Catch</t>
  </si>
  <si>
    <t xml:space="preserve">Dam </t>
  </si>
  <si>
    <t>Hatchery Returns</t>
  </si>
  <si>
    <t>Minimum</t>
  </si>
  <si>
    <t>Annual punch card sums for summer steelhead in LCR tribs downstream of Bonneville Dam</t>
  </si>
  <si>
    <t>1980-2014</t>
  </si>
  <si>
    <t xml:space="preserve"> (May-June)</t>
  </si>
  <si>
    <t>OR</t>
  </si>
  <si>
    <t>WA</t>
  </si>
  <si>
    <t>Counts</t>
  </si>
  <si>
    <t xml:space="preserve"> Run</t>
  </si>
  <si>
    <t>Code</t>
  </si>
  <si>
    <t>Will Falls</t>
  </si>
  <si>
    <t>N. F. Dam</t>
  </si>
  <si>
    <t>Marmot</t>
  </si>
  <si>
    <t>Sum</t>
  </si>
  <si>
    <t>Wild / Unclipped</t>
  </si>
  <si>
    <t>Clipped Adipose</t>
  </si>
  <si>
    <t>Clipped ADRM</t>
  </si>
  <si>
    <t>Sum Hatchery</t>
  </si>
  <si>
    <t>Wild/Hatch Unknown</t>
  </si>
  <si>
    <t>Unclipped Down Stream</t>
  </si>
  <si>
    <t xml:space="preserve"> Clipped Down Stream </t>
  </si>
  <si>
    <t>Clipped to Faraday</t>
  </si>
  <si>
    <t>Wild To Clackamas Hatchery</t>
  </si>
  <si>
    <t>Clipped To Clackamas Hatchery</t>
  </si>
  <si>
    <t xml:space="preserve"> Total UpStream</t>
  </si>
  <si>
    <t>Total Adults</t>
  </si>
  <si>
    <t>OREGON</t>
  </si>
  <si>
    <t>Abernathy (Clackamas)</t>
  </si>
  <si>
    <t>Bear Cr (Clatsop Cnty)</t>
  </si>
  <si>
    <t>Beaver Cr (Col Co)</t>
  </si>
  <si>
    <t>Big Cr (Clatsop Cnty)</t>
  </si>
  <si>
    <t>Bull Run R</t>
  </si>
  <si>
    <t>Clackamas&lt;Carver</t>
  </si>
  <si>
    <t>Clackamas below NFK Dam</t>
  </si>
  <si>
    <t>Clatskanie R</t>
  </si>
  <si>
    <t>Eagle Cr (Clackamas R)</t>
  </si>
  <si>
    <t>Fall Cr (Willamette R)</t>
  </si>
  <si>
    <t>Gnat Cr</t>
  </si>
  <si>
    <t>Johnson Cr (Willamette R)</t>
  </si>
  <si>
    <t>Knappa/Blind Sl</t>
  </si>
  <si>
    <t>Klaskanine R</t>
  </si>
  <si>
    <t>NFK Klaskanine</t>
  </si>
  <si>
    <t>SFK Klaskanine</t>
  </si>
  <si>
    <t>Lewis and Clark</t>
  </si>
  <si>
    <t>Salmon R (Sandy)</t>
  </si>
  <si>
    <t>Sandy (mouth to Revenue)</t>
  </si>
  <si>
    <t>Sandy (below Marmot)</t>
  </si>
  <si>
    <t>Scappoose Cr</t>
  </si>
  <si>
    <t>NFK Scappoose</t>
  </si>
  <si>
    <t>SFK Scappoose</t>
  </si>
  <si>
    <t>Tanner Cr</t>
  </si>
  <si>
    <t>Lower Willamette</t>
  </si>
  <si>
    <t>Youngs R+Bay</t>
  </si>
  <si>
    <t>Plympton Cr</t>
  </si>
  <si>
    <t>Sandy (above marmot)</t>
  </si>
  <si>
    <t>Sandy (Revenue to Salmon)</t>
  </si>
  <si>
    <t>Sandy R (upstream of Salmon)</t>
  </si>
  <si>
    <t>Clackamas (Carver to Bakers Ferry)</t>
  </si>
  <si>
    <t>Clackamas (Bakers Ferry to River Mill)</t>
  </si>
  <si>
    <t>Clackamas (River Mill to Cazadero)</t>
  </si>
  <si>
    <t>John Day R (Clatsop Cnty)</t>
  </si>
  <si>
    <t>Data Status</t>
  </si>
  <si>
    <t>Final</t>
  </si>
  <si>
    <t>?</t>
  </si>
  <si>
    <t>Prelim #1</t>
  </si>
  <si>
    <t>placeholder</t>
  </si>
  <si>
    <t>WASHINGTON</t>
  </si>
  <si>
    <t>Abernathy Creek</t>
  </si>
  <si>
    <t>501</t>
  </si>
  <si>
    <t>Alder Creek (Cowlitz Co.)</t>
  </si>
  <si>
    <t>553</t>
  </si>
  <si>
    <t>Blue Creek (Lewis Co.)</t>
  </si>
  <si>
    <t>507</t>
  </si>
  <si>
    <t>Cedar Creek (Clark Co.)</t>
  </si>
  <si>
    <t>609</t>
  </si>
  <si>
    <t>Chinook River</t>
  </si>
  <si>
    <t>515</t>
  </si>
  <si>
    <t>Coal Creek (Cowlitz Co.)</t>
  </si>
  <si>
    <t>517</t>
  </si>
  <si>
    <t>Coweeman River</t>
  </si>
  <si>
    <t>557</t>
  </si>
  <si>
    <t>Cowlitz R. below Mayfield Dam</t>
  </si>
  <si>
    <t>561</t>
  </si>
  <si>
    <t>Deep River (Wahkiakum Co.)</t>
  </si>
  <si>
    <t>580</t>
  </si>
  <si>
    <t>Elochoman River</t>
  </si>
  <si>
    <t>583</t>
  </si>
  <si>
    <t>Elochoman River above Foster Rd Bridge</t>
  </si>
  <si>
    <t>584</t>
  </si>
  <si>
    <t>Hatchery counts (hatchery fish only)</t>
  </si>
  <si>
    <t xml:space="preserve">*rounded values should be replaced with actuals </t>
  </si>
  <si>
    <t>Elochoman River below Foster Rd Bridge</t>
  </si>
  <si>
    <t>Germany Creek</t>
  </si>
  <si>
    <t>589</t>
  </si>
  <si>
    <t>Gobar Creek</t>
  </si>
  <si>
    <t>600</t>
  </si>
  <si>
    <t>Clackamas</t>
  </si>
  <si>
    <t>Grays River above Barr Rd Bridge</t>
  </si>
  <si>
    <t>595</t>
  </si>
  <si>
    <t>Sandy</t>
  </si>
  <si>
    <t xml:space="preserve">   </t>
  </si>
  <si>
    <t>Grays River and West Fork</t>
  </si>
  <si>
    <t>2595</t>
  </si>
  <si>
    <t>Grays River below Barr Rd Bridge</t>
  </si>
  <si>
    <t>594</t>
  </si>
  <si>
    <t>Skamania (Washougal)</t>
  </si>
  <si>
    <t>Grays River, East Fork</t>
  </si>
  <si>
    <t>597</t>
  </si>
  <si>
    <t xml:space="preserve">Lewis </t>
  </si>
  <si>
    <t>Grays River, West Fork</t>
  </si>
  <si>
    <t>596</t>
  </si>
  <si>
    <t>Cowlitz</t>
  </si>
  <si>
    <t>Green River (Cowlitz Co.)</t>
  </si>
  <si>
    <t>565</t>
  </si>
  <si>
    <t xml:space="preserve">Kalama </t>
  </si>
  <si>
    <t>Green River (Cowlitz Co.) above Toutle Hatchery</t>
  </si>
  <si>
    <t>566</t>
  </si>
  <si>
    <t>Beaver Creek (Elochoman)</t>
  </si>
  <si>
    <t>Green River (Cowlitz Co.) below Toutle Hatchery</t>
  </si>
  <si>
    <t>Hamilton Creek</t>
  </si>
  <si>
    <t>598</t>
  </si>
  <si>
    <t>Kalama River above Kalama Falls Hatchery</t>
  </si>
  <si>
    <t>Kalama River below Modrow Bridge</t>
  </si>
  <si>
    <t>604</t>
  </si>
  <si>
    <t>Kalama River between Modrow Bridge and Kalama Falls Hatchery</t>
  </si>
  <si>
    <t>603</t>
  </si>
  <si>
    <t>Lacamas Creek (Lewis Co.)</t>
  </si>
  <si>
    <t>567</t>
  </si>
  <si>
    <t>Lewis River (below E. Fork)</t>
  </si>
  <si>
    <t>611</t>
  </si>
  <si>
    <t>Lewis River, E. Fork</t>
  </si>
  <si>
    <t>613</t>
  </si>
  <si>
    <t>Lewis River, East Fork</t>
  </si>
  <si>
    <t>Lewis River, No. Fork</t>
  </si>
  <si>
    <t>615</t>
  </si>
  <si>
    <t>Lewis River, North Fork</t>
  </si>
  <si>
    <t>Little Washougal River</t>
  </si>
  <si>
    <t>661</t>
  </si>
  <si>
    <t>Mill Creek (Cowlitz Co.)</t>
  </si>
  <si>
    <t>624</t>
  </si>
  <si>
    <t>Mill Creek (Lewis Co.)</t>
  </si>
  <si>
    <t>625</t>
  </si>
  <si>
    <t>Olequa Creek (Cowlitz Co.)</t>
  </si>
  <si>
    <t>569</t>
  </si>
  <si>
    <t>Salmon Creek (Clark Co.)</t>
  </si>
  <si>
    <t>635</t>
  </si>
  <si>
    <t>Skamokawa Creek</t>
  </si>
  <si>
    <t>638</t>
  </si>
  <si>
    <t>Toutle River</t>
  </si>
  <si>
    <t>573</t>
  </si>
  <si>
    <t>Toutle River, No. Fork</t>
  </si>
  <si>
    <t>575</t>
  </si>
  <si>
    <t>Toutle River, So. Fork</t>
  </si>
  <si>
    <t>577</t>
  </si>
  <si>
    <t>Washougal Hatchery on Washougal River</t>
  </si>
  <si>
    <t>663</t>
  </si>
  <si>
    <t>Washougal R, West Fork</t>
  </si>
  <si>
    <t>665</t>
  </si>
  <si>
    <t>Washougal River</t>
  </si>
  <si>
    <t>667</t>
  </si>
  <si>
    <t>Washougal River above County Line Access</t>
  </si>
  <si>
    <t>668</t>
  </si>
  <si>
    <t>Washougal River below County Line Access</t>
  </si>
  <si>
    <t>Washougal River, West Fork</t>
  </si>
  <si>
    <t>PrelimDaft1</t>
  </si>
  <si>
    <t>5 yr avg</t>
  </si>
  <si>
    <t xml:space="preserve">Table 14.  Minimum numbers (in thousands) of lower river hatchery-origin summer steelhead entering the Columbia River, 1980–2025. </t>
  </si>
  <si>
    <r>
      <t>Lower  Col. Recreational Kept Catch (May</t>
    </r>
    <r>
      <rPr>
        <sz val="10"/>
        <rFont val="Calibri"/>
        <family val="2"/>
      </rPr>
      <t>–</t>
    </r>
    <r>
      <rPr>
        <sz val="10"/>
        <rFont val="Times New Roman"/>
        <family val="1"/>
      </rPr>
      <t>June)</t>
    </r>
    <r>
      <rPr>
        <i/>
        <vertAlign val="superscript"/>
        <sz val="10"/>
        <rFont val="Times New Roman"/>
        <family val="1"/>
      </rPr>
      <t>1</t>
    </r>
  </si>
  <si>
    <r>
      <t>Recreational Kept Catch</t>
    </r>
    <r>
      <rPr>
        <i/>
        <vertAlign val="superscript"/>
        <sz val="10"/>
        <color indexed="8"/>
        <rFont val="Times New Roman"/>
        <family val="1"/>
      </rPr>
      <t>2</t>
    </r>
  </si>
  <si>
    <r>
      <t>Dam Counts</t>
    </r>
    <r>
      <rPr>
        <i/>
        <vertAlign val="superscript"/>
        <sz val="10"/>
        <rFont val="Times New Roman"/>
        <family val="1"/>
      </rPr>
      <t>3</t>
    </r>
  </si>
  <si>
    <r>
      <t>Hatchery Returns</t>
    </r>
    <r>
      <rPr>
        <i/>
        <vertAlign val="superscript"/>
        <sz val="10"/>
        <color indexed="8"/>
        <rFont val="Times New Roman"/>
        <family val="1"/>
      </rPr>
      <t>4</t>
    </r>
  </si>
  <si>
    <t>Minimum  Run</t>
  </si>
  <si>
    <r>
      <t>1980</t>
    </r>
    <r>
      <rPr>
        <sz val="10"/>
        <color rgb="FF000000"/>
        <rFont val="Calibri"/>
        <family val="2"/>
      </rPr>
      <t>–</t>
    </r>
    <r>
      <rPr>
        <sz val="10"/>
        <color rgb="FF000000"/>
        <rFont val="Times New Roman"/>
        <family val="1"/>
      </rPr>
      <t>84 avg</t>
    </r>
  </si>
  <si>
    <r>
      <rPr>
        <i/>
        <vertAlign val="superscript"/>
        <sz val="12"/>
        <rFont val="Times New Roman"/>
        <family val="1"/>
      </rPr>
      <t>1</t>
    </r>
    <r>
      <rPr>
        <i/>
        <sz val="12"/>
        <rFont val="Times New Roman"/>
        <family val="1"/>
      </rPr>
      <t xml:space="preserve">Catch in </t>
    </r>
    <r>
      <rPr>
        <i/>
        <sz val="12"/>
        <color indexed="8"/>
        <rFont val="Times New Roman"/>
        <family val="1"/>
      </rPr>
      <t xml:space="preserve">lower Columbia recreational fisheries during May and June is assigned to lower river stock.   </t>
    </r>
  </si>
  <si>
    <r>
      <rPr>
        <i/>
        <vertAlign val="superscript"/>
        <sz val="12"/>
        <rFont val="Times New Roman"/>
        <family val="1"/>
      </rPr>
      <t>2</t>
    </r>
    <r>
      <rPr>
        <i/>
        <sz val="12"/>
        <color indexed="8"/>
        <rFont val="Times New Roman"/>
        <family val="1"/>
      </rPr>
      <t xml:space="preserve">From Oregon and Washington catch record card estimates.  </t>
    </r>
    <r>
      <rPr>
        <i/>
        <sz val="12"/>
        <rFont val="Times New Roman"/>
        <family val="1"/>
      </rPr>
      <t>2019-</t>
    </r>
    <r>
      <rPr>
        <i/>
        <sz val="12"/>
        <color indexed="8"/>
        <rFont val="Times New Roman"/>
        <family val="1"/>
      </rPr>
      <t>2023 data are preliminary.</t>
    </r>
  </si>
  <si>
    <r>
      <rPr>
        <i/>
        <vertAlign val="superscript"/>
        <sz val="12"/>
        <rFont val="Times New Roman"/>
        <family val="1"/>
      </rPr>
      <t>3</t>
    </r>
    <r>
      <rPr>
        <i/>
        <sz val="12"/>
        <color indexed="8"/>
        <rFont val="Times New Roman"/>
        <family val="1"/>
      </rPr>
      <t xml:space="preserve">Willamette Falls (Willamette R.), North Fork Dam (Clackamas R.), and Marmot Dam (Sandy R; through 2007 only).    </t>
    </r>
  </si>
  <si>
    <r>
      <rPr>
        <i/>
        <vertAlign val="superscript"/>
        <sz val="12"/>
        <rFont val="Times New Roman"/>
        <family val="1"/>
      </rPr>
      <t>4</t>
    </r>
    <r>
      <rPr>
        <i/>
        <sz val="12"/>
        <color indexed="8"/>
        <rFont val="Times New Roman"/>
        <family val="1"/>
      </rPr>
      <t>Washington: Skamania, Lewis River, and Cowlitz hatcheries and, beginning in 1998, Kalama River hatcheries.  Oregon: Sandy (1999 onward) and Clackamas (1984-1987 and 1995 onward) hatcheries.</t>
    </r>
  </si>
  <si>
    <t>Estimated Number of Sockeye Entering the Columbia River, Mainstem Harvest, and Escapement</t>
  </si>
  <si>
    <t>Source: TAC sockeye BA table file dated 010620, worksheet 'JSR Table'</t>
  </si>
  <si>
    <t>JW 2019: this needs to be reviewed; does not account for returns to Yakima and Deschutes rivers</t>
  </si>
  <si>
    <t>Source: 2021 values only: TAC sockeye BA table file revamp by Stuart "test sockeye reconstruction120121"</t>
  </si>
  <si>
    <t>Snake River Sockeye</t>
  </si>
  <si>
    <t>JW 2020: this still needs to be addressed.  Causes issues in the text since Yakima and Deschutes are not accounted for in this apportioning</t>
  </si>
  <si>
    <t>Columbia</t>
  </si>
  <si>
    <t>Non-</t>
  </si>
  <si>
    <t>Bonn.</t>
  </si>
  <si>
    <t>At</t>
  </si>
  <si>
    <t>JW 2022: can get rid of the trib-specific % return of whole since not reported in text any longer</t>
  </si>
  <si>
    <t>River</t>
  </si>
  <si>
    <t>Col R.</t>
  </si>
  <si>
    <t>Granite</t>
  </si>
  <si>
    <t>Dam Counts</t>
  </si>
  <si>
    <t>esc</t>
  </si>
  <si>
    <t>Columbia R Return</t>
  </si>
  <si>
    <t>return</t>
  </si>
  <si>
    <t>Mouth1</t>
  </si>
  <si>
    <t>Catch2</t>
  </si>
  <si>
    <t>Catch3</t>
  </si>
  <si>
    <t>Mouth</t>
  </si>
  <si>
    <t>Esc.4</t>
  </si>
  <si>
    <t>Tumwater</t>
  </si>
  <si>
    <t>Wells</t>
  </si>
  <si>
    <t>HR</t>
  </si>
  <si>
    <t>%Wen</t>
  </si>
  <si>
    <t>Snake River</t>
  </si>
  <si>
    <t>Wenatchee</t>
  </si>
  <si>
    <t>Oka</t>
  </si>
  <si>
    <t>2022 Forecast</t>
  </si>
  <si>
    <t>2021 Forecast</t>
  </si>
  <si>
    <t>Return was</t>
  </si>
  <si>
    <t xml:space="preserve">1. Upriver run is larger of (Bonn. Count + Zones 1-5 harvest) or (Priest Rapids count + Snake River count + Zones 1-6 harvest).  </t>
  </si>
  <si>
    <t>2.  Non-Treaty harvest may include kept fish and incidental release mortalities in Zones 1-6</t>
  </si>
  <si>
    <t>3. Treaty harvest includes sockeye kept in Zones 1-6, which includes harvest downstrem of Bonneville Dam.</t>
  </si>
  <si>
    <t xml:space="preserve">4.  Prior to 1992, Lower Granite Dam sockeye counts may include kokanee.  Since 1992 video counts or length measurements are used to identify true sockeye.  </t>
  </si>
  <si>
    <t>5.  Beginning in 1979, the Wenatchee estimate is based on Rock Island or Priest Rapids Dam  counts minus Rocky Reach Dam totals, except Priest Rapids count minus Wells count in 1995</t>
  </si>
  <si>
    <t>6. The Okanogan estimate is based on the Rocky Reach Dam counts until 1966.  Wells Dam counts are used beginning with 1967.</t>
  </si>
  <si>
    <t>Table 15.  Estimated number of sockeye entering the Columbia River, mainstem harvest, and escapement, 1980–2025.</t>
  </si>
  <si>
    <r>
      <t>Columbia River Mouth</t>
    </r>
    <r>
      <rPr>
        <i/>
        <vertAlign val="superscript"/>
        <sz val="10"/>
        <rFont val="Times New Roman"/>
        <family val="1"/>
      </rPr>
      <t>1</t>
    </r>
  </si>
  <si>
    <r>
      <t>Non-treaty Catch</t>
    </r>
    <r>
      <rPr>
        <i/>
        <vertAlign val="superscript"/>
        <sz val="10"/>
        <rFont val="Times New Roman"/>
        <family val="1"/>
      </rPr>
      <t>2</t>
    </r>
  </si>
  <si>
    <t>Bonneville Dam Count</t>
  </si>
  <si>
    <r>
      <t>Treaty Catch</t>
    </r>
    <r>
      <rPr>
        <i/>
        <vertAlign val="superscript"/>
        <sz val="10"/>
        <rFont val="Times New Roman"/>
        <family val="1"/>
      </rPr>
      <t>3</t>
    </r>
  </si>
  <si>
    <t>At             Col. R. Mouth</t>
  </si>
  <si>
    <r>
      <t>Lower Granite Escapement</t>
    </r>
    <r>
      <rPr>
        <i/>
        <vertAlign val="superscript"/>
        <sz val="10"/>
        <rFont val="Times New Roman"/>
        <family val="1"/>
      </rPr>
      <t>4</t>
    </r>
  </si>
  <si>
    <r>
      <t>Tumwater</t>
    </r>
    <r>
      <rPr>
        <i/>
        <vertAlign val="superscript"/>
        <sz val="10"/>
        <rFont val="Times New Roman"/>
        <family val="1"/>
      </rPr>
      <t>5</t>
    </r>
  </si>
  <si>
    <r>
      <t>Wells</t>
    </r>
    <r>
      <rPr>
        <i/>
        <vertAlign val="superscript"/>
        <sz val="10"/>
        <rFont val="Times New Roman"/>
        <family val="1"/>
      </rPr>
      <t>6</t>
    </r>
  </si>
  <si>
    <r>
      <rPr>
        <i/>
        <vertAlign val="superscript"/>
        <sz val="12"/>
        <rFont val="Times New Roman"/>
        <family val="1"/>
      </rPr>
      <t>1</t>
    </r>
    <r>
      <rPr>
        <i/>
        <sz val="12"/>
        <rFont val="Times New Roman"/>
        <family val="1"/>
      </rPr>
      <t>Upriver run is the larger of Bonneville passage + Zones 1</t>
    </r>
    <r>
      <rPr>
        <i/>
        <sz val="12"/>
        <rFont val="Calibri"/>
        <family val="2"/>
      </rPr>
      <t>–</t>
    </r>
    <r>
      <rPr>
        <i/>
        <sz val="12"/>
        <rFont val="Times New Roman"/>
        <family val="1"/>
      </rPr>
      <t>5 harvest or Priest Rapids passage + Snake River passage + Zone 1</t>
    </r>
    <r>
      <rPr>
        <i/>
        <sz val="12"/>
        <rFont val="Calibri"/>
        <family val="2"/>
      </rPr>
      <t>–</t>
    </r>
    <r>
      <rPr>
        <i/>
        <sz val="12"/>
        <rFont val="Times New Roman"/>
        <family val="1"/>
      </rPr>
      <t xml:space="preserve">6 harvest.  </t>
    </r>
  </si>
  <si>
    <r>
      <rPr>
        <i/>
        <vertAlign val="superscript"/>
        <sz val="12"/>
        <rFont val="Times New Roman"/>
        <family val="1"/>
      </rPr>
      <t>2</t>
    </r>
    <r>
      <rPr>
        <i/>
        <sz val="12"/>
        <rFont val="Times New Roman"/>
        <family val="1"/>
      </rPr>
      <t>Non-treaty harvest may include kept fish and incidental release mortalities in Zones 1</t>
    </r>
    <r>
      <rPr>
        <i/>
        <sz val="12"/>
        <rFont val="Calibri"/>
        <family val="2"/>
      </rPr>
      <t>–</t>
    </r>
    <r>
      <rPr>
        <i/>
        <sz val="12"/>
        <rFont val="Times New Roman"/>
        <family val="1"/>
      </rPr>
      <t>6, upstream to Highway 395.</t>
    </r>
  </si>
  <si>
    <r>
      <rPr>
        <i/>
        <vertAlign val="superscript"/>
        <sz val="12"/>
        <rFont val="Times New Roman"/>
        <family val="1"/>
      </rPr>
      <t>3</t>
    </r>
    <r>
      <rPr>
        <i/>
        <sz val="12"/>
        <rFont val="Times New Roman"/>
        <family val="1"/>
      </rPr>
      <t>Treaty harvest includes sockeye kept in Zones 1–6, which includes harvest downstream of Bonneville Dam.</t>
    </r>
  </si>
  <si>
    <r>
      <rPr>
        <i/>
        <vertAlign val="superscript"/>
        <sz val="12"/>
        <rFont val="Times New Roman"/>
        <family val="1"/>
      </rPr>
      <t>4</t>
    </r>
    <r>
      <rPr>
        <i/>
        <sz val="12"/>
        <rFont val="Times New Roman"/>
        <family val="1"/>
      </rPr>
      <t>Prior to 1992, Lower Granite Dam sockeye counts may include kokanee.  Since 1992 video counts or length measurements are used to identify true sockeye.</t>
    </r>
  </si>
  <si>
    <r>
      <rPr>
        <i/>
        <vertAlign val="superscript"/>
        <sz val="12"/>
        <rFont val="Times New Roman"/>
        <family val="1"/>
      </rPr>
      <t>5</t>
    </r>
    <r>
      <rPr>
        <i/>
        <sz val="12"/>
        <rFont val="Times New Roman"/>
        <family val="1"/>
      </rPr>
      <t xml:space="preserve">Tumwater Dam count is an index of Wenatchee escapement. </t>
    </r>
  </si>
  <si>
    <r>
      <rPr>
        <i/>
        <vertAlign val="superscript"/>
        <sz val="12"/>
        <rFont val="Times New Roman"/>
        <family val="1"/>
      </rPr>
      <t>6</t>
    </r>
    <r>
      <rPr>
        <i/>
        <sz val="12"/>
        <rFont val="Times New Roman"/>
        <family val="1"/>
      </rPr>
      <t>Wells Dam count is an index of Okanogan escapement.</t>
    </r>
  </si>
  <si>
    <t>Table 16.  Columbia River American Shad harvest, passage, and minimum runsize (in thousands), 1980–2025.</t>
  </si>
  <si>
    <t>Commercial Catch</t>
  </si>
  <si>
    <r>
      <t xml:space="preserve">Columbia River Dam Count </t>
    </r>
    <r>
      <rPr>
        <i/>
        <vertAlign val="superscript"/>
        <sz val="10"/>
        <color rgb="FF000000"/>
        <rFont val="Times New Roman"/>
        <family val="1"/>
      </rPr>
      <t>3</t>
    </r>
  </si>
  <si>
    <t>Treaty Harvest</t>
  </si>
  <si>
    <t>Minimum Run Size</t>
  </si>
  <si>
    <t>Area 2S</t>
  </si>
  <si>
    <r>
      <t xml:space="preserve">Washougal Reef </t>
    </r>
    <r>
      <rPr>
        <i/>
        <vertAlign val="superscript"/>
        <sz val="10"/>
        <color rgb="FF000000"/>
        <rFont val="Times New Roman"/>
        <family val="1"/>
      </rPr>
      <t>1</t>
    </r>
  </si>
  <si>
    <r>
      <t xml:space="preserve">Other </t>
    </r>
    <r>
      <rPr>
        <i/>
        <vertAlign val="superscript"/>
        <sz val="10"/>
        <color rgb="FF000000"/>
        <rFont val="Times New Roman"/>
        <family val="1"/>
      </rPr>
      <t>2</t>
    </r>
  </si>
  <si>
    <t>%Run harvested</t>
  </si>
  <si>
    <t xml:space="preserve"> Minimum Run Size</t>
  </si>
  <si>
    <t xml:space="preserve">comm harvest </t>
  </si>
  <si>
    <t>comm harvest rank</t>
  </si>
  <si>
    <t>*</t>
  </si>
  <si>
    <t>&lt;0.1</t>
  </si>
  <si>
    <t>54.4</t>
  </si>
  <si>
    <t>30.0</t>
  </si>
  <si>
    <r>
      <rPr>
        <i/>
        <vertAlign val="superscript"/>
        <sz val="12"/>
        <rFont val="Times New Roman"/>
        <family val="1"/>
      </rPr>
      <t>1</t>
    </r>
    <r>
      <rPr>
        <i/>
        <sz val="12"/>
        <rFont val="Times New Roman"/>
        <family val="1"/>
      </rPr>
      <t>Washougal Reef landings are included in Area 2S landings until 1986.  No seasons have been set in recent history, except for 2005 and 2011 which resulted in no fish landed.</t>
    </r>
  </si>
  <si>
    <t>Recent 5yr</t>
  </si>
  <si>
    <r>
      <rPr>
        <i/>
        <vertAlign val="superscript"/>
        <sz val="12"/>
        <rFont val="Times New Roman"/>
        <family val="1"/>
      </rPr>
      <t>2</t>
    </r>
    <r>
      <rPr>
        <i/>
        <sz val="12"/>
        <rFont val="Times New Roman"/>
        <family val="1"/>
      </rPr>
      <t>Includes any landings from experimental gear permits, research, spring Chinook seasons, sockeye seasons, Select Area fisheries, and John Day River American Shad fisheries.</t>
    </r>
  </si>
  <si>
    <r>
      <rPr>
        <i/>
        <vertAlign val="superscript"/>
        <sz val="12"/>
        <rFont val="Times New Roman"/>
        <family val="1"/>
      </rPr>
      <t>3</t>
    </r>
    <r>
      <rPr>
        <i/>
        <sz val="12"/>
        <rFont val="Times New Roman"/>
        <family val="1"/>
      </rPr>
      <t>For years 1980-2010, the count shown is the greater passage of American Shad at either Bonneville or The Dalles dams.  Due to large numbers of American Shad passing through the Bonneville locks in most years, The Dalles count was usually higher; however, Bonneville counts were higher in 1984, 2003, and 2008 and are noted with an asterisk.  Counting of American Shad at The Dalles Dam was discontinued in 2011; counts beginning in 2011 are from Bonneville Dam.</t>
    </r>
  </si>
  <si>
    <r>
      <rPr>
        <i/>
        <vertAlign val="superscript"/>
        <sz val="12"/>
        <rFont val="Times New Roman"/>
        <family val="1"/>
      </rPr>
      <t>4</t>
    </r>
    <r>
      <rPr>
        <i/>
        <sz val="12"/>
        <rFont val="Times New Roman"/>
        <family val="1"/>
      </rPr>
      <t>Limited Area 2S experimental fishery with three boats.</t>
    </r>
  </si>
  <si>
    <r>
      <rPr>
        <i/>
        <vertAlign val="superscript"/>
        <sz val="12"/>
        <rFont val="Times New Roman"/>
        <family val="1"/>
      </rPr>
      <t>5</t>
    </r>
    <r>
      <rPr>
        <i/>
        <sz val="12"/>
        <rFont val="Times New Roman"/>
        <family val="1"/>
      </rPr>
      <t>Precise treaty harvest estimates not available.</t>
    </r>
  </si>
  <si>
    <t>Table 17.  Season dates, gear restrictions, and commercial landings during non-treaty winter (January–March) and spring (April–June 15) mainstem seasons, 1975–2025.</t>
  </si>
  <si>
    <t>Season Dates</t>
  </si>
  <si>
    <t>Fishing Days</t>
  </si>
  <si>
    <r>
      <t>Mesh Size</t>
    </r>
    <r>
      <rPr>
        <i/>
        <vertAlign val="superscript"/>
        <sz val="10"/>
        <color rgb="FF000000"/>
        <rFont val="Times New Roman"/>
        <family val="1"/>
      </rPr>
      <t>2</t>
    </r>
  </si>
  <si>
    <r>
      <t>Commercial Landings</t>
    </r>
    <r>
      <rPr>
        <i/>
        <vertAlign val="superscript"/>
        <sz val="10"/>
        <color rgb="FF000000"/>
        <rFont val="Times New Roman"/>
        <family val="1"/>
      </rPr>
      <t>1</t>
    </r>
  </si>
  <si>
    <t>Chinook</t>
  </si>
  <si>
    <r>
      <t>White Sturgeon</t>
    </r>
    <r>
      <rPr>
        <i/>
        <vertAlign val="superscript"/>
        <sz val="10"/>
        <color rgb="FF000000"/>
        <rFont val="Times New Roman"/>
        <family val="1"/>
      </rPr>
      <t>3</t>
    </r>
  </si>
  <si>
    <t>1975-1979 Avg</t>
  </si>
  <si>
    <t>8” min.</t>
  </si>
  <si>
    <t>7,900</t>
  </si>
  <si>
    <t>Range</t>
  </si>
  <si>
    <t>Feb 26–Mar 11</t>
  </si>
  <si>
    <r>
      <t>5</t>
    </r>
    <r>
      <rPr>
        <sz val="10"/>
        <color rgb="FF000000"/>
        <rFont val="Calibri"/>
        <family val="2"/>
      </rPr>
      <t>–</t>
    </r>
    <r>
      <rPr>
        <sz val="10"/>
        <color rgb="FF000000"/>
        <rFont val="Times New Roman"/>
        <family val="1"/>
      </rPr>
      <t>11</t>
    </r>
  </si>
  <si>
    <t>4,700–13,500</t>
  </si>
  <si>
    <t>1,000–2,700</t>
  </si>
  <si>
    <t>1980–1984 Avg</t>
  </si>
  <si>
    <t>6,000</t>
  </si>
  <si>
    <t>Feb 16–Mar 11</t>
  </si>
  <si>
    <t>1–12</t>
  </si>
  <si>
    <t>400–9,600</t>
  </si>
  <si>
    <t>900–3,700</t>
  </si>
  <si>
    <t>1985–1989 Avg</t>
  </si>
  <si>
    <t>13,200</t>
  </si>
  <si>
    <t>Jan 25–Mar 11</t>
  </si>
  <si>
    <t>8–17</t>
  </si>
  <si>
    <t>8” min.–9” min.</t>
  </si>
  <si>
    <t>400–18,300</t>
  </si>
  <si>
    <t>500–1,700</t>
  </si>
  <si>
    <t>1990–1994 Avg</t>
  </si>
  <si>
    <t>6–20</t>
  </si>
  <si>
    <t>1,500–18,300</t>
  </si>
  <si>
    <t>700–3,000</t>
  </si>
  <si>
    <t>1995–1999 Avg</t>
  </si>
  <si>
    <t>&lt;100</t>
  </si>
  <si>
    <t>Jan 11–Feb 26</t>
  </si>
  <si>
    <t>0–13</t>
  </si>
  <si>
    <t>0–100</t>
  </si>
  <si>
    <t>600–2,700</t>
  </si>
  <si>
    <t>2000–2004 Avg</t>
  </si>
  <si>
    <t>4¼”–5½” max</t>
  </si>
  <si>
    <t>7,306</t>
  </si>
  <si>
    <t>Jan 07–Mar 30</t>
  </si>
  <si>
    <t>7–26</t>
  </si>
  <si>
    <t>496–14,384</t>
  </si>
  <si>
    <t>1,517–3,059</t>
  </si>
  <si>
    <t>2005</t>
  </si>
  <si>
    <t>Jan 18–Feb 25</t>
  </si>
  <si>
    <t>9” min.</t>
  </si>
  <si>
    <t>Mar 01–Mar 16</t>
  </si>
  <si>
    <t>Mar 29–Apr 01</t>
  </si>
  <si>
    <t>4¼” max.</t>
  </si>
  <si>
    <t>2006</t>
  </si>
  <si>
    <t>Jan 10–Feb 22</t>
  </si>
  <si>
    <t>Feb 23–Mar 15</t>
  </si>
  <si>
    <t>May 16–Jun 02</t>
  </si>
  <si>
    <t>2007</t>
  </si>
  <si>
    <t>Jan 09–Feb 23</t>
  </si>
  <si>
    <t>Mar 06</t>
  </si>
  <si>
    <t>Mar 20–Mar 23</t>
  </si>
  <si>
    <t>Jun 14–Jun 15</t>
  </si>
  <si>
    <t>2008</t>
  </si>
  <si>
    <t>Jan 08–Feb 29</t>
  </si>
  <si>
    <t>Apr 01–Apr 15</t>
  </si>
  <si>
    <t>2009</t>
  </si>
  <si>
    <t>Jan 06–Feb 13</t>
  </si>
  <si>
    <t>Mar 29–Apr 14</t>
  </si>
  <si>
    <t>2005–2009 Avg</t>
  </si>
  <si>
    <t>2010</t>
  </si>
  <si>
    <t>Jan 19–Feb 17</t>
  </si>
  <si>
    <t>Mar 30–Apr 07</t>
  </si>
  <si>
    <t>2011</t>
  </si>
  <si>
    <t>Jan 18–Feb 09</t>
  </si>
  <si>
    <t>Mar 29–Apr 06</t>
  </si>
  <si>
    <t>May 12–May 19</t>
  </si>
  <si>
    <t>2012</t>
  </si>
  <si>
    <t>Jan 30–Feb 07</t>
  </si>
  <si>
    <t>Apr 03–Apr 10</t>
  </si>
  <si>
    <t>2013</t>
  </si>
  <si>
    <t>Jan 01 – Feb 07</t>
  </si>
  <si>
    <t>Apr 09–May 15</t>
  </si>
  <si>
    <t>1,537</t>
  </si>
  <si>
    <t>May 22–May 30</t>
  </si>
  <si>
    <t>648</t>
  </si>
  <si>
    <t>2014</t>
  </si>
  <si>
    <t>Apr 01–May 07</t>
  </si>
  <si>
    <t>2,915</t>
  </si>
  <si>
    <t>May 20–Jun 05</t>
  </si>
  <si>
    <t>1,085</t>
  </si>
  <si>
    <t>2010–2014 Avg</t>
  </si>
  <si>
    <t>2015</t>
  </si>
  <si>
    <t>Mar 31–May 13</t>
  </si>
  <si>
    <t>5,106</t>
  </si>
  <si>
    <t>May 27–Jun 11</t>
  </si>
  <si>
    <t>2,125</t>
  </si>
  <si>
    <t>2016</t>
  </si>
  <si>
    <t xml:space="preserve">Mar 29–May 12 </t>
  </si>
  <si>
    <t>2,394</t>
  </si>
  <si>
    <t>May 24–Jun 08</t>
  </si>
  <si>
    <t>1,219</t>
  </si>
  <si>
    <t>2017</t>
  </si>
  <si>
    <t>No Fishery</t>
  </si>
  <si>
    <t>2018</t>
  </si>
  <si>
    <t>2019</t>
  </si>
  <si>
    <t>2015–2019 Avg</t>
  </si>
  <si>
    <t>2020</t>
  </si>
  <si>
    <t>2021</t>
  </si>
  <si>
    <t>2022</t>
  </si>
  <si>
    <t>May 23</t>
  </si>
  <si>
    <t>2023</t>
  </si>
  <si>
    <t>2024</t>
  </si>
  <si>
    <t>May 20</t>
  </si>
  <si>
    <t>2020–2024 Avg</t>
  </si>
  <si>
    <t>&lt; 1</t>
  </si>
  <si>
    <t>2025</t>
  </si>
  <si>
    <r>
      <rPr>
        <i/>
        <vertAlign val="superscript"/>
        <sz val="10"/>
        <rFont val="Times New Roman"/>
        <family val="1"/>
      </rPr>
      <t>1</t>
    </r>
    <r>
      <rPr>
        <i/>
        <sz val="10"/>
        <rFont val="Times New Roman"/>
        <family val="1"/>
      </rPr>
      <t>Chinook landings are adults and jacks.  Sale of steelhead prohibited since 1975; catches ranged from 2,100 to 8,500 steelhead during 1970</t>
    </r>
    <r>
      <rPr>
        <i/>
        <sz val="10"/>
        <rFont val="Calibri"/>
        <family val="2"/>
      </rPr>
      <t>–</t>
    </r>
    <r>
      <rPr>
        <i/>
        <sz val="10"/>
        <rFont val="Times New Roman"/>
        <family val="1"/>
      </rPr>
      <t>74.</t>
    </r>
  </si>
  <si>
    <r>
      <rPr>
        <i/>
        <vertAlign val="superscript"/>
        <sz val="10"/>
        <rFont val="Times New Roman"/>
        <family val="1"/>
      </rPr>
      <t>2</t>
    </r>
    <r>
      <rPr>
        <i/>
        <sz val="10"/>
        <rFont val="Times New Roman"/>
        <family val="1"/>
      </rPr>
      <t>Since 1997, maximum mesh size of 9¾" unless specified otherwise.</t>
    </r>
  </si>
  <si>
    <r>
      <rPr>
        <i/>
        <vertAlign val="superscript"/>
        <sz val="10"/>
        <rFont val="Times New Roman"/>
        <family val="1"/>
      </rPr>
      <t>3</t>
    </r>
    <r>
      <rPr>
        <i/>
        <sz val="10"/>
        <rFont val="Times New Roman"/>
        <family val="1"/>
      </rPr>
      <t xml:space="preserve">All non-treaty commercial fisheries downstream of Bonneville Dam were closed to the retention of white sturgeon during 2014–16 and 2023-25 based on Oregon Fish and Wildlife Commission and Washington Fish and Wildlife Commission action/policy.  </t>
    </r>
  </si>
  <si>
    <t>If a species had no retention allowed (closed season or season but no retention) a dash was used.</t>
  </si>
  <si>
    <t>NOTE: per conversation between Doug &amp; Jeff, footnotes regarding jack catch (beginning in 2013) will be deleted; landings for all years shown in this table include adults &amp; jacks, for simplicity/consistency we will just stick with providing totals for all years</t>
  </si>
  <si>
    <t>Table 18.  Season dates, gear restrictions, and commercial landings during non-treaty mainstem summer Chinook seasons (June–July), 1965–2025.</t>
  </si>
  <si>
    <t>Season</t>
  </si>
  <si>
    <r>
      <t>Mesh Size</t>
    </r>
    <r>
      <rPr>
        <i/>
        <vertAlign val="superscript"/>
        <sz val="10"/>
        <color rgb="FF000000"/>
        <rFont val="Times New Roman"/>
        <family val="1"/>
      </rPr>
      <t>1</t>
    </r>
  </si>
  <si>
    <t>Commercial Landings</t>
  </si>
  <si>
    <t>Sockeye</t>
  </si>
  <si>
    <r>
      <t>White Sturgeon</t>
    </r>
    <r>
      <rPr>
        <i/>
        <vertAlign val="superscript"/>
        <sz val="10"/>
        <color rgb="FF000000"/>
        <rFont val="Times New Roman"/>
        <family val="1"/>
      </rPr>
      <t>2</t>
    </r>
  </si>
  <si>
    <t>1965–2004</t>
  </si>
  <si>
    <t>No Season</t>
  </si>
  <si>
    <t>June 23–July 26</t>
  </si>
  <si>
    <t>June 26–July 31</t>
  </si>
  <si>
    <t>June 25–July 3</t>
  </si>
  <si>
    <t>June 24–July 8</t>
  </si>
  <si>
    <t>83</t>
  </si>
  <si>
    <t>June 18–July 1</t>
  </si>
  <si>
    <t>219</t>
  </si>
  <si>
    <t>June 17–23</t>
  </si>
  <si>
    <t>June 16–23</t>
  </si>
  <si>
    <t>82</t>
  </si>
  <si>
    <t>June 17–18</t>
  </si>
  <si>
    <t>447</t>
  </si>
  <si>
    <t>June 16–July 16</t>
  </si>
  <si>
    <t>140</t>
  </si>
  <si>
    <t>June 16–July 29</t>
  </si>
  <si>
    <t>276</t>
  </si>
  <si>
    <t>June 17–July 22</t>
  </si>
  <si>
    <t>332</t>
  </si>
  <si>
    <t>June 16–July 12</t>
  </si>
  <si>
    <t>356</t>
  </si>
  <si>
    <t>2017-2025</t>
  </si>
  <si>
    <r>
      <rPr>
        <i/>
        <vertAlign val="superscript"/>
        <sz val="10"/>
        <rFont val="Times New Roman"/>
        <family val="1"/>
      </rPr>
      <t>1</t>
    </r>
    <r>
      <rPr>
        <i/>
        <sz val="10"/>
        <rFont val="Times New Roman"/>
        <family val="1"/>
      </rPr>
      <t>Maximum mesh size of 9¾-inch unless specified otherwise.</t>
    </r>
  </si>
  <si>
    <r>
      <rPr>
        <i/>
        <vertAlign val="superscript"/>
        <sz val="10"/>
        <rFont val="Times New Roman"/>
        <family val="1"/>
      </rPr>
      <t>2</t>
    </r>
    <r>
      <rPr>
        <i/>
        <sz val="10"/>
        <rFont val="Times New Roman"/>
        <family val="1"/>
      </rPr>
      <t xml:space="preserve">All non-treaty commercial fisheries downstream of Bonneville Dam were closed to the retention of white sturgeon during 2014–16 and 2023-25 based on Oregon Fish and Wildlife Commission and Washington Fish and Wildlife Commission action/policy.  </t>
    </r>
  </si>
  <si>
    <t>2020:  5 year averages taken out.  If a species had no retention allowed (closed season or season but no retention) a dash was used.</t>
  </si>
  <si>
    <t>Table 19.  Fishing periods, gear, and associated salmon and White Sturgeon landings during mainstem Columbia River commercial salmon seasons, 2025.</t>
  </si>
  <si>
    <t>Fishing Period</t>
  </si>
  <si>
    <t>Week</t>
  </si>
  <si>
    <t>Hours</t>
  </si>
  <si>
    <t>Zones</t>
  </si>
  <si>
    <t>Mesh Size</t>
  </si>
  <si>
    <r>
      <t>WSTG Limit</t>
    </r>
    <r>
      <rPr>
        <i/>
        <vertAlign val="superscript"/>
        <sz val="12"/>
        <rFont val="Times New Roman"/>
        <family val="1"/>
      </rPr>
      <t>1/</t>
    </r>
  </si>
  <si>
    <t>Del.</t>
  </si>
  <si>
    <t>Coho</t>
  </si>
  <si>
    <t>Pink</t>
  </si>
  <si>
    <r>
      <t>Chum</t>
    </r>
    <r>
      <rPr>
        <vertAlign val="superscript"/>
        <sz val="12"/>
        <rFont val="Times New Roman"/>
        <family val="1"/>
      </rPr>
      <t>2/</t>
    </r>
  </si>
  <si>
    <t>White Sturgeon</t>
  </si>
  <si>
    <t>ChS Adults</t>
  </si>
  <si>
    <t>ChS Jacks</t>
  </si>
  <si>
    <t>Comments:  Updated on 12/22/2025</t>
  </si>
  <si>
    <t>Spring</t>
  </si>
  <si>
    <t>No season.</t>
  </si>
  <si>
    <t xml:space="preserve">  * Prelim data</t>
  </si>
  <si>
    <t>Spring Season Totals (and average number of deliveries):</t>
  </si>
  <si>
    <t>* August 4/5 should be completel</t>
  </si>
  <si>
    <t>* Late fall 4/5 should be complete</t>
  </si>
  <si>
    <t>Summer</t>
  </si>
  <si>
    <t>* TN, seije, PN prelim</t>
  </si>
  <si>
    <t>Summer Season Totals (and average number of deliveries):</t>
  </si>
  <si>
    <t>Aug 6, 9 PM - Aug 7, 6 AM</t>
  </si>
  <si>
    <t>4–5</t>
  </si>
  <si>
    <t>9"–9 3/4"</t>
  </si>
  <si>
    <t>Prohibited</t>
  </si>
  <si>
    <t>Aug 10, 9 PM - Aug 11, 6 AM</t>
  </si>
  <si>
    <t>Aug 12, 9 PM - Aug 13, 6 AM</t>
  </si>
  <si>
    <t>3 Late-Fall 4/5 Periods</t>
  </si>
  <si>
    <t>Aug 14, 9 PM - Aug 15, 6 AM</t>
  </si>
  <si>
    <t>34 Late-Fall TN Periods</t>
  </si>
  <si>
    <t>August</t>
  </si>
  <si>
    <t>Aug 17, 9 PM - Aug 18, 6 AM</t>
  </si>
  <si>
    <t>Gill Net</t>
  </si>
  <si>
    <t>Aug 19, 9 PM - Aug 20, 6 AM</t>
  </si>
  <si>
    <t>Aug 21, 9 PM - Aug 22, 6 AM</t>
  </si>
  <si>
    <t>Aug 24, 9 PM - Aug 25, 6 AM</t>
  </si>
  <si>
    <t>Aug 26, 9 PM - Aug 27, 6 AM</t>
  </si>
  <si>
    <t>Aug 28, 9 PM - Aug 29, 6 AM</t>
  </si>
  <si>
    <t>August Season Totals (and average number of deliveries):</t>
  </si>
  <si>
    <t>Sep 7, 8 PM - Sep 8, 6 AM</t>
  </si>
  <si>
    <t>8"–9 3/4"</t>
  </si>
  <si>
    <t>Sep 16, 4 AM - 10 PM</t>
  </si>
  <si>
    <t>1–3</t>
  </si>
  <si>
    <t>3-3/4" max tangle-net</t>
  </si>
  <si>
    <t>Sep 17, 4 AM - 10 PM</t>
  </si>
  <si>
    <t>Sep 17, 8 PM - Sep 18, 6 AM</t>
  </si>
  <si>
    <t>Sep 18, 4 AM - 10 PM</t>
  </si>
  <si>
    <t>Sep 19, 4 AM - 6 PM</t>
  </si>
  <si>
    <t>Sep 22, 4 AM - 10 PM</t>
  </si>
  <si>
    <t>Sep 23, 4 AM - 10 PM</t>
  </si>
  <si>
    <t>Sep 23, 8 PM - Sep 24, 6 AM</t>
  </si>
  <si>
    <t>Sep 24, 4 AM - 10 PM</t>
  </si>
  <si>
    <t>Sep 25, 4 AM - 10 PM</t>
  </si>
  <si>
    <t>Sep 26, 4 AM - 6 PM</t>
  </si>
  <si>
    <t>Sep 29, 4 AM - 10 PM</t>
  </si>
  <si>
    <t>Sep 30, 4 AM - 10 PM</t>
  </si>
  <si>
    <t>Oct 1, 4 AM - 10 PM</t>
  </si>
  <si>
    <t>Oct 2, 4 AM - 10 PM</t>
  </si>
  <si>
    <t>Oct 3, 4 AM - 6 PM</t>
  </si>
  <si>
    <t>Oct 6, 4 AM - 10 PM</t>
  </si>
  <si>
    <t>Late-Fall</t>
  </si>
  <si>
    <t>Oct 7, 4 AM - 10 PM</t>
  </si>
  <si>
    <t>Gill Net &amp;</t>
  </si>
  <si>
    <t>Oct 8, 4 AM - 10 PM</t>
  </si>
  <si>
    <t>Tangle Net</t>
  </si>
  <si>
    <t>Oct 9, 4 AM - 10 PM</t>
  </si>
  <si>
    <t>Oct 10, 4 AM - 6 PM</t>
  </si>
  <si>
    <t>Oct 13, 4 AM - 10 PM</t>
  </si>
  <si>
    <t>Oct 14, 4 AM - 10 PM</t>
  </si>
  <si>
    <t>Oct 15, 4 AM - 10 PM</t>
  </si>
  <si>
    <t>Oct 16, 4 AM - 10 PM</t>
  </si>
  <si>
    <t>Oct 17, 4 AM - 6 PM</t>
  </si>
  <si>
    <t>Oct 20, 4 AM - 10 PM</t>
  </si>
  <si>
    <t>Oct 21, 4 AM - 10 PM</t>
  </si>
  <si>
    <t>Oct 22, 4 AM - 10 PM</t>
  </si>
  <si>
    <t>Oct 23, 4 AM - 10 PM</t>
  </si>
  <si>
    <t>Oct 24, 4 AM - 6 PM</t>
  </si>
  <si>
    <t>Oct 27, 4 AM - 10 PM</t>
  </si>
  <si>
    <t>Oct 28, 4 AM - 10 PM</t>
  </si>
  <si>
    <t>Oct 29, 4 AM - 10 PM</t>
  </si>
  <si>
    <t>Oct 30, 4 AM - 10 PM</t>
  </si>
  <si>
    <t>Oct 31, 4 AM - 6 PM</t>
  </si>
  <si>
    <t>Late-fall Zones 1-3 subtotals (and average number of deliveries):</t>
  </si>
  <si>
    <t>Late-fall Zones 4-5 subtotals (and average number of deliveries):</t>
  </si>
  <si>
    <t>Late-Fall Season Totals (and average number of deliveries):</t>
  </si>
  <si>
    <r>
      <t>Pound Net</t>
    </r>
    <r>
      <rPr>
        <vertAlign val="superscript"/>
        <sz val="12"/>
        <rFont val="Times New Roman"/>
        <family val="1"/>
      </rPr>
      <t>3/</t>
    </r>
  </si>
  <si>
    <r>
      <t>Aug 18 - Oct 24</t>
    </r>
    <r>
      <rPr>
        <sz val="9"/>
        <rFont val="Times New Roman"/>
        <family val="1"/>
      </rPr>
      <t xml:space="preserve"> (42 periods)</t>
    </r>
    <r>
      <rPr>
        <vertAlign val="superscript"/>
        <sz val="12"/>
        <rFont val="Times New Roman"/>
        <family val="1"/>
      </rPr>
      <t>4/</t>
    </r>
  </si>
  <si>
    <t>34-43</t>
  </si>
  <si>
    <t>1–2</t>
  </si>
  <si>
    <t>2-1/2" max</t>
  </si>
  <si>
    <r>
      <t>Seine</t>
    </r>
    <r>
      <rPr>
        <vertAlign val="superscript"/>
        <sz val="12"/>
        <rFont val="Times New Roman"/>
        <family val="1"/>
      </rPr>
      <t>3/</t>
    </r>
  </si>
  <si>
    <r>
      <t>Aug 4 - Oct 24</t>
    </r>
    <r>
      <rPr>
        <sz val="9"/>
        <rFont val="Times New Roman"/>
        <family val="1"/>
      </rPr>
      <t xml:space="preserve"> (41 periods)</t>
    </r>
    <r>
      <rPr>
        <vertAlign val="superscript"/>
        <sz val="12"/>
        <rFont val="Times New Roman"/>
        <family val="1"/>
      </rPr>
      <t>5/</t>
    </r>
  </si>
  <si>
    <t>32-43</t>
  </si>
  <si>
    <t>3-1/2" max</t>
  </si>
  <si>
    <t>Total Pound Net and Seine Landings:</t>
  </si>
  <si>
    <t>White</t>
  </si>
  <si>
    <t xml:space="preserve">Chinook </t>
  </si>
  <si>
    <t xml:space="preserve">Coho </t>
  </si>
  <si>
    <t>Chum</t>
  </si>
  <si>
    <t>Sturgeon</t>
  </si>
  <si>
    <t>2025 Grand Totals:</t>
  </si>
  <si>
    <t>1/  The retention and sale of white sturgeon was prohibited during 2025 non-treaty commercial fisheries.</t>
  </si>
  <si>
    <t>2/  The retention and sale of chum salmon has been prohibited since October, 2013.</t>
  </si>
  <si>
    <t>3/  Allowable sales were subject to individual fisher quotas (IFQs) as described within the individual fishers permit.  Retained Chinook and coho must have a healed scar at the</t>
  </si>
  <si>
    <t xml:space="preserve">     location of the adipose fin.  All adipose fin-clipped adult Chinook and adipose fin-clipped adult coho must be kept and sold.  </t>
  </si>
  <si>
    <t>4/  Open hours were from 7 AM to 7 PM during August 18-22, 25-29, September 2-5, 8-12, 15, 17, 19, 23, 25, 29, and October 1, 3, 6-10, 13-17, 20-24.  Fishing</t>
  </si>
  <si>
    <t xml:space="preserve">     could only occur for 8 consecutive hours within each 12-hour period.  The lead and jigger could be no larger than 3 1/8" stretch mesh and the heart, spiller, tunnel, and live well</t>
  </si>
  <si>
    <t xml:space="preserve">     netting could be no larger than 2 1/2" stretch mesh.  Pound net landings: (Chinook: 0 adults/0 jacks,  coho: 0 adults/0 jacks).  Landings were derived from the observation data.</t>
  </si>
  <si>
    <t>5/  Open hours were from 7 AM to 7 PM during August 4-8, 11-15, September 2-5, 8-12, 16, 18, 22, 24, 26, 30, and October 2, 6-10. 13-17, 20-24.  Fishing</t>
  </si>
  <si>
    <t xml:space="preserve">     could only occur for 8 consecutive hours within each 12-hour period.  The mesh size was restricted to 3 1/2" maximum.  Combined beach &amp; purse seine landings:</t>
  </si>
  <si>
    <t xml:space="preserve">     (Chinook: 0 adults/0 jacks, coho: 0 adults/0 jacks).  Landings were derived from the observation data.</t>
  </si>
  <si>
    <t xml:space="preserve">Table 20.  Lower Columbia River Winter/Spring/Summer/Fall Commercial Landings, 2025.  </t>
  </si>
  <si>
    <t>Winter/Spring/Summer</t>
  </si>
  <si>
    <t>(OR/WA Fish Tickets - Final on January 15, 2026)</t>
  </si>
  <si>
    <t>CHINOOK</t>
  </si>
  <si>
    <t>Z 1-5 Spring Chinook</t>
  </si>
  <si>
    <t>SOCKEYE</t>
  </si>
  <si>
    <t>SHAD</t>
  </si>
  <si>
    <r>
      <t>WHITE STURGEON</t>
    </r>
    <r>
      <rPr>
        <b/>
        <vertAlign val="superscript"/>
        <sz val="10"/>
        <rFont val="Times New Roman"/>
        <family val="1"/>
      </rPr>
      <t>1/</t>
    </r>
  </si>
  <si>
    <t>Comments:  Updated partially on 12/1/2025</t>
  </si>
  <si>
    <t>Mainstem</t>
  </si>
  <si>
    <t>Numbers</t>
  </si>
  <si>
    <t>Pounds</t>
  </si>
  <si>
    <t>Adults</t>
  </si>
  <si>
    <t>Jacks</t>
  </si>
  <si>
    <t xml:space="preserve">  * Winter/spring/summer should be final</t>
  </si>
  <si>
    <r>
      <t>Winter Sturgeon</t>
    </r>
    <r>
      <rPr>
        <i/>
        <sz val="9"/>
        <rFont val="Times New Roman"/>
        <family val="1"/>
      </rPr>
      <t xml:space="preserve"> </t>
    </r>
    <r>
      <rPr>
        <b/>
        <i/>
        <sz val="8"/>
        <rFont val="Times New Roman"/>
        <family val="1"/>
      </rPr>
      <t>(No season during 2025)</t>
    </r>
  </si>
  <si>
    <t xml:space="preserve">  * OR fall Select Areas should be final</t>
  </si>
  <si>
    <r>
      <t xml:space="preserve">Spring </t>
    </r>
    <r>
      <rPr>
        <i/>
        <sz val="8"/>
        <color indexed="10"/>
        <rFont val="Times New Roman"/>
        <family val="1"/>
      </rPr>
      <t xml:space="preserve"> </t>
    </r>
    <r>
      <rPr>
        <b/>
        <i/>
        <sz val="8"/>
        <rFont val="Times New Roman"/>
        <family val="1"/>
      </rPr>
      <t>(No season during 2025)</t>
    </r>
  </si>
  <si>
    <t xml:space="preserve">  * August &amp; Late fall Zone 4/5 should be prelim</t>
  </si>
  <si>
    <r>
      <t xml:space="preserve">Summer </t>
    </r>
    <r>
      <rPr>
        <i/>
        <sz val="8"/>
        <color indexed="10"/>
        <rFont val="Times New Roman"/>
        <family val="1"/>
      </rPr>
      <t xml:space="preserve"> </t>
    </r>
    <r>
      <rPr>
        <b/>
        <i/>
        <sz val="8"/>
        <rFont val="Times New Roman"/>
        <family val="1"/>
      </rPr>
      <t>(No season during 2025)</t>
    </r>
  </si>
  <si>
    <t xml:space="preserve">  * Late Fall TN should be prelim</t>
  </si>
  <si>
    <t>Shad (Area 2S)</t>
  </si>
  <si>
    <t xml:space="preserve">  * Deep River fall should be prelim</t>
  </si>
  <si>
    <t>Mainstem Totals</t>
  </si>
  <si>
    <t xml:space="preserve">  * PN/seine should be prelim</t>
  </si>
  <si>
    <t>COHO</t>
  </si>
  <si>
    <t>WHITE STURGEON</t>
  </si>
  <si>
    <t>Select Areas</t>
  </si>
  <si>
    <t>Youngs Bay Winter</t>
  </si>
  <si>
    <t>Youngs Bay Spring</t>
  </si>
  <si>
    <t>Youngs Bay Summer</t>
  </si>
  <si>
    <t>Tongue Point/South Channel Winter</t>
  </si>
  <si>
    <t>Tongue Point/South Channel Spring</t>
  </si>
  <si>
    <t>Tongue Point/South Channel Summer</t>
  </si>
  <si>
    <t>Blind &amp; Knappa Sloughs Winter</t>
  </si>
  <si>
    <t>Blind &amp; Knappa Sloughs Spring</t>
  </si>
  <si>
    <t>Blind &amp; Knappa Sloughs Summer</t>
  </si>
  <si>
    <t>Deep River Winter</t>
  </si>
  <si>
    <t>Deep River Spring</t>
  </si>
  <si>
    <t>Select Area Totals</t>
  </si>
  <si>
    <t>2025 Lower Columbia</t>
  </si>
  <si>
    <t>Shad</t>
  </si>
  <si>
    <t>River Commercial</t>
  </si>
  <si>
    <t>GRAND TOTALS</t>
  </si>
  <si>
    <t>Fall</t>
  </si>
  <si>
    <t>PINK</t>
  </si>
  <si>
    <r>
      <t xml:space="preserve">August </t>
    </r>
    <r>
      <rPr>
        <sz val="6"/>
        <rFont val="Times New Roman"/>
        <family val="1"/>
      </rPr>
      <t>(Early-Fall)</t>
    </r>
    <r>
      <rPr>
        <sz val="10"/>
        <rFont val="Times New Roman"/>
        <family val="1"/>
      </rPr>
      <t xml:space="preserve"> </t>
    </r>
    <r>
      <rPr>
        <sz val="8"/>
        <rFont val="Times New Roman"/>
        <family val="1"/>
      </rPr>
      <t xml:space="preserve"> (Zone 4–5; 9 - 9 </t>
    </r>
    <r>
      <rPr>
        <vertAlign val="superscript"/>
        <sz val="8"/>
        <rFont val="Times New Roman"/>
        <family val="1"/>
      </rPr>
      <t xml:space="preserve">3/4" </t>
    </r>
    <r>
      <rPr>
        <sz val="8"/>
        <rFont val="Times New Roman"/>
        <family val="1"/>
      </rPr>
      <t>gill net)</t>
    </r>
  </si>
  <si>
    <r>
      <t>August</t>
    </r>
    <r>
      <rPr>
        <i/>
        <sz val="6"/>
        <rFont val="Times New Roman"/>
        <family val="1"/>
      </rPr>
      <t xml:space="preserve"> (Early-Fall) </t>
    </r>
    <r>
      <rPr>
        <i/>
        <sz val="10"/>
        <rFont val="Times New Roman"/>
        <family val="1"/>
      </rPr>
      <t>Subtotals</t>
    </r>
  </si>
  <si>
    <r>
      <t xml:space="preserve">Late-Fall </t>
    </r>
    <r>
      <rPr>
        <sz val="8"/>
        <rFont val="Times New Roman"/>
        <family val="1"/>
      </rPr>
      <t xml:space="preserve">(Zones 1 - 3;  3 </t>
    </r>
    <r>
      <rPr>
        <vertAlign val="superscript"/>
        <sz val="8"/>
        <rFont val="Times New Roman"/>
        <family val="1"/>
      </rPr>
      <t>3/4"</t>
    </r>
    <r>
      <rPr>
        <sz val="8"/>
        <rFont val="Times New Roman"/>
        <family val="1"/>
      </rPr>
      <t xml:space="preserve"> tangle net)</t>
    </r>
  </si>
  <si>
    <r>
      <t xml:space="preserve">Late-Fall </t>
    </r>
    <r>
      <rPr>
        <sz val="8"/>
        <rFont val="Times New Roman"/>
        <family val="1"/>
      </rPr>
      <t xml:space="preserve">(Zones 4 - 5;  8 - 9 </t>
    </r>
    <r>
      <rPr>
        <vertAlign val="superscript"/>
        <sz val="8"/>
        <rFont val="Times New Roman"/>
        <family val="1"/>
      </rPr>
      <t>3/4"</t>
    </r>
    <r>
      <rPr>
        <sz val="8"/>
        <rFont val="Times New Roman"/>
        <family val="1"/>
      </rPr>
      <t xml:space="preserve"> gill net)</t>
    </r>
  </si>
  <si>
    <t>Late-Fall Subtotals</t>
  </si>
  <si>
    <r>
      <t xml:space="preserve">Pound Net </t>
    </r>
    <r>
      <rPr>
        <sz val="8"/>
        <rFont val="Times New Roman"/>
        <family val="1"/>
      </rPr>
      <t>(Zones 1-3)</t>
    </r>
    <r>
      <rPr>
        <vertAlign val="superscript"/>
        <sz val="8"/>
        <rFont val="Times New Roman"/>
        <family val="1"/>
      </rPr>
      <t>2/</t>
    </r>
  </si>
  <si>
    <r>
      <t xml:space="preserve">Beach &amp; Purse Seine </t>
    </r>
    <r>
      <rPr>
        <i/>
        <sz val="8"/>
        <rFont val="Times New Roman"/>
        <family val="1"/>
      </rPr>
      <t>(Zones 1-3)</t>
    </r>
    <r>
      <rPr>
        <vertAlign val="superscript"/>
        <sz val="8"/>
        <rFont val="Times New Roman"/>
        <family val="1"/>
      </rPr>
      <t>3/</t>
    </r>
  </si>
  <si>
    <t>Pound Net and Seine Totals</t>
  </si>
  <si>
    <t>Fall  Mainstem  Totals</t>
  </si>
  <si>
    <t>Youngs Bay</t>
  </si>
  <si>
    <t>Tongue Point</t>
  </si>
  <si>
    <t>Blind Slough &amp; Knappa Slough</t>
  </si>
  <si>
    <t>Deep River</t>
  </si>
  <si>
    <t>Fall Select Area Totals</t>
  </si>
  <si>
    <t>River Commercial Fall</t>
  </si>
  <si>
    <t>FINAL GRAND TOTALS</t>
  </si>
  <si>
    <r>
      <t>CHUM</t>
    </r>
    <r>
      <rPr>
        <b/>
        <vertAlign val="superscript"/>
        <sz val="10"/>
        <rFont val="Times New Roman"/>
        <family val="1"/>
      </rPr>
      <t>4/</t>
    </r>
  </si>
  <si>
    <t>for Lower Columbia R.</t>
  </si>
  <si>
    <t xml:space="preserve">SOCKEYE </t>
  </si>
  <si>
    <r>
      <t>SHAD</t>
    </r>
    <r>
      <rPr>
        <b/>
        <vertAlign val="superscript"/>
        <sz val="10"/>
        <rFont val="Times New Roman"/>
        <family val="1"/>
      </rPr>
      <t>5/</t>
    </r>
  </si>
  <si>
    <r>
      <t xml:space="preserve">SMELT </t>
    </r>
    <r>
      <rPr>
        <sz val="10"/>
        <rFont val="Times New Roman"/>
        <family val="1"/>
      </rPr>
      <t>(Mainstem)</t>
    </r>
  </si>
  <si>
    <r>
      <t>GREEN STURGEON</t>
    </r>
    <r>
      <rPr>
        <b/>
        <vertAlign val="superscript"/>
        <sz val="10"/>
        <rFont val="Times New Roman"/>
        <family val="1"/>
      </rPr>
      <t>6/</t>
    </r>
  </si>
  <si>
    <t>Commercial Fisheries</t>
  </si>
  <si>
    <t>2/  Pound net landings (Chinook: 0 adults/0 jacks, coho: 0 adults/0 jacks).  Landings were derived from the observation data.</t>
  </si>
  <si>
    <t>3/  Combined beach &amp; purse seine landings (Chinook: 0 adults/0 jacks, coho: 0 adults/0 jacks).  Landings were derived from the observation data.</t>
  </si>
  <si>
    <t>4/  The retention and sale of chum salmon has been prohibited since October, 2013.</t>
  </si>
  <si>
    <t>5/  Eleven shad weighing ten pounds were landed in the August zones 4-5 fishing periods.</t>
  </si>
  <si>
    <t>6/  The retention and sale of green sturgeon has been prohibited since July 6, 2006.</t>
  </si>
  <si>
    <t>February–March Kept Catch by Stock</t>
  </si>
  <si>
    <t>April–June 15 Kept Catch by Stock</t>
  </si>
  <si>
    <t>Current Totals</t>
  </si>
  <si>
    <r>
      <t>C,K,L,S</t>
    </r>
    <r>
      <rPr>
        <i/>
        <vertAlign val="superscript"/>
        <sz val="10"/>
        <rFont val="Times New Roman"/>
        <family val="1"/>
      </rPr>
      <t>1</t>
    </r>
  </si>
  <si>
    <r>
      <t>Select Area</t>
    </r>
    <r>
      <rPr>
        <i/>
        <vertAlign val="superscript"/>
        <sz val="10"/>
        <rFont val="Times New Roman"/>
        <family val="1"/>
      </rPr>
      <t>2</t>
    </r>
  </si>
  <si>
    <t>Feb-Mar Total</t>
  </si>
  <si>
    <r>
      <t>Apr</t>
    </r>
    <r>
      <rPr>
        <sz val="10"/>
        <rFont val="Calibri"/>
        <family val="2"/>
      </rPr>
      <t>–</t>
    </r>
    <r>
      <rPr>
        <sz val="10"/>
        <rFont val="Times New Roman"/>
        <family val="1"/>
      </rPr>
      <t>Jun Total</t>
    </r>
  </si>
  <si>
    <t xml:space="preserve">Select Area </t>
  </si>
  <si>
    <t>Actuals</t>
  </si>
  <si>
    <t>Totals</t>
  </si>
  <si>
    <t>Landings</t>
  </si>
  <si>
    <t>Did not attempt to update with real numbers since no April-June to add and impact files are not readily available.</t>
  </si>
  <si>
    <t>&lt;0.2</t>
  </si>
  <si>
    <t>Think this is an old landings number, update to 2877, same as final stock comp</t>
  </si>
  <si>
    <t>Source: Stock Comp final, not impact model so no timeframe split</t>
  </si>
  <si>
    <r>
      <t>2013</t>
    </r>
    <r>
      <rPr>
        <vertAlign val="superscript"/>
        <sz val="10"/>
        <rFont val="Times New Roman"/>
        <family val="1"/>
      </rPr>
      <t>3</t>
    </r>
  </si>
  <si>
    <t>adults only</t>
  </si>
  <si>
    <r>
      <t>2014</t>
    </r>
    <r>
      <rPr>
        <vertAlign val="superscript"/>
        <sz val="10"/>
        <rFont val="Times New Roman"/>
        <family val="1"/>
      </rPr>
      <t>3</t>
    </r>
  </si>
  <si>
    <r>
      <t>2015</t>
    </r>
    <r>
      <rPr>
        <vertAlign val="superscript"/>
        <sz val="10"/>
        <rFont val="Times New Roman"/>
        <family val="1"/>
      </rPr>
      <t>3</t>
    </r>
  </si>
  <si>
    <r>
      <t>2016</t>
    </r>
    <r>
      <rPr>
        <vertAlign val="superscript"/>
        <sz val="10"/>
        <rFont val="Times New Roman"/>
        <family val="1"/>
      </rPr>
      <t>3</t>
    </r>
  </si>
  <si>
    <t>Looks like the May 31 landings went up after Impact model finalized.</t>
  </si>
  <si>
    <t>Caption</t>
  </si>
  <si>
    <t>Table 21.  Stock composition of hatchery spring Chinook (in thousands) landed during non-treaty mainstem commercial fisheries, 1990–2025.</t>
  </si>
  <si>
    <t>Spring Season Kept Catch by Stock</t>
  </si>
  <si>
    <r>
      <rPr>
        <i/>
        <vertAlign val="superscript"/>
        <sz val="12"/>
        <rFont val="Times New Roman"/>
        <family val="1"/>
      </rPr>
      <t>1</t>
    </r>
    <r>
      <rPr>
        <i/>
        <sz val="12"/>
        <rFont val="Times New Roman"/>
        <family val="1"/>
      </rPr>
      <t>C=Cowlitz River, K=Kalama River, L=Lewis River, and S=Sandy River. May infrequently include coastal stocks.</t>
    </r>
  </si>
  <si>
    <r>
      <rPr>
        <i/>
        <vertAlign val="superscript"/>
        <sz val="12"/>
        <color rgb="FF000000"/>
        <rFont val="Times New Roman"/>
        <family val="1"/>
      </rPr>
      <t>2</t>
    </r>
    <r>
      <rPr>
        <i/>
        <sz val="12"/>
        <color rgb="FF000000"/>
        <rFont val="Times New Roman"/>
        <family val="1"/>
      </rPr>
      <t>Select Area stocks included in Willamette R. stock category prior to 2000.</t>
    </r>
  </si>
  <si>
    <r>
      <rPr>
        <i/>
        <vertAlign val="superscript"/>
        <sz val="12"/>
        <rFont val="Times New Roman"/>
        <family val="1"/>
      </rPr>
      <t>3</t>
    </r>
    <r>
      <rPr>
        <i/>
        <sz val="12"/>
        <rFont val="Times New Roman"/>
        <family val="1"/>
      </rPr>
      <t>Adults only.</t>
    </r>
  </si>
  <si>
    <t>Table 22.  Columbia River recreational spring Chinook fishing regulations, 2002–2025.</t>
  </si>
  <si>
    <t>Buoy 10 to Tongue Point</t>
  </si>
  <si>
    <t>Tongue Point to I-5 Bridge</t>
  </si>
  <si>
    <t>I-5 Bridge to Bonneville Dam</t>
  </si>
  <si>
    <t>Bonneville Dam to McNary Dam+</t>
  </si>
  <si>
    <t>Open January 1–April 28 and May 5–15. Two adipose fin-clipped adult spring Chinook daily bag limit.</t>
  </si>
  <si>
    <t>Open March 16–April 28 and May 5–15. Two adipose fin-clipped adult spring Chinook daily bag limit.</t>
  </si>
  <si>
    <t>Open March 16–May 15 from The Dalles Dam upstream to McNary Dam and April 3–May 15 from Tower Is. powerlines to The Dalles Dam.  Two adipose fin-clipped adult spring Chinook daily bag limit.</t>
  </si>
  <si>
    <t>Open January 1–April 5 and April 9–12, 16–19, 23–26, 30–May 3, May 7–10, and May 14–15.  Two adipose fin-clipped adult spring Chinook daily bag limit.</t>
  </si>
  <si>
    <t>Open February 15–April 5.  Two adipose fin-clipped adult spring Chinook daily bag limit.</t>
  </si>
  <si>
    <t>Open February 15–May 3, May 7–10, and May 14–15 from Tower Is. powerlines upstream to McNary Dam plus the Oregon Bank from Bonneville to Tower Is.  Two adipose fin-clipped adult spring Chinook daily bag limit.</t>
  </si>
  <si>
    <t>Open January 1–April 30.  Two adipose fin-clipped adult spring Chinook daily bag limit.  Unlawful to remove unclipped fish from the water (added as permanent regulation).</t>
  </si>
  <si>
    <t>Open March 16–April 21.  Two adipose fin-clipped adult spring Chinook daily bag limit.  Unlawful to remove unclipped fish from the water (added as permanent regulation).</t>
  </si>
  <si>
    <t>Open March 16–May 6 from Tower Is. powerlines upstream to McNary Dam plus the Oregon Bank from Bonneville Dam to Tower Is.  Two adipose fin-clipped adult spring Chinook daily limit.  Unlawful to remove unclipped fish from the water (added as permanent regulation).</t>
  </si>
  <si>
    <t xml:space="preserve">Open January 1–April 20.  Two adipose fin-clipped adult spring Chinook daily bag limit.  </t>
  </si>
  <si>
    <t xml:space="preserve">Open January 1–April 20 and June 4–15.  Two adipose fin-clipped adult spring Chinook daily bag limit.  </t>
  </si>
  <si>
    <t>Open March 16–April 20 and June 4–15.  Open Sunday, Monday and Tuesday only with a one–fish daily salmonid limit during March 16–April 20 between Rooster Rock and Bonneville Dam.  Otherwise, two adipose fin-clipped adult spring Chinook daily bag limit.</t>
  </si>
  <si>
    <t>Open March 16–April 20 from Tower Is. powerlines upstream to McNary Dam and June 4-15 from Tower Island powerlines to the Oregon/Washington border above McNary plus the Oregon Bank between Bonneville Dam and Tower Is. Two adipose fin-clipped adult spring Chinook daily bag limit.</t>
  </si>
  <si>
    <t xml:space="preserve">Open January 1–April 13.  Two adipose fin-clipped adult spring Chinook daily bag limit.  </t>
  </si>
  <si>
    <t xml:space="preserve">Open January 1–April 13 and May 17–June 15.  Two adipose fin-clipped adult spring Chinook daily bag limit.  </t>
  </si>
  <si>
    <t xml:space="preserve">Open May 17–June 15.  Two adipose fin-clipped adult spring Chinook daily bag limit.  </t>
  </si>
  <si>
    <t>Open March 16–April 30 and May 13–June 15 from Tower Is. powerlines upstream to McNary Dam plus the Oregon bank between Bonneville Dam and Tower Is.  Two adipose fin-clipped adult spring Chinook daily bag limit.</t>
  </si>
  <si>
    <t xml:space="preserve">Open January 1–April 15.  Two adipose fin-clipped adult spring Chinook daily bag limit.  </t>
  </si>
  <si>
    <t xml:space="preserve">Open January 1–April 15 and May 16–June 15.  Two adipose fin-clipped adult spring Chinook daily bag limit.  </t>
  </si>
  <si>
    <t xml:space="preserve">Open June 6–15.  Two adipose fin-clipped adult spring Chinook daily bag limit.  </t>
  </si>
  <si>
    <t xml:space="preserve">Open March 16–May 3 and June 6–15 from Tower Is. powerlines upstream to McNary Dam plus the Oregon bank between Bonneville Dam and Tower Is.  Two adipose fin-clipped adult spring Chinook daily bag limit. </t>
  </si>
  <si>
    <t xml:space="preserve">Open January 1– February 24 under permanent rules, then March 24–April 4 with one adipose fin-clipped adult spring Chinook in the daily bag limit. </t>
  </si>
  <si>
    <t xml:space="preserve">Open January 1– February 24 under permanent rules, then March 24–April 4 upstream to Hayden Island powerlines with one adipose fin-clipped adult spring Chinook in the daily bag limit. </t>
  </si>
  <si>
    <t xml:space="preserve">Open March 16–April 20 from Hayden Island powerlines upstream to Bonneville Dam (except closed Tuesdays March 25, April 1, 8, and 15).  One adipose fin-clipped adult spring Chinook in the daily bag limit.  </t>
  </si>
  <si>
    <t xml:space="preserve">Open March 16–May 10 from Tower Is. powerlines upstream to McNary Dam plus the Oregon and Washington banks between Bonneville Dam and Tower Is.  Two adipose fin-clipped adult spring Chinook daily bag limit. </t>
  </si>
  <si>
    <t>Open January 1–February 28 under permanent rules.  Open March 1–15, 19–21, 26–28, April 2–4, 9–11, and 16–18 with one adipose fin-clipped adult spring Chinook in the daily bag limit.</t>
  </si>
  <si>
    <t>Open January 1–February 28 under permanent rules.  Open March 1–15, 19–21, 26–28, April 2–4, 9–11, and 16–18 upstream to the Hayden Island powerlines with one adipose fin-clipped adult spring Chinook in the daily bag limit.</t>
  </si>
  <si>
    <t>Open March 1–22, 25–28, April 1–4, 8–11, 15–18, and 22 from Hayden Island powerlines upstream to Bonneville Dam with one adipose fin-clipped adult spring Chinook in the daily bag limit.</t>
  </si>
  <si>
    <t xml:space="preserve">Open March 16–April 30 from Tower Is. powerlines upstream to McNary Dam plus the Oregon and Washington banks between Bonneville Dam and Tower Is.  Two adipose fin-clipped adult spring Chinook daily bag limit. </t>
  </si>
  <si>
    <t>Open January 1–February 28 under permanent rules.  Open March 1–April 18 (except closed Tuesdays March 9, 16, 23, and 30) with one adipose fin-clipped adult spring Chinook in the daily bag limit.</t>
  </si>
  <si>
    <t>Open from I-5 to I–205 plus the Oregon and Washington banks between I–205 and Bonneville Dam during March 1–14, 18–20, 25–27, and April 1–3 (except closed Tuesday March 9) with one adipose fin-clipped adult spring Chinook in the daily bag limit.</t>
  </si>
  <si>
    <t>Open March 16–May 9 from Tower Is. powerlines upstream to McNary Dam plus the Oregon and Washington banks between Bonneville Dam and Tower Is.  Two adipose fin-clipped adult spring Chinook daily bag limit.</t>
  </si>
  <si>
    <t>Open January 1–February 28 under permanent rules.  Open March 1–April 4 and April 8–19 with one adipose fin-clipped adult spring Chinook in the daily bag limit.</t>
  </si>
  <si>
    <t>Open January 1–February 28 under permanent rules.  Open March 1–April 4, April 8–19, and May 15–June 15 with one adipose fin-clipped adult spring Chinook in the daily bag limit.</t>
  </si>
  <si>
    <t>Open March 1–April 4 and April 8–19 from the I-5 Bridge to Rooster Rock plus the Oregon and Washington banks between I-5 and Bonneville Dam.  Open May 15–26 from the I-5 Bridge to Beacon Rock plus the Oregon and Washington banks between Beacon Rock and Bonneville Dam.  Open May 27–June 15 from the I-5 Bridge to Bonneville Dam.  One adipose fin-clipped adult spring Chinook in the daily bag limit throughout the entire season.</t>
  </si>
  <si>
    <t>Open March 16–May 1, May 7–10, and May 28–June 15 from Tower Is. powerlines upstream to the Oregon/ Washington border above McNary Dam plus the Oregon and Washington banks between Bonneville Dam and Tower Is. powerlines.  Two adipose fin-clipped adult spring Chinook daily bag limit.</t>
  </si>
  <si>
    <t>Open January 1–February 29 under permanent rules.  Open March 1–April 22 (except closed Tuesdays March 20, 27, and April 3, 10, and 17) and May 26–27 with one adipose fin-clipped adult spring Chinook in the daily bag limit.</t>
  </si>
  <si>
    <t>Open March 1–April 22 (except closed Tuesdays March 20, 27, and April 3, 10, and 17) and May 26–27 from I-5 upstream to Beacon Rock plus the Oregon and Washington banks between Beacon Rock and Bonneville Dam with one adipose fin-clipped adult spring Chinook in the daily bag limit.</t>
  </si>
  <si>
    <t>Open March 16–May 6 and May 19–20 from Tower Is. powerlines upstream to the Oregon/Washington border above McNary Dam plus the Oregon and Washington banks between Bonneville Dam and Tower Is. powerlines.  Two adipose fin-clipped adult spring Chinook daily bag limit.</t>
  </si>
  <si>
    <t>Open January 1–February 28 under permanent rules.  Open March 1–April 12 (except closed Tuesdays March 26, April 2 and 9) with one adipose fin-clipped adult spring Chinook allowed in the daily bag limit.</t>
  </si>
  <si>
    <t>Open January 1–February 28 under permanent rules.  Open March 1–April 12 (except closed Tuesdays March 26, April 2 and 9) and May 25–June 15 with one adipose fin-clipped adult spring Chinook allowed in the daily bag limit.</t>
  </si>
  <si>
    <t>Open March 1–April 12 (except closed Tuesdays March 26, April 2 and 9) and May 25–June 7 from I-5 upstream to Beacon Rock plus the Oregon and Washington banks between Beacon Rock and Bonneville Dam.  Open June 8–15 from I-5 to Bonneville Dam.  One adipose fin-clipped adult spring Chinook in the daily bag limit for the entire season.</t>
  </si>
  <si>
    <t xml:space="preserve">Open March 16–May 5 from Tower Is. powerlines upstream to the Oregon/Washington border above McNary Dam plus the Oregon and Washington banks between Bonneville Dam and Tower Is. powerlines with two adipose fin-clipped adult spring Chinook in the daily bag limit, and June 8–15 with one adipose fin-clipped adult spring Chinook in the daily bag limit.  </t>
  </si>
  <si>
    <t>Open January 1–February 28 under permanent rules.  Open March 1–April 14 and April 19 (except closed Tuesdays March 25, April 1 and 8) with one adipose fin-clipped adult spring Chinook allowed in the daily bag limit.</t>
  </si>
  <si>
    <t>Open January 1–February 28 under permanent rules.  Open March 1–April 14, April 19, May 9–10 and May 15–June 15 (except closed Tuesdays March 25, April 1 and 8) with one adipose fin-clipped adult spring Chinook allowed in the daily bag limit.</t>
  </si>
  <si>
    <t>Open March 1–April 14 (except closed Tuesdays March 25, April 1 and 8) from I-5 upstream to Beacon Rock plus the Oregon and Washington banks between Beacon Rock and Bonneville Dam); April 19 and May 9–10 from I-5 upstream to Rooster Rock plus the Oregon and Washington banks between Rooster Rock and Bonneville Dam; and May 15–June 15 from I-5 to Bonneville Dam with one adipose fin-clipped adult spring Chinook allowed in the daily bag limit.</t>
  </si>
  <si>
    <t>Open March 16–May 9 and May 31–June 15 from Tower Is. powerlines upstream to the Oregon/Washington border above McNary Dam plus the Oregon and Washington banks between Bonneville Dam and Tower Is. powerlines with one adipose fin-clipped adult spring Chinook in the daily bag limit.</t>
  </si>
  <si>
    <t>Open January 1–February 28 under permanent rules.  Open March 1–April 11 and April 16 (except closed Tuesdays March 24, 31 and April 7) with one adipose fin-clipped adult spring Chinook allowed in the daily bag limit.</t>
  </si>
  <si>
    <t>Open January 1–February 28 under permanent rules.  Open March 1–April 11 and April 16 (except closed Tuesdays March 24, 31 and April 7), May 2, 3, 9 and May 16–June 15. One adipose fin-clipped adult spring Chinook allowed in the daily bag limit January 1–June 2.  Two adult spring Chinook bag limit June 3–15.</t>
  </si>
  <si>
    <t>Open March 1–April 11 (except closed Tuesdays March 24, 31 and April 7), April 16, May 2, 3, 9 and May 16–29 from I-5 upstream to Beacon Rock plus the Oregon and Washington banks between Beacon Rock and Bonneville Dam. Open May 30–June 15 from I-5 upstream to Bonneville Dam.  One adipose fin-clipped adult spring Chinook allowed in the daily bag limit January 1–June 2.  Two adult spring Chinook bag limit June 3–15.</t>
  </si>
  <si>
    <t>Open March 16–May 10 and May 28–June 15 from Tower Is. powerlines upstream to the Oregon/Washington border above McNary Dam plus the Oregon and Washington banks between Bonneville Dam and Tower Is. Powerlines. One adipose fin-clipped adult spring Chinook in the daily bag limit March 16–June 2.  Two adult spring Chinook bag limit June 3–15.</t>
  </si>
  <si>
    <t>Open January 1–February 29 under permanent rules.  Open March 1–April 8 (except closed Tuesdays March 29 and April 5) with one adipose fin-clipped adult spring Chinook allowed in the daily bag limit.</t>
  </si>
  <si>
    <t>Open January 1–February 29 under permanent rules.  Open March 1–April 8 (except closed Tuesdays March 29 and April 5), May 13–15, May 20–22, May 27–30 and June 3–15 with one adipose fin-clipped adult spring Chinook allowed in the daily bag limit.  No angling near the mouth of the Lewis River May 13-15.</t>
  </si>
  <si>
    <t>Open March 1–April 8 (except closed Tuesdays March 29 and April 5), May 13–15, May 20–22, May 27–30 and June 3–9 from I-5 upstream to Beacon Rock plus the Oregon and Washington banks between Beacon Rock and Bonneville Dam.  Open June 10–15 from I-5 upstream to Bonneville Dam.  One adipose fin-clipped adult spring Chinook allowed in the daily bag limit.</t>
  </si>
  <si>
    <t>Open March 16–May 8 and May 13–15 from Tower Island powerlines upstream to the Oregon/Washington border above McNary Dam plus the Oregon and Washington banks between Bonneville Dam and Tower Island with one adipose fin-clipped adult Chinook allowed in the daily bag limit.  In Washington, hand-casted lines only when angling from shore.</t>
  </si>
  <si>
    <t>Open February 1-28 under permanent rules.  Open March 1-April 10, April 13-17, and April 20-23 with one hatchery adult spring Chinook in the daily bag limit.</t>
  </si>
  <si>
    <t>Open February 1-28 under permanent rules.  Open March 1-April 10, April 13-17, and April 20-23 with one hatchery adult spring Chinook in the daily bag limit.  Angling closed near the mouth of the Lewis River March 1-April 23.</t>
  </si>
  <si>
    <t>Open March 1-April 10, April 13-17, and April 20-23 from I-5 upstream to Beacon Rock plus the Oregon and Washington Bank between Beacon Rock and Bonneville Dam with one hatchery adult spring Chinook in the daily bag limit.</t>
  </si>
  <si>
    <t>Open March 16-May 5 from Tower Island powerlines upstream to the Oregon/ Washington border above McNary Dam plus the Oregon and Washington banks between Bonneville Dam and Tower Island powerlines with one hatchery adult Chinook in the daily bag limit.  In Washington, hand-casted lines only when angling from shore.</t>
  </si>
  <si>
    <t>Open February 1-28 under permanent rules.  Open March 1-April 7 and April 14 with one adipose fin-clipped adult spring Chinook in the daily bag limit.</t>
  </si>
  <si>
    <t>Open February 1-28 under permanent rules.  Open March 1-April 7, April 14, and May 25-June 15. One hatchery adult spring Chinook in the daily bag limit March 1-June 6. Two fish daily bag limit June 7-15.</t>
  </si>
  <si>
    <t>Open March 1-April 7, April 14, and May 25-June 6 from I-5 upstream to Beacon Rock plus the Oregon and Washington banks between Beacon Rock and Bonneville Dam with one hatchery adult spring Chinook in the daily bag limit.  Open June 7-15 from I-5 to Bonneville Dam with a two fish daily bag limit.</t>
  </si>
  <si>
    <t>Open March 16-May 7 and May 25-June 15 from Tower Island powerlines upstream to the Oregon/Washington border above McNary Dam plus the Oregon and Washington banks between Bonneville Dam and Tower Island powerlines. One hatchery adult Chinook in the daily bag limit March 16-May 7 and May 25-June 6, two fish bag limit June 7-15.  In Washington, hand casted lines only when angling from shore between Bonneville and Tower Island.</t>
  </si>
  <si>
    <t>Open February 1-28 under permanent rules.</t>
  </si>
  <si>
    <t>Open February 1-28 under permanent rules.  Open March 1-April 10, April 13-14, April 20-21 and April 27-28 from the Warrior Rock line (defined as a line through Warrior Rock light through red buoy #4 to a dolphin on the lower end of Bachelor Island) upstream to the I-5 Bridge. One hatchery adult spring Chinook in the daily bag limit.</t>
  </si>
  <si>
    <t>Open March 1-April 10, April 13-14, April 20-21 and April 27-28 from I-5 upstream to Beacon Rock plus the Oregon and Washington banks between Beacon Rock and Bonneville Dam with one hatchery adult spring Chinook in the daily bag limit.</t>
  </si>
  <si>
    <t>Open April 1-May 5 and May 11-12 from Tower Island powerlines upstream to the Oregon/Washington border above McNary Dam plus the Oregon and Washington banks between Bonneville Dam and Tower Island powerlines. One hatchery adult Chinook in the daily bag limit.  In Washington, hand casted lines only when angling from shore between Bonneville and Tower Island.</t>
  </si>
  <si>
    <t>Open February 1-29 under permanent rules.</t>
  </si>
  <si>
    <t>Open February 1-29 under permanent rules.  Open March 1-26 and May 5, 7, 9, 13, 15-17 and 20 from the Warrior Rock line (defined as a line through Warrior Rock light through red buoy #4 to a dolphin on the lower end of Bachelor Island) upstream to the I-5 Bridge. One hatchery adult spring Chinook in the daily bag limit.</t>
  </si>
  <si>
    <t>Open March 1-26 and May 5, 7, 9, 13, 15-17 and 20 from I-5 upstream to Beacon Rock plus the Oregon and Washington banks between Beacon Rock and Bonneville Dam with one hatchery adult spring Chinook in the daily bag limit.</t>
  </si>
  <si>
    <t>Open May 5, 7, 9, 13, 15-17 and 20 from Tower Island powerlines upstream to the Oregon/Washington border above McNary Dam plus the Oregon and Washington banks between Bonneville Dam and Tower Island powerlines. One hatchery adult Chinook in the daily bag limit.  In Washington, hand casted lines only when angling from shore between Bonneville and Tower Island.</t>
  </si>
  <si>
    <t>Open February 1-28 under permanent rules.  Open March 1-April 4 with one hatchery adult Chinook in the daily bag limit.</t>
  </si>
  <si>
    <t>Open February 1-28 under permanent rules.  Open March 1-April 4, May 21-23, May 29 and June 1-15 with a boat angling closure around the mouth of the Cowlitz River. One hatchery adult spring Chinook in the daily bag limit March 1-June 11.  Two hatchery Chinook allowed June 12-15.</t>
  </si>
  <si>
    <t>Open March 1-April 4 from I-5 upstream to Beacon Rock plus the Oregon and Washington banks between Beacon Rock and Bonneville Dam.  Open May 21-23, May 29 and June 1-15 from I-5 to Bonneville.  One hatchery adult spring Chinook in the daily bag limit March 1-June 11.  Two hatchery Chinook allowed June 12-15.</t>
  </si>
  <si>
    <t>Open March 16-May 5, May 22-23, May 29-30, June 5-6 and June 12-15 from Tower Island powerlines upstream to the Oregon/Washington border above McNary Dam plus the Oregon and Washington banks between Bonneville Dam and Tower Island powerlines. One hatchery adult Chinook in the daily bag limit March 16-June 6.  Two hatchery Chinook allowed June 12-15.  In Washington, hand casted lines only when angling from shore between Bonneville and Tower Island.</t>
  </si>
  <si>
    <t>Open February 1-28 under permanent rules.  Open March 1-April 6 with one hatchery adult Chinook in the daily bag limit.</t>
  </si>
  <si>
    <t>Open February 1-28 under permanent rules.  Open March 1-April 6, May 12-22 and May 24-June 15. One hatchery adult spring Chinook in the daily bag limit March 1-June 3.  Two hatchery Chinook allowed June 4-15.</t>
  </si>
  <si>
    <t>Open March 1-April 6, May 12-22, and May 24-June 3 from I-5 upstream to Beacon Rock plus the Oregon and Washington banks between Beacon Rock and Bonneville Dam.  Open June 4-15 from I-5 to Bonneville.  One hatchery adult spring Chinook in the daily bag limit March 1-June 3.  Two hatchery Chinook allowed June 4-15.</t>
  </si>
  <si>
    <t>Open April 1-May 3, May 26, May 28, and June 4-15 from Tower Island powerlines upstream to the Oregon/Washington border above McNary Dam plus the Oregon and Washington banks between Bonneville Dam and Tower Island powerlines. One hatchery adult Chinook in the daily bag limit April 1-May 28.  Two hatchery Chinook allowed June 4-15.  In Washington, hand casted lines only when angling from shore between Bonneville and Tower Island.</t>
  </si>
  <si>
    <t>Open February 1-28 under permanent rules.  Open March 1-April 11 with one hatchery adult Chinook in the daily bag limit.</t>
  </si>
  <si>
    <t>Open February 1-28 under permanent rules.  Open March 1-April 11 and May 19-31 with one hatchery adult spring Chinook in the daily bag limit.</t>
  </si>
  <si>
    <t>Open March 1-April 11 and May 19-31 from I-5 upstream to Beacon Rock plus the Oregon and Washington banks between Beacon Rock and Bonneville Dam.  One hatchery adult spring Chinook in the daily bag limit.</t>
  </si>
  <si>
    <t>Open April 1-May 6 and May 19-24 from Tower Island powerlines upstream to the Oregon/Washington border above McNary Dam plus the Oregon and Washington banks between Bonneville Dam and Tower Island powerlines. One hatchery adult Chinook in the daily bag limit.  In Washington, hand casted lines only when angling from shore between Bonneville and Tower Island.</t>
  </si>
  <si>
    <t>Open February 1-29 under permanent rules.  Open March 1-April 11 with one hatchery adult Chinook in the daily bag limit.</t>
  </si>
  <si>
    <t>Open February 1-29 under permanent rules.  Open March 1-April 11, May 17-19, 24-27 and June 1-15 with one hatchery adult spring Chinook in the daily bag limit.</t>
  </si>
  <si>
    <t>Open March 1-April 11, May 17-19, May 24-27 and June 1-7 from I-5 upstream to Beacon Rock plus the Oregon and Washington banks between Beacon Rock and Bonneville Dam.  Open June 8-15 from I-5 to Bonneville Dam.  One hatchery adult spring Chinook in the daily bag limit.</t>
  </si>
  <si>
    <t>Open April 1-28 and June 8-15 from Tower Island powerlines upstream to the Oregon/Washington border above McNary Dam plus the Oregon and Washington banks between Bonneville Dam and Tower Island powerlines. One hatchery adult Chinook in the daily bag limit.  In Washington, hand casted lines only when angling from shore between Bonneville and Tower Island.</t>
  </si>
  <si>
    <t>Open February 1-28 under permanent rules.  Open March 1-April 6, April 11-13 and April 15-17 with one hatchery adult Chinook in the daily bag limit.</t>
  </si>
  <si>
    <t>Open February 1-28 under permanent rules.  Open March 1-April 6, April 11-13, April 15-17, and May 9 - June 15. One hatchery adult spring Chinook allowed in the daily bag limit March 1 - June 5.  Two hatchery adult spring Chinook allowed June 6-15.</t>
  </si>
  <si>
    <t>Open March 1-April 6, April 11-13, April 15-17 and May 9 - June 5 from I-5 upstream to Beacon Rock plus the Oregon and Washington banks between Beacon Rock and Bonneville Dam with one hatchery adult spring Chinook allowed in the daily bag limit. Open June 6-15 from I-5 upstream to Boneville Dam with two hatchery spring Chinook allowed in the daily bag limit.</t>
  </si>
  <si>
    <t>Open April 1-26, May 10, May 13 and May 22 - June 15 from Tower Island powerlines upstream to the Oregon/Washington border above McNary Dam plus the Oregon and Washington banks between Bonneville Dam and Tower Island powerlines. One hatchery adult Chinook in the daily bag limit April 1 - June 5.  Two hatchery Chinook allowed June 6-15. In Washington, hand casted lines only when angling from shore between Bonneville and Tower Island.</t>
  </si>
  <si>
    <r>
      <t xml:space="preserve">Table 23.  Recreational fishing regulations for adult summer Chinook downstream of Bonneville Dam, 2002–2025. </t>
    </r>
    <r>
      <rPr>
        <i/>
        <vertAlign val="superscript"/>
        <sz val="12"/>
        <rFont val="Times New Roman"/>
        <family val="1"/>
      </rPr>
      <t>1</t>
    </r>
  </si>
  <si>
    <t>Area</t>
  </si>
  <si>
    <t>Daily Bag Limit</t>
  </si>
  <si>
    <t>Additional Regulations</t>
  </si>
  <si>
    <t>Tongue Pt.-Bonn.</t>
  </si>
  <si>
    <t>June 28-July 31</t>
  </si>
  <si>
    <t>2 Chinook</t>
  </si>
  <si>
    <t>Retained Chinook must be fin-clipped</t>
  </si>
  <si>
    <t>June 16-July 31</t>
  </si>
  <si>
    <t>Retained Chinook must be fin-clipped June 16-30, any Chinook allowed July 1-31</t>
  </si>
  <si>
    <t>None</t>
  </si>
  <si>
    <t>June 16-30</t>
  </si>
  <si>
    <t>June 21-28</t>
  </si>
  <si>
    <t>June 22-July 5</t>
  </si>
  <si>
    <t>Astoria Br. -Bonn.</t>
  </si>
  <si>
    <t>Astoria Br.-Bonn.</t>
  </si>
  <si>
    <t>June 16-July 17</t>
  </si>
  <si>
    <t>June 16-July 1</t>
  </si>
  <si>
    <t>June 16-30, July 3-6, July 11-31</t>
  </si>
  <si>
    <t>2 Chinook June 16-July 2, 1 Chinook July 3-31</t>
  </si>
  <si>
    <t>Retained Chinook must be fin-clipped June 16-July 2, any Chinook allowed July 3-31</t>
  </si>
  <si>
    <t>June 16-June 30, July 7-31</t>
  </si>
  <si>
    <t>June 22-30</t>
  </si>
  <si>
    <t>Closed</t>
  </si>
  <si>
    <t>Closed for Chinook adults and jacks</t>
  </si>
  <si>
    <t>July 4-31</t>
  </si>
  <si>
    <t>June 16-July 5</t>
  </si>
  <si>
    <t>June 16-22, July 1-31</t>
  </si>
  <si>
    <t>Retained Chinook must be fin-clipped.</t>
  </si>
  <si>
    <t>June 16-19</t>
  </si>
  <si>
    <t>July 12-19</t>
  </si>
  <si>
    <r>
      <rPr>
        <i/>
        <vertAlign val="superscript"/>
        <sz val="10"/>
        <rFont val="Times New Roman"/>
        <family val="1"/>
      </rPr>
      <t>1</t>
    </r>
    <r>
      <rPr>
        <i/>
        <sz val="10"/>
        <rFont val="Times New Roman"/>
        <family val="1"/>
      </rPr>
      <t>Prior to 2002, recreational fisheries for adult summer Chinook in the mainstem Columbia River had been closed since 1973.</t>
    </r>
  </si>
  <si>
    <t>Table 24.  Salmonid angler trips and adult Chinook catch by month in the lower Columbia River, 2005–2025.</t>
  </si>
  <si>
    <t>Month</t>
  </si>
  <si>
    <t>Angler Trips</t>
  </si>
  <si>
    <t>Adult Chinook</t>
  </si>
  <si>
    <t>Kept</t>
  </si>
  <si>
    <t>Released</t>
  </si>
  <si>
    <t>Feb</t>
  </si>
  <si>
    <t>Mar</t>
  </si>
  <si>
    <t>Apr</t>
  </si>
  <si>
    <t xml:space="preserve">Apr </t>
  </si>
  <si>
    <t>May</t>
  </si>
  <si>
    <t xml:space="preserve">May </t>
  </si>
  <si>
    <t>Jun 1–15</t>
  </si>
  <si>
    <t>Jun 16–30</t>
  </si>
  <si>
    <t>Jul</t>
  </si>
  <si>
    <t xml:space="preserve">Feb </t>
  </si>
  <si>
    <t xml:space="preserve">Mar </t>
  </si>
  <si>
    <t xml:space="preserve">Zone 6 Spring Chinook Recreational Fishery  </t>
  </si>
  <si>
    <t>K + R morts</t>
  </si>
  <si>
    <t>General Area</t>
  </si>
  <si>
    <t>Mar 16–May 15</t>
  </si>
  <si>
    <t xml:space="preserve">The Dalles Dam–McNary Dam </t>
  </si>
  <si>
    <t>Feb 15–May 16 (4d/wk in May)</t>
  </si>
  <si>
    <r>
      <t>Bonneville Dam (BON)</t>
    </r>
    <r>
      <rPr>
        <sz val="10"/>
        <rFont val="Calibri"/>
        <family val="2"/>
      </rPr>
      <t>–</t>
    </r>
    <r>
      <rPr>
        <sz val="10"/>
        <rFont val="Times New Roman"/>
        <family val="1"/>
      </rPr>
      <t>McNary</t>
    </r>
  </si>
  <si>
    <t>Mar 16–May 6</t>
  </si>
  <si>
    <t>BON–McNary</t>
  </si>
  <si>
    <t>Mar 16–Apr 21, June 4–15</t>
  </si>
  <si>
    <t>BON–McNary, BON–Hwy 395</t>
  </si>
  <si>
    <t>Mar 16–Apr 30, May 12–Jun 15</t>
  </si>
  <si>
    <t>Mar 16–May 3, June 6–15</t>
  </si>
  <si>
    <t>Mar 16–May 10</t>
  </si>
  <si>
    <t>Mar 16–April 30</t>
  </si>
  <si>
    <t>Mar 16–May 1, May 7–10, May 28–Jun 15</t>
  </si>
  <si>
    <t>BON–Oregon/Washington border</t>
  </si>
  <si>
    <t>Mar 16–May 6, May 19–20</t>
  </si>
  <si>
    <t>Mar 16–May 5, Jun 8–15</t>
  </si>
  <si>
    <t>Mar 16–May 9, May 31–Jun 15</t>
  </si>
  <si>
    <t>Mar 16–May 10, May 28–Jun 15</t>
  </si>
  <si>
    <t>Mar 16–May 8, May 13–15</t>
  </si>
  <si>
    <t>Mar 16–May 5</t>
  </si>
  <si>
    <t xml:space="preserve">Mar 16–May 7, May 25–June 15 </t>
  </si>
  <si>
    <t>Apr 1–May 5, May 11–12</t>
  </si>
  <si>
    <t>May 5, 7, 9, 13, 15–17, 20</t>
  </si>
  <si>
    <t>Mar 16 – May 5, 22, 23, 29, 30; Jun 5-6, 12-15</t>
  </si>
  <si>
    <t>Apr 1 – May 5, 26, 28; Jun 4-15</t>
  </si>
  <si>
    <t>April 1– May 6, May 19-24</t>
  </si>
  <si>
    <t>April 1-29, June 8-15</t>
  </si>
  <si>
    <t>April 1-26, May 10, May 13, May 22 – June 15</t>
  </si>
  <si>
    <t>Snake River Spring Chinook Recreational Fishery</t>
  </si>
  <si>
    <t>May 1–31</t>
  </si>
  <si>
    <t>Little Goose Dam (LGO), Lower Granite Dam (LRG)</t>
  </si>
  <si>
    <t>Apr 25–Jun 2 (4d/wk)</t>
  </si>
  <si>
    <t>Little Goose Dam (LGO)/Clarkston</t>
  </si>
  <si>
    <t>Apr 26–Jun 15</t>
  </si>
  <si>
    <t>LGO</t>
  </si>
  <si>
    <t>April 16–May 7</t>
  </si>
  <si>
    <t>June 11–30</t>
  </si>
  <si>
    <t>May 17– Jun 30</t>
  </si>
  <si>
    <t>May 9–Jun 30</t>
  </si>
  <si>
    <t>Apr 22/Apr 24–May 11</t>
  </si>
  <si>
    <t>Ice Harbor Dam (IHD)/LGO</t>
  </si>
  <si>
    <t>April 24–May 17</t>
  </si>
  <si>
    <t>April 20/24–May 21</t>
  </si>
  <si>
    <t>IHD/ LGO/Lower Granite Dam (LRG)/Clarkston</t>
  </si>
  <si>
    <t>April 20/25–May 13/15,  May 28–Jun 2</t>
  </si>
  <si>
    <t>IHD/ LGO/Clarkston</t>
  </si>
  <si>
    <t>April 20/25–May 18/20/22</t>
  </si>
  <si>
    <t>IHD/ LGO/LRG/Clarkston</t>
  </si>
  <si>
    <t>Apr 26/28–May 11/13/27, ~Jun 14–28 (days/wk)</t>
  </si>
  <si>
    <t>Apr 24/27–May 14/25/27, ~Jun 4–28 (days/wk)</t>
  </si>
  <si>
    <t>Apr 19/23–May 5/9/12, Jun 4–30 (days/wk)</t>
  </si>
  <si>
    <t>Apr 29/May 1, May 25/30 closure, Reopen June 12–13 (days/wk)</t>
  </si>
  <si>
    <t>Apr 28–May 1, May 5–8, May 12–15</t>
  </si>
  <si>
    <t>Apr 20–June 11</t>
  </si>
  <si>
    <t>May 11–27</t>
  </si>
  <si>
    <t>LGO/Clarkston</t>
  </si>
  <si>
    <t>May 5–22</t>
  </si>
  <si>
    <t>May 4, 7, 11, 25, 28; Jun 4, 6</t>
  </si>
  <si>
    <t>May 3–6, 10–13, 17–20, 24, 25 ,27, June 10</t>
  </si>
  <si>
    <t>LGO/IHD</t>
  </si>
  <si>
    <t>May 2– 5, 9–12, 23–26 (2 days/wk in each pool)</t>
  </si>
  <si>
    <t>IHR/LGO</t>
  </si>
  <si>
    <t>May 7–10 (2 days/wk in each pool)</t>
  </si>
  <si>
    <t>May 6–June 6 (2 days/wk in each pool)</t>
  </si>
  <si>
    <t>Zone 6 Summer Chinook Recreational Fishery (includes MCN–PRD)</t>
  </si>
  <si>
    <t>July 9–July 31</t>
  </si>
  <si>
    <t>BON–Hwy 395</t>
  </si>
  <si>
    <t>June 16–July 31</t>
  </si>
  <si>
    <t>BON–Priest Rapids Dam (PRD)</t>
  </si>
  <si>
    <t>June 16–July 3</t>
  </si>
  <si>
    <t>BON–PRD</t>
  </si>
  <si>
    <t>June 16–July 1</t>
  </si>
  <si>
    <t>July 1–31</t>
  </si>
  <si>
    <t>June 16–July 31 (BON-McN), June 16–August 15 (McN-PRD)</t>
  </si>
  <si>
    <t>June 16–July 6 (BON-McN), June 16–July 16 (McN-PRD)</t>
  </si>
  <si>
    <t>No target fishery</t>
  </si>
  <si>
    <t>July 4–31</t>
  </si>
  <si>
    <t>June 16–June 30 (BON-Hwy.395), June 16-July 2 (Hwy.395-PRD)</t>
  </si>
  <si>
    <t>Notes:</t>
  </si>
  <si>
    <t>WDFW:  Data calculated in the BA tables and based on CRC and Creel.  Release data based on BON mark rates or creel</t>
  </si>
  <si>
    <t>WDFW:  Make sure you update the table in the CRC Chinook file and the BA table and the spring Chinook model</t>
  </si>
  <si>
    <r>
      <rPr>
        <i/>
        <vertAlign val="superscript"/>
        <sz val="12"/>
        <rFont val="Times New Roman"/>
        <family val="1"/>
      </rPr>
      <t>1</t>
    </r>
    <r>
      <rPr>
        <sz val="12"/>
        <rFont val="Times New Roman"/>
        <family val="1"/>
      </rPr>
      <t>Columbia River catches based on catch record card data through 2015.  Snake River catches based on creel program.</t>
    </r>
  </si>
  <si>
    <t>Table 25.  Recreational fisheries upstream of Bonneville Dam, 2002–2025.</t>
  </si>
  <si>
    <t>NOTE: values are no longer pulled from T24, but the combined spring/summer values at the bottom of this worksheet need to match the values in T24.  The links to T24 were removed because the structure for T24 changes radically as a new year is added and that was problematic for the links.</t>
  </si>
  <si>
    <r>
      <t xml:space="preserve"> Recreational Fisheries Downstream of Bonneville Dam </t>
    </r>
    <r>
      <rPr>
        <vertAlign val="superscript"/>
        <sz val="10"/>
        <rFont val="Times New Roman"/>
        <family val="1"/>
      </rPr>
      <t>1,2</t>
    </r>
  </si>
  <si>
    <r>
      <t>Lower Columbia River Recreational Fishery – Spring Chinook</t>
    </r>
    <r>
      <rPr>
        <vertAlign val="superscript"/>
        <sz val="10"/>
        <rFont val="Times New Roman"/>
        <family val="1"/>
      </rPr>
      <t>3</t>
    </r>
  </si>
  <si>
    <t>Anglers</t>
  </si>
  <si>
    <r>
      <t>Lower Columbia River Recreational Fishery – Summer Chinook</t>
    </r>
    <r>
      <rPr>
        <vertAlign val="superscript"/>
        <sz val="10"/>
        <rFont val="Times New Roman"/>
        <family val="1"/>
      </rPr>
      <t>4</t>
    </r>
  </si>
  <si>
    <t>handle</t>
  </si>
  <si>
    <t>rank</t>
  </si>
  <si>
    <t>kept rank</t>
  </si>
  <si>
    <t>Lower Columbia River Recreational Fishery – Combined</t>
  </si>
  <si>
    <r>
      <t>Table 26.  Recreational fisheries downstream of Bonneville Dam, 2000–2025.</t>
    </r>
    <r>
      <rPr>
        <i/>
        <vertAlign val="superscript"/>
        <sz val="12"/>
        <color rgb="FF000000"/>
        <rFont val="Times New Roman"/>
        <family val="1"/>
      </rPr>
      <t>1,2</t>
    </r>
  </si>
  <si>
    <r>
      <t>Lower Columbia River Recreational Fishery</t>
    </r>
    <r>
      <rPr>
        <b/>
        <sz val="10"/>
        <rFont val="Calibri"/>
        <family val="2"/>
      </rPr>
      <t>—</t>
    </r>
    <r>
      <rPr>
        <b/>
        <sz val="10"/>
        <rFont val="Times New Roman"/>
        <family val="1"/>
      </rPr>
      <t>Spring Chinook</t>
    </r>
    <r>
      <rPr>
        <b/>
        <i/>
        <vertAlign val="superscript"/>
        <sz val="10"/>
        <rFont val="Times New Roman"/>
        <family val="1"/>
      </rPr>
      <t>3</t>
    </r>
  </si>
  <si>
    <r>
      <t>Lower Columbia River Recreational Fishery</t>
    </r>
    <r>
      <rPr>
        <b/>
        <sz val="10"/>
        <rFont val="Calibri"/>
        <family val="2"/>
      </rPr>
      <t>—</t>
    </r>
    <r>
      <rPr>
        <b/>
        <sz val="10"/>
        <rFont val="Times New Roman"/>
        <family val="1"/>
      </rPr>
      <t>Summer Chinook</t>
    </r>
    <r>
      <rPr>
        <b/>
        <i/>
        <vertAlign val="superscript"/>
        <sz val="10"/>
        <rFont val="Times New Roman"/>
        <family val="1"/>
      </rPr>
      <t>4</t>
    </r>
  </si>
  <si>
    <r>
      <t>1</t>
    </r>
    <r>
      <rPr>
        <i/>
        <sz val="12"/>
        <color rgb="FF000000"/>
        <rFont val="Times New Roman"/>
        <family val="1"/>
      </rPr>
      <t>Adult fish only.</t>
    </r>
  </si>
  <si>
    <r>
      <t>2</t>
    </r>
    <r>
      <rPr>
        <i/>
        <sz val="12"/>
        <color rgb="FF000000"/>
        <rFont val="Times New Roman"/>
        <family val="1"/>
      </rPr>
      <t>Includes steelhead-target angler trips during non-retention periods for Chinook.</t>
    </r>
  </si>
  <si>
    <r>
      <t>3</t>
    </r>
    <r>
      <rPr>
        <i/>
        <sz val="12"/>
        <color rgb="FF000000"/>
        <rFont val="Times New Roman"/>
        <family val="1"/>
      </rPr>
      <t>February through May 31 during 2000</t>
    </r>
    <r>
      <rPr>
        <i/>
        <sz val="12"/>
        <color rgb="FF000000"/>
        <rFont val="Calibri"/>
        <family val="2"/>
      </rPr>
      <t>–</t>
    </r>
    <r>
      <rPr>
        <i/>
        <sz val="12"/>
        <color rgb="FF000000"/>
        <rFont val="Times New Roman"/>
        <family val="1"/>
      </rPr>
      <t>2004 and February</t>
    </r>
    <r>
      <rPr>
        <i/>
        <sz val="12"/>
        <color rgb="FF000000"/>
        <rFont val="Calibri"/>
        <family val="2"/>
      </rPr>
      <t>–</t>
    </r>
    <r>
      <rPr>
        <i/>
        <sz val="12"/>
        <color rgb="FF000000"/>
        <rFont val="Times New Roman"/>
        <family val="1"/>
      </rPr>
      <t>June 15 since 2005.</t>
    </r>
  </si>
  <si>
    <r>
      <t>4</t>
    </r>
    <r>
      <rPr>
        <i/>
        <sz val="12"/>
        <color rgb="FF000000"/>
        <rFont val="Times New Roman"/>
        <family val="1"/>
      </rPr>
      <t>June 1 through July 31 during 2000</t>
    </r>
    <r>
      <rPr>
        <i/>
        <sz val="12"/>
        <color rgb="FF000000"/>
        <rFont val="Calibri"/>
        <family val="2"/>
      </rPr>
      <t>–</t>
    </r>
    <r>
      <rPr>
        <i/>
        <sz val="12"/>
        <color rgb="FF000000"/>
        <rFont val="Times New Roman"/>
        <family val="1"/>
      </rPr>
      <t>2004 and June 16</t>
    </r>
    <r>
      <rPr>
        <i/>
        <sz val="12"/>
        <color rgb="FF000000"/>
        <rFont val="Calibri"/>
        <family val="2"/>
      </rPr>
      <t>–</t>
    </r>
    <r>
      <rPr>
        <i/>
        <sz val="12"/>
        <color rgb="FF000000"/>
        <rFont val="Times New Roman"/>
        <family val="1"/>
      </rPr>
      <t>July 31 since 2005.</t>
    </r>
  </si>
  <si>
    <t>Select Area</t>
  </si>
  <si>
    <t>Feb–Mar Total</t>
  </si>
  <si>
    <t>Apr–Jun Total</t>
  </si>
  <si>
    <t>total</t>
  </si>
  <si>
    <t>Check that numbers match JW kept sport numbers</t>
  </si>
  <si>
    <t>Percentage of total kept</t>
  </si>
  <si>
    <t>— </t>
  </si>
  <si>
    <t>10 yr ave</t>
  </si>
  <si>
    <t>Note: Put in numbers, Static table will enter &lt;0.1 or -- where necessary. This makes sure the totals are accurate.</t>
  </si>
  <si>
    <t>Table 27.  Stock composition of kept adult hatchery spring Chinook (in thousands) during the mainstem lower Columbia recreational fisheries, 1990–2024.</t>
  </si>
  <si>
    <r>
      <rPr>
        <i/>
        <vertAlign val="superscript"/>
        <sz val="12"/>
        <color rgb="FF000000"/>
        <rFont val="Times New Roman"/>
        <family val="1"/>
      </rPr>
      <t>1</t>
    </r>
    <r>
      <rPr>
        <i/>
        <sz val="12"/>
        <color rgb="FF000000"/>
        <rFont val="Times New Roman"/>
        <family val="1"/>
      </rPr>
      <t>C=Cowlitz River, K=Kalama River, L=Lewis River, and S=Sandy River. May include occasional coastal stocks.</t>
    </r>
  </si>
  <si>
    <r>
      <rPr>
        <i/>
        <vertAlign val="superscript"/>
        <sz val="12"/>
        <color rgb="FF000000"/>
        <rFont val="Times New Roman"/>
        <family val="1"/>
      </rPr>
      <t>2</t>
    </r>
    <r>
      <rPr>
        <i/>
        <sz val="12"/>
        <color rgb="FF000000"/>
        <rFont val="Times New Roman"/>
        <family val="1"/>
      </rPr>
      <t>Select Area stocks not estimated prior to 2007.</t>
    </r>
  </si>
  <si>
    <t>Adult Spring Chinook Recreational Catch and Harvest Rates for the Cowlitz, Kalama, Lewis, and Sandy Rivers.</t>
  </si>
  <si>
    <t>NOTE: need to update this Manip table to include annual estimates for 1980-1989 (still present averages for the 5-year blocks in Static table).</t>
  </si>
  <si>
    <t>Cowlitz River</t>
  </si>
  <si>
    <t>Kalama River</t>
  </si>
  <si>
    <t>Lewis River</t>
  </si>
  <si>
    <t>Sandy River</t>
  </si>
  <si>
    <t xml:space="preserve">Harvest </t>
  </si>
  <si>
    <r>
      <t>Year</t>
    </r>
    <r>
      <rPr>
        <vertAlign val="superscript"/>
        <sz val="10"/>
        <color theme="1"/>
        <rFont val="Times New Roman"/>
        <family val="1"/>
      </rPr>
      <t>1</t>
    </r>
  </si>
  <si>
    <t>Catch</t>
  </si>
  <si>
    <t>Rate</t>
  </si>
  <si>
    <t>Returns for calculating HRs (auto populates from T1Manip)</t>
  </si>
  <si>
    <t>Total CKLS</t>
  </si>
  <si>
    <t>CKL-only subtotal</t>
  </si>
  <si>
    <t>kept catch</t>
  </si>
  <si>
    <t>Ave.</t>
  </si>
  <si>
    <t>Table 28.  Adult spring Chinook recreational catch and harvest rates for the Cowlitz, Kalama, Lewis, and Sandy rivers, 1980–2025.</t>
  </si>
  <si>
    <r>
      <t>Year</t>
    </r>
    <r>
      <rPr>
        <i/>
        <vertAlign val="superscript"/>
        <sz val="9"/>
        <color theme="1"/>
        <rFont val="Times New Roman"/>
        <family val="1"/>
      </rPr>
      <t>1</t>
    </r>
  </si>
  <si>
    <t>Avg.</t>
  </si>
  <si>
    <r>
      <t>2024</t>
    </r>
    <r>
      <rPr>
        <vertAlign val="superscript"/>
        <sz val="9"/>
        <color theme="1"/>
        <rFont val="Times New Roman"/>
        <family val="1"/>
      </rPr>
      <t>2</t>
    </r>
  </si>
  <si>
    <r>
      <t>2025</t>
    </r>
    <r>
      <rPr>
        <vertAlign val="superscript"/>
        <sz val="9"/>
        <color theme="1"/>
        <rFont val="Times New Roman"/>
        <family val="1"/>
      </rPr>
      <t>2</t>
    </r>
  </si>
  <si>
    <r>
      <rPr>
        <i/>
        <vertAlign val="superscript"/>
        <sz val="12"/>
        <rFont val="Times New Roman"/>
        <family val="1"/>
      </rPr>
      <t>1</t>
    </r>
    <r>
      <rPr>
        <i/>
        <sz val="12"/>
        <rFont val="Times New Roman"/>
        <family val="1"/>
      </rPr>
      <t>1995–2001, 2008, 2019, and 2020 harvest rates reflect fishery restrictions due to extremely low returns.</t>
    </r>
  </si>
  <si>
    <r>
      <rPr>
        <i/>
        <vertAlign val="superscript"/>
        <sz val="12"/>
        <rFont val="Times New Roman"/>
        <family val="1"/>
      </rPr>
      <t>2</t>
    </r>
    <r>
      <rPr>
        <i/>
        <sz val="12"/>
        <rFont val="Times New Roman"/>
        <family val="1"/>
      </rPr>
      <t>Data are preliminary.</t>
    </r>
  </si>
  <si>
    <t>Release Site</t>
  </si>
  <si>
    <t xml:space="preserve">Blind Slough  </t>
  </si>
  <si>
    <t>Other</t>
  </si>
  <si>
    <t>Brood Year</t>
  </si>
  <si>
    <r>
      <t>Species</t>
    </r>
    <r>
      <rPr>
        <i/>
        <vertAlign val="superscript"/>
        <sz val="10"/>
        <rFont val="Times New Roman"/>
        <family val="1"/>
      </rPr>
      <t>1</t>
    </r>
  </si>
  <si>
    <t>South Fork Klaskanine Hatchery</t>
  </si>
  <si>
    <t>Klaskanine Hatchery</t>
  </si>
  <si>
    <t>Youngs Bay Net Pens</t>
  </si>
  <si>
    <t>Big Creek Hatchery</t>
  </si>
  <si>
    <t>Blind Slough Net Pens</t>
  </si>
  <si>
    <r>
      <t>Gnat Creek Hatchery</t>
    </r>
    <r>
      <rPr>
        <sz val="10"/>
        <rFont val="Arial"/>
        <family val="2"/>
      </rPr>
      <t/>
    </r>
  </si>
  <si>
    <t>Tongue Point Net Pens</t>
  </si>
  <si>
    <t>Deep River Net Pens</t>
  </si>
  <si>
    <t>Grays River Hatchery</t>
  </si>
  <si>
    <t>Steamboat Slough Net Pens</t>
  </si>
  <si>
    <t>Select Area Total</t>
  </si>
  <si>
    <t>CHS</t>
  </si>
  <si>
    <t>SAB</t>
  </si>
  <si>
    <t>CHF</t>
  </si>
  <si>
    <t>CO</t>
  </si>
  <si>
    <r>
      <t>CHS</t>
    </r>
    <r>
      <rPr>
        <vertAlign val="superscript"/>
        <sz val="10"/>
        <rFont val="Times New Roman"/>
        <family val="1"/>
      </rPr>
      <t>2</t>
    </r>
  </si>
  <si>
    <t>Table 5.  Smolt releases at Select Area fisheries sites, brood years 2000–2015.</t>
  </si>
  <si>
    <r>
      <rPr>
        <i/>
        <vertAlign val="superscript"/>
        <sz val="12"/>
        <rFont val="Times New Roman"/>
        <family val="1"/>
      </rPr>
      <t>1</t>
    </r>
    <r>
      <rPr>
        <sz val="12"/>
        <rFont val="Times New Roman"/>
        <family val="1"/>
      </rPr>
      <t>CHS=Spring Chinook, CHF=Fall Chinook (tule stock unless noted), SAB=Select Area Bright Fall Chinook, CO = coho.</t>
    </r>
  </si>
  <si>
    <r>
      <rPr>
        <i/>
        <vertAlign val="superscript"/>
        <sz val="12"/>
        <rFont val="Times New Roman"/>
        <family val="1"/>
      </rPr>
      <t>2</t>
    </r>
    <r>
      <rPr>
        <sz val="12"/>
        <rFont val="Times New Roman"/>
        <family val="1"/>
      </rPr>
      <t>CHS from South Fork Klaskanine Hatchery were released early (September 26, 2005) due to disease.</t>
    </r>
  </si>
  <si>
    <t>Blind Slough Direct Release</t>
  </si>
  <si>
    <r>
      <t>Species</t>
    </r>
    <r>
      <rPr>
        <vertAlign val="superscript"/>
        <sz val="10"/>
        <rFont val="Times New Roman"/>
        <family val="1"/>
      </rPr>
      <t>*</t>
    </r>
  </si>
  <si>
    <t>SABs</t>
  </si>
  <si>
    <t>Non-SAB CHF</t>
  </si>
  <si>
    <t>Coho (Early &amp; Late)</t>
  </si>
  <si>
    <t>Source</t>
  </si>
  <si>
    <t>U:\OSCRP\CRM\^ CRM\~ Reports and Presentations\^Joint Staff Reports\2025 JS Reports\2025 Spring JSR</t>
  </si>
  <si>
    <t>Updated:</t>
  </si>
  <si>
    <t>11/1/2024 CB</t>
  </si>
  <si>
    <t>Table 29.  Smolt releases at Select Area fisheries sites, brood years 2005–2023.</t>
  </si>
  <si>
    <r>
      <t>Deep River Net Pens</t>
    </r>
    <r>
      <rPr>
        <i/>
        <vertAlign val="superscript"/>
        <sz val="10"/>
        <rFont val="Times New Roman"/>
        <family val="1"/>
      </rPr>
      <t>2</t>
    </r>
  </si>
  <si>
    <r>
      <t>2022</t>
    </r>
    <r>
      <rPr>
        <i/>
        <vertAlign val="superscript"/>
        <sz val="10"/>
        <rFont val="Times New Roman"/>
        <family val="1"/>
      </rPr>
      <t>3</t>
    </r>
  </si>
  <si>
    <r>
      <t>2023</t>
    </r>
    <r>
      <rPr>
        <i/>
        <vertAlign val="superscript"/>
        <sz val="10"/>
        <rFont val="Times New Roman"/>
        <family val="1"/>
      </rPr>
      <t>3</t>
    </r>
  </si>
  <si>
    <r>
      <rPr>
        <i/>
        <vertAlign val="superscript"/>
        <sz val="12"/>
        <rFont val="Times New Roman"/>
        <family val="1"/>
      </rPr>
      <t>1</t>
    </r>
    <r>
      <rPr>
        <i/>
        <sz val="12"/>
        <rFont val="Times New Roman"/>
        <family val="1"/>
      </rPr>
      <t>CHS=Spring Chinook, CHF=Fall Chinook (tule stock unless noted), SAB=Select Area Bright Fall Chinook, CO = Coho.</t>
    </r>
  </si>
  <si>
    <r>
      <t xml:space="preserve">2 </t>
    </r>
    <r>
      <rPr>
        <i/>
        <sz val="12"/>
        <rFont val="Times New Roman"/>
        <family val="1"/>
      </rPr>
      <t>The Deep River program began releasing spring Chinook as subyearlings beginning in brood year 2017 (2018 release year).</t>
    </r>
  </si>
  <si>
    <r>
      <t xml:space="preserve">3 </t>
    </r>
    <r>
      <rPr>
        <i/>
        <sz val="12"/>
        <rFont val="Times New Roman"/>
        <family val="1"/>
      </rPr>
      <t>Release numbers are prelimnary and subject to change.</t>
    </r>
  </si>
  <si>
    <t>Winter/Spring/Summer Season Commercial and Recreational Chinook Harvest in Select Area Sites, 1993-2025.</t>
  </si>
  <si>
    <t>Source:</t>
  </si>
  <si>
    <t>U:\OSCRP\CRM\^ CRM\~ Select Area Fisheries\^ Landings\Landings Database\[All SAFE Landings Database 01.08.19.xlsx]5, 10, All Year Averages; 2019: https://www.dfw.state.or.us/fish/OSCRP/CRM/landings/19%20FINAL/2019_SAFE_WIN-SPR-SUM_combnd_landing_Summ_2019_FINAL_10-21-19.pdf</t>
  </si>
  <si>
    <t>Blind Slough</t>
  </si>
  <si>
    <r>
      <t>Tongue Point</t>
    </r>
    <r>
      <rPr>
        <i/>
        <vertAlign val="superscript"/>
        <sz val="10"/>
        <rFont val="Times New Roman"/>
        <family val="1"/>
      </rPr>
      <t>1</t>
    </r>
  </si>
  <si>
    <t>subtotal</t>
  </si>
  <si>
    <t>U:\OSCRP\CRM\^ CRM\~ Select Area Fisheries\Sport\Select Area Recreational Catch Estimate\Catch Estimates\[2019 Select Area Recreational CHS Catch Estimate.xlsx]Sport Catch Estimate</t>
  </si>
  <si>
    <t>Subtotal</t>
  </si>
  <si>
    <t>Grand total</t>
  </si>
  <si>
    <t>Reconcile</t>
  </si>
  <si>
    <t>5year average</t>
  </si>
  <si>
    <t>10year average</t>
  </si>
  <si>
    <t>Table 30.  Winter/spring/summer season commercial and recreational Chinook harvest in Select Area sites, 1993–2025.</t>
  </si>
  <si>
    <r>
      <t>2025</t>
    </r>
    <r>
      <rPr>
        <i/>
        <vertAlign val="superscript"/>
        <sz val="10"/>
        <color rgb="FF000000"/>
        <rFont val="Times New Roman"/>
        <family val="1"/>
      </rPr>
      <t>3</t>
    </r>
  </si>
  <si>
    <r>
      <rPr>
        <i/>
        <vertAlign val="superscript"/>
        <sz val="12"/>
        <rFont val="Times New Roman"/>
        <family val="1"/>
      </rPr>
      <t>1</t>
    </r>
    <r>
      <rPr>
        <i/>
        <sz val="12"/>
        <rFont val="Times New Roman"/>
        <family val="1"/>
      </rPr>
      <t>No winter, spring, or summer seasons occurred in Tongue Point/South Channel from 2004–2007. Volunteer test fishing in mid-April 2008 resulted in a full-fleet experimental fishery beginning in late April and continuing through the remainder of the spring season.  Abbreviated full-fleet experimental fisheries occurred in late April 2009, and in late April–early June, 2010-2013 following test fishing activities.  Winter and spring fisheries were reinstated beginning in 2014.</t>
    </r>
  </si>
  <si>
    <r>
      <rPr>
        <i/>
        <vertAlign val="superscript"/>
        <sz val="12"/>
        <rFont val="Times New Roman"/>
        <family val="1"/>
      </rPr>
      <t>2</t>
    </r>
    <r>
      <rPr>
        <i/>
        <sz val="12"/>
        <rFont val="Times New Roman"/>
        <family val="1"/>
      </rPr>
      <t xml:space="preserve">From 1998–2007, annual estimates of recreational harvest were made starting when effort was first observed in a particular site.  Since 2008, the estimate is based on expanded catch record card data. </t>
    </r>
  </si>
  <si>
    <r>
      <rPr>
        <i/>
        <vertAlign val="superscript"/>
        <sz val="12"/>
        <rFont val="Times New Roman"/>
        <family val="1"/>
      </rPr>
      <t>3</t>
    </r>
    <r>
      <rPr>
        <i/>
        <sz val="12"/>
        <rFont val="Times New Roman"/>
        <family val="1"/>
      </rPr>
      <t>Recreational harvest estimate is preliminary and will be updated when catch record card data are available.</t>
    </r>
  </si>
  <si>
    <t>Select Area Stocks</t>
  </si>
  <si>
    <t>LCR Stocks</t>
  </si>
  <si>
    <t>Summer Chinook</t>
  </si>
  <si>
    <t>Upriver Stocks</t>
  </si>
  <si>
    <t xml:space="preserve">Coastal Stocks </t>
  </si>
  <si>
    <t>SAFE CHS</t>
  </si>
  <si>
    <t>SAFE SAB</t>
  </si>
  <si>
    <t>Cowlitz/Kalama/Lewis</t>
  </si>
  <si>
    <t>Upriver CHS</t>
  </si>
  <si>
    <t>Coastal OR</t>
  </si>
  <si>
    <t>Row Labels</t>
  </si>
  <si>
    <t>*Oregon sites only.  Does not include Deep River.</t>
  </si>
  <si>
    <t>U:\OSCRP\CRM\^ CRM\~ Select Area Fisheries\~ Stock &amp; Age Comp\Stock Composition\2024</t>
  </si>
  <si>
    <t>Values are adults only</t>
  </si>
  <si>
    <t>5-year HX</t>
  </si>
  <si>
    <t>10-year HX</t>
  </si>
  <si>
    <t>2000+ HX</t>
  </si>
  <si>
    <t>Table 31. Stock composition of adult Chinook landed in winter, spring, and summer Select Area commercial fisheries, 2000–2025.</t>
  </si>
  <si>
    <t>Stock</t>
  </si>
  <si>
    <r>
      <t>Select Area</t>
    </r>
    <r>
      <rPr>
        <vertAlign val="superscript"/>
        <sz val="10"/>
        <rFont val="Times New Roman"/>
        <family val="1"/>
      </rPr>
      <t>1</t>
    </r>
  </si>
  <si>
    <r>
      <t>C,K,L,S</t>
    </r>
    <r>
      <rPr>
        <vertAlign val="superscript"/>
        <sz val="10"/>
        <rFont val="Times New Roman"/>
        <family val="1"/>
      </rPr>
      <t>2</t>
    </r>
  </si>
  <si>
    <r>
      <t>Upriver Spring/Summer</t>
    </r>
    <r>
      <rPr>
        <vertAlign val="superscript"/>
        <sz val="10"/>
        <rFont val="Times New Roman"/>
        <family val="1"/>
      </rPr>
      <t>3</t>
    </r>
  </si>
  <si>
    <r>
      <t>Summer Chinook</t>
    </r>
    <r>
      <rPr>
        <vertAlign val="superscript"/>
        <sz val="10"/>
        <rFont val="Times New Roman"/>
        <family val="1"/>
      </rPr>
      <t>3</t>
    </r>
  </si>
  <si>
    <t>Coastal Stocks</t>
  </si>
  <si>
    <r>
      <t xml:space="preserve"> 2023</t>
    </r>
    <r>
      <rPr>
        <vertAlign val="superscript"/>
        <sz val="10"/>
        <rFont val="Times New Roman"/>
        <family val="1"/>
      </rPr>
      <t>4</t>
    </r>
  </si>
  <si>
    <t>All-year Average</t>
  </si>
  <si>
    <r>
      <rPr>
        <i/>
        <vertAlign val="superscript"/>
        <sz val="12"/>
        <color rgb="FF000000"/>
        <rFont val="Times New Roman"/>
        <family val="1"/>
      </rPr>
      <t>1</t>
    </r>
    <r>
      <rPr>
        <i/>
        <sz val="12"/>
        <color rgb="FF000000"/>
        <rFont val="Times New Roman"/>
        <family val="1"/>
      </rPr>
      <t xml:space="preserve">Select Area stock group includes Select Area spring Chinook and Select Area Bright fall Chinook. </t>
    </r>
  </si>
  <si>
    <r>
      <rPr>
        <i/>
        <vertAlign val="superscript"/>
        <sz val="12"/>
        <rFont val="Times New Roman"/>
        <family val="1"/>
      </rPr>
      <t>2</t>
    </r>
    <r>
      <rPr>
        <i/>
        <sz val="12"/>
        <rFont val="Times New Roman"/>
        <family val="1"/>
      </rPr>
      <t>C=Cowlitz River, K=Kalama River, L=Lewis River, and S=Sandy River.</t>
    </r>
  </si>
  <si>
    <r>
      <rPr>
        <i/>
        <vertAlign val="superscript"/>
        <sz val="12"/>
        <rFont val="Times New Roman"/>
        <family val="1"/>
      </rPr>
      <t>3</t>
    </r>
    <r>
      <rPr>
        <i/>
        <sz val="12"/>
        <rFont val="Times New Roman"/>
        <family val="1"/>
      </rPr>
      <t>From 2009 to present, summer Chinook caught before June 15th are included in the upriver stock grouping. Prior to 2009, all summer Chinook were counted in the summer Chinook stock grouping.</t>
    </r>
  </si>
  <si>
    <r>
      <rPr>
        <i/>
        <vertAlign val="superscript"/>
        <sz val="12"/>
        <rFont val="Times New Roman"/>
        <family val="1"/>
      </rPr>
      <t>4</t>
    </r>
    <r>
      <rPr>
        <i/>
        <sz val="12"/>
        <rFont val="Times New Roman"/>
        <family val="1"/>
      </rPr>
      <t>Oregon sites only.  Does not include Deep River.</t>
    </r>
  </si>
  <si>
    <t>2017 version included jacks; table caption has been edited to specify adults only and note has been added to 'Manip' worksheet</t>
  </si>
  <si>
    <t xml:space="preserve">Table 32.  Winter season commercial landings in treaty fisheries, 1977–2022.  </t>
  </si>
  <si>
    <r>
      <t>Numbers of Fish Sold Commercially</t>
    </r>
    <r>
      <rPr>
        <i/>
        <vertAlign val="superscript"/>
        <sz val="10"/>
        <rFont val="Times New Roman"/>
        <family val="1"/>
      </rPr>
      <t>2</t>
    </r>
  </si>
  <si>
    <r>
      <t>Season</t>
    </r>
    <r>
      <rPr>
        <i/>
        <vertAlign val="superscript"/>
        <sz val="10"/>
        <rFont val="Times New Roman"/>
        <family val="1"/>
      </rPr>
      <t>1</t>
    </r>
  </si>
  <si>
    <t>Steelhead</t>
  </si>
  <si>
    <t>Walleye</t>
  </si>
  <si>
    <t>1977–1981 Ave.</t>
  </si>
  <si>
    <r>
      <t>Feb 1–Apr 1</t>
    </r>
    <r>
      <rPr>
        <i/>
        <vertAlign val="superscript"/>
        <sz val="10"/>
        <rFont val="Times New Roman"/>
        <family val="1"/>
      </rPr>
      <t>3</t>
    </r>
  </si>
  <si>
    <t xml:space="preserve">                 Range</t>
  </si>
  <si>
    <t>30–2,800</t>
  </si>
  <si>
    <r>
      <t>2,600</t>
    </r>
    <r>
      <rPr>
        <sz val="13"/>
        <rFont val="Times New Roman"/>
        <family val="1"/>
      </rPr>
      <t>–</t>
    </r>
    <r>
      <rPr>
        <sz val="10"/>
        <rFont val="Times New Roman"/>
        <family val="1"/>
      </rPr>
      <t>4,900</t>
    </r>
  </si>
  <si>
    <t>20–220</t>
  </si>
  <si>
    <t>1982–1986 Ave.</t>
  </si>
  <si>
    <r>
      <t>Feb 1–Mar 21</t>
    </r>
    <r>
      <rPr>
        <i/>
        <vertAlign val="superscript"/>
        <sz val="10"/>
        <rFont val="Times New Roman"/>
        <family val="1"/>
      </rPr>
      <t>4,5</t>
    </r>
  </si>
  <si>
    <t>5–100</t>
  </si>
  <si>
    <t>3,000–7,800</t>
  </si>
  <si>
    <t>70–1,700</t>
  </si>
  <si>
    <t xml:space="preserve">1987–1991 Ave. </t>
  </si>
  <si>
    <r>
      <t>0–280</t>
    </r>
    <r>
      <rPr>
        <i/>
        <vertAlign val="superscript"/>
        <sz val="10"/>
        <rFont val="Times New Roman"/>
        <family val="1"/>
      </rPr>
      <t>6</t>
    </r>
  </si>
  <si>
    <t>2,100–10,800</t>
  </si>
  <si>
    <t>1,300–3,100</t>
  </si>
  <si>
    <t>130–1,030</t>
  </si>
  <si>
    <t>Feb 1–Mar 21 (48 days)</t>
  </si>
  <si>
    <r>
      <t>625</t>
    </r>
    <r>
      <rPr>
        <i/>
        <vertAlign val="superscript"/>
        <sz val="10"/>
        <rFont val="Times New Roman"/>
        <family val="1"/>
      </rPr>
      <t>7</t>
    </r>
  </si>
  <si>
    <t>Feb 1–Mar 20 (47 days)</t>
  </si>
  <si>
    <t>Feb 1–Mar 19 (34 days)</t>
  </si>
  <si>
    <t>Feb 1–Mar 18  (33 days)</t>
  </si>
  <si>
    <t>Feb 1–Mar 16  (32 days)</t>
  </si>
  <si>
    <t>Feb 3–Mar 21 (35 days)</t>
  </si>
  <si>
    <t>Feb 2–Mar 14 (30 days)</t>
  </si>
  <si>
    <t>Feb 1–Mar 20 (40 days)</t>
  </si>
  <si>
    <t>Feb 1–Mar 14 (41 days)</t>
  </si>
  <si>
    <t>Feb 1– Mar 21 (48 days)</t>
  </si>
  <si>
    <t>Feb 2–Mar 10 (37 days)</t>
  </si>
  <si>
    <t>Feb 1–Mar 16 (44 days)</t>
  </si>
  <si>
    <t>Feb 1–Mar 21 (49 days)</t>
  </si>
  <si>
    <t>Feb 2–Mar 21</t>
  </si>
  <si>
    <t>Feb 1–Mar 3</t>
  </si>
  <si>
    <t>Feb 1–Mar 21</t>
  </si>
  <si>
    <r>
      <t>4,153</t>
    </r>
    <r>
      <rPr>
        <i/>
        <vertAlign val="superscript"/>
        <sz val="10"/>
        <rFont val="Times New Roman"/>
        <family val="1"/>
      </rPr>
      <t>8</t>
    </r>
  </si>
  <si>
    <r>
      <t>2,974</t>
    </r>
    <r>
      <rPr>
        <i/>
        <vertAlign val="superscript"/>
        <sz val="10"/>
        <rFont val="Times New Roman"/>
        <family val="1"/>
      </rPr>
      <t>9</t>
    </r>
  </si>
  <si>
    <r>
      <t>2,115</t>
    </r>
    <r>
      <rPr>
        <i/>
        <vertAlign val="superscript"/>
        <sz val="10"/>
        <rFont val="Times New Roman"/>
        <family val="1"/>
      </rPr>
      <t>10</t>
    </r>
  </si>
  <si>
    <r>
      <t>1,355</t>
    </r>
    <r>
      <rPr>
        <i/>
        <vertAlign val="superscript"/>
        <sz val="10"/>
        <rFont val="Times New Roman"/>
        <family val="1"/>
      </rPr>
      <t>11</t>
    </r>
  </si>
  <si>
    <r>
      <t>1,098</t>
    </r>
    <r>
      <rPr>
        <i/>
        <vertAlign val="superscript"/>
        <sz val="10"/>
        <rFont val="Times New Roman"/>
        <family val="1"/>
      </rPr>
      <t>12</t>
    </r>
  </si>
  <si>
    <t>Feb 2–Mar 17</t>
  </si>
  <si>
    <r>
      <t>857</t>
    </r>
    <r>
      <rPr>
        <i/>
        <vertAlign val="superscript"/>
        <sz val="10"/>
        <rFont val="Times New Roman"/>
        <family val="1"/>
      </rPr>
      <t>13</t>
    </r>
  </si>
  <si>
    <t>Feb 1–Mar 24</t>
  </si>
  <si>
    <r>
      <t>556</t>
    </r>
    <r>
      <rPr>
        <i/>
        <vertAlign val="superscript"/>
        <sz val="11"/>
        <rFont val="Times New Roman"/>
        <family val="1"/>
      </rPr>
      <t>14</t>
    </r>
  </si>
  <si>
    <t>Feb 1–Mar 23</t>
  </si>
  <si>
    <r>
      <t>1,125</t>
    </r>
    <r>
      <rPr>
        <i/>
        <vertAlign val="superscript"/>
        <sz val="10"/>
        <rFont val="Times New Roman"/>
        <family val="1"/>
      </rPr>
      <t>15</t>
    </r>
  </si>
  <si>
    <r>
      <t>1,444</t>
    </r>
    <r>
      <rPr>
        <i/>
        <vertAlign val="superscript"/>
        <sz val="10"/>
        <rFont val="Times New Roman"/>
        <family val="1"/>
      </rPr>
      <t>16</t>
    </r>
  </si>
  <si>
    <r>
      <t>1,883</t>
    </r>
    <r>
      <rPr>
        <i/>
        <vertAlign val="superscript"/>
        <sz val="10"/>
        <rFont val="Times New Roman"/>
        <family val="1"/>
      </rPr>
      <t>17</t>
    </r>
  </si>
  <si>
    <t>Feb 1–Mar 16</t>
  </si>
  <si>
    <r>
      <t>1,925</t>
    </r>
    <r>
      <rPr>
        <i/>
        <vertAlign val="superscript"/>
        <sz val="10"/>
        <rFont val="Times New Roman"/>
        <family val="1"/>
      </rPr>
      <t>18</t>
    </r>
  </si>
  <si>
    <r>
      <t>1,538</t>
    </r>
    <r>
      <rPr>
        <i/>
        <vertAlign val="superscript"/>
        <sz val="10"/>
        <rFont val="Times New Roman"/>
        <family val="1"/>
      </rPr>
      <t>19</t>
    </r>
  </si>
  <si>
    <r>
      <t>1</t>
    </r>
    <r>
      <rPr>
        <i/>
        <sz val="12"/>
        <rFont val="Times New Roman"/>
        <family val="1"/>
      </rPr>
      <t xml:space="preserve">Season dates during 1994-1999 (except March, 1999) include weekend closures of 42-48 hours.  </t>
    </r>
  </si>
  <si>
    <r>
      <t>2</t>
    </r>
    <r>
      <rPr>
        <i/>
        <sz val="12"/>
        <rFont val="Times New Roman"/>
        <family val="1"/>
      </rPr>
      <t>Treaty sales to licensed fish buyers and any direct to public sales. Includes Sturgeon in January Setline fishery and winter season gillnet fisheries. Includes chinook, steelhead and walleye only in winter gilnet fishery.</t>
    </r>
  </si>
  <si>
    <r>
      <t>3</t>
    </r>
    <r>
      <rPr>
        <i/>
        <sz val="12"/>
        <rFont val="Times New Roman"/>
        <family val="1"/>
      </rPr>
      <t xml:space="preserve">The 1980 season ended on March 15.  The ending date for all other years was April 1.   </t>
    </r>
  </si>
  <si>
    <r>
      <t>4</t>
    </r>
    <r>
      <rPr>
        <i/>
        <sz val="12"/>
        <rFont val="Times New Roman"/>
        <family val="1"/>
      </rPr>
      <t xml:space="preserve">The 1989 season ended on March 26.  The end date for all other years was March 21.  </t>
    </r>
  </si>
  <si>
    <r>
      <t>5</t>
    </r>
    <r>
      <rPr>
        <i/>
        <sz val="12"/>
        <rFont val="Times New Roman"/>
        <family val="1"/>
      </rPr>
      <t xml:space="preserve">Walleye sales not accounted for prior to 1989.  </t>
    </r>
  </si>
  <si>
    <r>
      <t>6</t>
    </r>
    <r>
      <rPr>
        <i/>
        <sz val="12"/>
        <rFont val="Times New Roman"/>
        <family val="1"/>
      </rPr>
      <t xml:space="preserve">Includes two late fall Chinook in 1991.  </t>
    </r>
  </si>
  <si>
    <r>
      <t>7</t>
    </r>
    <r>
      <rPr>
        <i/>
        <sz val="12"/>
        <rFont val="Times New Roman"/>
        <family val="1"/>
      </rPr>
      <t xml:space="preserve">Sturgeon sales prohibited beginning noon March 5. </t>
    </r>
  </si>
  <si>
    <r>
      <t>8</t>
    </r>
    <r>
      <rPr>
        <i/>
        <sz val="12"/>
        <rFont val="Times New Roman"/>
        <family val="1"/>
      </rPr>
      <t xml:space="preserve">John Day Pool gillnet fishery through March 1, Bonneville Pool fishery through March 6, The Dalles Pool fishery through March 21. </t>
    </r>
  </si>
  <si>
    <r>
      <t>9</t>
    </r>
    <r>
      <rPr>
        <i/>
        <sz val="12"/>
        <rFont val="Times New Roman"/>
        <family val="1"/>
      </rPr>
      <t>John Day Pool gillnet fishery through February 27, Bonneville Pool fishery through March 6, The Dalles Pool fishery through March 21.</t>
    </r>
  </si>
  <si>
    <r>
      <rPr>
        <i/>
        <vertAlign val="superscript"/>
        <sz val="12"/>
        <rFont val="Times New Roman"/>
        <family val="1"/>
      </rPr>
      <t>10</t>
    </r>
    <r>
      <rPr>
        <i/>
        <sz val="12"/>
        <rFont val="Times New Roman"/>
        <family val="1"/>
      </rPr>
      <t>John Day Pool gillnet fishery through February 26, Bonneville Pool fishery through March 15, The Dalles Pool fishery through March 21(except closed between March 3-12).</t>
    </r>
  </si>
  <si>
    <r>
      <rPr>
        <i/>
        <vertAlign val="superscript"/>
        <sz val="12"/>
        <rFont val="Times New Roman"/>
        <family val="1"/>
      </rPr>
      <t>11</t>
    </r>
    <r>
      <rPr>
        <i/>
        <sz val="12"/>
        <rFont val="Times New Roman"/>
        <family val="1"/>
      </rPr>
      <t>The Dalles and John Day Pool gillnet fishery February 2-24. Bonneville Pool fishery February 23-March 21.</t>
    </r>
  </si>
  <si>
    <r>
      <rPr>
        <i/>
        <vertAlign val="superscript"/>
        <sz val="12"/>
        <rFont val="Times New Roman"/>
        <family val="1"/>
      </rPr>
      <t>12</t>
    </r>
    <r>
      <rPr>
        <i/>
        <sz val="12"/>
        <rFont val="Times New Roman"/>
        <family val="1"/>
      </rPr>
      <t>The Dalles and John Day Pool gillnet fishery February 1-March 12. Bonneville Pool fishery March 14-21.</t>
    </r>
  </si>
  <si>
    <t>January 1-31</t>
  </si>
  <si>
    <t>All</t>
  </si>
  <si>
    <t>Setline</t>
  </si>
  <si>
    <r>
      <rPr>
        <i/>
        <vertAlign val="superscript"/>
        <sz val="12"/>
        <rFont val="Times New Roman"/>
        <family val="1"/>
      </rPr>
      <t>13</t>
    </r>
    <r>
      <rPr>
        <i/>
        <sz val="12"/>
        <rFont val="Times New Roman"/>
        <family val="1"/>
      </rPr>
      <t xml:space="preserve"> The Dalles and John Day Pool gillnet fishery February 1-March 4. Bonneville Pool fishery March 5-17.</t>
    </r>
  </si>
  <si>
    <t>“</t>
  </si>
  <si>
    <t>February 1-8</t>
  </si>
  <si>
    <t>TD</t>
  </si>
  <si>
    <r>
      <rPr>
        <i/>
        <vertAlign val="superscript"/>
        <sz val="12"/>
        <rFont val="Times New Roman"/>
        <family val="1"/>
      </rPr>
      <t>14</t>
    </r>
    <r>
      <rPr>
        <i/>
        <sz val="12"/>
        <rFont val="Times New Roman"/>
        <family val="1"/>
      </rPr>
      <t xml:space="preserve"> The John Day Pool gillnet fishery February 1- March 3 and from March 15-24. The Dalles Pool fishery open February 1- 16,  from February 22 - March 3, and from March 15-19.  The Bonneville Pool open from March 5-14.</t>
    </r>
  </si>
  <si>
    <t>February 1-8, 12-17, 20-24</t>
  </si>
  <si>
    <t>JD</t>
  </si>
  <si>
    <r>
      <rPr>
        <i/>
        <vertAlign val="superscript"/>
        <sz val="12"/>
        <rFont val="Times New Roman"/>
        <family val="1"/>
      </rPr>
      <t>15</t>
    </r>
    <r>
      <rPr>
        <i/>
        <sz val="12"/>
        <rFont val="Times New Roman"/>
        <family val="1"/>
      </rPr>
      <t xml:space="preserve"> The John Day Pool gillnet fishery February 1- 27. The Dalles Pool fishery open February 1- 19.  The Bonneville Pool open from March 1-23.</t>
    </r>
  </si>
  <si>
    <t>February 20 - March 5</t>
  </si>
  <si>
    <t>BP</t>
  </si>
  <si>
    <r>
      <rPr>
        <i/>
        <vertAlign val="superscript"/>
        <sz val="12"/>
        <rFont val="Times New Roman"/>
        <family val="1"/>
      </rPr>
      <t>16</t>
    </r>
    <r>
      <rPr>
        <i/>
        <sz val="12"/>
        <rFont val="Times New Roman"/>
        <family val="1"/>
      </rPr>
      <t xml:space="preserve"> The John Day Pool gillnet fishery February 1- 8,12-17,20-24. The Dalles Pool fishery open February 1- 8.  The Bonneville Pool open from February 20-March 5.</t>
    </r>
  </si>
  <si>
    <t>17. The  2021 The Dalles Pool fishery was from February 1-6.  The John Day Pool fishery was from Feb 1-6, 12-17, and 24-26.   The Bonneville Pool fishery was from Feb 20-March 5.</t>
  </si>
  <si>
    <t>18. The  2022 The Dalles Pool gillnet fishery was from February 1-5, 10-12, 16-18.  The John Day Pool gillnet  fishery was from Feb 1-28, Mar 12-16.   The Bonneville Pool gillnet fishery was from Mar 2-4.</t>
  </si>
  <si>
    <r>
      <rPr>
        <i/>
        <vertAlign val="superscript"/>
        <sz val="12"/>
        <rFont val="Times New Roman"/>
        <family val="1"/>
      </rPr>
      <t>19</t>
    </r>
    <r>
      <rPr>
        <i/>
        <sz val="12"/>
        <rFont val="Times New Roman"/>
        <family val="1"/>
      </rPr>
      <t xml:space="preserve"> The John Day Pool gillnet fishery February 1- March 3 and from March 15-24. The Dalles Pool fishery open February 1- 16,  from February 22 - March 3, and from March 15-19.  The Bonneville Pool open from March 5-14.</t>
    </r>
  </si>
  <si>
    <r>
      <t>Table 33.  Mainstem spring season harvest in treaty fisheries, 2008–2024.</t>
    </r>
    <r>
      <rPr>
        <i/>
        <vertAlign val="superscript"/>
        <sz val="12"/>
        <rFont val="Times New Roman"/>
        <family val="1"/>
      </rPr>
      <t>1</t>
    </r>
  </si>
  <si>
    <t>Spring Season</t>
  </si>
  <si>
    <t>Numbers of Fish Harvested in Mainstem Fisheries</t>
  </si>
  <si>
    <t>March 21-June 15</t>
  </si>
  <si>
    <t>March 21-May 18</t>
  </si>
  <si>
    <r>
      <t>1</t>
    </r>
    <r>
      <rPr>
        <i/>
        <sz val="12"/>
        <color rgb="FF000000"/>
        <rFont val="Times New Roman"/>
        <family val="1"/>
      </rPr>
      <t>Includes ceremonial permit fisheries, platform and hook and line fisheries and any commercial gillnet fisheries.</t>
    </r>
  </si>
  <si>
    <t>Total Sockeye for Spring and Summer and Fall</t>
  </si>
  <si>
    <t>Sockeye in Fall</t>
  </si>
  <si>
    <r>
      <t>Table 34.  Mainstem summer season harvest in treaty fisheries, 2008–2024.</t>
    </r>
    <r>
      <rPr>
        <i/>
        <vertAlign val="superscript"/>
        <sz val="12"/>
        <rFont val="Times New Roman"/>
        <family val="1"/>
      </rPr>
      <t>1</t>
    </r>
  </si>
  <si>
    <t>Summer Season</t>
  </si>
  <si>
    <t>June 1-July 28</t>
  </si>
  <si>
    <r>
      <t>1</t>
    </r>
    <r>
      <rPr>
        <i/>
        <sz val="12"/>
        <color rgb="FF000000"/>
        <rFont val="Times New Roman"/>
        <family val="1"/>
      </rPr>
      <t>Includes platform and hook and line fisheries, commercial gillnet fisheries and any permit gillnet fisheries.</t>
    </r>
  </si>
  <si>
    <t>Table 3.3.12.Treaty Winter steelhead harvest  In the Bonneville Pool</t>
  </si>
  <si>
    <t>Table 3.3.13. Winter steelhead harvest in mainstem Columbia River Zone 6 treaty Indian commercial, winter seasons (generally February 1 - March 21), 2002 - 2016</t>
  </si>
  <si>
    <t>Table 35.  Winter season harvest of winter and summer steelhead in treaty fisheries in Zone 6, 2001–2024.</t>
  </si>
  <si>
    <t>Platform and Hook and Line Harvest (Nov-Mar)</t>
  </si>
  <si>
    <t>Bon winter sthd counts</t>
  </si>
  <si>
    <t>Bonneville Pool Winter Steelhead Harvest</t>
  </si>
  <si>
    <r>
      <t xml:space="preserve">Presumed Average Winter Harvest Rate </t>
    </r>
    <r>
      <rPr>
        <vertAlign val="superscript"/>
        <sz val="8"/>
        <color rgb="FF000000"/>
        <rFont val="Calibri"/>
        <family val="2"/>
        <scheme val="minor"/>
      </rPr>
      <t>1</t>
    </r>
  </si>
  <si>
    <t>Unclipped Harvest</t>
  </si>
  <si>
    <t>Clipped Harvest</t>
  </si>
  <si>
    <t>Total Harvest</t>
  </si>
  <si>
    <t>Winter Season Commercial Unclipped Harvest</t>
  </si>
  <si>
    <t>Winter season commercial Clipped Harvest</t>
  </si>
  <si>
    <t>Total Unclipped Harvest</t>
  </si>
  <si>
    <r>
      <t xml:space="preserve">Combined Commercial/ Subsistence Unclipped Harvest Rate </t>
    </r>
    <r>
      <rPr>
        <vertAlign val="superscript"/>
        <sz val="8"/>
        <color rgb="FF000000"/>
        <rFont val="Calibri"/>
        <family val="2"/>
        <scheme val="minor"/>
      </rPr>
      <t>2</t>
    </r>
  </si>
  <si>
    <r>
      <t xml:space="preserve">Combined Commercial/ Subsistence Unclipped Harvest Rate </t>
    </r>
    <r>
      <rPr>
        <vertAlign val="superscript"/>
        <sz val="8"/>
        <color rgb="FF000000"/>
        <rFont val="Calibri"/>
        <family val="2"/>
        <scheme val="minor"/>
      </rPr>
      <t>3</t>
    </r>
  </si>
  <si>
    <t>Total Steelhead</t>
  </si>
  <si>
    <t>Unclipped Steelhead</t>
  </si>
  <si>
    <t>Clipped Steelhead</t>
  </si>
  <si>
    <t>Unclipped %</t>
  </si>
  <si>
    <t>Spawn Year</t>
  </si>
  <si>
    <t>Total Zone 6 Harvest</t>
  </si>
  <si>
    <t>Total Bon Pool</t>
  </si>
  <si>
    <t xml:space="preserve">Clipped </t>
  </si>
  <si>
    <t>Unclipped Winter Harvest Rate</t>
  </si>
  <si>
    <r>
      <t>Winter Steelhead Bonneville Pool</t>
    </r>
    <r>
      <rPr>
        <i/>
        <vertAlign val="superscript"/>
        <sz val="10"/>
        <rFont val="Times New Roman"/>
        <family val="1"/>
      </rPr>
      <t>1</t>
    </r>
  </si>
  <si>
    <r>
      <t>Summer Steelhead The Dalles &amp; John Day pools</t>
    </r>
    <r>
      <rPr>
        <i/>
        <vertAlign val="superscript"/>
        <sz val="10"/>
        <rFont val="Times New Roman"/>
        <family val="1"/>
      </rPr>
      <t>2</t>
    </r>
  </si>
  <si>
    <t>2001-2</t>
  </si>
  <si>
    <t>2002-3</t>
  </si>
  <si>
    <t>2003-4</t>
  </si>
  <si>
    <t>2004-5</t>
  </si>
  <si>
    <t>2005-6</t>
  </si>
  <si>
    <t>2006-7</t>
  </si>
  <si>
    <t>2007-8</t>
  </si>
  <si>
    <t>2008-9</t>
  </si>
  <si>
    <t>Average 2001-2017</t>
  </si>
  <si>
    <t>Avg 01-07</t>
  </si>
  <si>
    <t>Average 2008-2017</t>
  </si>
  <si>
    <r>
      <rPr>
        <i/>
        <vertAlign val="superscript"/>
        <sz val="10"/>
        <color rgb="FF000000"/>
        <rFont val="Times New Roman"/>
        <family val="1"/>
      </rPr>
      <t>1</t>
    </r>
    <r>
      <rPr>
        <i/>
        <sz val="10"/>
        <color rgb="FF000000"/>
        <rFont val="Times New Roman"/>
        <family val="1"/>
      </rPr>
      <t>Clipped and unclipped winter steelhead based on Bonneville Dam clip rate. Includes platform &amp; hook and line from Nov. 1-Mar 31 and winter gillnet.</t>
    </r>
  </si>
  <si>
    <t>Max 2008-2017</t>
  </si>
  <si>
    <r>
      <rPr>
        <i/>
        <vertAlign val="superscript"/>
        <sz val="10"/>
        <rFont val="Times New Roman"/>
        <family val="1"/>
      </rPr>
      <t>2</t>
    </r>
    <r>
      <rPr>
        <i/>
        <sz val="10"/>
        <rFont val="Times New Roman"/>
        <family val="1"/>
      </rPr>
      <t>Includes catch during winter gillnet fishery. Summer steelhead harvest is on fish passing Bonneville Dam in the previous calendar year.</t>
    </r>
  </si>
  <si>
    <t>Avg 08-16</t>
  </si>
  <si>
    <t xml:space="preserve">Unclipped Harvest rate based on unmarked count of winter season steelhead at Bonneville </t>
  </si>
  <si>
    <t>Max 08-16</t>
  </si>
  <si>
    <t>1 Winter Season Creel Occurs, but due to low effort and presumed low catches, harvested fish are rarely identified in the creel.  For this assessment, we presume an average winter season harvest rate of 0.25% of the Bonneville Run Size.</t>
  </si>
  <si>
    <t>2. Based on Bonneville Dam Unclipped Run Size</t>
  </si>
  <si>
    <t>3. Based on River Mouth Natural Origin Winter Steelhead Run size</t>
  </si>
  <si>
    <t>Table 36.  April – June treaty steelhead harvest, 2008–2024.</t>
  </si>
  <si>
    <r>
      <t>Bonneville Pool</t>
    </r>
    <r>
      <rPr>
        <i/>
        <vertAlign val="superscript"/>
        <sz val="12"/>
        <rFont val="Times New Roman"/>
        <family val="1"/>
      </rPr>
      <t>1</t>
    </r>
  </si>
  <si>
    <t>unclip rate for skamania stock</t>
  </si>
  <si>
    <r>
      <t>The Dalles and John Day Pools</t>
    </r>
    <r>
      <rPr>
        <i/>
        <vertAlign val="superscript"/>
        <sz val="12"/>
        <rFont val="Times New Roman"/>
        <family val="1"/>
      </rPr>
      <t>2</t>
    </r>
  </si>
  <si>
    <r>
      <rPr>
        <i/>
        <vertAlign val="superscript"/>
        <sz val="12"/>
        <rFont val="Times New Roman"/>
        <family val="1"/>
      </rPr>
      <t>1</t>
    </r>
    <r>
      <rPr>
        <i/>
        <sz val="12"/>
        <rFont val="Times New Roman"/>
        <family val="1"/>
      </rPr>
      <t>Clipped and unclipped based on Bonneville Dam clip rate for Skamania stock. Includes spring Drano Lake harvest.</t>
    </r>
  </si>
  <si>
    <r>
      <rPr>
        <i/>
        <vertAlign val="superscript"/>
        <sz val="12"/>
        <rFont val="Times New Roman"/>
        <family val="1"/>
      </rPr>
      <t>2</t>
    </r>
    <r>
      <rPr>
        <i/>
        <sz val="12"/>
        <rFont val="Times New Roman"/>
        <family val="1"/>
      </rPr>
      <t xml:space="preserve">Clipped and unclipped based on Bonneville Dam clip rate for A/B Index stock. </t>
    </r>
  </si>
  <si>
    <t>Summer season harvest in the Skamania Counting Period is included.</t>
  </si>
  <si>
    <r>
      <t>Table 37.  Summer season treaty steelhead harvest in Zone 6 and in bank fisheries downstream of Bonneville Dam, 1999–2024.</t>
    </r>
    <r>
      <rPr>
        <i/>
        <vertAlign val="superscript"/>
        <sz val="12"/>
        <rFont val="Times New Roman"/>
        <family val="1"/>
      </rPr>
      <t>1</t>
    </r>
  </si>
  <si>
    <t>Table 18. Summer Season Steelhead Harvest in Treaty Mainstem Fisheries, 2008- 2018.</t>
  </si>
  <si>
    <t>Clipped Hatchery</t>
  </si>
  <si>
    <t>Clipped A-Index</t>
  </si>
  <si>
    <t>Unclipped A-Index</t>
  </si>
  <si>
    <t>Clipped B-Index</t>
  </si>
  <si>
    <t>Unclipped B-Index</t>
  </si>
  <si>
    <t>Total Clipped</t>
  </si>
  <si>
    <t>Total Unclipped</t>
  </si>
  <si>
    <t>1. Includes any harvest downstream of Bonneville</t>
  </si>
  <si>
    <t>2. A/B split not available prior to 2008</t>
  </si>
  <si>
    <t xml:space="preserve">3. Summer season fisheries occur in the first year of the run year. </t>
  </si>
  <si>
    <t>4. 2017 summer season fisheries include catches beginning July 1.</t>
  </si>
  <si>
    <r>
      <rPr>
        <i/>
        <vertAlign val="superscript"/>
        <sz val="12"/>
        <rFont val="Times New Roman"/>
        <family val="1"/>
      </rPr>
      <t>1</t>
    </r>
    <r>
      <rPr>
        <i/>
        <sz val="12"/>
        <rFont val="Times New Roman"/>
        <family val="1"/>
      </rPr>
      <t>Stock proportions from 2008 onward based on creel sampling data.  B-Index steelhead are defined as steelhead of any origin that measure 78cm or greater in fork length. Beginning 2017, catch includes July only. Earlier data are for the Summer Management Period.</t>
    </r>
  </si>
  <si>
    <t xml:space="preserve">JW: why does catch accounting change in 2017 (i.e. July only)? Change all past years to be the same so comparisons are relevant? </t>
  </si>
  <si>
    <t>Catch accounting changes in 2017 because we are trying to just count the A and B-Index catch.  We cant change the older data because it isn't broken out like that.</t>
  </si>
  <si>
    <t xml:space="preserve">JW: I guess I don't follow… table is labeled as A/B, which by definition, would be the July portion of summer mngmt period.  What timeframe do estimates &lt;2016 cover? </t>
  </si>
  <si>
    <t>The older data are for the entire summer management period.</t>
  </si>
  <si>
    <t>2018-2022</t>
  </si>
  <si>
    <t>2017-19</t>
  </si>
  <si>
    <t>2022-2023</t>
  </si>
  <si>
    <t>2019-2023</t>
  </si>
  <si>
    <t>2017-21</t>
  </si>
  <si>
    <t>2018-22</t>
  </si>
  <si>
    <t>2017-18+22</t>
  </si>
  <si>
    <t>2014-19, -17</t>
  </si>
  <si>
    <t>2016-21, w/o'17</t>
  </si>
  <si>
    <t>2014-20</t>
  </si>
  <si>
    <t>2015-21</t>
  </si>
  <si>
    <t>2016-18</t>
  </si>
  <si>
    <t>2016-19</t>
  </si>
  <si>
    <t>2014-18</t>
  </si>
  <si>
    <t>2014-19</t>
  </si>
  <si>
    <t>2015-20</t>
  </si>
  <si>
    <t>2015-17</t>
  </si>
  <si>
    <t>2014-17</t>
  </si>
  <si>
    <t>2014-16</t>
  </si>
  <si>
    <t>2014-18, -2017</t>
  </si>
  <si>
    <t>Upriver CHS &lt;Bonn</t>
  </si>
  <si>
    <t>CHS models</t>
  </si>
  <si>
    <t>Upriver CHS Bonn-OR/WA</t>
  </si>
  <si>
    <t>Upriver CHS Snake R</t>
  </si>
  <si>
    <t>Wanapum Upper C CHS</t>
  </si>
  <si>
    <t>Willamette CHS &lt;Bonn</t>
  </si>
  <si>
    <t>Wild winter STH &lt;Bonn; Nov-April</t>
  </si>
  <si>
    <t>JSR</t>
  </si>
  <si>
    <t>Wild winter STH Bonn Pool; Nov-April</t>
  </si>
  <si>
    <t>Skamania summer STH &lt;Bonn; May-June</t>
  </si>
  <si>
    <t>from file "NTsum STHD model_20181120, workshet Spr JSR Tables (New sts only)"</t>
  </si>
  <si>
    <t>Skamania summer STH Bonn Pool; May-June</t>
  </si>
  <si>
    <t>A-Index TD-Hwy 395; Jan-June</t>
  </si>
  <si>
    <t>B-Index TD-Hwy 395; Jan-June</t>
  </si>
  <si>
    <t>A-Index CR mouth to Hwy 395; July</t>
  </si>
  <si>
    <t>B-Index CR mouth to Hwy 395; July</t>
  </si>
  <si>
    <t>Sockeye Megler Bridge-Hwy 395</t>
  </si>
  <si>
    <t>SOK BA tables; worksheet T4 SR</t>
  </si>
  <si>
    <t>SAFE; Upriver CHS; Jan-June 15</t>
  </si>
  <si>
    <t xml:space="preserve">SAFE; Willamette CHS; </t>
  </si>
  <si>
    <t>SAFE WSS stock comp</t>
  </si>
  <si>
    <t>SAFE; Sockeye</t>
  </si>
  <si>
    <t>BA tables</t>
  </si>
  <si>
    <t>SAFE Wild winter STH; Feb-April</t>
  </si>
  <si>
    <t>TS surrogate summary</t>
  </si>
  <si>
    <t>SAFE; Skamania summer STH; May-June</t>
  </si>
  <si>
    <t>SAFE; A-Index and B-Index STH; July</t>
  </si>
  <si>
    <t>2S Shad; Upriver CHS; Jan-June 15</t>
  </si>
  <si>
    <t>BA tables/JSR run</t>
  </si>
  <si>
    <t>2S Shad; Sockeye</t>
  </si>
  <si>
    <t xml:space="preserve">2S Shad; Skamania STH; </t>
  </si>
  <si>
    <t>Did not verify</t>
  </si>
  <si>
    <t>Used for 2019 Spring JSR</t>
  </si>
  <si>
    <t>Used for 2021 Spring JSR</t>
  </si>
  <si>
    <t>2017 Treaty Winter Commercial Landings                                                                                                           From Setline, Gillnet, Platform and Hook &amp; Line</t>
  </si>
  <si>
    <t>Pool</t>
  </si>
  <si>
    <t>Guideline</t>
  </si>
  <si>
    <t>January Setline</t>
  </si>
  <si>
    <t>Bonneville</t>
  </si>
  <si>
    <t>The Dalles</t>
  </si>
  <si>
    <t>John Day</t>
  </si>
  <si>
    <t>2017 Ceremonial and Subsistence “Safety Net” Summary</t>
  </si>
  <si>
    <t>Fishery</t>
  </si>
  <si>
    <t># Adult Chinook</t>
  </si>
  <si>
    <t>C&amp;S permit gillnet spring fishery</t>
  </si>
  <si>
    <t>Winter commercial gillnet fishery</t>
  </si>
  <si>
    <t>Zone 6 Platform/hook and line winter/spring fishery</t>
  </si>
  <si>
    <r>
      <t xml:space="preserve">Zone 5 Platform/hook and line/ fishery </t>
    </r>
    <r>
      <rPr>
        <i/>
        <sz val="8"/>
        <color rgb="FF000000"/>
        <rFont val="Times New Roman"/>
        <family val="1"/>
      </rPr>
      <t>(includes fish donated from NI test fishery)</t>
    </r>
  </si>
  <si>
    <t>Spring commercial gillnet fishery</t>
  </si>
  <si>
    <t>Spring Chinook Subtotal</t>
  </si>
  <si>
    <t>Zone 5 Platform/hook and line summer fishery</t>
  </si>
  <si>
    <t>Zone 6 commercial gillnet and Platform/ hook and line/ fishery</t>
  </si>
  <si>
    <t>Zone 6 C&amp;S Permit fishery</t>
  </si>
  <si>
    <t>Summer Chinook Subtotal</t>
  </si>
  <si>
    <t>Total spring and summer adult Chinook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</si>
</sst>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3" formatCode="_(* #,##0.00_);_(* \(#,##0.00\);_(* &quot;-&quot;??_);_(@_)"/>
    <numFmt numFmtId="164" formatCode="0.0"/>
    <numFmt numFmtId="165" formatCode="_(* #,##0_);_(* \(#,##0\);_(* &quot;-&quot;??_);_(@_)"/>
    <numFmt numFmtId="166" formatCode="#,##0.0"/>
    <numFmt numFmtId="167" formatCode="0.000"/>
    <numFmt numFmtId="168" formatCode="0.0000"/>
    <numFmt numFmtId="169" formatCode="0_);\(0\)"/>
    <numFmt numFmtId="170" formatCode="#,##0.000"/>
    <numFmt numFmtId="171" formatCode="0.0%"/>
    <numFmt numFmtId="172" formatCode="#,##0.0000"/>
    <numFmt numFmtId="173" formatCode="0.000000000000000%"/>
    <numFmt numFmtId="174" formatCode="0.000%"/>
  </numFmts>
  <fonts count="149">
    <font>
      <sz val="10"/>
      <name val="Times New Roman"/>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i/>
      <vertAlign val="superscript"/>
      <sz val="10"/>
      <name val="Times New Roman"/>
      <family val="1"/>
    </font>
    <font>
      <i/>
      <shadow/>
      <vertAlign val="superscript"/>
      <sz val="10"/>
      <name val="Times New Roman"/>
      <family val="1"/>
    </font>
    <font>
      <sz val="12"/>
      <name val="Times New Roman"/>
      <family val="1"/>
    </font>
    <font>
      <i/>
      <vertAlign val="superscript"/>
      <sz val="12"/>
      <name val="Times New Roman"/>
      <family val="1"/>
    </font>
    <font>
      <sz val="10"/>
      <color theme="1"/>
      <name val="Calibri"/>
      <family val="2"/>
      <scheme val="minor"/>
    </font>
    <font>
      <sz val="10"/>
      <name val="Arial"/>
      <family val="2"/>
    </font>
    <font>
      <b/>
      <sz val="10"/>
      <name val="Times New Roman"/>
      <family val="1"/>
    </font>
    <font>
      <vertAlign val="superscript"/>
      <sz val="10"/>
      <name val="Times New Roman"/>
      <family val="1"/>
    </font>
    <font>
      <sz val="8"/>
      <name val="Times New Roman"/>
      <family val="1"/>
    </font>
    <font>
      <b/>
      <sz val="8"/>
      <name val="Times New Roman"/>
      <family val="1"/>
    </font>
    <font>
      <sz val="10"/>
      <color theme="1"/>
      <name val="Times New Roman"/>
      <family val="1"/>
    </font>
    <font>
      <sz val="9"/>
      <name val="Times New Roman"/>
      <family val="1"/>
    </font>
    <font>
      <sz val="9"/>
      <color theme="1"/>
      <name val="Times New Roman"/>
      <family val="1"/>
    </font>
    <font>
      <sz val="10"/>
      <name val="Calibri"/>
      <family val="2"/>
    </font>
    <font>
      <b/>
      <sz val="9"/>
      <color indexed="81"/>
      <name val="Tahoma"/>
      <family val="2"/>
    </font>
    <font>
      <sz val="9"/>
      <color indexed="81"/>
      <name val="Tahoma"/>
      <family val="2"/>
    </font>
    <font>
      <u/>
      <sz val="10"/>
      <name val="Times New Roman"/>
      <family val="1"/>
    </font>
    <font>
      <sz val="10"/>
      <color theme="1"/>
      <name val="Calibri"/>
      <family val="2"/>
    </font>
    <font>
      <sz val="12"/>
      <color theme="1"/>
      <name val="Times New Roman"/>
      <family val="1"/>
    </font>
    <font>
      <b/>
      <i/>
      <sz val="10"/>
      <name val="Times New Roman"/>
      <family val="1"/>
    </font>
    <font>
      <i/>
      <sz val="9"/>
      <name val="Times New Roman"/>
      <family val="1"/>
    </font>
    <font>
      <sz val="10"/>
      <color rgb="FF000000"/>
      <name val="Times New Roman"/>
      <family val="1"/>
    </font>
    <font>
      <vertAlign val="superscript"/>
      <sz val="10"/>
      <color rgb="FF000000"/>
      <name val="Times New Roman"/>
      <family val="1"/>
    </font>
    <font>
      <sz val="4"/>
      <name val="Times New Roman"/>
      <family val="1"/>
    </font>
    <font>
      <sz val="12"/>
      <color rgb="FF000000"/>
      <name val="Times New Roman"/>
      <family val="1"/>
    </font>
    <font>
      <i/>
      <vertAlign val="superscript"/>
      <sz val="12"/>
      <color rgb="FF000000"/>
      <name val="Times New Roman"/>
      <family val="1"/>
    </font>
    <font>
      <i/>
      <vertAlign val="superscript"/>
      <sz val="10"/>
      <color rgb="FF000000"/>
      <name val="Times New Roman"/>
      <family val="1"/>
    </font>
    <font>
      <sz val="10"/>
      <color rgb="FF000000"/>
      <name val="Calibri"/>
      <family val="2"/>
    </font>
    <font>
      <i/>
      <sz val="10"/>
      <name val="Calibri"/>
      <family val="2"/>
    </font>
    <font>
      <i/>
      <sz val="12"/>
      <color rgb="FF000000"/>
      <name val="Times New Roman"/>
      <family val="1"/>
    </font>
    <font>
      <i/>
      <vertAlign val="superscript"/>
      <sz val="9"/>
      <name val="Times New Roman"/>
      <family val="1"/>
    </font>
    <font>
      <i/>
      <sz val="8"/>
      <name val="Times New Roman"/>
      <family val="1"/>
    </font>
    <font>
      <i/>
      <sz val="10"/>
      <name val="Times New Roman"/>
      <family val="1"/>
    </font>
    <font>
      <b/>
      <sz val="12"/>
      <name val="Times New Roman"/>
      <family val="1"/>
    </font>
    <font>
      <b/>
      <u/>
      <sz val="10"/>
      <name val="Times New Roman"/>
      <family val="1"/>
    </font>
    <font>
      <b/>
      <i/>
      <sz val="12"/>
      <name val="Times New Roman"/>
      <family val="1"/>
    </font>
    <font>
      <sz val="10"/>
      <color indexed="10"/>
      <name val="Times New Roman"/>
      <family val="1"/>
    </font>
    <font>
      <i/>
      <sz val="7"/>
      <name val="Times New Roman"/>
      <family val="1"/>
    </font>
    <font>
      <sz val="14"/>
      <color indexed="10"/>
      <name val="Times New Roman"/>
      <family val="1"/>
    </font>
    <font>
      <b/>
      <sz val="14"/>
      <color indexed="10"/>
      <name val="Times New Roman"/>
      <family val="1"/>
    </font>
    <font>
      <b/>
      <sz val="14"/>
      <name val="Times New Roman"/>
      <family val="1"/>
    </font>
    <font>
      <b/>
      <i/>
      <vertAlign val="superscript"/>
      <sz val="10"/>
      <name val="Times New Roman"/>
      <family val="1"/>
    </font>
    <font>
      <sz val="10"/>
      <color rgb="FFFF0000"/>
      <name val="Times New Roman"/>
      <family val="1"/>
    </font>
    <font>
      <i/>
      <sz val="12"/>
      <name val="Times New Roman"/>
      <family val="1"/>
    </font>
    <font>
      <b/>
      <sz val="10"/>
      <color indexed="81"/>
      <name val="Tahoma"/>
      <family val="2"/>
    </font>
    <font>
      <sz val="10"/>
      <color indexed="81"/>
      <name val="Tahoma"/>
      <family val="2"/>
    </font>
    <font>
      <sz val="12"/>
      <color theme="9" tint="-0.249977111117893"/>
      <name val="Times New Roman"/>
      <family val="1"/>
    </font>
    <font>
      <b/>
      <sz val="10"/>
      <color rgb="FFFF0000"/>
      <name val="Times New Roman"/>
      <family val="1"/>
    </font>
    <font>
      <vertAlign val="superscript"/>
      <sz val="10"/>
      <color indexed="8"/>
      <name val="Times New Roman"/>
      <family val="1"/>
    </font>
    <font>
      <sz val="10"/>
      <name val="Times New Roman"/>
      <family val="1"/>
    </font>
    <font>
      <sz val="13"/>
      <name val="Times New Roman"/>
      <family val="1"/>
    </font>
    <font>
      <b/>
      <sz val="12"/>
      <color rgb="FFFF0000"/>
      <name val="Times New Roman"/>
      <family val="1"/>
    </font>
    <font>
      <sz val="11"/>
      <name val="Arial"/>
      <family val="2"/>
    </font>
    <font>
      <sz val="11"/>
      <name val="Calibri"/>
      <family val="2"/>
      <scheme val="minor"/>
    </font>
    <font>
      <sz val="8"/>
      <color rgb="FF000000"/>
      <name val="Calibri"/>
      <family val="2"/>
      <scheme val="minor"/>
    </font>
    <font>
      <sz val="11"/>
      <color rgb="FF000000"/>
      <name val="Calibri"/>
      <family val="2"/>
    </font>
    <font>
      <sz val="12"/>
      <color rgb="FF000000"/>
      <name val="Calibri"/>
      <family val="2"/>
      <scheme val="minor"/>
    </font>
    <font>
      <vertAlign val="superscript"/>
      <sz val="8"/>
      <color rgb="FF000000"/>
      <name val="Calibri"/>
      <family val="2"/>
      <scheme val="minor"/>
    </font>
    <font>
      <i/>
      <sz val="10"/>
      <color rgb="FF000000"/>
      <name val="Times New Roman"/>
      <family val="1"/>
    </font>
    <font>
      <b/>
      <sz val="10"/>
      <color rgb="FF000000"/>
      <name val="Times New Roman"/>
      <family val="1"/>
    </font>
    <font>
      <b/>
      <sz val="10"/>
      <color theme="1"/>
      <name val="Times New Roman"/>
      <family val="1"/>
    </font>
    <font>
      <i/>
      <sz val="8"/>
      <color rgb="FF000000"/>
      <name val="Times New Roman"/>
      <family val="1"/>
    </font>
    <font>
      <b/>
      <i/>
      <sz val="10"/>
      <color rgb="FF000000"/>
      <name val="Times New Roman"/>
      <family val="1"/>
    </font>
    <font>
      <sz val="10"/>
      <color theme="1"/>
      <name val="Times New Roman"/>
      <family val="2"/>
    </font>
    <font>
      <vertAlign val="superscript"/>
      <sz val="10"/>
      <color theme="1"/>
      <name val="Times New Roman"/>
      <family val="1"/>
    </font>
    <font>
      <u/>
      <sz val="9"/>
      <color theme="1"/>
      <name val="Times New Roman"/>
      <family val="1"/>
    </font>
    <font>
      <i/>
      <vertAlign val="superscript"/>
      <sz val="9"/>
      <color theme="1"/>
      <name val="Times New Roman"/>
      <family val="1"/>
    </font>
    <font>
      <sz val="9"/>
      <color rgb="FF000000"/>
      <name val="Times New Roman"/>
      <family val="1"/>
    </font>
    <font>
      <b/>
      <sz val="9"/>
      <color theme="1"/>
      <name val="Times New Roman"/>
      <family val="1"/>
    </font>
    <font>
      <sz val="10"/>
      <color indexed="8"/>
      <name val="Times New Roman"/>
      <family val="1"/>
    </font>
    <font>
      <b/>
      <sz val="10"/>
      <name val="Arial"/>
      <family val="2"/>
    </font>
    <font>
      <b/>
      <sz val="8"/>
      <name val="Arial"/>
      <family val="2"/>
    </font>
    <font>
      <i/>
      <vertAlign val="superscript"/>
      <sz val="10"/>
      <color indexed="8"/>
      <name val="Times New Roman"/>
      <family val="1"/>
    </font>
    <font>
      <sz val="8"/>
      <color rgb="FF000000"/>
      <name val="Times New Roman"/>
      <family val="1"/>
    </font>
    <font>
      <sz val="12"/>
      <name val="Arial"/>
      <family val="2"/>
    </font>
    <font>
      <b/>
      <vertAlign val="superscript"/>
      <sz val="8"/>
      <name val="Times New Roman"/>
      <family val="1"/>
    </font>
    <font>
      <vertAlign val="superscript"/>
      <sz val="8"/>
      <name val="Times New Roman"/>
      <family val="1"/>
    </font>
    <font>
      <b/>
      <sz val="11"/>
      <color theme="1"/>
      <name val="Calibri"/>
      <family val="2"/>
      <scheme val="minor"/>
    </font>
    <font>
      <b/>
      <sz val="11"/>
      <color rgb="FFFF0000"/>
      <name val="Times New Roman"/>
      <family val="1"/>
    </font>
    <font>
      <i/>
      <sz val="12"/>
      <color indexed="8"/>
      <name val="Times New Roman"/>
      <family val="1"/>
    </font>
    <font>
      <i/>
      <sz val="12"/>
      <name val="Calibri"/>
      <family val="2"/>
    </font>
    <font>
      <i/>
      <sz val="12"/>
      <color rgb="FF000000"/>
      <name val="Calibri"/>
      <family val="2"/>
    </font>
    <font>
      <i/>
      <sz val="10"/>
      <name val="Arial"/>
      <family val="2"/>
    </font>
    <font>
      <i/>
      <sz val="10"/>
      <color theme="1"/>
      <name val="Calibri"/>
      <family val="2"/>
      <scheme val="minor"/>
    </font>
    <font>
      <sz val="8"/>
      <color rgb="FF000000"/>
      <name val="Arial"/>
      <family val="2"/>
    </font>
    <font>
      <sz val="8"/>
      <color rgb="FF000000"/>
      <name val="Calibri Light"/>
      <family val="2"/>
    </font>
    <font>
      <sz val="10"/>
      <name val="Times New Roman"/>
      <family val="1"/>
    </font>
    <font>
      <sz val="14"/>
      <name val="Times New Roman"/>
      <family val="1"/>
    </font>
    <font>
      <u/>
      <sz val="12"/>
      <name val="Times New Roman"/>
      <family val="1"/>
    </font>
    <font>
      <b/>
      <u/>
      <sz val="12"/>
      <name val="Times New Roman"/>
      <family val="1"/>
    </font>
    <font>
      <b/>
      <i/>
      <sz val="16"/>
      <name val="Times New Roman"/>
      <family val="1"/>
    </font>
    <font>
      <sz val="10"/>
      <name val="Arial"/>
      <family val="2"/>
    </font>
    <font>
      <u/>
      <sz val="10"/>
      <name val="Arial"/>
      <family val="2"/>
    </font>
    <font>
      <sz val="10"/>
      <name val="Times New Roman"/>
      <family val="1"/>
    </font>
    <font>
      <i/>
      <vertAlign val="superscript"/>
      <sz val="11"/>
      <name val="Times New Roman"/>
      <family val="1"/>
    </font>
    <font>
      <sz val="10"/>
      <color rgb="FF000000"/>
      <name val="Calibri"/>
      <family val="2"/>
      <scheme val="minor"/>
    </font>
    <font>
      <b/>
      <u/>
      <sz val="9"/>
      <color theme="1"/>
      <name val="Times New Roman"/>
      <family val="1"/>
    </font>
    <font>
      <b/>
      <sz val="10"/>
      <color theme="9" tint="-0.249977111117893"/>
      <name val="Times New Roman"/>
      <family val="1"/>
    </font>
    <font>
      <sz val="10"/>
      <name val="Times New Roman"/>
      <family val="1"/>
    </font>
    <font>
      <sz val="10"/>
      <name val="Times New Roman"/>
      <family val="1"/>
    </font>
    <font>
      <b/>
      <vertAlign val="superscript"/>
      <sz val="10"/>
      <name val="Times New Roman"/>
      <family val="1"/>
    </font>
    <font>
      <b/>
      <sz val="10"/>
      <name val="Calibri"/>
      <family val="2"/>
    </font>
    <font>
      <b/>
      <i/>
      <sz val="11"/>
      <color theme="4" tint="-0.249977111117893"/>
      <name val="Times New Roman"/>
      <family val="1"/>
    </font>
    <font>
      <b/>
      <sz val="9"/>
      <name val="Times New Roman"/>
      <family val="1"/>
    </font>
    <font>
      <b/>
      <i/>
      <sz val="8"/>
      <color rgb="FF0070C0"/>
      <name val="Arial"/>
      <family val="2"/>
    </font>
    <font>
      <i/>
      <u/>
      <sz val="10"/>
      <name val="Times New Roman"/>
      <family val="1"/>
    </font>
    <font>
      <b/>
      <i/>
      <u/>
      <sz val="8"/>
      <name val="Times New Roman"/>
      <family val="1"/>
    </font>
    <font>
      <i/>
      <u/>
      <sz val="8"/>
      <name val="Times New Roman"/>
      <family val="1"/>
    </font>
    <font>
      <b/>
      <u/>
      <sz val="9"/>
      <name val="Times New Roman"/>
      <family val="1"/>
    </font>
    <font>
      <u/>
      <sz val="9"/>
      <name val="Times New Roman"/>
      <family val="1"/>
    </font>
    <font>
      <b/>
      <i/>
      <sz val="14"/>
      <name val="Times New Roman"/>
      <family val="1"/>
    </font>
    <font>
      <sz val="7"/>
      <name val="Times New Roman"/>
      <family val="1"/>
    </font>
    <font>
      <i/>
      <sz val="8"/>
      <color indexed="10"/>
      <name val="Times New Roman"/>
      <family val="1"/>
    </font>
    <font>
      <sz val="6"/>
      <name val="Times New Roman"/>
      <family val="1"/>
    </font>
    <font>
      <i/>
      <sz val="6"/>
      <name val="Times New Roman"/>
      <family val="1"/>
    </font>
    <font>
      <vertAlign val="superscript"/>
      <sz val="9"/>
      <color theme="1"/>
      <name val="Times New Roman"/>
      <family val="1"/>
    </font>
    <font>
      <sz val="18"/>
      <name val="Times New Roman"/>
      <family val="1"/>
    </font>
    <font>
      <sz val="12"/>
      <name val="Calibri"/>
      <family val="2"/>
      <scheme val="minor"/>
    </font>
    <font>
      <sz val="11"/>
      <name val="Times New Roman"/>
      <family val="1"/>
    </font>
    <font>
      <vertAlign val="superscript"/>
      <sz val="12"/>
      <name val="Times New Roman"/>
      <family val="1"/>
    </font>
    <font>
      <sz val="8"/>
      <name val="Times New Roman"/>
      <family val="1"/>
    </font>
    <font>
      <sz val="8"/>
      <name val="Times New Roman"/>
      <family val="1"/>
    </font>
    <font>
      <b/>
      <sz val="13"/>
      <name val="Times New Roman"/>
      <family val="1"/>
    </font>
    <font>
      <b/>
      <u/>
      <sz val="11"/>
      <color rgb="FFFF0000"/>
      <name val="Calibri"/>
      <family val="2"/>
      <scheme val="minor"/>
    </font>
    <font>
      <b/>
      <u/>
      <sz val="11"/>
      <color theme="1"/>
      <name val="Calibri"/>
      <family val="2"/>
      <scheme val="minor"/>
    </font>
    <font>
      <b/>
      <i/>
      <sz val="8"/>
      <name val="Times New Roman"/>
      <family val="1"/>
    </font>
    <font>
      <i/>
      <sz val="11"/>
      <color theme="1"/>
      <name val="Calibri"/>
      <family val="2"/>
      <scheme val="minor"/>
    </font>
  </fonts>
  <fills count="35">
    <fill>
      <patternFill patternType="none"/>
    </fill>
    <fill>
      <patternFill patternType="gray125"/>
    </fill>
    <fill>
      <patternFill patternType="solid">
        <fgColor rgb="FFFFFF00"/>
        <bgColor indexed="64"/>
      </patternFill>
    </fill>
    <fill>
      <patternFill patternType="solid">
        <fgColor rgb="FFF3F3F3"/>
        <bgColor indexed="64"/>
      </patternFill>
    </fill>
    <fill>
      <patternFill patternType="solid">
        <fgColor rgb="FFCCFF66"/>
        <bgColor indexed="64"/>
      </patternFill>
    </fill>
    <fill>
      <patternFill patternType="solid">
        <fgColor theme="0" tint="-0.14999847407452621"/>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FFC000"/>
        <bgColor indexed="64"/>
      </patternFill>
    </fill>
    <fill>
      <patternFill patternType="solid">
        <fgColor theme="2"/>
        <bgColor indexed="64"/>
      </patternFill>
    </fill>
    <fill>
      <patternFill patternType="solid">
        <fgColor rgb="FFCCFF99"/>
        <bgColor indexed="64"/>
      </patternFill>
    </fill>
    <fill>
      <patternFill patternType="solid">
        <fgColor rgb="FFFFFF99"/>
        <bgColor indexed="64"/>
      </patternFill>
    </fill>
    <fill>
      <patternFill patternType="solid">
        <fgColor rgb="FFFFFFFF"/>
        <bgColor indexed="64"/>
      </patternFill>
    </fill>
    <fill>
      <patternFill patternType="solid">
        <fgColor rgb="FFD9D9D9"/>
        <bgColor indexed="64"/>
      </patternFill>
    </fill>
    <fill>
      <patternFill patternType="solid">
        <fgColor theme="1" tint="0.49998474074526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1"/>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0" tint="-0.14999847407452621"/>
        <bgColor theme="0" tint="-0.14999847407452621"/>
      </patternFill>
    </fill>
    <fill>
      <patternFill patternType="solid">
        <fgColor rgb="FFFFFF00"/>
        <bgColor rgb="FF000000"/>
      </patternFill>
    </fill>
    <fill>
      <patternFill patternType="solid">
        <fgColor rgb="FF00B050"/>
        <bgColor indexed="64"/>
      </patternFill>
    </fill>
    <fill>
      <patternFill patternType="solid">
        <fgColor rgb="FFD9E1F2"/>
        <bgColor rgb="FFD9E1F2"/>
      </patternFill>
    </fill>
    <fill>
      <patternFill patternType="solid">
        <fgColor rgb="FF9966FF"/>
        <bgColor indexed="64"/>
      </patternFill>
    </fill>
    <fill>
      <patternFill patternType="solid">
        <fgColor theme="8"/>
        <bgColor indexed="64"/>
      </patternFill>
    </fill>
    <fill>
      <patternFill patternType="solid">
        <fgColor rgb="FF0070C0"/>
        <bgColor indexed="64"/>
      </patternFill>
    </fill>
    <fill>
      <patternFill patternType="solid">
        <fgColor theme="7"/>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0"/>
        <bgColor indexed="64"/>
      </patternFill>
    </fill>
  </fills>
  <borders count="107">
    <border>
      <left/>
      <right/>
      <top/>
      <bottom/>
      <diagonal/>
    </border>
    <border>
      <left style="medium">
        <color indexed="64"/>
      </left>
      <right/>
      <top style="thick">
        <color indexed="64"/>
      </top>
      <bottom/>
      <diagonal/>
    </border>
    <border>
      <left/>
      <right/>
      <top style="thick">
        <color indexed="64"/>
      </top>
      <bottom/>
      <diagonal/>
    </border>
    <border>
      <left/>
      <right style="medium">
        <color indexed="64"/>
      </right>
      <top style="thick">
        <color indexed="64"/>
      </top>
      <bottom/>
      <diagonal/>
    </border>
    <border>
      <left style="medium">
        <color indexed="64"/>
      </left>
      <right/>
      <top/>
      <bottom/>
      <diagonal/>
    </border>
    <border>
      <left/>
      <right style="medium">
        <color indexed="64"/>
      </right>
      <top/>
      <bottom/>
      <diagonal/>
    </border>
    <border>
      <left/>
      <right/>
      <top/>
      <bottom style="thick">
        <color indexed="64"/>
      </bottom>
      <diagonal/>
    </border>
    <border>
      <left style="medium">
        <color indexed="64"/>
      </left>
      <right/>
      <top/>
      <bottom style="thick">
        <color indexed="64"/>
      </bottom>
      <diagonal/>
    </border>
    <border>
      <left/>
      <right style="medium">
        <color indexed="64"/>
      </right>
      <top/>
      <bottom style="thick">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medium">
        <color indexed="64"/>
      </bottom>
      <diagonal/>
    </border>
    <border>
      <left/>
      <right style="thick">
        <color indexed="64"/>
      </right>
      <top/>
      <bottom style="medium">
        <color indexed="64"/>
      </bottom>
      <diagonal/>
    </border>
    <border>
      <left/>
      <right style="thick">
        <color indexed="64"/>
      </right>
      <top style="medium">
        <color indexed="64"/>
      </top>
      <bottom/>
      <diagonal/>
    </border>
    <border>
      <left style="thick">
        <color indexed="64"/>
      </left>
      <right/>
      <top/>
      <bottom style="thick">
        <color indexed="64"/>
      </bottom>
      <diagonal/>
    </border>
    <border>
      <left/>
      <right style="thick">
        <color indexed="64"/>
      </right>
      <top/>
      <bottom style="thick">
        <color indexed="64"/>
      </bottom>
      <diagonal/>
    </border>
    <border>
      <left/>
      <right/>
      <top style="thick">
        <color indexed="64"/>
      </top>
      <bottom style="medium">
        <color indexed="64"/>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ck">
        <color indexed="64"/>
      </left>
      <right style="medium">
        <color indexed="64"/>
      </right>
      <top style="thick">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ck">
        <color indexed="64"/>
      </right>
      <top style="thick">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thick">
        <color indexed="64"/>
      </left>
      <right/>
      <top/>
      <bottom style="dotted">
        <color indexed="64"/>
      </bottom>
      <diagonal/>
    </border>
    <border>
      <left/>
      <right/>
      <top/>
      <bottom style="dotted">
        <color indexed="64"/>
      </bottom>
      <diagonal/>
    </border>
    <border>
      <left/>
      <right style="thick">
        <color indexed="64"/>
      </right>
      <top/>
      <bottom style="dotted">
        <color indexed="64"/>
      </bottom>
      <diagonal/>
    </border>
    <border>
      <left/>
      <right/>
      <top/>
      <bottom style="dashed">
        <color indexed="64"/>
      </bottom>
      <diagonal/>
    </border>
    <border>
      <left style="thick">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ck">
        <color rgb="FF000000"/>
      </right>
      <top style="thick">
        <color indexed="64"/>
      </top>
      <bottom style="thick">
        <color indexed="64"/>
      </bottom>
      <diagonal/>
    </border>
    <border>
      <left/>
      <right/>
      <top style="medium">
        <color indexed="64"/>
      </top>
      <bottom style="thin">
        <color indexed="64"/>
      </bottom>
      <diagonal/>
    </border>
    <border>
      <left style="medium">
        <color indexed="64"/>
      </left>
      <right/>
      <top style="thin">
        <color indexed="64"/>
      </top>
      <bottom/>
      <diagonal/>
    </border>
    <border>
      <left/>
      <right/>
      <top/>
      <bottom style="thin">
        <color theme="4" tint="0.39997558519241921"/>
      </bottom>
      <diagonal/>
    </border>
    <border>
      <left style="thin">
        <color indexed="64"/>
      </left>
      <right/>
      <top/>
      <bottom style="thin">
        <color theme="4" tint="0.39997558519241921"/>
      </bottom>
      <diagonal/>
    </border>
    <border>
      <left/>
      <right style="thin">
        <color indexed="64"/>
      </right>
      <top/>
      <bottom style="thin">
        <color theme="4" tint="0.39997558519241921"/>
      </bottom>
      <diagonal/>
    </border>
    <border>
      <left style="thin">
        <color indexed="64"/>
      </left>
      <right style="thin">
        <color indexed="64"/>
      </right>
      <top/>
      <bottom style="thin">
        <color theme="4" tint="0.39997558519241921"/>
      </bottom>
      <diagonal/>
    </border>
    <border>
      <left/>
      <right style="medium">
        <color rgb="FF000000"/>
      </right>
      <top style="medium">
        <color indexed="64"/>
      </top>
      <bottom/>
      <diagonal/>
    </border>
    <border>
      <left style="medium">
        <color rgb="FF000000"/>
      </left>
      <right/>
      <top style="medium">
        <color indexed="64"/>
      </top>
      <bottom/>
      <diagonal/>
    </border>
    <border>
      <left/>
      <right/>
      <top style="thick">
        <color indexed="64"/>
      </top>
      <bottom style="thin">
        <color indexed="64"/>
      </bottom>
      <diagonal/>
    </border>
    <border>
      <left style="thick">
        <color indexed="64"/>
      </left>
      <right/>
      <top/>
      <bottom style="thin">
        <color indexed="64"/>
      </bottom>
      <diagonal/>
    </border>
    <border>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bottom style="thick">
        <color theme="1"/>
      </bottom>
      <diagonal/>
    </border>
    <border>
      <left/>
      <right style="medium">
        <color indexed="64"/>
      </right>
      <top/>
      <bottom style="dotted">
        <color indexed="64"/>
      </bottom>
      <diagonal/>
    </border>
    <border>
      <left style="medium">
        <color indexed="64"/>
      </left>
      <right/>
      <top/>
      <bottom style="dotted">
        <color indexed="64"/>
      </bottom>
      <diagonal/>
    </border>
    <border>
      <left style="medium">
        <color indexed="64"/>
      </left>
      <right/>
      <top/>
      <bottom style="dashed">
        <color indexed="64"/>
      </bottom>
      <diagonal/>
    </border>
    <border>
      <left/>
      <right style="medium">
        <color indexed="64"/>
      </right>
      <top/>
      <bottom style="dashed">
        <color indexed="64"/>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style="thick">
        <color indexed="64"/>
      </left>
      <right/>
      <top style="thick">
        <color indexed="64"/>
      </top>
      <bottom style="medium">
        <color indexed="64"/>
      </bottom>
      <diagonal/>
    </border>
    <border>
      <left style="thick">
        <color indexed="64"/>
      </left>
      <right/>
      <top style="medium">
        <color indexed="64"/>
      </top>
      <bottom/>
      <diagonal/>
    </border>
    <border>
      <left/>
      <right style="thick">
        <color indexed="64"/>
      </right>
      <top/>
      <bottom style="double">
        <color indexed="64"/>
      </bottom>
      <diagonal/>
    </border>
  </borders>
  <cellStyleXfs count="231">
    <xf numFmtId="0" fontId="0" fillId="0" borderId="0"/>
    <xf numFmtId="0" fontId="21" fillId="0" borderId="0"/>
    <xf numFmtId="0" fontId="20" fillId="0" borderId="0"/>
    <xf numFmtId="0" fontId="21" fillId="0" borderId="0"/>
    <xf numFmtId="43" fontId="21" fillId="0" borderId="0" applyFont="0" applyFill="0" applyBorder="0" applyAlignment="0" applyProtection="0"/>
    <xf numFmtId="0" fontId="21" fillId="0" borderId="0"/>
    <xf numFmtId="0" fontId="27" fillId="0" borderId="0"/>
    <xf numFmtId="0" fontId="27" fillId="0" borderId="0"/>
    <xf numFmtId="43" fontId="27" fillId="0" borderId="0" applyFont="0" applyFill="0" applyBorder="0" applyAlignment="0" applyProtection="0"/>
    <xf numFmtId="9" fontId="71" fillId="0" borderId="0" applyFont="0" applyFill="0" applyBorder="0" applyAlignment="0" applyProtection="0"/>
    <xf numFmtId="0" fontId="85" fillId="0" borderId="0"/>
    <xf numFmtId="43" fontId="27" fillId="0" borderId="0" applyFont="0" applyFill="0" applyBorder="0" applyAlignment="0" applyProtection="0"/>
    <xf numFmtId="43" fontId="96" fillId="0" borderId="0" applyFont="0" applyFill="0" applyBorder="0" applyAlignment="0" applyProtection="0"/>
    <xf numFmtId="9" fontId="96" fillId="0" borderId="0" applyFont="0" applyFill="0" applyBorder="0" applyAlignment="0" applyProtection="0"/>
    <xf numFmtId="9" fontId="19" fillId="0" borderId="0" applyFont="0" applyFill="0" applyBorder="0" applyAlignment="0" applyProtection="0"/>
    <xf numFmtId="0" fontId="18" fillId="0" borderId="0"/>
    <xf numFmtId="0" fontId="17" fillId="0" borderId="0"/>
    <xf numFmtId="9" fontId="17" fillId="0" borderId="0" applyFont="0" applyFill="0" applyBorder="0" applyAlignment="0" applyProtection="0"/>
    <xf numFmtId="0" fontId="16" fillId="0" borderId="0"/>
    <xf numFmtId="9" fontId="21" fillId="0" borderId="0" applyFont="0" applyFill="0" applyBorder="0" applyAlignment="0" applyProtection="0"/>
    <xf numFmtId="0" fontId="108" fillId="0" borderId="0"/>
    <xf numFmtId="0" fontId="15" fillId="0" borderId="0"/>
    <xf numFmtId="0" fontId="113" fillId="0" borderId="0"/>
    <xf numFmtId="0" fontId="14" fillId="0" borderId="0"/>
    <xf numFmtId="0" fontId="13" fillId="0" borderId="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0" fontId="13" fillId="0" borderId="0"/>
    <xf numFmtId="0" fontId="21" fillId="0" borderId="0"/>
    <xf numFmtId="0" fontId="13" fillId="0" borderId="0"/>
    <xf numFmtId="0" fontId="27" fillId="0" borderId="0"/>
    <xf numFmtId="0" fontId="13" fillId="0" borderId="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0" fontId="13" fillId="0" borderId="0"/>
    <xf numFmtId="0" fontId="21" fillId="0" borderId="0"/>
    <xf numFmtId="0" fontId="13" fillId="0" borderId="0"/>
    <xf numFmtId="0" fontId="27" fillId="0" borderId="0"/>
    <xf numFmtId="0" fontId="115" fillId="0" borderId="0"/>
    <xf numFmtId="0" fontId="12" fillId="0" borderId="0"/>
    <xf numFmtId="43" fontId="12"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1" fillId="0" borderId="0"/>
    <xf numFmtId="0" fontId="11" fillId="0" borderId="0"/>
    <xf numFmtId="0" fontId="21" fillId="0" borderId="0"/>
    <xf numFmtId="0" fontId="11" fillId="0" borderId="0"/>
    <xf numFmtId="43"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120" fillId="0" borderId="0"/>
    <xf numFmtId="0" fontId="9" fillId="0" borderId="0"/>
    <xf numFmtId="43" fontId="9" fillId="0" borderId="0" applyFont="0" applyFill="0" applyBorder="0" applyAlignment="0" applyProtection="0"/>
    <xf numFmtId="0" fontId="8" fillId="0" borderId="0"/>
    <xf numFmtId="0" fontId="7" fillId="0" borderId="0"/>
    <xf numFmtId="0" fontId="6" fillId="0" borderId="0"/>
    <xf numFmtId="9" fontId="6" fillId="0" borderId="0" applyFont="0" applyFill="0" applyBorder="0" applyAlignment="0" applyProtection="0"/>
    <xf numFmtId="0" fontId="5" fillId="0" borderId="0"/>
    <xf numFmtId="43" fontId="121" fillId="0" borderId="0" applyFont="0" applyFill="0" applyBorder="0" applyAlignment="0" applyProtection="0"/>
    <xf numFmtId="0" fontId="4"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21"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2" fillId="0" borderId="0"/>
    <xf numFmtId="9" fontId="2" fillId="0" borderId="0" applyFont="0" applyFill="0" applyBorder="0" applyAlignment="0" applyProtection="0"/>
  </cellStyleXfs>
  <cellXfs count="2086">
    <xf numFmtId="0" fontId="0" fillId="0" borderId="0" xfId="0"/>
    <xf numFmtId="0" fontId="21" fillId="0" borderId="0" xfId="0" applyFont="1" applyAlignment="1">
      <alignment horizontal="left" vertical="center" wrapText="1"/>
    </xf>
    <xf numFmtId="164" fontId="21" fillId="0" borderId="0" xfId="0" applyNumberFormat="1" applyFont="1" applyAlignment="1">
      <alignment horizontal="right" vertical="center" wrapText="1"/>
    </xf>
    <xf numFmtId="0" fontId="0" fillId="0" borderId="5" xfId="0" applyBorder="1"/>
    <xf numFmtId="164" fontId="21" fillId="0" borderId="0" xfId="0" applyNumberFormat="1" applyFont="1" applyAlignment="1">
      <alignment horizontal="right" vertical="center" wrapText="1" indent="2"/>
    </xf>
    <xf numFmtId="164" fontId="21" fillId="0" borderId="6" xfId="0" applyNumberFormat="1" applyFont="1" applyBorder="1" applyAlignment="1">
      <alignment horizontal="right" vertical="center" wrapText="1" indent="2"/>
    </xf>
    <xf numFmtId="164" fontId="21" fillId="0" borderId="20" xfId="0" applyNumberFormat="1" applyFont="1" applyBorder="1" applyAlignment="1">
      <alignment horizontal="right" vertical="center" wrapText="1" indent="2"/>
    </xf>
    <xf numFmtId="0" fontId="24" fillId="0" borderId="0" xfId="0" applyFont="1"/>
    <xf numFmtId="0" fontId="21" fillId="0" borderId="12" xfId="1" applyBorder="1" applyAlignment="1">
      <alignment vertical="center"/>
    </xf>
    <xf numFmtId="0" fontId="21" fillId="0" borderId="2" xfId="1" applyBorder="1" applyAlignment="1">
      <alignment vertical="center"/>
    </xf>
    <xf numFmtId="0" fontId="21" fillId="0" borderId="13" xfId="1" applyBorder="1" applyAlignment="1">
      <alignment vertical="center"/>
    </xf>
    <xf numFmtId="0" fontId="26" fillId="0" borderId="0" xfId="2" applyFont="1"/>
    <xf numFmtId="0" fontId="21" fillId="0" borderId="14" xfId="1" applyBorder="1" applyAlignment="1">
      <alignment horizontal="justify" vertical="center" wrapText="1"/>
    </xf>
    <xf numFmtId="0" fontId="21" fillId="0" borderId="0" xfId="1" applyAlignment="1">
      <alignment horizontal="justify" vertical="center" wrapText="1"/>
    </xf>
    <xf numFmtId="0" fontId="21" fillId="0" borderId="15" xfId="1" applyBorder="1" applyAlignment="1">
      <alignment vertical="center"/>
    </xf>
    <xf numFmtId="0" fontId="21" fillId="0" borderId="16" xfId="1" applyBorder="1" applyAlignment="1">
      <alignment horizontal="center" vertical="center" wrapText="1"/>
    </xf>
    <xf numFmtId="0" fontId="28" fillId="0" borderId="17" xfId="1" applyFont="1" applyBorder="1" applyAlignment="1">
      <alignment horizontal="center" vertical="center" wrapText="1"/>
    </xf>
    <xf numFmtId="0" fontId="21" fillId="0" borderId="14" xfId="1" applyBorder="1" applyAlignment="1">
      <alignment horizontal="center" vertical="center" wrapText="1"/>
    </xf>
    <xf numFmtId="0" fontId="21" fillId="0" borderId="0" xfId="1" applyAlignment="1">
      <alignment horizontal="right" vertical="center" wrapText="1" indent="1"/>
    </xf>
    <xf numFmtId="0" fontId="21" fillId="0" borderId="0" xfId="1" applyAlignment="1">
      <alignment horizontal="center" vertical="center" wrapText="1"/>
    </xf>
    <xf numFmtId="3" fontId="21" fillId="0" borderId="0" xfId="1" applyNumberFormat="1" applyAlignment="1">
      <alignment horizontal="center" vertical="center" wrapText="1"/>
    </xf>
    <xf numFmtId="0" fontId="32" fillId="0" borderId="0" xfId="2" applyFont="1" applyAlignment="1">
      <alignment horizontal="center" vertical="center"/>
    </xf>
    <xf numFmtId="3" fontId="21" fillId="0" borderId="15" xfId="1" applyNumberFormat="1" applyBorder="1" applyAlignment="1">
      <alignment vertical="center"/>
    </xf>
    <xf numFmtId="3" fontId="21" fillId="0" borderId="0" xfId="1" applyNumberFormat="1" applyAlignment="1">
      <alignment horizontal="right" wrapText="1"/>
    </xf>
    <xf numFmtId="0" fontId="21" fillId="0" borderId="0" xfId="1" applyAlignment="1">
      <alignment horizontal="right" vertical="center" wrapText="1"/>
    </xf>
    <xf numFmtId="0" fontId="35" fillId="0" borderId="0" xfId="1" applyFont="1" applyAlignment="1">
      <alignment horizontal="center" vertical="center" wrapText="1"/>
    </xf>
    <xf numFmtId="0" fontId="21" fillId="0" borderId="19" xfId="1" applyBorder="1" applyAlignment="1">
      <alignment horizontal="justify" vertical="center" wrapText="1"/>
    </xf>
    <xf numFmtId="0" fontId="21" fillId="0" borderId="6" xfId="1" applyBorder="1" applyAlignment="1">
      <alignment horizontal="right" vertical="center" wrapText="1" indent="1"/>
    </xf>
    <xf numFmtId="3" fontId="21" fillId="0" borderId="6" xfId="1" applyNumberFormat="1" applyBorder="1" applyAlignment="1">
      <alignment horizontal="center" vertical="center" wrapText="1"/>
    </xf>
    <xf numFmtId="3" fontId="21" fillId="0" borderId="20" xfId="1" applyNumberFormat="1" applyBorder="1" applyAlignment="1">
      <alignment vertical="center"/>
    </xf>
    <xf numFmtId="0" fontId="38" fillId="0" borderId="0" xfId="1" applyFont="1" applyAlignment="1">
      <alignment horizontal="center" vertical="center" wrapText="1"/>
    </xf>
    <xf numFmtId="0" fontId="39" fillId="0" borderId="0" xfId="2" applyFont="1"/>
    <xf numFmtId="3" fontId="21" fillId="0" borderId="0" xfId="1" applyNumberFormat="1" applyAlignment="1">
      <alignment horizontal="right" vertical="center" wrapText="1"/>
    </xf>
    <xf numFmtId="0" fontId="21" fillId="0" borderId="0" xfId="1" applyAlignment="1">
      <alignment vertical="center"/>
    </xf>
    <xf numFmtId="0" fontId="21" fillId="0" borderId="6" xfId="1" applyBorder="1" applyAlignment="1">
      <alignment horizontal="justify" vertical="center" wrapText="1"/>
    </xf>
    <xf numFmtId="0" fontId="21" fillId="0" borderId="6" xfId="1" applyBorder="1" applyAlignment="1">
      <alignment horizontal="right" vertical="center" wrapText="1"/>
    </xf>
    <xf numFmtId="0" fontId="21" fillId="0" borderId="6" xfId="1" applyBorder="1" applyAlignment="1">
      <alignment horizontal="center" vertical="center" wrapText="1"/>
    </xf>
    <xf numFmtId="3" fontId="21" fillId="0" borderId="0" xfId="1" applyNumberFormat="1" applyAlignment="1">
      <alignment vertical="center"/>
    </xf>
    <xf numFmtId="0" fontId="24" fillId="0" borderId="0" xfId="1" applyFont="1" applyAlignment="1">
      <alignment horizontal="center" vertical="center"/>
    </xf>
    <xf numFmtId="0" fontId="40" fillId="0" borderId="0" xfId="2" applyFont="1"/>
    <xf numFmtId="0" fontId="24" fillId="0" borderId="0" xfId="1" applyFont="1" applyAlignment="1">
      <alignment horizontal="justify" vertical="center"/>
    </xf>
    <xf numFmtId="0" fontId="24" fillId="0" borderId="0" xfId="1" applyFont="1" applyAlignment="1">
      <alignment horizontal="left"/>
    </xf>
    <xf numFmtId="0" fontId="21" fillId="0" borderId="0" xfId="1"/>
    <xf numFmtId="0" fontId="22" fillId="0" borderId="0" xfId="1" applyFont="1" applyAlignment="1">
      <alignment horizontal="left" wrapText="1"/>
    </xf>
    <xf numFmtId="0" fontId="24" fillId="0" borderId="0" xfId="1" applyFont="1"/>
    <xf numFmtId="3" fontId="21" fillId="0" borderId="0" xfId="1" applyNumberFormat="1"/>
    <xf numFmtId="0" fontId="0" fillId="2" borderId="0" xfId="0" applyFill="1"/>
    <xf numFmtId="0" fontId="21" fillId="0" borderId="0" xfId="0" applyFont="1"/>
    <xf numFmtId="0" fontId="21" fillId="0" borderId="0" xfId="0" applyFont="1" applyAlignment="1">
      <alignment horizontal="left"/>
    </xf>
    <xf numFmtId="0" fontId="0" fillId="0" borderId="0" xfId="0" applyAlignment="1">
      <alignment horizontal="left"/>
    </xf>
    <xf numFmtId="3" fontId="0" fillId="0" borderId="0" xfId="4" applyNumberFormat="1" applyFont="1" applyAlignment="1">
      <alignment horizontal="right"/>
    </xf>
    <xf numFmtId="3" fontId="43" fillId="0" borderId="0" xfId="4" applyNumberFormat="1" applyFont="1" applyFill="1" applyBorder="1" applyAlignment="1">
      <alignment horizontal="right" vertical="center" wrapText="1" indent="1"/>
    </xf>
    <xf numFmtId="165" fontId="21" fillId="0" borderId="0" xfId="4" applyNumberFormat="1" applyFont="1" applyBorder="1" applyAlignment="1">
      <alignment horizontal="right" vertical="center" wrapText="1"/>
    </xf>
    <xf numFmtId="165" fontId="0" fillId="0" borderId="0" xfId="4" applyNumberFormat="1" applyFont="1"/>
    <xf numFmtId="0" fontId="0" fillId="0" borderId="0" xfId="0" applyAlignment="1">
      <alignment horizontal="center"/>
    </xf>
    <xf numFmtId="2" fontId="21" fillId="0" borderId="0" xfId="5" applyNumberFormat="1"/>
    <xf numFmtId="37" fontId="21" fillId="0" borderId="0" xfId="4" applyNumberFormat="1" applyFont="1" applyAlignment="1" applyProtection="1">
      <alignment horizontal="left" vertical="center" indent="3"/>
      <protection locked="0"/>
    </xf>
    <xf numFmtId="37" fontId="21" fillId="0" borderId="0" xfId="4" applyNumberFormat="1" applyFont="1" applyBorder="1" applyAlignment="1" applyProtection="1">
      <alignment horizontal="left" vertical="center" indent="3"/>
      <protection locked="0"/>
    </xf>
    <xf numFmtId="0" fontId="0" fillId="0" borderId="0" xfId="0" applyAlignment="1">
      <alignment horizontal="right"/>
    </xf>
    <xf numFmtId="3" fontId="0" fillId="0" borderId="0" xfId="0" applyNumberFormat="1"/>
    <xf numFmtId="0" fontId="24" fillId="0" borderId="0" xfId="0" applyFont="1" applyAlignment="1">
      <alignment horizontal="left"/>
    </xf>
    <xf numFmtId="0" fontId="0" fillId="0" borderId="0" xfId="0" applyAlignment="1">
      <alignment vertical="top" wrapText="1"/>
    </xf>
    <xf numFmtId="0" fontId="33" fillId="0" borderId="0" xfId="0" applyFont="1" applyAlignment="1">
      <alignment vertical="center" wrapText="1"/>
    </xf>
    <xf numFmtId="0" fontId="33" fillId="0" borderId="10" xfId="0" applyFont="1" applyBorder="1" applyAlignment="1">
      <alignment horizontal="left" vertical="center"/>
    </xf>
    <xf numFmtId="3" fontId="33" fillId="0" borderId="10" xfId="0" applyNumberFormat="1" applyFont="1" applyBorder="1" applyAlignment="1">
      <alignment horizontal="right" vertical="center"/>
    </xf>
    <xf numFmtId="0" fontId="33" fillId="0" borderId="10" xfId="0" applyFont="1" applyBorder="1" applyAlignment="1">
      <alignment horizontal="right" vertical="center"/>
    </xf>
    <xf numFmtId="0" fontId="33" fillId="0" borderId="10" xfId="0" applyFont="1" applyBorder="1" applyAlignment="1">
      <alignment horizontal="left" vertical="center" wrapText="1"/>
    </xf>
    <xf numFmtId="3" fontId="33" fillId="0" borderId="10" xfId="0" applyNumberFormat="1" applyFont="1" applyBorder="1" applyAlignment="1">
      <alignment horizontal="right" vertical="center" wrapText="1"/>
    </xf>
    <xf numFmtId="0" fontId="33" fillId="0" borderId="10" xfId="0" applyFont="1" applyBorder="1" applyAlignment="1">
      <alignment vertical="center" wrapText="1"/>
    </xf>
    <xf numFmtId="0" fontId="33" fillId="0" borderId="10" xfId="0" applyFont="1" applyBorder="1" applyAlignment="1">
      <alignment horizontal="right" vertical="center" wrapText="1"/>
    </xf>
    <xf numFmtId="3" fontId="33" fillId="0" borderId="10" xfId="0" applyNumberFormat="1" applyFont="1" applyBorder="1" applyAlignment="1">
      <alignment vertical="center" wrapText="1"/>
    </xf>
    <xf numFmtId="0" fontId="33" fillId="0" borderId="29" xfId="0" applyFont="1" applyBorder="1" applyAlignment="1">
      <alignment horizontal="right" vertical="center"/>
    </xf>
    <xf numFmtId="0" fontId="33" fillId="0" borderId="23" xfId="0" applyFont="1" applyBorder="1" applyAlignment="1">
      <alignment vertical="center" wrapText="1"/>
    </xf>
    <xf numFmtId="3" fontId="21" fillId="0" borderId="0" xfId="0" applyNumberFormat="1" applyFont="1" applyAlignment="1">
      <alignment horizontal="left"/>
    </xf>
    <xf numFmtId="0" fontId="21" fillId="0" borderId="0" xfId="3"/>
    <xf numFmtId="0" fontId="21" fillId="0" borderId="0" xfId="3" applyAlignment="1">
      <alignment horizontal="left"/>
    </xf>
    <xf numFmtId="0" fontId="43" fillId="0" borderId="0" xfId="3" applyFont="1" applyAlignment="1">
      <alignment horizontal="right" vertical="center" wrapText="1"/>
    </xf>
    <xf numFmtId="166" fontId="43" fillId="0" borderId="0" xfId="3" applyNumberFormat="1" applyFont="1" applyAlignment="1">
      <alignment horizontal="right" vertical="center" wrapText="1" indent="1"/>
    </xf>
    <xf numFmtId="0" fontId="43" fillId="0" borderId="0" xfId="3" applyFont="1" applyAlignment="1">
      <alignment horizontal="right" vertical="center" wrapText="1" indent="2"/>
    </xf>
    <xf numFmtId="0" fontId="35" fillId="0" borderId="0" xfId="3" applyFont="1"/>
    <xf numFmtId="166" fontId="21" fillId="0" borderId="0" xfId="3" applyNumberFormat="1" applyAlignment="1">
      <alignment horizontal="right" vertical="center" wrapText="1" indent="1"/>
    </xf>
    <xf numFmtId="0" fontId="21" fillId="0" borderId="0" xfId="3" applyAlignment="1">
      <alignment horizontal="right" vertical="center" wrapText="1" indent="2"/>
    </xf>
    <xf numFmtId="166" fontId="21" fillId="0" borderId="0" xfId="3" applyNumberFormat="1"/>
    <xf numFmtId="164" fontId="21" fillId="0" borderId="0" xfId="3" applyNumberFormat="1" applyAlignment="1">
      <alignment horizontal="right" vertical="center" wrapText="1" indent="2"/>
    </xf>
    <xf numFmtId="0" fontId="24" fillId="0" borderId="0" xfId="3" applyFont="1" applyAlignment="1">
      <alignment horizontal="left"/>
    </xf>
    <xf numFmtId="4" fontId="21" fillId="0" borderId="0" xfId="3" applyNumberFormat="1"/>
    <xf numFmtId="164" fontId="21" fillId="0" borderId="0" xfId="3" applyNumberFormat="1" applyAlignment="1">
      <alignment horizontal="justify" vertical="center" wrapText="1"/>
    </xf>
    <xf numFmtId="167" fontId="21" fillId="0" borderId="0" xfId="3" applyNumberFormat="1"/>
    <xf numFmtId="167" fontId="21" fillId="0" borderId="0" xfId="3" applyNumberFormat="1" applyAlignment="1">
      <alignment horizontal="right" vertical="center" wrapText="1" indent="2"/>
    </xf>
    <xf numFmtId="167" fontId="21" fillId="4" borderId="0" xfId="3" applyNumberFormat="1" applyFill="1"/>
    <xf numFmtId="0" fontId="21" fillId="4" borderId="14" xfId="3" applyFill="1" applyBorder="1" applyAlignment="1">
      <alignment horizontal="center" vertical="center" wrapText="1"/>
    </xf>
    <xf numFmtId="167" fontId="21" fillId="5" borderId="0" xfId="3" applyNumberFormat="1" applyFill="1" applyAlignment="1">
      <alignment horizontal="right" vertical="center" wrapText="1" indent="2"/>
    </xf>
    <xf numFmtId="0" fontId="21" fillId="0" borderId="0" xfId="3" applyAlignment="1">
      <alignment horizontal="left" vertical="center" wrapText="1"/>
    </xf>
    <xf numFmtId="167" fontId="21" fillId="5" borderId="15" xfId="3" applyNumberFormat="1" applyFill="1" applyBorder="1" applyAlignment="1">
      <alignment horizontal="right" vertical="center" wrapText="1" indent="2"/>
    </xf>
    <xf numFmtId="168" fontId="21" fillId="0" borderId="0" xfId="3" applyNumberFormat="1"/>
    <xf numFmtId="167" fontId="21" fillId="0" borderId="0" xfId="3" applyNumberFormat="1" applyAlignment="1">
      <alignment horizontal="left" vertical="center" wrapText="1"/>
    </xf>
    <xf numFmtId="167" fontId="21" fillId="0" borderId="0" xfId="3" applyNumberFormat="1" applyAlignment="1">
      <alignment horizontal="justify" vertical="center" wrapText="1"/>
    </xf>
    <xf numFmtId="167" fontId="21" fillId="2" borderId="0" xfId="3" applyNumberFormat="1" applyFill="1" applyAlignment="1">
      <alignment horizontal="right" vertical="center" wrapText="1" indent="2"/>
    </xf>
    <xf numFmtId="167" fontId="21" fillId="2" borderId="0" xfId="3" applyNumberFormat="1" applyFill="1"/>
    <xf numFmtId="0" fontId="21" fillId="5" borderId="0" xfId="3" applyFill="1" applyAlignment="1">
      <alignment horizontal="right" vertical="center" wrapText="1" indent="2"/>
    </xf>
    <xf numFmtId="0" fontId="21" fillId="4" borderId="19" xfId="3" applyFill="1" applyBorder="1" applyAlignment="1">
      <alignment horizontal="center" vertical="center" wrapText="1"/>
    </xf>
    <xf numFmtId="167" fontId="21" fillId="0" borderId="6" xfId="3" applyNumberFormat="1" applyBorder="1" applyAlignment="1">
      <alignment horizontal="right" vertical="center" wrapText="1" indent="2"/>
    </xf>
    <xf numFmtId="167" fontId="21" fillId="5" borderId="6" xfId="3" applyNumberFormat="1" applyFill="1" applyBorder="1" applyAlignment="1">
      <alignment horizontal="right" vertical="center" wrapText="1" indent="2"/>
    </xf>
    <xf numFmtId="1" fontId="21" fillId="0" borderId="6" xfId="3" applyNumberFormat="1" applyBorder="1" applyAlignment="1">
      <alignment horizontal="left" vertical="center" wrapText="1"/>
    </xf>
    <xf numFmtId="167" fontId="21" fillId="5" borderId="20" xfId="3" applyNumberFormat="1" applyFill="1" applyBorder="1" applyAlignment="1">
      <alignment horizontal="right" vertical="center" wrapText="1" indent="2"/>
    </xf>
    <xf numFmtId="0" fontId="50" fillId="0" borderId="0" xfId="3" applyFont="1"/>
    <xf numFmtId="164" fontId="21" fillId="0" borderId="0" xfId="3" applyNumberFormat="1"/>
    <xf numFmtId="0" fontId="46" fillId="0" borderId="0" xfId="3" applyFont="1" applyAlignment="1">
      <alignment horizontal="left" vertical="center"/>
    </xf>
    <xf numFmtId="0" fontId="43" fillId="0" borderId="0" xfId="3" applyFont="1" applyAlignment="1">
      <alignment horizontal="center" vertical="center" wrapText="1"/>
    </xf>
    <xf numFmtId="0" fontId="43" fillId="0" borderId="0" xfId="3" applyFont="1" applyAlignment="1">
      <alignment horizontal="left" vertical="center" wrapText="1" indent="1"/>
    </xf>
    <xf numFmtId="49" fontId="43" fillId="0" borderId="0" xfId="4" applyNumberFormat="1" applyFont="1" applyBorder="1" applyAlignment="1">
      <alignment horizontal="right" vertical="center" wrapText="1" indent="2"/>
    </xf>
    <xf numFmtId="49" fontId="21" fillId="0" borderId="0" xfId="3" applyNumberFormat="1"/>
    <xf numFmtId="3" fontId="43" fillId="0" borderId="0" xfId="3" applyNumberFormat="1" applyFont="1" applyAlignment="1">
      <alignment horizontal="right" vertical="center" wrapText="1" indent="2"/>
    </xf>
    <xf numFmtId="49" fontId="21" fillId="0" borderId="0" xfId="3" applyNumberFormat="1" applyAlignment="1">
      <alignment horizontal="right"/>
    </xf>
    <xf numFmtId="165" fontId="43" fillId="0" borderId="0" xfId="4" applyNumberFormat="1" applyFont="1" applyBorder="1" applyAlignment="1">
      <alignment horizontal="right" vertical="center" wrapText="1" indent="2"/>
    </xf>
    <xf numFmtId="0" fontId="21" fillId="0" borderId="0" xfId="3" applyAlignment="1">
      <alignment horizontal="center"/>
    </xf>
    <xf numFmtId="49" fontId="24" fillId="0" borderId="0" xfId="3" applyNumberFormat="1" applyFont="1" applyAlignment="1">
      <alignment horizontal="left"/>
    </xf>
    <xf numFmtId="0" fontId="21" fillId="0" borderId="0" xfId="6" applyFont="1"/>
    <xf numFmtId="0" fontId="21" fillId="0" borderId="29" xfId="6" applyFont="1" applyBorder="1"/>
    <xf numFmtId="0" fontId="24" fillId="0" borderId="0" xfId="6" applyFont="1" applyAlignment="1">
      <alignment horizontal="left"/>
    </xf>
    <xf numFmtId="0" fontId="29" fillId="0" borderId="0" xfId="1" applyFont="1" applyAlignment="1">
      <alignment horizontal="center" vertical="center" wrapText="1"/>
    </xf>
    <xf numFmtId="0" fontId="21" fillId="0" borderId="2" xfId="0" applyFont="1" applyBorder="1" applyAlignment="1">
      <alignment horizontal="center" vertical="center" wrapText="1"/>
    </xf>
    <xf numFmtId="0" fontId="21" fillId="0" borderId="17" xfId="0" applyFont="1" applyBorder="1" applyAlignment="1">
      <alignment horizontal="center" wrapText="1"/>
    </xf>
    <xf numFmtId="0" fontId="21" fillId="0" borderId="32" xfId="0" applyFont="1" applyBorder="1" applyAlignment="1">
      <alignment horizontal="center" wrapText="1"/>
    </xf>
    <xf numFmtId="0" fontId="21" fillId="0" borderId="44" xfId="0" applyFont="1" applyBorder="1" applyAlignment="1">
      <alignment horizontal="center" wrapText="1"/>
    </xf>
    <xf numFmtId="0" fontId="21" fillId="0" borderId="0" xfId="0" quotePrefix="1" applyFont="1" applyAlignment="1">
      <alignment horizontal="center" wrapText="1"/>
    </xf>
    <xf numFmtId="3" fontId="21" fillId="0" borderId="0" xfId="0" applyNumberFormat="1" applyFont="1" applyAlignment="1">
      <alignment horizontal="right" vertical="top" indent="1"/>
    </xf>
    <xf numFmtId="0" fontId="54" fillId="0" borderId="44" xfId="0" applyFont="1" applyBorder="1" applyAlignment="1">
      <alignment horizontal="center" wrapText="1"/>
    </xf>
    <xf numFmtId="3" fontId="54" fillId="0" borderId="0" xfId="0" applyNumberFormat="1" applyFont="1" applyAlignment="1">
      <alignment horizontal="right"/>
    </xf>
    <xf numFmtId="3" fontId="54" fillId="0" borderId="15" xfId="0" applyNumberFormat="1" applyFont="1" applyBorder="1" applyAlignment="1">
      <alignment horizontal="right" wrapText="1"/>
    </xf>
    <xf numFmtId="2" fontId="54" fillId="0" borderId="0" xfId="0" applyNumberFormat="1" applyFont="1" applyAlignment="1">
      <alignment horizontal="center"/>
    </xf>
    <xf numFmtId="3" fontId="54" fillId="0" borderId="0" xfId="0" applyNumberFormat="1" applyFont="1"/>
    <xf numFmtId="164" fontId="54" fillId="0" borderId="0" xfId="0" applyNumberFormat="1" applyFont="1"/>
    <xf numFmtId="0" fontId="54" fillId="0" borderId="0" xfId="0" applyFont="1"/>
    <xf numFmtId="0" fontId="0" fillId="0" borderId="39" xfId="0" applyBorder="1"/>
    <xf numFmtId="0" fontId="0" fillId="0" borderId="46" xfId="0" applyBorder="1"/>
    <xf numFmtId="0" fontId="21" fillId="0" borderId="0" xfId="0" applyFont="1" applyAlignment="1">
      <alignment wrapText="1"/>
    </xf>
    <xf numFmtId="0" fontId="0" fillId="0" borderId="48" xfId="0" applyBorder="1"/>
    <xf numFmtId="0" fontId="54" fillId="0" borderId="44" xfId="0" applyFont="1" applyBorder="1" applyAlignment="1">
      <alignment horizontal="center" vertical="top" wrapText="1"/>
    </xf>
    <xf numFmtId="3" fontId="54" fillId="0" borderId="0" xfId="0" applyNumberFormat="1" applyFont="1" applyAlignment="1">
      <alignment horizontal="right" vertical="top"/>
    </xf>
    <xf numFmtId="3" fontId="54" fillId="0" borderId="15" xfId="0" applyNumberFormat="1" applyFont="1" applyBorder="1" applyAlignment="1">
      <alignment horizontal="right" vertical="top" wrapText="1"/>
    </xf>
    <xf numFmtId="0" fontId="21" fillId="0" borderId="44" xfId="0" applyFont="1" applyBorder="1" applyAlignment="1">
      <alignment horizontal="center" vertical="top" wrapText="1"/>
    </xf>
    <xf numFmtId="3" fontId="21" fillId="0" borderId="0" xfId="0" applyNumberFormat="1" applyFont="1" applyAlignment="1">
      <alignment horizontal="right" vertical="top" wrapText="1" indent="1"/>
    </xf>
    <xf numFmtId="3" fontId="0" fillId="0" borderId="0" xfId="0" applyNumberFormat="1" applyAlignment="1">
      <alignment horizontal="right" vertical="top" indent="1"/>
    </xf>
    <xf numFmtId="2" fontId="0" fillId="0" borderId="0" xfId="0" applyNumberFormat="1" applyAlignment="1">
      <alignment horizontal="center"/>
    </xf>
    <xf numFmtId="164" fontId="0" fillId="0" borderId="0" xfId="0" applyNumberFormat="1"/>
    <xf numFmtId="0" fontId="21" fillId="0" borderId="47" xfId="0" applyFont="1" applyBorder="1" applyAlignment="1">
      <alignment horizontal="left" indent="1"/>
    </xf>
    <xf numFmtId="3" fontId="0" fillId="0" borderId="0" xfId="0" applyNumberFormat="1" applyAlignment="1">
      <alignment horizontal="left" vertical="top" indent="2"/>
    </xf>
    <xf numFmtId="0" fontId="0" fillId="0" borderId="48" xfId="0" applyBorder="1" applyAlignment="1">
      <alignment horizontal="left" indent="2"/>
    </xf>
    <xf numFmtId="3" fontId="21" fillId="0" borderId="0" xfId="0" applyNumberFormat="1" applyFont="1"/>
    <xf numFmtId="0" fontId="21" fillId="0" borderId="0" xfId="0" applyFont="1" applyAlignment="1">
      <alignment horizontal="center" vertical="top" wrapText="1"/>
    </xf>
    <xf numFmtId="3" fontId="21" fillId="0" borderId="4" xfId="0" applyNumberFormat="1" applyFont="1" applyBorder="1" applyAlignment="1">
      <alignment horizontal="right" vertical="top" wrapText="1" indent="1"/>
    </xf>
    <xf numFmtId="0" fontId="63" fillId="0" borderId="0" xfId="0" applyFont="1" applyAlignment="1">
      <alignment vertical="top" wrapText="1"/>
    </xf>
    <xf numFmtId="3" fontId="63" fillId="0" borderId="0" xfId="0" applyNumberFormat="1" applyFont="1" applyAlignment="1">
      <alignment vertical="top" wrapText="1"/>
    </xf>
    <xf numFmtId="4" fontId="63" fillId="0" borderId="0" xfId="0" applyNumberFormat="1" applyFont="1" applyAlignment="1">
      <alignment vertical="top" wrapText="1"/>
    </xf>
    <xf numFmtId="0" fontId="0" fillId="7" borderId="0" xfId="0" applyFill="1"/>
    <xf numFmtId="3" fontId="0" fillId="7" borderId="0" xfId="0" applyNumberFormat="1" applyFill="1"/>
    <xf numFmtId="166" fontId="0" fillId="0" borderId="0" xfId="0" applyNumberFormat="1"/>
    <xf numFmtId="4" fontId="0" fillId="7" borderId="0" xfId="0" applyNumberFormat="1" applyFill="1" applyAlignment="1">
      <alignment horizontal="center"/>
    </xf>
    <xf numFmtId="4" fontId="0" fillId="0" borderId="0" xfId="0" applyNumberFormat="1" applyAlignment="1">
      <alignment horizontal="center"/>
    </xf>
    <xf numFmtId="0" fontId="21" fillId="7" borderId="0" xfId="0" applyFont="1" applyFill="1"/>
    <xf numFmtId="3" fontId="0" fillId="8" borderId="0" xfId="0" applyNumberFormat="1" applyFill="1"/>
    <xf numFmtId="4" fontId="0" fillId="8" borderId="0" xfId="0" applyNumberFormat="1" applyFill="1" applyAlignment="1">
      <alignment horizontal="center"/>
    </xf>
    <xf numFmtId="0" fontId="28" fillId="4" borderId="0" xfId="0" applyFont="1" applyFill="1"/>
    <xf numFmtId="3" fontId="28" fillId="4" borderId="0" xfId="0" applyNumberFormat="1" applyFont="1" applyFill="1"/>
    <xf numFmtId="9" fontId="0" fillId="0" borderId="0" xfId="0" applyNumberFormat="1"/>
    <xf numFmtId="0" fontId="0" fillId="0" borderId="0" xfId="0" applyAlignment="1">
      <alignment vertical="center"/>
    </xf>
    <xf numFmtId="3" fontId="54" fillId="0" borderId="0" xfId="0" applyNumberFormat="1" applyFont="1" applyAlignment="1">
      <alignment horizontal="right" vertical="top" indent="1"/>
    </xf>
    <xf numFmtId="0" fontId="28" fillId="0" borderId="0" xfId="0" applyFont="1"/>
    <xf numFmtId="0" fontId="24" fillId="0" borderId="0" xfId="0" applyFont="1" applyAlignment="1">
      <alignment vertical="top"/>
    </xf>
    <xf numFmtId="0" fontId="68" fillId="0" borderId="0" xfId="0" applyFont="1" applyAlignment="1">
      <alignment vertical="top"/>
    </xf>
    <xf numFmtId="0" fontId="21" fillId="0" borderId="0" xfId="0" applyFont="1" applyAlignment="1">
      <alignment horizontal="left" vertical="top"/>
    </xf>
    <xf numFmtId="1" fontId="21" fillId="0" borderId="0" xfId="0" applyNumberFormat="1" applyFont="1" applyAlignment="1">
      <alignment horizontal="left" vertical="top"/>
    </xf>
    <xf numFmtId="164" fontId="35" fillId="0" borderId="0" xfId="0" applyNumberFormat="1" applyFont="1" applyAlignment="1">
      <alignment horizontal="left" vertical="top"/>
    </xf>
    <xf numFmtId="1" fontId="21" fillId="9" borderId="0" xfId="0" applyNumberFormat="1" applyFont="1" applyFill="1" applyAlignment="1">
      <alignment horizontal="left" vertical="top"/>
    </xf>
    <xf numFmtId="1" fontId="21" fillId="0" borderId="0" xfId="0" applyNumberFormat="1" applyFont="1" applyAlignment="1">
      <alignment horizontal="left"/>
    </xf>
    <xf numFmtId="0" fontId="21" fillId="7" borderId="0" xfId="0" applyFont="1" applyFill="1" applyAlignment="1">
      <alignment horizontal="left"/>
    </xf>
    <xf numFmtId="3" fontId="21" fillId="7" borderId="0" xfId="0" applyNumberFormat="1" applyFont="1" applyFill="1" applyAlignment="1">
      <alignment horizontal="left"/>
    </xf>
    <xf numFmtId="0" fontId="24" fillId="0" borderId="10" xfId="0" applyFont="1" applyBorder="1" applyAlignment="1">
      <alignment horizontal="right" wrapText="1"/>
    </xf>
    <xf numFmtId="1" fontId="21" fillId="0" borderId="0" xfId="0" applyNumberFormat="1" applyFont="1" applyAlignment="1">
      <alignment horizontal="right" vertical="center" wrapText="1" indent="2"/>
    </xf>
    <xf numFmtId="0" fontId="64" fillId="0" borderId="0" xfId="0" applyFont="1"/>
    <xf numFmtId="3" fontId="0" fillId="0" borderId="0" xfId="0" applyNumberFormat="1" applyAlignment="1">
      <alignment horizontal="left"/>
    </xf>
    <xf numFmtId="2" fontId="0" fillId="0" borderId="0" xfId="0" applyNumberFormat="1" applyAlignment="1">
      <alignment horizontal="left"/>
    </xf>
    <xf numFmtId="4" fontId="0" fillId="0" borderId="0" xfId="0" applyNumberFormat="1" applyAlignment="1">
      <alignment horizontal="left"/>
    </xf>
    <xf numFmtId="0" fontId="28" fillId="10" borderId="0" xfId="0" applyFont="1" applyFill="1" applyAlignment="1">
      <alignment horizontal="left"/>
    </xf>
    <xf numFmtId="3" fontId="28" fillId="10" borderId="0" xfId="0" applyNumberFormat="1" applyFont="1" applyFill="1" applyAlignment="1">
      <alignment horizontal="left"/>
    </xf>
    <xf numFmtId="2" fontId="28" fillId="10" borderId="0" xfId="0" applyNumberFormat="1" applyFont="1" applyFill="1" applyAlignment="1">
      <alignment horizontal="left"/>
    </xf>
    <xf numFmtId="0" fontId="28" fillId="11" borderId="0" xfId="0" applyFont="1" applyFill="1" applyAlignment="1">
      <alignment horizontal="left"/>
    </xf>
    <xf numFmtId="3" fontId="28" fillId="11" borderId="0" xfId="0" applyNumberFormat="1" applyFont="1" applyFill="1" applyAlignment="1">
      <alignment horizontal="left"/>
    </xf>
    <xf numFmtId="2" fontId="21" fillId="0" borderId="0" xfId="5" applyNumberFormat="1" applyAlignment="1">
      <alignment horizontal="left"/>
    </xf>
    <xf numFmtId="2" fontId="28" fillId="11" borderId="0" xfId="0" applyNumberFormat="1" applyFont="1" applyFill="1" applyAlignment="1">
      <alignment horizontal="left"/>
    </xf>
    <xf numFmtId="9" fontId="0" fillId="0" borderId="0" xfId="0" applyNumberFormat="1" applyAlignment="1">
      <alignment horizontal="left"/>
    </xf>
    <xf numFmtId="0" fontId="54" fillId="0" borderId="0" xfId="0" applyFont="1" applyAlignment="1">
      <alignment horizontal="left"/>
    </xf>
    <xf numFmtId="0" fontId="64" fillId="0" borderId="0" xfId="0" applyFont="1" applyAlignment="1">
      <alignment horizontal="left"/>
    </xf>
    <xf numFmtId="165" fontId="21" fillId="0" borderId="0" xfId="4" applyNumberFormat="1" applyFont="1" applyBorder="1" applyAlignment="1">
      <alignment horizontal="left"/>
    </xf>
    <xf numFmtId="164" fontId="21" fillId="0" borderId="0" xfId="0" applyNumberFormat="1" applyFont="1" applyAlignment="1">
      <alignment horizontal="left"/>
    </xf>
    <xf numFmtId="2" fontId="21" fillId="0" borderId="0" xfId="0" applyNumberFormat="1" applyFont="1" applyAlignment="1">
      <alignment horizontal="left"/>
    </xf>
    <xf numFmtId="169" fontId="21" fillId="0" borderId="0" xfId="4" applyNumberFormat="1" applyFont="1" applyBorder="1" applyAlignment="1">
      <alignment horizontal="left"/>
    </xf>
    <xf numFmtId="3" fontId="21" fillId="2" borderId="0" xfId="0" applyNumberFormat="1" applyFont="1" applyFill="1" applyAlignment="1">
      <alignment horizontal="left"/>
    </xf>
    <xf numFmtId="164" fontId="21" fillId="2" borderId="0" xfId="0" applyNumberFormat="1" applyFont="1" applyFill="1" applyAlignment="1">
      <alignment horizontal="left"/>
    </xf>
    <xf numFmtId="165" fontId="0" fillId="0" borderId="0" xfId="4" applyNumberFormat="1" applyFont="1" applyBorder="1" applyAlignment="1">
      <alignment horizontal="left"/>
    </xf>
    <xf numFmtId="166" fontId="28" fillId="10" borderId="0" xfId="0" applyNumberFormat="1" applyFont="1" applyFill="1" applyAlignment="1">
      <alignment horizontal="left"/>
    </xf>
    <xf numFmtId="166" fontId="28" fillId="0" borderId="0" xfId="0" applyNumberFormat="1" applyFont="1" applyAlignment="1">
      <alignment horizontal="left"/>
    </xf>
    <xf numFmtId="4" fontId="28" fillId="10" borderId="0" xfId="0" applyNumberFormat="1" applyFont="1" applyFill="1" applyAlignment="1">
      <alignment horizontal="left"/>
    </xf>
    <xf numFmtId="0" fontId="28" fillId="0" borderId="0" xfId="0" applyFont="1" applyAlignment="1">
      <alignment horizontal="left"/>
    </xf>
    <xf numFmtId="0" fontId="28" fillId="4" borderId="0" xfId="0" applyFont="1" applyFill="1" applyAlignment="1">
      <alignment horizontal="left"/>
    </xf>
    <xf numFmtId="164" fontId="0" fillId="0" borderId="0" xfId="0" applyNumberFormat="1" applyAlignment="1">
      <alignment horizontal="center"/>
    </xf>
    <xf numFmtId="164" fontId="0" fillId="0" borderId="0" xfId="0" applyNumberFormat="1" applyAlignment="1">
      <alignment horizontal="right" indent="2"/>
    </xf>
    <xf numFmtId="165" fontId="21" fillId="0" borderId="0" xfId="4" applyNumberFormat="1" applyFont="1" applyFill="1"/>
    <xf numFmtId="165" fontId="0" fillId="0" borderId="0" xfId="4" applyNumberFormat="1" applyFont="1" applyFill="1"/>
    <xf numFmtId="0" fontId="69" fillId="0" borderId="0" xfId="0" applyFont="1" applyAlignment="1">
      <alignment horizontal="left"/>
    </xf>
    <xf numFmtId="0" fontId="28" fillId="0" borderId="0" xfId="0" applyFont="1" applyAlignment="1">
      <alignment horizontal="center"/>
    </xf>
    <xf numFmtId="3" fontId="0" fillId="0" borderId="0" xfId="0" applyNumberFormat="1" applyAlignment="1">
      <alignment horizontal="center"/>
    </xf>
    <xf numFmtId="2" fontId="21" fillId="0" borderId="0" xfId="5" applyNumberFormat="1" applyAlignment="1">
      <alignment horizontal="center"/>
    </xf>
    <xf numFmtId="9" fontId="0" fillId="0" borderId="0" xfId="0" applyNumberFormat="1" applyAlignment="1">
      <alignment horizontal="center"/>
    </xf>
    <xf numFmtId="0" fontId="28" fillId="4" borderId="0" xfId="0" applyFont="1" applyFill="1" applyAlignment="1">
      <alignment horizontal="center"/>
    </xf>
    <xf numFmtId="3" fontId="28" fillId="4" borderId="0" xfId="0" applyNumberFormat="1" applyFont="1" applyFill="1" applyAlignment="1">
      <alignment horizontal="center"/>
    </xf>
    <xf numFmtId="3" fontId="28" fillId="0" borderId="0" xfId="0" applyNumberFormat="1" applyFont="1" applyAlignment="1">
      <alignment horizontal="center"/>
    </xf>
    <xf numFmtId="49" fontId="21" fillId="0" borderId="12" xfId="0" applyNumberFormat="1" applyFont="1" applyBorder="1" applyAlignment="1">
      <alignment horizontal="center" vertical="center" wrapText="1"/>
    </xf>
    <xf numFmtId="167" fontId="21" fillId="0" borderId="0" xfId="0" applyNumberFormat="1" applyFont="1" applyAlignment="1">
      <alignment horizontal="right" vertical="center" wrapText="1" indent="2"/>
    </xf>
    <xf numFmtId="167" fontId="21" fillId="0" borderId="0" xfId="0" applyNumberFormat="1" applyFont="1" applyAlignment="1">
      <alignment horizontal="justify" vertical="center" wrapText="1"/>
    </xf>
    <xf numFmtId="167" fontId="21" fillId="0" borderId="15" xfId="0" applyNumberFormat="1" applyFont="1" applyBorder="1" applyAlignment="1">
      <alignment horizontal="right" vertical="center" wrapText="1" indent="2"/>
    </xf>
    <xf numFmtId="167" fontId="0" fillId="0" borderId="0" xfId="0" applyNumberFormat="1"/>
    <xf numFmtId="164" fontId="43" fillId="0" borderId="0" xfId="0" applyNumberFormat="1" applyFont="1" applyAlignment="1">
      <alignment horizontal="right" vertical="center" wrapText="1" indent="2"/>
    </xf>
    <xf numFmtId="167" fontId="0" fillId="0" borderId="0" xfId="0" applyNumberFormat="1" applyAlignment="1">
      <alignment horizontal="right"/>
    </xf>
    <xf numFmtId="167" fontId="21" fillId="0" borderId="0" xfId="0" applyNumberFormat="1" applyFont="1" applyAlignment="1">
      <alignment horizontal="left" vertical="center" wrapText="1"/>
    </xf>
    <xf numFmtId="167" fontId="21" fillId="12" borderId="0" xfId="0" applyNumberFormat="1" applyFont="1" applyFill="1" applyAlignment="1">
      <alignment horizontal="right" vertical="center" wrapText="1" indent="2"/>
    </xf>
    <xf numFmtId="167" fontId="21" fillId="12" borderId="0" xfId="0" applyNumberFormat="1" applyFont="1" applyFill="1" applyAlignment="1">
      <alignment horizontal="left" vertical="center" wrapText="1"/>
    </xf>
    <xf numFmtId="167" fontId="21" fillId="12" borderId="15" xfId="0" applyNumberFormat="1" applyFont="1" applyFill="1" applyBorder="1" applyAlignment="1">
      <alignment horizontal="right" vertical="center" wrapText="1" indent="2"/>
    </xf>
    <xf numFmtId="0" fontId="21" fillId="0" borderId="0" xfId="0" applyFont="1" applyAlignment="1">
      <alignment horizontal="right" vertical="center" wrapText="1" indent="2"/>
    </xf>
    <xf numFmtId="164" fontId="0" fillId="0" borderId="6" xfId="0" applyNumberFormat="1" applyBorder="1" applyAlignment="1">
      <alignment horizontal="right" indent="2"/>
    </xf>
    <xf numFmtId="0" fontId="21" fillId="0" borderId="6" xfId="0" applyFont="1" applyBorder="1" applyAlignment="1">
      <alignment horizontal="right" vertical="center" wrapText="1" indent="2"/>
    </xf>
    <xf numFmtId="0" fontId="21" fillId="0" borderId="6" xfId="0" applyFont="1" applyBorder="1" applyAlignment="1">
      <alignment horizontal="left" vertical="center" wrapText="1"/>
    </xf>
    <xf numFmtId="49" fontId="0" fillId="0" borderId="0" xfId="0" applyNumberFormat="1"/>
    <xf numFmtId="49" fontId="24" fillId="0" borderId="0" xfId="0" applyNumberFormat="1" applyFont="1" applyAlignment="1">
      <alignment horizontal="left"/>
    </xf>
    <xf numFmtId="0" fontId="65" fillId="0" borderId="0" xfId="0" applyFont="1" applyAlignment="1">
      <alignment horizontal="left"/>
    </xf>
    <xf numFmtId="0" fontId="69" fillId="0" borderId="0" xfId="0" applyFont="1"/>
    <xf numFmtId="37" fontId="43" fillId="0" borderId="0" xfId="4" applyNumberFormat="1" applyFont="1" applyFill="1" applyBorder="1" applyAlignment="1">
      <alignment horizontal="right" vertical="center" wrapText="1" indent="2"/>
    </xf>
    <xf numFmtId="0" fontId="21" fillId="0" borderId="10" xfId="6" applyFont="1" applyBorder="1"/>
    <xf numFmtId="0" fontId="33" fillId="0" borderId="33" xfId="0" applyFont="1" applyBorder="1" applyAlignment="1">
      <alignment horizontal="center" vertical="center"/>
    </xf>
    <xf numFmtId="0" fontId="33" fillId="0" borderId="38" xfId="0" applyFont="1" applyBorder="1" applyAlignment="1">
      <alignment horizontal="center" vertical="center"/>
    </xf>
    <xf numFmtId="0" fontId="33" fillId="0" borderId="31" xfId="0" applyFont="1" applyBorder="1" applyAlignment="1">
      <alignment horizontal="center" vertical="center"/>
    </xf>
    <xf numFmtId="0" fontId="0" fillId="0" borderId="10" xfId="0" applyBorder="1"/>
    <xf numFmtId="0" fontId="73" fillId="0" borderId="0" xfId="0" applyFont="1"/>
    <xf numFmtId="0" fontId="21" fillId="0" borderId="0" xfId="3" applyAlignment="1">
      <alignment horizontal="right" indent="4"/>
    </xf>
    <xf numFmtId="0" fontId="21" fillId="0" borderId="0" xfId="3" applyAlignment="1">
      <alignment horizontal="right" indent="5"/>
    </xf>
    <xf numFmtId="3" fontId="21" fillId="0" borderId="0" xfId="3" applyNumberFormat="1"/>
    <xf numFmtId="0" fontId="73" fillId="0" borderId="0" xfId="3" applyFont="1" applyAlignment="1">
      <alignment horizontal="left"/>
    </xf>
    <xf numFmtId="0" fontId="43" fillId="0" borderId="10" xfId="0" applyFont="1" applyBorder="1" applyAlignment="1">
      <alignment horizontal="center" vertical="center"/>
    </xf>
    <xf numFmtId="0" fontId="43" fillId="0" borderId="0" xfId="0" applyFont="1" applyAlignment="1">
      <alignment horizontal="right" vertical="center" indent="2"/>
    </xf>
    <xf numFmtId="0" fontId="80" fillId="0" borderId="0" xfId="0" applyFont="1" applyAlignment="1">
      <alignment horizontal="right" vertical="center" indent="3"/>
    </xf>
    <xf numFmtId="0" fontId="43" fillId="0" borderId="0" xfId="0" applyFont="1" applyAlignment="1">
      <alignment horizontal="center" vertical="center"/>
    </xf>
    <xf numFmtId="0" fontId="43" fillId="0" borderId="10" xfId="0" applyFont="1" applyBorder="1" applyAlignment="1">
      <alignment horizontal="right" vertical="center" indent="2"/>
    </xf>
    <xf numFmtId="0" fontId="80" fillId="0" borderId="10" xfId="0" applyFont="1" applyBorder="1" applyAlignment="1">
      <alignment horizontal="right" vertical="center" indent="3"/>
    </xf>
    <xf numFmtId="0" fontId="81" fillId="0" borderId="16" xfId="0" applyFont="1" applyBorder="1" applyAlignment="1">
      <alignment horizontal="center" vertical="center"/>
    </xf>
    <xf numFmtId="0" fontId="81" fillId="0" borderId="17" xfId="0" applyFont="1" applyBorder="1" applyAlignment="1">
      <alignment horizontal="center" vertical="center"/>
    </xf>
    <xf numFmtId="0" fontId="43" fillId="0" borderId="14" xfId="0" applyFont="1" applyBorder="1" applyAlignment="1">
      <alignment horizontal="left" vertical="center" indent="1"/>
    </xf>
    <xf numFmtId="3" fontId="43" fillId="0" borderId="15" xfId="0" applyNumberFormat="1" applyFont="1" applyBorder="1" applyAlignment="1">
      <alignment horizontal="right" vertical="center" indent="3"/>
    </xf>
    <xf numFmtId="0" fontId="43" fillId="0" borderId="15" xfId="0" applyFont="1" applyBorder="1" applyAlignment="1">
      <alignment horizontal="right" vertical="center" indent="3"/>
    </xf>
    <xf numFmtId="0" fontId="43" fillId="0" borderId="40" xfId="0" applyFont="1" applyBorder="1" applyAlignment="1">
      <alignment horizontal="left" vertical="center" indent="1"/>
    </xf>
    <xf numFmtId="0" fontId="43" fillId="0" borderId="42" xfId="0" applyFont="1" applyBorder="1" applyAlignment="1">
      <alignment horizontal="right" vertical="center" indent="3"/>
    </xf>
    <xf numFmtId="0" fontId="81" fillId="0" borderId="14" xfId="0" applyFont="1" applyBorder="1" applyAlignment="1">
      <alignment horizontal="left" vertical="center" indent="1"/>
    </xf>
    <xf numFmtId="3" fontId="81" fillId="0" borderId="15" xfId="0" applyNumberFormat="1" applyFont="1" applyBorder="1" applyAlignment="1">
      <alignment horizontal="right" vertical="center" indent="3"/>
    </xf>
    <xf numFmtId="3" fontId="43" fillId="0" borderId="42" xfId="0" applyNumberFormat="1" applyFont="1" applyBorder="1" applyAlignment="1">
      <alignment horizontal="right" vertical="center" indent="3"/>
    </xf>
    <xf numFmtId="0" fontId="81" fillId="0" borderId="16" xfId="0" applyFont="1" applyBorder="1" applyAlignment="1">
      <alignment horizontal="left" vertical="center" indent="1"/>
    </xf>
    <xf numFmtId="0" fontId="81" fillId="0" borderId="17" xfId="0" applyFont="1" applyBorder="1" applyAlignment="1">
      <alignment horizontal="right" vertical="center" indent="3"/>
    </xf>
    <xf numFmtId="0" fontId="84" fillId="0" borderId="14" xfId="0" applyFont="1" applyBorder="1" applyAlignment="1">
      <alignment horizontal="left" vertical="center" indent="1"/>
    </xf>
    <xf numFmtId="0" fontId="84" fillId="0" borderId="15" xfId="0" applyFont="1" applyBorder="1" applyAlignment="1">
      <alignment horizontal="right" vertical="center" indent="3"/>
    </xf>
    <xf numFmtId="0" fontId="84" fillId="0" borderId="19" xfId="0" applyFont="1" applyBorder="1" applyAlignment="1">
      <alignment horizontal="left" vertical="center" indent="1"/>
    </xf>
    <xf numFmtId="3" fontId="84" fillId="0" borderId="20" xfId="0" applyNumberFormat="1" applyFont="1" applyBorder="1" applyAlignment="1">
      <alignment horizontal="right" vertical="center" indent="3"/>
    </xf>
    <xf numFmtId="0" fontId="43" fillId="0" borderId="5" xfId="0" applyFont="1" applyBorder="1" applyAlignment="1">
      <alignment horizontal="center" vertical="center"/>
    </xf>
    <xf numFmtId="0" fontId="43" fillId="0" borderId="35" xfId="0" applyFont="1" applyBorder="1" applyAlignment="1">
      <alignment horizontal="center" vertical="center"/>
    </xf>
    <xf numFmtId="0" fontId="43" fillId="0" borderId="11" xfId="0" applyFont="1" applyBorder="1" applyAlignment="1">
      <alignment horizontal="center" vertical="center"/>
    </xf>
    <xf numFmtId="0" fontId="43" fillId="0" borderId="36" xfId="0" applyFont="1" applyBorder="1" applyAlignment="1">
      <alignment horizontal="left" vertical="center" indent="1"/>
    </xf>
    <xf numFmtId="0" fontId="43" fillId="0" borderId="35" xfId="0" applyFont="1" applyBorder="1" applyAlignment="1">
      <alignment horizontal="left" vertical="center" indent="1"/>
    </xf>
    <xf numFmtId="0" fontId="81" fillId="0" borderId="35" xfId="0" applyFont="1" applyBorder="1" applyAlignment="1">
      <alignment horizontal="center" vertical="center"/>
    </xf>
    <xf numFmtId="0" fontId="81" fillId="0" borderId="10" xfId="0" applyFont="1" applyBorder="1" applyAlignment="1">
      <alignment horizontal="center" vertical="center"/>
    </xf>
    <xf numFmtId="3" fontId="81" fillId="0" borderId="10" xfId="0" applyNumberFormat="1" applyFont="1" applyBorder="1" applyAlignment="1">
      <alignment horizontal="right" vertical="center" indent="2"/>
    </xf>
    <xf numFmtId="0" fontId="81" fillId="0" borderId="10" xfId="0" applyFont="1" applyBorder="1" applyAlignment="1">
      <alignment horizontal="right" vertical="center" indent="3"/>
    </xf>
    <xf numFmtId="3" fontId="81" fillId="0" borderId="11" xfId="0" applyNumberFormat="1" applyFont="1" applyBorder="1" applyAlignment="1">
      <alignment horizontal="right" vertical="center" indent="2"/>
    </xf>
    <xf numFmtId="0" fontId="81" fillId="0" borderId="10" xfId="0" applyFont="1" applyBorder="1" applyAlignment="1">
      <alignment horizontal="right" vertical="center" indent="2"/>
    </xf>
    <xf numFmtId="0" fontId="81" fillId="0" borderId="11" xfId="0" applyFont="1" applyBorder="1" applyAlignment="1">
      <alignment horizontal="center" vertical="center"/>
    </xf>
    <xf numFmtId="0" fontId="43" fillId="0" borderId="34" xfId="0" applyFont="1" applyBorder="1" applyAlignment="1">
      <alignment horizontal="justify" vertical="center"/>
    </xf>
    <xf numFmtId="0" fontId="21" fillId="0" borderId="29" xfId="0" applyFont="1" applyBorder="1" applyAlignment="1">
      <alignment vertical="top"/>
    </xf>
    <xf numFmtId="0" fontId="43" fillId="0" borderId="31" xfId="0" applyFont="1" applyBorder="1" applyAlignment="1">
      <alignment horizontal="center" vertical="center"/>
    </xf>
    <xf numFmtId="0" fontId="43" fillId="0" borderId="51" xfId="0" applyFont="1" applyBorder="1" applyAlignment="1">
      <alignment horizontal="center" vertical="center"/>
    </xf>
    <xf numFmtId="0" fontId="80" fillId="0" borderId="23" xfId="0" applyFont="1" applyBorder="1" applyAlignment="1">
      <alignment horizontal="center" vertical="center"/>
    </xf>
    <xf numFmtId="0" fontId="80" fillId="0" borderId="38" xfId="0" applyFont="1" applyBorder="1" applyAlignment="1">
      <alignment horizontal="center" vertical="center"/>
    </xf>
    <xf numFmtId="3" fontId="43" fillId="0" borderId="4" xfId="0" applyNumberFormat="1" applyFont="1" applyBorder="1" applyAlignment="1">
      <alignment horizontal="center" vertical="center"/>
    </xf>
    <xf numFmtId="0" fontId="43" fillId="0" borderId="5" xfId="0" applyFont="1" applyBorder="1" applyAlignment="1">
      <alignment horizontal="right" vertical="center" indent="2"/>
    </xf>
    <xf numFmtId="3" fontId="43" fillId="0" borderId="9" xfId="0" applyNumberFormat="1" applyFont="1" applyBorder="1" applyAlignment="1">
      <alignment horizontal="center" vertical="center"/>
    </xf>
    <xf numFmtId="0" fontId="43" fillId="0" borderId="11" xfId="0" applyFont="1" applyBorder="1" applyAlignment="1">
      <alignment horizontal="right" vertical="center" indent="2"/>
    </xf>
    <xf numFmtId="3" fontId="21" fillId="0" borderId="0" xfId="3" applyNumberFormat="1" applyAlignment="1">
      <alignment horizontal="left"/>
    </xf>
    <xf numFmtId="9" fontId="21" fillId="0" borderId="0" xfId="3" applyNumberFormat="1" applyAlignment="1">
      <alignment horizontal="left"/>
    </xf>
    <xf numFmtId="0" fontId="28" fillId="4" borderId="0" xfId="3" applyFont="1" applyFill="1" applyAlignment="1">
      <alignment horizontal="left"/>
    </xf>
    <xf numFmtId="0" fontId="24" fillId="0" borderId="0" xfId="3" applyFont="1"/>
    <xf numFmtId="0" fontId="27" fillId="0" borderId="0" xfId="7"/>
    <xf numFmtId="0" fontId="24" fillId="0" borderId="0" xfId="7" applyFont="1"/>
    <xf numFmtId="3" fontId="0" fillId="6" borderId="0" xfId="0" applyNumberFormat="1" applyFill="1" applyAlignment="1">
      <alignment horizontal="left"/>
    </xf>
    <xf numFmtId="3" fontId="21" fillId="6" borderId="0" xfId="0" applyNumberFormat="1" applyFont="1" applyFill="1" applyAlignment="1">
      <alignment horizontal="left"/>
    </xf>
    <xf numFmtId="3" fontId="0" fillId="6" borderId="0" xfId="0" applyNumberFormat="1" applyFill="1" applyAlignment="1">
      <alignment horizontal="center"/>
    </xf>
    <xf numFmtId="0" fontId="0" fillId="15" borderId="0" xfId="0" applyFill="1" applyAlignment="1">
      <alignment horizontal="left"/>
    </xf>
    <xf numFmtId="0" fontId="21" fillId="15" borderId="0" xfId="0" applyFont="1" applyFill="1" applyAlignment="1">
      <alignment horizontal="left"/>
    </xf>
    <xf numFmtId="0" fontId="21" fillId="15" borderId="0" xfId="0" applyFont="1" applyFill="1" applyAlignment="1">
      <alignment horizontal="left" vertical="center"/>
    </xf>
    <xf numFmtId="3" fontId="21" fillId="15" borderId="0" xfId="0" applyNumberFormat="1" applyFont="1" applyFill="1" applyAlignment="1">
      <alignment horizontal="left"/>
    </xf>
    <xf numFmtId="2" fontId="21" fillId="15" borderId="0" xfId="0" applyNumberFormat="1" applyFont="1" applyFill="1" applyAlignment="1">
      <alignment horizontal="left"/>
    </xf>
    <xf numFmtId="3" fontId="28" fillId="15" borderId="0" xfId="0" applyNumberFormat="1" applyFont="1" applyFill="1" applyAlignment="1">
      <alignment horizontal="left"/>
    </xf>
    <xf numFmtId="4" fontId="28" fillId="15" borderId="0" xfId="0" applyNumberFormat="1" applyFont="1" applyFill="1" applyAlignment="1">
      <alignment horizontal="left"/>
    </xf>
    <xf numFmtId="3" fontId="0" fillId="15" borderId="0" xfId="0" applyNumberFormat="1" applyFill="1" applyAlignment="1">
      <alignment horizontal="left"/>
    </xf>
    <xf numFmtId="4" fontId="0" fillId="15" borderId="0" xfId="0" applyNumberFormat="1" applyFill="1" applyAlignment="1">
      <alignment horizontal="left"/>
    </xf>
    <xf numFmtId="166" fontId="28" fillId="15" borderId="0" xfId="0" applyNumberFormat="1" applyFont="1" applyFill="1" applyAlignment="1">
      <alignment horizontal="left"/>
    </xf>
    <xf numFmtId="2" fontId="21" fillId="15" borderId="0" xfId="5" applyNumberFormat="1" applyFill="1" applyAlignment="1">
      <alignment horizontal="left"/>
    </xf>
    <xf numFmtId="3" fontId="21" fillId="0" borderId="0" xfId="11" applyNumberFormat="1" applyFont="1" applyFill="1" applyBorder="1" applyAlignment="1">
      <alignment horizontal="left"/>
    </xf>
    <xf numFmtId="165" fontId="21" fillId="0" borderId="0" xfId="4" applyNumberFormat="1" applyFont="1" applyFill="1" applyBorder="1" applyAlignment="1">
      <alignment horizontal="left"/>
    </xf>
    <xf numFmtId="3" fontId="21" fillId="0" borderId="0" xfId="3" applyNumberFormat="1" applyAlignment="1">
      <alignment horizontal="right" indent="1"/>
    </xf>
    <xf numFmtId="0" fontId="24" fillId="0" borderId="0" xfId="0" applyFont="1" applyAlignment="1">
      <alignment horizontal="left" vertical="top"/>
    </xf>
    <xf numFmtId="0" fontId="28" fillId="0" borderId="0" xfId="3" applyFont="1" applyAlignment="1">
      <alignment horizontal="center"/>
    </xf>
    <xf numFmtId="0" fontId="21" fillId="0" borderId="24" xfId="3" applyBorder="1" applyAlignment="1">
      <alignment horizontal="center" wrapText="1"/>
    </xf>
    <xf numFmtId="0" fontId="21" fillId="0" borderId="58" xfId="3" applyBorder="1" applyAlignment="1">
      <alignment horizontal="center" wrapText="1"/>
    </xf>
    <xf numFmtId="0" fontId="21" fillId="0" borderId="57" xfId="3" applyBorder="1" applyAlignment="1">
      <alignment horizontal="center" wrapText="1"/>
    </xf>
    <xf numFmtId="171" fontId="21" fillId="0" borderId="0" xfId="3" applyNumberFormat="1" applyAlignment="1">
      <alignment horizontal="center"/>
    </xf>
    <xf numFmtId="3" fontId="21" fillId="0" borderId="0" xfId="12" applyNumberFormat="1" applyFont="1" applyFill="1" applyBorder="1" applyAlignment="1">
      <alignment horizontal="center"/>
    </xf>
    <xf numFmtId="3" fontId="21" fillId="0" borderId="0" xfId="12" applyNumberFormat="1" applyFont="1" applyBorder="1" applyAlignment="1">
      <alignment horizontal="right" indent="1"/>
    </xf>
    <xf numFmtId="0" fontId="21" fillId="0" borderId="0" xfId="3" applyAlignment="1">
      <alignment vertical="top"/>
    </xf>
    <xf numFmtId="0" fontId="24" fillId="0" borderId="0" xfId="3" applyFont="1" applyAlignment="1">
      <alignment horizontal="left" vertical="top"/>
    </xf>
    <xf numFmtId="0" fontId="54" fillId="0" borderId="0" xfId="3" applyFont="1" applyAlignment="1">
      <alignment vertical="top"/>
    </xf>
    <xf numFmtId="0" fontId="30" fillId="0" borderId="45" xfId="0" applyFont="1" applyBorder="1"/>
    <xf numFmtId="0" fontId="30" fillId="0" borderId="45" xfId="0" applyFont="1" applyBorder="1" applyAlignment="1">
      <alignment horizontal="center"/>
    </xf>
    <xf numFmtId="0" fontId="30" fillId="0" borderId="47" xfId="0" applyFont="1" applyBorder="1"/>
    <xf numFmtId="0" fontId="30" fillId="0" borderId="47" xfId="0" applyFont="1" applyBorder="1" applyAlignment="1">
      <alignment horizontal="center"/>
    </xf>
    <xf numFmtId="0" fontId="30" fillId="0" borderId="49" xfId="0" applyFont="1" applyBorder="1" applyAlignment="1">
      <alignment horizontal="center"/>
    </xf>
    <xf numFmtId="0" fontId="30" fillId="0" borderId="50" xfId="0" applyFont="1" applyBorder="1" applyAlignment="1">
      <alignment horizontal="center"/>
    </xf>
    <xf numFmtId="0" fontId="30" fillId="0" borderId="22" xfId="0" applyFont="1" applyBorder="1" applyAlignment="1">
      <alignment horizontal="center"/>
    </xf>
    <xf numFmtId="3" fontId="30" fillId="6" borderId="47" xfId="0" applyNumberFormat="1" applyFont="1" applyFill="1" applyBorder="1" applyAlignment="1">
      <alignment horizontal="center"/>
    </xf>
    <xf numFmtId="3" fontId="30" fillId="6" borderId="48" xfId="0" applyNumberFormat="1" applyFont="1" applyFill="1" applyBorder="1" applyAlignment="1">
      <alignment horizontal="right"/>
    </xf>
    <xf numFmtId="3" fontId="30" fillId="6" borderId="0" xfId="4" applyNumberFormat="1" applyFont="1" applyFill="1" applyBorder="1" applyAlignment="1">
      <alignment horizontal="right"/>
    </xf>
    <xf numFmtId="3" fontId="30" fillId="6" borderId="47" xfId="0" applyNumberFormat="1" applyFont="1" applyFill="1" applyBorder="1"/>
    <xf numFmtId="3" fontId="30" fillId="6" borderId="48" xfId="0" applyNumberFormat="1" applyFont="1" applyFill="1" applyBorder="1"/>
    <xf numFmtId="3" fontId="30" fillId="0" borderId="0" xfId="4" applyNumberFormat="1" applyFont="1" applyBorder="1" applyAlignment="1">
      <alignment horizontal="right"/>
    </xf>
    <xf numFmtId="3" fontId="30" fillId="0" borderId="0" xfId="4" applyNumberFormat="1" applyFont="1" applyBorder="1"/>
    <xf numFmtId="171" fontId="30" fillId="0" borderId="47" xfId="5" applyNumberFormat="1" applyFont="1" applyBorder="1" applyAlignment="1">
      <alignment horizontal="center"/>
    </xf>
    <xf numFmtId="171" fontId="30" fillId="0" borderId="48" xfId="5" applyNumberFormat="1" applyFont="1" applyBorder="1" applyAlignment="1">
      <alignment horizontal="center"/>
    </xf>
    <xf numFmtId="0" fontId="30" fillId="0" borderId="0" xfId="0" applyFont="1" applyAlignment="1">
      <alignment horizontal="center"/>
    </xf>
    <xf numFmtId="3" fontId="30" fillId="6" borderId="47" xfId="4" applyNumberFormat="1" applyFont="1" applyFill="1" applyBorder="1" applyAlignment="1">
      <alignment horizontal="right"/>
    </xf>
    <xf numFmtId="3" fontId="30" fillId="6" borderId="48" xfId="4" applyNumberFormat="1" applyFont="1" applyFill="1" applyBorder="1" applyAlignment="1">
      <alignment horizontal="right"/>
    </xf>
    <xf numFmtId="3" fontId="30" fillId="0" borderId="48" xfId="4" applyNumberFormat="1" applyFont="1" applyBorder="1"/>
    <xf numFmtId="3" fontId="21" fillId="7" borderId="0" xfId="0" applyNumberFormat="1" applyFont="1" applyFill="1"/>
    <xf numFmtId="0" fontId="28" fillId="11" borderId="0" xfId="0" applyFont="1" applyFill="1"/>
    <xf numFmtId="171" fontId="21" fillId="0" borderId="0" xfId="0" applyNumberFormat="1" applyFont="1"/>
    <xf numFmtId="9" fontId="21" fillId="0" borderId="0" xfId="0" applyNumberFormat="1" applyFont="1"/>
    <xf numFmtId="3" fontId="21" fillId="0" borderId="0" xfId="0" applyNumberFormat="1" applyFont="1" applyAlignment="1">
      <alignment horizontal="center"/>
    </xf>
    <xf numFmtId="3" fontId="21" fillId="0" borderId="0" xfId="0" applyNumberFormat="1" applyFont="1" applyAlignment="1">
      <alignment horizontal="right" indent="2"/>
    </xf>
    <xf numFmtId="3" fontId="21" fillId="0" borderId="0" xfId="0" applyNumberFormat="1" applyFont="1" applyAlignment="1">
      <alignment horizontal="right" indent="3"/>
    </xf>
    <xf numFmtId="171" fontId="21" fillId="0" borderId="0" xfId="5" applyNumberFormat="1" applyAlignment="1">
      <alignment horizontal="center"/>
    </xf>
    <xf numFmtId="0" fontId="35" fillId="0" borderId="0" xfId="0" applyFont="1"/>
    <xf numFmtId="3" fontId="21" fillId="0" borderId="0" xfId="0" applyNumberFormat="1" applyFont="1" applyAlignment="1">
      <alignment horizontal="right"/>
    </xf>
    <xf numFmtId="3" fontId="21" fillId="0" borderId="0" xfId="4" applyNumberFormat="1" applyFont="1" applyBorder="1" applyAlignment="1">
      <alignment horizontal="right"/>
    </xf>
    <xf numFmtId="3" fontId="21" fillId="0" borderId="0" xfId="4" applyNumberFormat="1" applyFont="1" applyBorder="1"/>
    <xf numFmtId="0" fontId="21" fillId="0" borderId="0" xfId="0" applyFont="1" applyAlignment="1">
      <alignment horizontal="right" vertical="center" wrapText="1"/>
    </xf>
    <xf numFmtId="0" fontId="24" fillId="0" borderId="47" xfId="0" applyFont="1" applyBorder="1" applyAlignment="1">
      <alignment horizontal="left"/>
    </xf>
    <xf numFmtId="3" fontId="21" fillId="0" borderId="0" xfId="0" applyNumberFormat="1" applyFont="1" applyAlignment="1">
      <alignment horizontal="right" indent="1"/>
    </xf>
    <xf numFmtId="10" fontId="21" fillId="0" borderId="0" xfId="13" applyNumberFormat="1" applyFont="1" applyBorder="1" applyAlignment="1">
      <alignment horizontal="center"/>
    </xf>
    <xf numFmtId="165" fontId="21" fillId="0" borderId="0" xfId="4" applyNumberFormat="1" applyFont="1" applyFill="1" applyBorder="1" applyAlignment="1">
      <alignment horizontal="right" vertical="center" wrapText="1"/>
    </xf>
    <xf numFmtId="165" fontId="21" fillId="0" borderId="0" xfId="4" applyNumberFormat="1" applyFont="1" applyFill="1" applyBorder="1" applyAlignment="1">
      <alignment horizontal="left" vertical="center" wrapText="1"/>
    </xf>
    <xf numFmtId="165" fontId="21" fillId="0" borderId="0" xfId="4" applyNumberFormat="1" applyFont="1" applyBorder="1" applyAlignment="1">
      <alignment horizontal="left" vertical="center" wrapText="1"/>
    </xf>
    <xf numFmtId="165" fontId="32" fillId="0" borderId="0" xfId="4" applyNumberFormat="1" applyFont="1"/>
    <xf numFmtId="165" fontId="21" fillId="0" borderId="0" xfId="4" applyNumberFormat="1" applyFont="1" applyBorder="1" applyAlignment="1">
      <alignment horizontal="center" vertical="center" wrapText="1"/>
    </xf>
    <xf numFmtId="165" fontId="21" fillId="0" borderId="0" xfId="4" applyNumberFormat="1" applyFont="1" applyFill="1" applyBorder="1" applyAlignment="1">
      <alignment horizontal="center" vertical="center" wrapText="1"/>
    </xf>
    <xf numFmtId="0" fontId="99" fillId="20" borderId="0" xfId="0" applyFont="1" applyFill="1"/>
    <xf numFmtId="0" fontId="99" fillId="20" borderId="60" xfId="0" applyFont="1" applyFill="1" applyBorder="1"/>
    <xf numFmtId="0" fontId="99" fillId="20" borderId="48" xfId="0" applyFont="1" applyFill="1" applyBorder="1"/>
    <xf numFmtId="0" fontId="99" fillId="20" borderId="64" xfId="0" applyFont="1" applyFill="1" applyBorder="1" applyAlignment="1">
      <alignment wrapText="1"/>
    </xf>
    <xf numFmtId="0" fontId="99" fillId="20" borderId="65" xfId="0" applyFont="1" applyFill="1" applyBorder="1" applyAlignment="1">
      <alignment wrapText="1"/>
    </xf>
    <xf numFmtId="0" fontId="99" fillId="20" borderId="66" xfId="0" applyFont="1" applyFill="1" applyBorder="1" applyAlignment="1">
      <alignment wrapText="1"/>
    </xf>
    <xf numFmtId="0" fontId="99" fillId="20" borderId="67" xfId="0" applyFont="1" applyFill="1" applyBorder="1" applyAlignment="1">
      <alignment wrapText="1"/>
    </xf>
    <xf numFmtId="0" fontId="99" fillId="20" borderId="64" xfId="0" applyFont="1" applyFill="1" applyBorder="1" applyAlignment="1">
      <alignment horizontal="center" wrapText="1"/>
    </xf>
    <xf numFmtId="0" fontId="99" fillId="20" borderId="65" xfId="0" applyFont="1" applyFill="1" applyBorder="1" applyAlignment="1">
      <alignment horizontal="center" vertical="center" wrapText="1"/>
    </xf>
    <xf numFmtId="0" fontId="99" fillId="20" borderId="64" xfId="0" applyFont="1" applyFill="1" applyBorder="1" applyAlignment="1">
      <alignment horizontal="center" vertical="center" wrapText="1"/>
    </xf>
    <xf numFmtId="0" fontId="99" fillId="20" borderId="66" xfId="0" applyFont="1" applyFill="1" applyBorder="1" applyAlignment="1">
      <alignment horizontal="center" vertical="center" wrapText="1"/>
    </xf>
    <xf numFmtId="3" fontId="0" fillId="0" borderId="47" xfId="0" applyNumberFormat="1" applyBorder="1"/>
    <xf numFmtId="3" fontId="0" fillId="0" borderId="48" xfId="0" applyNumberFormat="1" applyBorder="1"/>
    <xf numFmtId="3" fontId="0" fillId="0" borderId="60" xfId="0" applyNumberFormat="1" applyBorder="1"/>
    <xf numFmtId="0" fontId="0" fillId="21" borderId="0" xfId="0" applyFill="1" applyAlignment="1">
      <alignment horizontal="left"/>
    </xf>
    <xf numFmtId="171" fontId="0" fillId="0" borderId="0" xfId="0" applyNumberFormat="1"/>
    <xf numFmtId="0" fontId="0" fillId="0" borderId="9" xfId="0" applyBorder="1" applyAlignment="1">
      <alignment horizontal="center"/>
    </xf>
    <xf numFmtId="0" fontId="100" fillId="0" borderId="0" xfId="3" applyFont="1"/>
    <xf numFmtId="49" fontId="21" fillId="0" borderId="19" xfId="0" applyNumberFormat="1" applyFont="1" applyBorder="1" applyAlignment="1">
      <alignment horizontal="center" vertical="center" wrapText="1"/>
    </xf>
    <xf numFmtId="164" fontId="21" fillId="0" borderId="15" xfId="0" applyNumberFormat="1" applyFont="1" applyBorder="1" applyAlignment="1">
      <alignment horizontal="right" vertical="center" wrapText="1" indent="2"/>
    </xf>
    <xf numFmtId="3" fontId="21" fillId="6" borderId="0" xfId="0" applyNumberFormat="1" applyFont="1" applyFill="1" applyAlignment="1">
      <alignment horizontal="right" vertical="top" wrapText="1" indent="1"/>
    </xf>
    <xf numFmtId="3" fontId="21" fillId="6" borderId="0" xfId="0" applyNumberFormat="1" applyFont="1" applyFill="1" applyAlignment="1">
      <alignment horizontal="right" vertical="top" indent="1"/>
    </xf>
    <xf numFmtId="1" fontId="21" fillId="18" borderId="0" xfId="0" applyNumberFormat="1" applyFont="1" applyFill="1" applyAlignment="1">
      <alignment horizontal="left" vertical="top"/>
    </xf>
    <xf numFmtId="1" fontId="21" fillId="18" borderId="0" xfId="0" applyNumberFormat="1" applyFont="1" applyFill="1" applyAlignment="1">
      <alignment horizontal="left"/>
    </xf>
    <xf numFmtId="3" fontId="28" fillId="6" borderId="0" xfId="0" applyNumberFormat="1" applyFont="1" applyFill="1" applyAlignment="1">
      <alignment horizontal="left"/>
    </xf>
    <xf numFmtId="9" fontId="21" fillId="0" borderId="0" xfId="5" applyNumberFormat="1" applyAlignment="1">
      <alignment horizontal="left"/>
    </xf>
    <xf numFmtId="3" fontId="28" fillId="6" borderId="0" xfId="0" applyNumberFormat="1" applyFont="1" applyFill="1"/>
    <xf numFmtId="0" fontId="33" fillId="0" borderId="29" xfId="0" applyFont="1" applyBorder="1" applyAlignment="1">
      <alignment horizontal="left" vertical="center" wrapText="1"/>
    </xf>
    <xf numFmtId="3" fontId="33" fillId="0" borderId="29" xfId="0" applyNumberFormat="1" applyFont="1" applyBorder="1" applyAlignment="1">
      <alignment horizontal="right" vertical="center"/>
    </xf>
    <xf numFmtId="0" fontId="33" fillId="0" borderId="29" xfId="0" applyFont="1" applyBorder="1" applyAlignment="1">
      <alignment horizontal="center" vertical="center"/>
    </xf>
    <xf numFmtId="0" fontId="33" fillId="0" borderId="29" xfId="0" applyFont="1" applyBorder="1" applyAlignment="1">
      <alignment horizontal="left" vertical="center"/>
    </xf>
    <xf numFmtId="10" fontId="0" fillId="21" borderId="47" xfId="0" applyNumberFormat="1" applyFill="1" applyBorder="1"/>
    <xf numFmtId="10" fontId="0" fillId="21" borderId="48" xfId="0" applyNumberFormat="1" applyFill="1" applyBorder="1"/>
    <xf numFmtId="10" fontId="0" fillId="0" borderId="47" xfId="0" applyNumberFormat="1" applyBorder="1"/>
    <xf numFmtId="10" fontId="0" fillId="0" borderId="48" xfId="0" applyNumberFormat="1" applyBorder="1"/>
    <xf numFmtId="0" fontId="0" fillId="0" borderId="4" xfId="0" applyBorder="1" applyAlignment="1">
      <alignment horizontal="center"/>
    </xf>
    <xf numFmtId="1" fontId="21" fillId="0" borderId="0" xfId="3" applyNumberFormat="1" applyAlignment="1">
      <alignment horizontal="left" vertical="center" wrapText="1"/>
    </xf>
    <xf numFmtId="3" fontId="54" fillId="0" borderId="0" xfId="0" applyNumberFormat="1" applyFont="1" applyAlignment="1">
      <alignment horizontal="right" wrapText="1"/>
    </xf>
    <xf numFmtId="3" fontId="54" fillId="0" borderId="0" xfId="0" applyNumberFormat="1" applyFont="1" applyAlignment="1">
      <alignment horizontal="right" vertical="top" wrapText="1"/>
    </xf>
    <xf numFmtId="3" fontId="28" fillId="0" borderId="0" xfId="0" applyNumberFormat="1" applyFont="1" applyAlignment="1">
      <alignment horizontal="left"/>
    </xf>
    <xf numFmtId="4" fontId="21" fillId="0" borderId="0" xfId="0" applyNumberFormat="1" applyFont="1" applyAlignment="1">
      <alignment horizontal="left"/>
    </xf>
    <xf numFmtId="4" fontId="28" fillId="0" borderId="0" xfId="0" applyNumberFormat="1" applyFont="1" applyAlignment="1">
      <alignment horizontal="left"/>
    </xf>
    <xf numFmtId="3" fontId="0" fillId="0" borderId="0" xfId="0" quotePrefix="1" applyNumberFormat="1" applyAlignment="1">
      <alignment horizontal="center"/>
    </xf>
    <xf numFmtId="165" fontId="21" fillId="2" borderId="0" xfId="4" applyNumberFormat="1" applyFont="1" applyFill="1" applyBorder="1" applyAlignment="1">
      <alignment horizontal="left"/>
    </xf>
    <xf numFmtId="0" fontId="28" fillId="0" borderId="0" xfId="3" applyFont="1"/>
    <xf numFmtId="0" fontId="21" fillId="0" borderId="10" xfId="3" applyBorder="1"/>
    <xf numFmtId="0" fontId="21" fillId="0" borderId="22" xfId="3" applyBorder="1"/>
    <xf numFmtId="0" fontId="93" fillId="0" borderId="0" xfId="3" applyFont="1" applyAlignment="1">
      <alignment horizontal="center" vertical="center"/>
    </xf>
    <xf numFmtId="0" fontId="93" fillId="0" borderId="0" xfId="3" applyFont="1" applyAlignment="1">
      <alignment horizontal="center" vertical="center" wrapText="1"/>
    </xf>
    <xf numFmtId="0" fontId="92" fillId="0" borderId="0" xfId="3" applyFont="1" applyAlignment="1">
      <alignment horizontal="center" vertical="center"/>
    </xf>
    <xf numFmtId="0" fontId="27" fillId="0" borderId="0" xfId="3" applyFont="1" applyAlignment="1">
      <alignment horizontal="right" vertical="center" wrapText="1"/>
    </xf>
    <xf numFmtId="0" fontId="21" fillId="0" borderId="0" xfId="3" applyAlignment="1">
      <alignment horizontal="right"/>
    </xf>
    <xf numFmtId="0" fontId="21" fillId="2" borderId="0" xfId="3" applyFill="1" applyAlignment="1">
      <alignment horizontal="right"/>
    </xf>
    <xf numFmtId="0" fontId="21" fillId="0" borderId="23" xfId="3" applyBorder="1"/>
    <xf numFmtId="0" fontId="21" fillId="0" borderId="10" xfId="3" applyBorder="1" applyAlignment="1">
      <alignment horizontal="left"/>
    </xf>
    <xf numFmtId="0" fontId="21" fillId="0" borderId="30" xfId="3" applyBorder="1" applyAlignment="1">
      <alignment horizontal="left"/>
    </xf>
    <xf numFmtId="3" fontId="21" fillId="0" borderId="48" xfId="3" applyNumberFormat="1" applyBorder="1" applyAlignment="1">
      <alignment horizontal="right" indent="1"/>
    </xf>
    <xf numFmtId="3" fontId="21" fillId="0" borderId="47" xfId="3" applyNumberFormat="1" applyBorder="1" applyAlignment="1">
      <alignment horizontal="right" indent="1"/>
    </xf>
    <xf numFmtId="171" fontId="21" fillId="0" borderId="48" xfId="3" applyNumberFormat="1" applyBorder="1" applyAlignment="1">
      <alignment horizontal="center"/>
    </xf>
    <xf numFmtId="10" fontId="21" fillId="0" borderId="47" xfId="3" applyNumberFormat="1" applyBorder="1" applyAlignment="1">
      <alignment horizontal="center"/>
    </xf>
    <xf numFmtId="0" fontId="0" fillId="0" borderId="0" xfId="0" applyAlignment="1">
      <alignment wrapText="1"/>
    </xf>
    <xf numFmtId="0" fontId="24" fillId="0" borderId="0" xfId="0" applyFont="1" applyAlignment="1">
      <alignment horizontal="left" vertical="top" wrapText="1"/>
    </xf>
    <xf numFmtId="0" fontId="24" fillId="0" borderId="0" xfId="0" applyFont="1" applyAlignment="1">
      <alignment horizontal="center" vertical="top" wrapText="1"/>
    </xf>
    <xf numFmtId="1" fontId="0" fillId="0" borderId="0" xfId="0" applyNumberFormat="1" applyAlignment="1">
      <alignment horizontal="right" vertical="center" indent="2"/>
    </xf>
    <xf numFmtId="0" fontId="0" fillId="0" borderId="0" xfId="0" applyAlignment="1">
      <alignment vertical="center" wrapText="1"/>
    </xf>
    <xf numFmtId="0" fontId="0" fillId="0" borderId="0" xfId="0" applyAlignment="1">
      <alignment horizontal="center" vertical="center" wrapText="1"/>
    </xf>
    <xf numFmtId="0" fontId="21" fillId="0" borderId="0" xfId="3" applyAlignment="1">
      <alignment vertical="center"/>
    </xf>
    <xf numFmtId="167" fontId="21" fillId="0" borderId="0" xfId="3" applyNumberFormat="1" applyAlignment="1">
      <alignment vertical="center"/>
    </xf>
    <xf numFmtId="0" fontId="54" fillId="0" borderId="29" xfId="0" applyFont="1" applyBorder="1" applyAlignment="1">
      <alignment horizontal="right" vertical="center" indent="1"/>
    </xf>
    <xf numFmtId="37" fontId="21" fillId="0" borderId="0" xfId="4" applyNumberFormat="1" applyFont="1" applyFill="1" applyBorder="1" applyAlignment="1">
      <alignment horizontal="right" vertical="center" indent="1"/>
    </xf>
    <xf numFmtId="0" fontId="65" fillId="0" borderId="0" xfId="0" applyFont="1"/>
    <xf numFmtId="0" fontId="65" fillId="0" borderId="0" xfId="0" applyFont="1" applyAlignment="1">
      <alignment horizontal="left" vertical="center"/>
    </xf>
    <xf numFmtId="0" fontId="54" fillId="0" borderId="0" xfId="0" applyFont="1" applyAlignment="1">
      <alignment vertical="center"/>
    </xf>
    <xf numFmtId="0" fontId="54" fillId="0" borderId="0" xfId="3" applyFont="1"/>
    <xf numFmtId="0" fontId="65" fillId="0" borderId="0" xfId="3" applyFont="1" applyAlignment="1">
      <alignment horizontal="left" vertical="top"/>
    </xf>
    <xf numFmtId="0" fontId="54" fillId="0" borderId="0" xfId="3" applyFont="1" applyAlignment="1">
      <alignment horizontal="left" vertical="top"/>
    </xf>
    <xf numFmtId="49" fontId="54" fillId="0" borderId="0" xfId="3" applyNumberFormat="1" applyFont="1" applyAlignment="1">
      <alignment horizontal="right"/>
    </xf>
    <xf numFmtId="0" fontId="51" fillId="0" borderId="0" xfId="3" applyFont="1" applyAlignment="1">
      <alignment horizontal="left" vertical="center"/>
    </xf>
    <xf numFmtId="0" fontId="65" fillId="0" borderId="0" xfId="7" applyFont="1"/>
    <xf numFmtId="0" fontId="104" fillId="0" borderId="0" xfId="7" applyFont="1"/>
    <xf numFmtId="0" fontId="65" fillId="0" borderId="0" xfId="1" applyFont="1" applyAlignment="1">
      <alignment horizontal="left"/>
    </xf>
    <xf numFmtId="0" fontId="54" fillId="0" borderId="0" xfId="1" applyFont="1"/>
    <xf numFmtId="0" fontId="25" fillId="0" borderId="0" xfId="1" applyFont="1" applyAlignment="1">
      <alignment horizontal="left"/>
    </xf>
    <xf numFmtId="3" fontId="54" fillId="0" borderId="0" xfId="1" applyNumberFormat="1" applyFont="1"/>
    <xf numFmtId="0" fontId="0" fillId="0" borderId="0" xfId="0" applyAlignment="1">
      <alignment horizontal="left" indent="2"/>
    </xf>
    <xf numFmtId="0" fontId="21" fillId="0" borderId="5" xfId="0" applyFont="1" applyBorder="1" applyAlignment="1">
      <alignment horizontal="center" vertical="center" wrapText="1"/>
    </xf>
    <xf numFmtId="171" fontId="0" fillId="0" borderId="48" xfId="19" applyNumberFormat="1" applyFont="1" applyBorder="1"/>
    <xf numFmtId="10" fontId="21" fillId="0" borderId="0" xfId="19" applyNumberFormat="1" applyFont="1"/>
    <xf numFmtId="49" fontId="43" fillId="0" borderId="0" xfId="3" applyNumberFormat="1" applyFont="1" applyAlignment="1">
      <alignment horizontal="right" vertical="center" wrapText="1"/>
    </xf>
    <xf numFmtId="0" fontId="69" fillId="0" borderId="0" xfId="3" applyFont="1"/>
    <xf numFmtId="0" fontId="21" fillId="0" borderId="0" xfId="3" applyAlignment="1">
      <alignment wrapText="1"/>
    </xf>
    <xf numFmtId="0" fontId="21" fillId="0" borderId="7" xfId="3" applyBorder="1" applyAlignment="1">
      <alignment horizontal="center" vertical="center" wrapText="1"/>
    </xf>
    <xf numFmtId="9" fontId="21" fillId="0" borderId="0" xfId="3" applyNumberFormat="1"/>
    <xf numFmtId="165" fontId="21" fillId="0" borderId="0" xfId="3" applyNumberFormat="1"/>
    <xf numFmtId="0" fontId="21" fillId="0" borderId="16" xfId="3" applyBorder="1" applyAlignment="1">
      <alignment horizontal="center" wrapText="1"/>
    </xf>
    <xf numFmtId="0" fontId="21" fillId="0" borderId="17" xfId="3" applyBorder="1" applyAlignment="1">
      <alignment horizontal="center" wrapText="1"/>
    </xf>
    <xf numFmtId="0" fontId="21" fillId="0" borderId="14" xfId="3" applyBorder="1" applyAlignment="1">
      <alignment horizontal="justify" vertical="center" wrapText="1"/>
    </xf>
    <xf numFmtId="0" fontId="21" fillId="0" borderId="0" xfId="3" applyAlignment="1">
      <alignment horizontal="right" vertical="center" wrapText="1"/>
    </xf>
    <xf numFmtId="0" fontId="21" fillId="0" borderId="15" xfId="3" applyBorder="1" applyAlignment="1">
      <alignment horizontal="right" vertical="center" wrapText="1"/>
    </xf>
    <xf numFmtId="3" fontId="21" fillId="0" borderId="0" xfId="3" applyNumberFormat="1" applyAlignment="1">
      <alignment horizontal="right" vertical="center" wrapText="1" indent="3"/>
    </xf>
    <xf numFmtId="0" fontId="21" fillId="0" borderId="0" xfId="3" applyAlignment="1">
      <alignment horizontal="right" vertical="center" wrapText="1" indent="4"/>
    </xf>
    <xf numFmtId="0" fontId="35" fillId="0" borderId="15" xfId="3" applyFont="1" applyBorder="1" applyAlignment="1">
      <alignment horizontal="right" vertical="center" wrapText="1" indent="3"/>
    </xf>
    <xf numFmtId="2" fontId="21" fillId="0" borderId="0" xfId="3" applyNumberFormat="1"/>
    <xf numFmtId="0" fontId="21" fillId="0" borderId="0" xfId="3" applyAlignment="1">
      <alignment horizontal="right" vertical="center" wrapText="1" indent="3"/>
    </xf>
    <xf numFmtId="3" fontId="21" fillId="0" borderId="15" xfId="3" applyNumberFormat="1" applyBorder="1" applyAlignment="1">
      <alignment horizontal="right" vertical="center" wrapText="1" indent="3"/>
    </xf>
    <xf numFmtId="0" fontId="21" fillId="0" borderId="15" xfId="3" applyBorder="1" applyAlignment="1">
      <alignment horizontal="right" vertical="center" wrapText="1" indent="3"/>
    </xf>
    <xf numFmtId="0" fontId="65" fillId="0" borderId="0" xfId="3" applyFont="1"/>
    <xf numFmtId="0" fontId="21" fillId="0" borderId="0" xfId="3" applyAlignment="1">
      <alignment vertical="center" wrapText="1"/>
    </xf>
    <xf numFmtId="0" fontId="64" fillId="0" borderId="0" xfId="3" applyFont="1" applyAlignment="1">
      <alignment horizontal="left"/>
    </xf>
    <xf numFmtId="0" fontId="43" fillId="0" borderId="0" xfId="3" applyFont="1" applyAlignment="1">
      <alignment horizontal="left" vertical="center"/>
    </xf>
    <xf numFmtId="3" fontId="43" fillId="0" borderId="0" xfId="3" applyNumberFormat="1" applyFont="1" applyAlignment="1">
      <alignment horizontal="left" vertical="center"/>
    </xf>
    <xf numFmtId="0" fontId="69" fillId="0" borderId="0" xfId="3" applyFont="1" applyAlignment="1">
      <alignment horizontal="left"/>
    </xf>
    <xf numFmtId="0" fontId="0" fillId="5" borderId="0" xfId="0" applyFill="1" applyAlignment="1">
      <alignment horizontal="left"/>
    </xf>
    <xf numFmtId="10" fontId="0" fillId="5" borderId="47" xfId="0" applyNumberFormat="1" applyFill="1" applyBorder="1"/>
    <xf numFmtId="10" fontId="0" fillId="5" borderId="48" xfId="0" applyNumberFormat="1" applyFill="1" applyBorder="1"/>
    <xf numFmtId="1" fontId="21" fillId="0" borderId="0" xfId="3" applyNumberFormat="1" applyAlignment="1">
      <alignment horizontal="left"/>
    </xf>
    <xf numFmtId="0" fontId="21" fillId="6" borderId="0" xfId="7" applyFont="1" applyFill="1" applyAlignment="1">
      <alignment horizontal="center"/>
    </xf>
    <xf numFmtId="9" fontId="43" fillId="0" borderId="0" xfId="10" applyNumberFormat="1" applyFont="1" applyAlignment="1">
      <alignment horizontal="left" vertical="center" wrapText="1"/>
    </xf>
    <xf numFmtId="0" fontId="21" fillId="0" borderId="0" xfId="7" applyFont="1" applyAlignment="1">
      <alignment horizontal="left"/>
    </xf>
    <xf numFmtId="3" fontId="43" fillId="0" borderId="0" xfId="10" applyNumberFormat="1" applyFont="1" applyAlignment="1">
      <alignment horizontal="left" vertical="center" indent="1"/>
    </xf>
    <xf numFmtId="3" fontId="21" fillId="0" borderId="0" xfId="7" applyNumberFormat="1" applyFont="1" applyAlignment="1">
      <alignment horizontal="left"/>
    </xf>
    <xf numFmtId="3" fontId="43" fillId="0" borderId="0" xfId="10" applyNumberFormat="1" applyFont="1" applyAlignment="1">
      <alignment horizontal="left" vertical="center"/>
    </xf>
    <xf numFmtId="49" fontId="21" fillId="0" borderId="0" xfId="3" applyNumberFormat="1" applyAlignment="1">
      <alignment horizontal="left"/>
    </xf>
    <xf numFmtId="0" fontId="115" fillId="0" borderId="0" xfId="42"/>
    <xf numFmtId="0" fontId="21" fillId="0" borderId="0" xfId="42" applyFont="1"/>
    <xf numFmtId="3" fontId="21" fillId="0" borderId="10" xfId="6" applyNumberFormat="1" applyFont="1" applyBorder="1" applyAlignment="1">
      <alignment horizontal="center"/>
    </xf>
    <xf numFmtId="0" fontId="21" fillId="0" borderId="0" xfId="3" applyAlignment="1">
      <alignment horizontal="center" vertical="center"/>
    </xf>
    <xf numFmtId="49" fontId="24" fillId="0" borderId="0" xfId="3" applyNumberFormat="1" applyFont="1" applyAlignment="1">
      <alignment horizontal="left" vertical="center"/>
    </xf>
    <xf numFmtId="0" fontId="69" fillId="0" borderId="0" xfId="42" applyFont="1"/>
    <xf numFmtId="0" fontId="21" fillId="0" borderId="33" xfId="0" applyFont="1" applyBorder="1" applyAlignment="1">
      <alignment horizontal="center" vertical="center"/>
    </xf>
    <xf numFmtId="3" fontId="43" fillId="6" borderId="0" xfId="3" applyNumberFormat="1" applyFont="1" applyFill="1" applyAlignment="1">
      <alignment horizontal="left" vertical="center"/>
    </xf>
    <xf numFmtId="0" fontId="43" fillId="6" borderId="0" xfId="3" applyFont="1" applyFill="1" applyAlignment="1">
      <alignment horizontal="left" vertical="center"/>
    </xf>
    <xf numFmtId="0" fontId="0" fillId="0" borderId="4" xfId="0" applyBorder="1"/>
    <xf numFmtId="0" fontId="21" fillId="0" borderId="4" xfId="0" applyFont="1" applyBorder="1" applyAlignment="1">
      <alignment horizontal="center" vertical="center" wrapText="1"/>
    </xf>
    <xf numFmtId="164" fontId="21" fillId="0" borderId="0" xfId="4" applyNumberFormat="1" applyFont="1" applyBorder="1" applyAlignment="1">
      <alignment horizontal="right" vertical="center" wrapText="1"/>
    </xf>
    <xf numFmtId="164" fontId="21" fillId="0" borderId="0" xfId="0" applyNumberFormat="1" applyFont="1" applyAlignment="1">
      <alignment horizontal="center" vertical="center" wrapText="1"/>
    </xf>
    <xf numFmtId="0" fontId="21" fillId="0" borderId="5" xfId="0" applyFont="1" applyBorder="1" applyAlignment="1">
      <alignment horizontal="right" vertical="center" wrapText="1"/>
    </xf>
    <xf numFmtId="164" fontId="21" fillId="0" borderId="0" xfId="4" applyNumberFormat="1" applyFont="1" applyFill="1" applyBorder="1" applyAlignment="1">
      <alignment horizontal="right" vertical="center" wrapText="1"/>
    </xf>
    <xf numFmtId="164" fontId="0" fillId="0" borderId="0" xfId="0" applyNumberFormat="1" applyAlignment="1">
      <alignment horizontal="right"/>
    </xf>
    <xf numFmtId="3" fontId="0" fillId="0" borderId="10" xfId="0" applyNumberFormat="1" applyBorder="1"/>
    <xf numFmtId="0" fontId="0" fillId="0" borderId="11" xfId="0" applyBorder="1"/>
    <xf numFmtId="0" fontId="53" fillId="0" borderId="0" xfId="3" applyFont="1"/>
    <xf numFmtId="168" fontId="53" fillId="0" borderId="0" xfId="3" applyNumberFormat="1" applyFont="1"/>
    <xf numFmtId="0" fontId="21" fillId="0" borderId="15" xfId="0" applyFont="1" applyBorder="1" applyAlignment="1">
      <alignment horizontal="center" wrapText="1"/>
    </xf>
    <xf numFmtId="0" fontId="21" fillId="0" borderId="22" xfId="0" applyFont="1" applyBorder="1" applyAlignment="1">
      <alignment horizontal="center" wrapText="1"/>
    </xf>
    <xf numFmtId="3" fontId="32" fillId="0" borderId="0" xfId="8" applyNumberFormat="1" applyFont="1" applyFill="1" applyBorder="1" applyAlignment="1">
      <alignment horizontal="right" vertical="center" indent="1"/>
    </xf>
    <xf numFmtId="3" fontId="32" fillId="0" borderId="0" xfId="8" applyNumberFormat="1" applyFont="1" applyBorder="1" applyAlignment="1">
      <alignment horizontal="right" vertical="center" indent="1"/>
    </xf>
    <xf numFmtId="0" fontId="28" fillId="7" borderId="0" xfId="3" applyFont="1" applyFill="1" applyAlignment="1">
      <alignment horizontal="left"/>
    </xf>
    <xf numFmtId="0" fontId="21" fillId="0" borderId="29" xfId="3" applyBorder="1"/>
    <xf numFmtId="1" fontId="21" fillId="0" borderId="4" xfId="7" applyNumberFormat="1" applyFont="1" applyBorder="1" applyAlignment="1">
      <alignment horizontal="center" vertical="center"/>
    </xf>
    <xf numFmtId="3" fontId="32" fillId="0" borderId="29" xfId="8" applyNumberFormat="1" applyFont="1" applyFill="1" applyBorder="1" applyAlignment="1">
      <alignment horizontal="center" vertical="center"/>
    </xf>
    <xf numFmtId="0" fontId="119" fillId="0" borderId="0" xfId="42" applyFont="1"/>
    <xf numFmtId="0" fontId="21" fillId="0" borderId="5" xfId="7" applyFont="1" applyBorder="1" applyAlignment="1">
      <alignment vertical="center"/>
    </xf>
    <xf numFmtId="3" fontId="32" fillId="0" borderId="0" xfId="8" applyNumberFormat="1" applyFont="1" applyFill="1" applyBorder="1" applyAlignment="1">
      <alignment horizontal="center" vertical="center"/>
    </xf>
    <xf numFmtId="0" fontId="21" fillId="18" borderId="0" xfId="3" applyFill="1" applyAlignment="1">
      <alignment horizontal="left"/>
    </xf>
    <xf numFmtId="0" fontId="24" fillId="0" borderId="0" xfId="3" applyFont="1" applyAlignment="1">
      <alignment vertical="center" wrapText="1"/>
    </xf>
    <xf numFmtId="171" fontId="21" fillId="0" borderId="0" xfId="9" applyNumberFormat="1" applyFont="1"/>
    <xf numFmtId="166" fontId="21" fillId="0" borderId="10" xfId="3" applyNumberFormat="1" applyBorder="1"/>
    <xf numFmtId="171" fontId="21" fillId="0" borderId="10" xfId="9" applyNumberFormat="1" applyFont="1" applyBorder="1"/>
    <xf numFmtId="0" fontId="73" fillId="2" borderId="0" xfId="3" applyFont="1" applyFill="1" applyAlignment="1">
      <alignment horizontal="left"/>
    </xf>
    <xf numFmtId="0" fontId="21" fillId="0" borderId="75" xfId="3" applyBorder="1"/>
    <xf numFmtId="3" fontId="21" fillId="6" borderId="0" xfId="3" applyNumberFormat="1" applyFill="1" applyAlignment="1">
      <alignment horizontal="left"/>
    </xf>
    <xf numFmtId="37" fontId="21" fillId="0" borderId="6" xfId="4" applyNumberFormat="1" applyFont="1" applyBorder="1" applyAlignment="1" applyProtection="1">
      <alignment horizontal="left" vertical="center" indent="3"/>
      <protection locked="0"/>
    </xf>
    <xf numFmtId="3" fontId="21" fillId="0" borderId="6" xfId="3" applyNumberFormat="1" applyBorder="1" applyAlignment="1">
      <alignment horizontal="right" vertical="center" wrapText="1" indent="3"/>
    </xf>
    <xf numFmtId="0" fontId="21" fillId="0" borderId="6" xfId="3" applyBorder="1" applyAlignment="1">
      <alignment horizontal="right" vertical="center" wrapText="1" indent="4"/>
    </xf>
    <xf numFmtId="0" fontId="21" fillId="0" borderId="20" xfId="3" applyBorder="1" applyAlignment="1">
      <alignment horizontal="right" vertical="center" wrapText="1" indent="3"/>
    </xf>
    <xf numFmtId="171" fontId="21" fillId="0" borderId="0" xfId="9" applyNumberFormat="1" applyFont="1" applyBorder="1"/>
    <xf numFmtId="0" fontId="21" fillId="0" borderId="4" xfId="3" applyBorder="1" applyAlignment="1">
      <alignment horizontal="center"/>
    </xf>
    <xf numFmtId="164" fontId="21" fillId="0" borderId="0" xfId="3" applyNumberFormat="1" applyAlignment="1">
      <alignment horizontal="left"/>
    </xf>
    <xf numFmtId="164" fontId="21" fillId="0" borderId="0" xfId="3" applyNumberFormat="1" applyAlignment="1">
      <alignment horizontal="left" vertical="center" wrapText="1"/>
    </xf>
    <xf numFmtId="0" fontId="21" fillId="0" borderId="0" xfId="3" quotePrefix="1"/>
    <xf numFmtId="0" fontId="54" fillId="0" borderId="0" xfId="3" applyFont="1" applyAlignment="1">
      <alignment horizontal="right"/>
    </xf>
    <xf numFmtId="1" fontId="21" fillId="19" borderId="0" xfId="3" applyNumberFormat="1" applyFill="1" applyAlignment="1">
      <alignment horizontal="left" vertical="center" wrapText="1"/>
    </xf>
    <xf numFmtId="0" fontId="21" fillId="19" borderId="0" xfId="3" applyFill="1" applyAlignment="1">
      <alignment horizontal="left" vertical="center" wrapText="1"/>
    </xf>
    <xf numFmtId="0" fontId="21" fillId="2" borderId="0" xfId="3" applyFill="1"/>
    <xf numFmtId="167" fontId="21" fillId="0" borderId="0" xfId="3" applyNumberFormat="1" applyAlignment="1">
      <alignment horizontal="left"/>
    </xf>
    <xf numFmtId="1" fontId="54" fillId="0" borderId="0" xfId="3" applyNumberFormat="1" applyFont="1" applyAlignment="1">
      <alignment horizontal="left"/>
    </xf>
    <xf numFmtId="0" fontId="21" fillId="2" borderId="0" xfId="3" applyFill="1" applyAlignment="1">
      <alignment horizontal="left"/>
    </xf>
    <xf numFmtId="0" fontId="0" fillId="0" borderId="0" xfId="3" applyFont="1" applyAlignment="1">
      <alignment horizontal="left"/>
    </xf>
    <xf numFmtId="1" fontId="0" fillId="0" borderId="0" xfId="3" applyNumberFormat="1" applyFont="1" applyAlignment="1">
      <alignment horizontal="left" vertical="center" wrapText="1"/>
    </xf>
    <xf numFmtId="0" fontId="21" fillId="19" borderId="0" xfId="3" applyFill="1" applyAlignment="1">
      <alignment horizontal="left"/>
    </xf>
    <xf numFmtId="0" fontId="21" fillId="0" borderId="51" xfId="3" applyBorder="1" applyAlignment="1">
      <alignment horizontal="left"/>
    </xf>
    <xf numFmtId="0" fontId="21" fillId="0" borderId="23" xfId="3" applyBorder="1" applyAlignment="1">
      <alignment horizontal="left"/>
    </xf>
    <xf numFmtId="0" fontId="21" fillId="0" borderId="9" xfId="3" applyBorder="1" applyAlignment="1">
      <alignment horizontal="center" vertical="center" textRotation="90"/>
    </xf>
    <xf numFmtId="0" fontId="28" fillId="0" borderId="10" xfId="3" applyFont="1" applyBorder="1" applyAlignment="1">
      <alignment horizontal="left"/>
    </xf>
    <xf numFmtId="0" fontId="21" fillId="0" borderId="0" xfId="3" applyAlignment="1">
      <alignment horizontal="right" vertical="center"/>
    </xf>
    <xf numFmtId="0" fontId="21" fillId="0" borderId="9" xfId="7" applyFont="1" applyBorder="1" applyAlignment="1">
      <alignment horizontal="center"/>
    </xf>
    <xf numFmtId="0" fontId="21" fillId="0" borderId="10" xfId="7" applyFont="1" applyBorder="1" applyAlignment="1">
      <alignment horizontal="center"/>
    </xf>
    <xf numFmtId="0" fontId="21" fillId="0" borderId="11" xfId="7" applyFont="1" applyBorder="1" applyAlignment="1">
      <alignment horizontal="center"/>
    </xf>
    <xf numFmtId="3" fontId="43" fillId="0" borderId="0" xfId="3" applyNumberFormat="1" applyFont="1" applyAlignment="1">
      <alignment horizontal="center" vertical="center"/>
    </xf>
    <xf numFmtId="0" fontId="21" fillId="0" borderId="0" xfId="7" applyFont="1" applyAlignment="1">
      <alignment vertical="center"/>
    </xf>
    <xf numFmtId="0" fontId="32" fillId="0" borderId="0" xfId="7" applyFont="1" applyAlignment="1">
      <alignment vertical="center"/>
    </xf>
    <xf numFmtId="1" fontId="21" fillId="0" borderId="4" xfId="7" applyNumberFormat="1" applyFont="1" applyBorder="1" applyAlignment="1">
      <alignment horizontal="center" vertical="top"/>
    </xf>
    <xf numFmtId="0" fontId="43" fillId="0" borderId="5" xfId="3" applyFont="1" applyBorder="1" applyAlignment="1">
      <alignment horizontal="left" vertical="center"/>
    </xf>
    <xf numFmtId="0" fontId="21" fillId="0" borderId="4" xfId="7" applyFont="1" applyBorder="1" applyAlignment="1">
      <alignment horizontal="center"/>
    </xf>
    <xf numFmtId="0" fontId="21" fillId="0" borderId="5" xfId="7" applyFont="1" applyBorder="1" applyAlignment="1">
      <alignment horizontal="center"/>
    </xf>
    <xf numFmtId="1" fontId="21" fillId="0" borderId="30" xfId="7" applyNumberFormat="1" applyFont="1" applyBorder="1" applyAlignment="1">
      <alignment horizontal="center" vertical="center"/>
    </xf>
    <xf numFmtId="0" fontId="21" fillId="0" borderId="29" xfId="7" applyFont="1" applyBorder="1" applyAlignment="1">
      <alignment vertical="center"/>
    </xf>
    <xf numFmtId="0" fontId="21" fillId="0" borderId="31" xfId="7" applyFont="1" applyBorder="1" applyAlignment="1">
      <alignment vertical="center"/>
    </xf>
    <xf numFmtId="1" fontId="21" fillId="0" borderId="0" xfId="7" applyNumberFormat="1" applyFont="1" applyAlignment="1">
      <alignment horizontal="center" vertical="center"/>
    </xf>
    <xf numFmtId="0" fontId="24" fillId="2" borderId="0" xfId="7" applyFont="1" applyFill="1" applyAlignment="1">
      <alignment horizontal="left"/>
    </xf>
    <xf numFmtId="1" fontId="24" fillId="0" borderId="0" xfId="7" applyNumberFormat="1" applyFont="1" applyAlignment="1">
      <alignment horizontal="left" vertical="center"/>
    </xf>
    <xf numFmtId="3" fontId="32" fillId="0" borderId="29" xfId="8" applyNumberFormat="1" applyFont="1" applyFill="1" applyBorder="1" applyAlignment="1">
      <alignment horizontal="right" vertical="center" indent="1"/>
    </xf>
    <xf numFmtId="3" fontId="21" fillId="0" borderId="29" xfId="7" applyNumberFormat="1" applyFont="1" applyBorder="1" applyAlignment="1">
      <alignment vertical="center"/>
    </xf>
    <xf numFmtId="0" fontId="32" fillId="0" borderId="0" xfId="10" applyFont="1" applyAlignment="1">
      <alignment vertical="center"/>
    </xf>
    <xf numFmtId="3" fontId="43" fillId="0" borderId="0" xfId="10" applyNumberFormat="1" applyFont="1" applyAlignment="1">
      <alignment horizontal="left" vertical="center" wrapText="1" indent="1"/>
    </xf>
    <xf numFmtId="0" fontId="43" fillId="0" borderId="0" xfId="10" applyFont="1" applyAlignment="1">
      <alignment horizontal="left" vertical="center" wrapText="1" indent="1"/>
    </xf>
    <xf numFmtId="0" fontId="43" fillId="0" borderId="0" xfId="10" applyFont="1" applyAlignment="1">
      <alignment horizontal="left" vertical="center" wrapText="1"/>
    </xf>
    <xf numFmtId="0" fontId="43" fillId="0" borderId="0" xfId="10" applyFont="1" applyAlignment="1">
      <alignment horizontal="left" vertical="center" indent="1"/>
    </xf>
    <xf numFmtId="0" fontId="43" fillId="0" borderId="0" xfId="10" applyFont="1" applyAlignment="1">
      <alignment horizontal="left" vertical="center"/>
    </xf>
    <xf numFmtId="3" fontId="43" fillId="6" borderId="0" xfId="10" applyNumberFormat="1" applyFont="1" applyFill="1" applyAlignment="1">
      <alignment horizontal="left" vertical="center" indent="1"/>
    </xf>
    <xf numFmtId="3" fontId="43" fillId="6" borderId="0" xfId="10" applyNumberFormat="1" applyFont="1" applyFill="1" applyAlignment="1">
      <alignment horizontal="left" vertical="center" wrapText="1" indent="1"/>
    </xf>
    <xf numFmtId="0" fontId="43" fillId="6" borderId="0" xfId="10" applyFont="1" applyFill="1" applyAlignment="1">
      <alignment horizontal="left" vertical="center" indent="1"/>
    </xf>
    <xf numFmtId="0" fontId="43" fillId="6" borderId="0" xfId="10" applyFont="1" applyFill="1" applyAlignment="1">
      <alignment horizontal="left" vertical="center" wrapText="1" indent="1"/>
    </xf>
    <xf numFmtId="3" fontId="21" fillId="6" borderId="0" xfId="10" applyNumberFormat="1" applyFont="1" applyFill="1" applyAlignment="1">
      <alignment horizontal="left" vertical="center" indent="1"/>
    </xf>
    <xf numFmtId="0" fontId="21" fillId="6" borderId="0" xfId="10" applyFont="1" applyFill="1" applyAlignment="1">
      <alignment horizontal="left" vertical="center" wrapText="1" indent="1"/>
    </xf>
    <xf numFmtId="3" fontId="21" fillId="0" borderId="0" xfId="10" applyNumberFormat="1" applyFont="1" applyAlignment="1">
      <alignment horizontal="left" vertical="center" wrapText="1" indent="1"/>
    </xf>
    <xf numFmtId="0" fontId="21" fillId="0" borderId="0" xfId="10" applyFont="1" applyAlignment="1">
      <alignment horizontal="left" vertical="center" wrapText="1" indent="1"/>
    </xf>
    <xf numFmtId="0" fontId="21" fillId="0" borderId="0" xfId="10" applyFont="1" applyAlignment="1">
      <alignment horizontal="left" vertical="center" indent="1"/>
    </xf>
    <xf numFmtId="3" fontId="21" fillId="6" borderId="0" xfId="10" applyNumberFormat="1" applyFont="1" applyFill="1" applyAlignment="1">
      <alignment horizontal="left" vertical="center" wrapText="1" indent="1"/>
    </xf>
    <xf numFmtId="49" fontId="32" fillId="0" borderId="0" xfId="10" applyNumberFormat="1" applyFont="1" applyAlignment="1">
      <alignment horizontal="left" vertical="center" wrapText="1"/>
    </xf>
    <xf numFmtId="0" fontId="21" fillId="0" borderId="0" xfId="7" applyFont="1" applyAlignment="1">
      <alignment horizontal="left" indent="1"/>
    </xf>
    <xf numFmtId="3" fontId="21" fillId="0" borderId="0" xfId="7" applyNumberFormat="1" applyFont="1" applyAlignment="1">
      <alignment horizontal="left" wrapText="1"/>
    </xf>
    <xf numFmtId="49" fontId="32" fillId="0" borderId="0" xfId="10" applyNumberFormat="1" applyFont="1" applyAlignment="1">
      <alignment horizontal="left" vertical="center"/>
    </xf>
    <xf numFmtId="0" fontId="21" fillId="0" borderId="13" xfId="1" applyBorder="1" applyAlignment="1">
      <alignment horizontal="center" vertical="center"/>
    </xf>
    <xf numFmtId="0" fontId="21" fillId="0" borderId="15" xfId="1" applyBorder="1" applyAlignment="1">
      <alignment horizontal="center" vertical="center"/>
    </xf>
    <xf numFmtId="0" fontId="21" fillId="0" borderId="71" xfId="1" applyBorder="1" applyAlignment="1">
      <alignment horizontal="center" vertical="center" wrapText="1"/>
    </xf>
    <xf numFmtId="0" fontId="21" fillId="0" borderId="22" xfId="1" applyBorder="1" applyAlignment="1">
      <alignment horizontal="center" vertical="center" wrapText="1"/>
    </xf>
    <xf numFmtId="0" fontId="31" fillId="0" borderId="25" xfId="1" applyFont="1" applyBorder="1" applyAlignment="1">
      <alignment horizontal="center" vertical="center" wrapText="1"/>
    </xf>
    <xf numFmtId="0" fontId="33" fillId="0" borderId="0" xfId="1" applyFont="1" applyAlignment="1">
      <alignment horizontal="center" vertical="center" wrapText="1"/>
    </xf>
    <xf numFmtId="3" fontId="33" fillId="0" borderId="0" xfId="1" applyNumberFormat="1" applyFont="1" applyAlignment="1">
      <alignment horizontal="center" vertical="center" wrapText="1"/>
    </xf>
    <xf numFmtId="0" fontId="33" fillId="0" borderId="0" xfId="3" applyFont="1" applyAlignment="1">
      <alignment horizontal="center" vertical="center"/>
    </xf>
    <xf numFmtId="3" fontId="34" fillId="0" borderId="0" xfId="3" applyNumberFormat="1" applyFont="1" applyAlignment="1">
      <alignment horizontal="center" vertical="center"/>
    </xf>
    <xf numFmtId="0" fontId="33" fillId="0" borderId="0" xfId="1" applyFont="1" applyAlignment="1">
      <alignment horizontal="right" vertical="center" wrapText="1"/>
    </xf>
    <xf numFmtId="3" fontId="33" fillId="0" borderId="0" xfId="1" applyNumberFormat="1" applyFont="1" applyAlignment="1">
      <alignment horizontal="right" vertical="center" wrapText="1"/>
    </xf>
    <xf numFmtId="3" fontId="33" fillId="0" borderId="0" xfId="1" applyNumberFormat="1" applyFont="1" applyAlignment="1">
      <alignment horizontal="center" vertical="center"/>
    </xf>
    <xf numFmtId="0" fontId="33" fillId="0" borderId="0" xfId="1" applyFont="1" applyAlignment="1">
      <alignment vertical="center"/>
    </xf>
    <xf numFmtId="3" fontId="33" fillId="0" borderId="0" xfId="3" applyNumberFormat="1" applyFont="1" applyAlignment="1">
      <alignment horizontal="center" vertical="center"/>
    </xf>
    <xf numFmtId="3" fontId="21" fillId="0" borderId="0" xfId="3" applyNumberFormat="1" applyAlignment="1">
      <alignment horizontal="center" vertical="center"/>
    </xf>
    <xf numFmtId="3" fontId="21" fillId="0" borderId="0" xfId="3" applyNumberFormat="1" applyAlignment="1">
      <alignment horizontal="center" vertical="center" wrapText="1"/>
    </xf>
    <xf numFmtId="0" fontId="21" fillId="0" borderId="11" xfId="3" applyBorder="1" applyAlignment="1">
      <alignment horizontal="center" vertical="center"/>
    </xf>
    <xf numFmtId="0" fontId="47" fillId="0" borderId="0" xfId="3" applyFont="1" applyAlignment="1">
      <alignment horizontal="left" vertical="center"/>
    </xf>
    <xf numFmtId="0" fontId="48" fillId="0" borderId="0" xfId="3" applyFont="1" applyAlignment="1">
      <alignment vertical="center"/>
    </xf>
    <xf numFmtId="0" fontId="24" fillId="0" borderId="0" xfId="3" applyFont="1" applyAlignment="1">
      <alignment horizontal="left" vertical="center"/>
    </xf>
    <xf numFmtId="3" fontId="21" fillId="0" borderId="0" xfId="3" applyNumberFormat="1" applyAlignment="1">
      <alignment vertical="center" wrapText="1"/>
    </xf>
    <xf numFmtId="0" fontId="74" fillId="0" borderId="0" xfId="3" applyFont="1"/>
    <xf numFmtId="0" fontId="76" fillId="0" borderId="45" xfId="3" applyFont="1" applyBorder="1" applyAlignment="1">
      <alignment vertical="center"/>
    </xf>
    <xf numFmtId="0" fontId="76" fillId="0" borderId="56" xfId="3" applyFont="1" applyBorder="1" applyAlignment="1">
      <alignment vertical="center"/>
    </xf>
    <xf numFmtId="0" fontId="76" fillId="0" borderId="39" xfId="3" applyFont="1" applyBorder="1" applyAlignment="1">
      <alignment vertical="center"/>
    </xf>
    <xf numFmtId="0" fontId="76" fillId="0" borderId="46" xfId="3" applyFont="1" applyBorder="1" applyAlignment="1">
      <alignment vertical="center"/>
    </xf>
    <xf numFmtId="0" fontId="77" fillId="0" borderId="0" xfId="3" applyFont="1"/>
    <xf numFmtId="0" fontId="78" fillId="0" borderId="39" xfId="3" applyFont="1" applyBorder="1" applyAlignment="1">
      <alignment wrapText="1"/>
    </xf>
    <xf numFmtId="0" fontId="76" fillId="0" borderId="49" xfId="3" applyFont="1" applyBorder="1" applyAlignment="1">
      <alignment horizontal="center" vertical="center"/>
    </xf>
    <xf numFmtId="0" fontId="76" fillId="0" borderId="49" xfId="3" applyFont="1" applyBorder="1" applyAlignment="1">
      <alignment horizontal="center" vertical="center" wrapText="1"/>
    </xf>
    <xf numFmtId="0" fontId="76" fillId="0" borderId="22" xfId="3" applyFont="1" applyBorder="1" applyAlignment="1">
      <alignment horizontal="center" vertical="center" wrapText="1"/>
    </xf>
    <xf numFmtId="0" fontId="76" fillId="0" borderId="50" xfId="3" applyFont="1" applyBorder="1" applyAlignment="1">
      <alignment horizontal="center" vertical="center" wrapText="1"/>
    </xf>
    <xf numFmtId="0" fontId="76" fillId="0" borderId="59" xfId="3" applyFont="1" applyBorder="1" applyAlignment="1">
      <alignment horizontal="center" vertical="center" wrapText="1"/>
    </xf>
    <xf numFmtId="0" fontId="21" fillId="0" borderId="24" xfId="3" applyBorder="1" applyAlignment="1">
      <alignment wrapText="1"/>
    </xf>
    <xf numFmtId="0" fontId="21" fillId="0" borderId="58" xfId="3" applyBorder="1" applyAlignment="1">
      <alignment wrapText="1"/>
    </xf>
    <xf numFmtId="0" fontId="76" fillId="0" borderId="47" xfId="3" applyFont="1" applyBorder="1" applyAlignment="1">
      <alignment horizontal="center" vertical="center" wrapText="1"/>
    </xf>
    <xf numFmtId="0" fontId="76" fillId="0" borderId="0" xfId="3" applyFont="1" applyAlignment="1">
      <alignment horizontal="center" vertical="center" wrapText="1"/>
    </xf>
    <xf numFmtId="0" fontId="76" fillId="0" borderId="0" xfId="3" applyFont="1" applyAlignment="1">
      <alignment horizontal="center" vertical="center"/>
    </xf>
    <xf numFmtId="0" fontId="76" fillId="0" borderId="48" xfId="3" applyFont="1" applyBorder="1" applyAlignment="1">
      <alignment horizontal="center" vertical="center" wrapText="1"/>
    </xf>
    <xf numFmtId="0" fontId="76" fillId="0" borderId="47" xfId="3" applyFont="1" applyBorder="1" applyAlignment="1">
      <alignment horizontal="center" vertical="center"/>
    </xf>
    <xf numFmtId="10" fontId="76" fillId="0" borderId="47" xfId="3" applyNumberFormat="1" applyFont="1" applyBorder="1" applyAlignment="1">
      <alignment horizontal="right" vertical="center"/>
    </xf>
    <xf numFmtId="0" fontId="76" fillId="0" borderId="0" xfId="3" applyFont="1" applyAlignment="1">
      <alignment horizontal="right" vertical="center"/>
    </xf>
    <xf numFmtId="0" fontId="76" fillId="0" borderId="48" xfId="3" applyFont="1" applyBorder="1" applyAlignment="1">
      <alignment horizontal="right" vertical="center"/>
    </xf>
    <xf numFmtId="0" fontId="76" fillId="0" borderId="60" xfId="3" applyFont="1" applyBorder="1" applyAlignment="1">
      <alignment horizontal="right" vertical="center" wrapText="1"/>
    </xf>
    <xf numFmtId="0" fontId="76" fillId="0" borderId="0" xfId="3" applyFont="1" applyAlignment="1">
      <alignment horizontal="right" vertical="center" wrapText="1"/>
    </xf>
    <xf numFmtId="10" fontId="76" fillId="0" borderId="0" xfId="3" applyNumberFormat="1" applyFont="1" applyAlignment="1">
      <alignment horizontal="right" vertical="center" wrapText="1"/>
    </xf>
    <xf numFmtId="10" fontId="76" fillId="0" borderId="48" xfId="3" applyNumberFormat="1" applyFont="1" applyBorder="1" applyAlignment="1">
      <alignment horizontal="right" vertical="center" wrapText="1"/>
    </xf>
    <xf numFmtId="0" fontId="21" fillId="0" borderId="47" xfId="3" applyBorder="1"/>
    <xf numFmtId="10" fontId="76" fillId="0" borderId="48" xfId="3" applyNumberFormat="1" applyFont="1" applyBorder="1" applyAlignment="1">
      <alignment horizontal="center" vertical="center"/>
    </xf>
    <xf numFmtId="3" fontId="21" fillId="0" borderId="0" xfId="3" applyNumberFormat="1" applyAlignment="1">
      <alignment horizontal="center"/>
    </xf>
    <xf numFmtId="0" fontId="21" fillId="0" borderId="49" xfId="3" applyBorder="1"/>
    <xf numFmtId="0" fontId="21" fillId="0" borderId="22" xfId="3" applyBorder="1" applyAlignment="1">
      <alignment horizontal="left"/>
    </xf>
    <xf numFmtId="3" fontId="21" fillId="0" borderId="22" xfId="3" applyNumberFormat="1" applyBorder="1"/>
    <xf numFmtId="3" fontId="76" fillId="0" borderId="0" xfId="3" applyNumberFormat="1" applyFont="1" applyAlignment="1">
      <alignment horizontal="right" vertical="center"/>
    </xf>
    <xf numFmtId="3" fontId="76" fillId="0" borderId="60" xfId="3" applyNumberFormat="1" applyFont="1" applyBorder="1" applyAlignment="1">
      <alignment horizontal="right" vertical="center"/>
    </xf>
    <xf numFmtId="0" fontId="78" fillId="0" borderId="0" xfId="3" applyFont="1"/>
    <xf numFmtId="0" fontId="76" fillId="0" borderId="47" xfId="3" applyFont="1" applyBorder="1" applyAlignment="1">
      <alignment vertical="center"/>
    </xf>
    <xf numFmtId="0" fontId="78" fillId="0" borderId="0" xfId="3" applyFont="1" applyAlignment="1">
      <alignment wrapText="1"/>
    </xf>
    <xf numFmtId="0" fontId="76" fillId="0" borderId="48" xfId="3" applyFont="1" applyBorder="1" applyAlignment="1">
      <alignment vertical="center" wrapText="1"/>
    </xf>
    <xf numFmtId="0" fontId="76" fillId="0" borderId="47" xfId="3" applyFont="1" applyBorder="1" applyAlignment="1">
      <alignment vertical="center" wrapText="1"/>
    </xf>
    <xf numFmtId="0" fontId="76" fillId="0" borderId="22" xfId="3" applyFont="1" applyBorder="1" applyAlignment="1">
      <alignment horizontal="right" vertical="center"/>
    </xf>
    <xf numFmtId="10" fontId="76" fillId="0" borderId="22" xfId="3" applyNumberFormat="1" applyFont="1" applyBorder="1" applyAlignment="1">
      <alignment horizontal="right" vertical="center" wrapText="1"/>
    </xf>
    <xf numFmtId="10" fontId="76" fillId="0" borderId="50" xfId="3" applyNumberFormat="1" applyFont="1" applyBorder="1" applyAlignment="1">
      <alignment horizontal="right" vertical="center" wrapText="1"/>
    </xf>
    <xf numFmtId="0" fontId="76" fillId="0" borderId="49" xfId="3" applyFont="1" applyBorder="1" applyAlignment="1">
      <alignment vertical="center" wrapText="1"/>
    </xf>
    <xf numFmtId="10" fontId="76" fillId="0" borderId="50" xfId="3" applyNumberFormat="1" applyFont="1" applyBorder="1" applyAlignment="1">
      <alignment horizontal="center" vertical="center"/>
    </xf>
    <xf numFmtId="0" fontId="73" fillId="0" borderId="0" xfId="3" applyFont="1"/>
    <xf numFmtId="0" fontId="65" fillId="0" borderId="0" xfId="3" applyFont="1" applyAlignment="1">
      <alignment vertical="center"/>
    </xf>
    <xf numFmtId="0" fontId="106" fillId="0" borderId="30" xfId="3" applyFont="1" applyBorder="1" applyAlignment="1">
      <alignment vertical="center"/>
    </xf>
    <xf numFmtId="0" fontId="106" fillId="0" borderId="10" xfId="3" applyFont="1" applyBorder="1" applyAlignment="1">
      <alignment vertical="center"/>
    </xf>
    <xf numFmtId="0" fontId="106" fillId="0" borderId="11" xfId="3" applyFont="1" applyBorder="1" applyAlignment="1">
      <alignment vertical="center"/>
    </xf>
    <xf numFmtId="0" fontId="106" fillId="0" borderId="4" xfId="3" applyFont="1" applyBorder="1" applyAlignment="1">
      <alignment horizontal="center" vertical="center"/>
    </xf>
    <xf numFmtId="0" fontId="106" fillId="0" borderId="0" xfId="3" applyFont="1" applyAlignment="1">
      <alignment horizontal="center" vertical="center"/>
    </xf>
    <xf numFmtId="0" fontId="106" fillId="0" borderId="5" xfId="3" applyFont="1" applyBorder="1" applyAlignment="1">
      <alignment horizontal="center" vertical="center"/>
    </xf>
    <xf numFmtId="0" fontId="106" fillId="0" borderId="10" xfId="3" applyFont="1" applyBorder="1" applyAlignment="1">
      <alignment horizontal="center" vertical="center"/>
    </xf>
    <xf numFmtId="0" fontId="107" fillId="0" borderId="29" xfId="3" applyFont="1" applyBorder="1" applyAlignment="1">
      <alignment vertical="center"/>
    </xf>
    <xf numFmtId="0" fontId="106" fillId="0" borderId="9" xfId="3" applyFont="1" applyBorder="1" applyAlignment="1">
      <alignment vertical="center"/>
    </xf>
    <xf numFmtId="3" fontId="106" fillId="0" borderId="4" xfId="3" applyNumberFormat="1" applyFont="1" applyBorder="1" applyAlignment="1">
      <alignment horizontal="center" vertical="center"/>
    </xf>
    <xf numFmtId="3" fontId="106" fillId="0" borderId="5" xfId="3" applyNumberFormat="1" applyFont="1" applyBorder="1" applyAlignment="1">
      <alignment horizontal="center" vertical="center"/>
    </xf>
    <xf numFmtId="0" fontId="106" fillId="0" borderId="5" xfId="3" applyFont="1" applyBorder="1" applyAlignment="1">
      <alignment horizontal="right" vertical="center"/>
    </xf>
    <xf numFmtId="3" fontId="106" fillId="0" borderId="0" xfId="3" applyNumberFormat="1" applyFont="1" applyAlignment="1">
      <alignment horizontal="center" vertical="center"/>
    </xf>
    <xf numFmtId="0" fontId="106" fillId="0" borderId="4" xfId="3" applyFont="1" applyBorder="1" applyAlignment="1">
      <alignment vertical="center"/>
    </xf>
    <xf numFmtId="3" fontId="106" fillId="0" borderId="4" xfId="3" applyNumberFormat="1" applyFont="1" applyBorder="1" applyAlignment="1">
      <alignment vertical="center"/>
    </xf>
    <xf numFmtId="3" fontId="106" fillId="0" borderId="5" xfId="3" applyNumberFormat="1" applyFont="1" applyBorder="1" applyAlignment="1">
      <alignment horizontal="right" vertical="center"/>
    </xf>
    <xf numFmtId="0" fontId="106" fillId="0" borderId="11" xfId="3" applyFont="1" applyBorder="1" applyAlignment="1">
      <alignment horizontal="right" vertical="center"/>
    </xf>
    <xf numFmtId="3" fontId="92" fillId="22" borderId="22" xfId="3" applyNumberFormat="1" applyFont="1" applyFill="1" applyBorder="1"/>
    <xf numFmtId="0" fontId="92" fillId="22" borderId="22" xfId="3" applyFont="1" applyFill="1" applyBorder="1"/>
    <xf numFmtId="3" fontId="33" fillId="0" borderId="0" xfId="0" applyNumberFormat="1" applyFont="1" applyAlignment="1">
      <alignment horizontal="center"/>
    </xf>
    <xf numFmtId="0" fontId="30" fillId="0" borderId="22" xfId="1" applyFont="1" applyBorder="1" applyAlignment="1">
      <alignment horizontal="center" vertical="center" wrapText="1"/>
    </xf>
    <xf numFmtId="0" fontId="43" fillId="0" borderId="29" xfId="3" applyFont="1" applyBorder="1" applyAlignment="1">
      <alignment horizontal="right" vertical="center" wrapText="1" indent="1"/>
    </xf>
    <xf numFmtId="0" fontId="21" fillId="0" borderId="0" xfId="3" applyAlignment="1">
      <alignment horizontal="right" vertical="center" wrapText="1" indent="1"/>
    </xf>
    <xf numFmtId="0" fontId="21" fillId="0" borderId="0" xfId="3" applyAlignment="1">
      <alignment horizontal="left" vertical="center"/>
    </xf>
    <xf numFmtId="3" fontId="43" fillId="0" borderId="0" xfId="3" applyNumberFormat="1" applyFont="1" applyAlignment="1">
      <alignment horizontal="center" vertical="center" wrapText="1"/>
    </xf>
    <xf numFmtId="3" fontId="21" fillId="0" borderId="0" xfId="3" applyNumberFormat="1" applyAlignment="1">
      <alignment horizontal="left" vertical="center"/>
    </xf>
    <xf numFmtId="3" fontId="43" fillId="0" borderId="0" xfId="4" applyNumberFormat="1" applyFont="1" applyFill="1" applyBorder="1" applyAlignment="1">
      <alignment horizontal="center" vertical="center" wrapText="1"/>
    </xf>
    <xf numFmtId="0" fontId="21" fillId="0" borderId="0" xfId="11" applyNumberFormat="1" applyFont="1" applyFill="1" applyBorder="1" applyAlignment="1">
      <alignment horizontal="center"/>
    </xf>
    <xf numFmtId="0" fontId="24" fillId="0" borderId="0" xfId="3" applyFont="1" applyAlignment="1">
      <alignment vertical="center"/>
    </xf>
    <xf numFmtId="3" fontId="21" fillId="0" borderId="0" xfId="3" applyNumberFormat="1" applyAlignment="1">
      <alignment horizontal="right" vertical="center" wrapText="1"/>
    </xf>
    <xf numFmtId="3" fontId="21" fillId="0" borderId="0" xfId="3" applyNumberFormat="1" applyAlignment="1">
      <alignment horizontal="right" vertical="center"/>
    </xf>
    <xf numFmtId="0" fontId="99" fillId="20" borderId="0" xfId="0" applyFont="1" applyFill="1" applyAlignment="1">
      <alignment wrapText="1"/>
    </xf>
    <xf numFmtId="0" fontId="99" fillId="0" borderId="0" xfId="0" applyFont="1" applyAlignment="1">
      <alignment wrapText="1"/>
    </xf>
    <xf numFmtId="10" fontId="0" fillId="21" borderId="0" xfId="0" applyNumberFormat="1" applyFill="1"/>
    <xf numFmtId="10" fontId="0" fillId="0" borderId="0" xfId="0" applyNumberFormat="1"/>
    <xf numFmtId="10" fontId="0" fillId="5" borderId="0" xfId="0" applyNumberFormat="1" applyFill="1"/>
    <xf numFmtId="171" fontId="21" fillId="0" borderId="0" xfId="122" applyNumberFormat="1" applyFont="1" applyBorder="1" applyAlignment="1">
      <alignment horizontal="right" vertical="center" wrapText="1" indent="2"/>
    </xf>
    <xf numFmtId="164" fontId="21" fillId="0" borderId="10" xfId="4" applyNumberFormat="1" applyFont="1" applyBorder="1" applyAlignment="1">
      <alignment horizontal="right" vertical="center" wrapText="1"/>
    </xf>
    <xf numFmtId="0" fontId="21" fillId="18" borderId="0" xfId="0" applyFont="1" applyFill="1" applyAlignment="1">
      <alignment horizontal="left"/>
    </xf>
    <xf numFmtId="0" fontId="0" fillId="6" borderId="0" xfId="0" applyFill="1" applyAlignment="1">
      <alignment horizontal="center"/>
    </xf>
    <xf numFmtId="1" fontId="21" fillId="0" borderId="0" xfId="3" applyNumberFormat="1" applyAlignment="1">
      <alignment horizontal="left" vertical="center"/>
    </xf>
    <xf numFmtId="3" fontId="28" fillId="7" borderId="0" xfId="3" applyNumberFormat="1" applyFont="1" applyFill="1" applyAlignment="1">
      <alignment horizontal="left"/>
    </xf>
    <xf numFmtId="3" fontId="28" fillId="4" borderId="0" xfId="3" applyNumberFormat="1" applyFont="1" applyFill="1" applyAlignment="1">
      <alignment horizontal="left"/>
    </xf>
    <xf numFmtId="3" fontId="21" fillId="0" borderId="0" xfId="3" applyNumberFormat="1" applyAlignment="1">
      <alignment horizontal="right" vertical="center" indent="1"/>
    </xf>
    <xf numFmtId="0" fontId="28" fillId="0" borderId="0" xfId="3" applyFont="1" applyAlignment="1">
      <alignment horizontal="left" vertical="top"/>
    </xf>
    <xf numFmtId="2" fontId="28" fillId="0" borderId="0" xfId="3" applyNumberFormat="1" applyFont="1" applyAlignment="1">
      <alignment horizontal="left" vertical="top"/>
    </xf>
    <xf numFmtId="2" fontId="21" fillId="0" borderId="0" xfId="3" applyNumberFormat="1" applyAlignment="1">
      <alignment horizontal="left"/>
    </xf>
    <xf numFmtId="2" fontId="21" fillId="2" borderId="0" xfId="3" applyNumberFormat="1" applyFill="1" applyAlignment="1">
      <alignment horizontal="left"/>
    </xf>
    <xf numFmtId="0" fontId="21" fillId="0" borderId="0" xfId="3" applyAlignment="1">
      <alignment horizontal="left" wrapText="1"/>
    </xf>
    <xf numFmtId="0" fontId="21" fillId="0" borderId="0" xfId="3" applyAlignment="1">
      <alignment horizontal="left" vertical="top" wrapText="1"/>
    </xf>
    <xf numFmtId="3" fontId="21" fillId="0" borderId="0" xfId="3" applyNumberFormat="1" applyAlignment="1">
      <alignment horizontal="left" wrapText="1"/>
    </xf>
    <xf numFmtId="4" fontId="21" fillId="0" borderId="0" xfId="3" applyNumberFormat="1" applyAlignment="1">
      <alignment horizontal="left"/>
    </xf>
    <xf numFmtId="3" fontId="21" fillId="2" borderId="0" xfId="3" applyNumberFormat="1" applyFill="1" applyAlignment="1">
      <alignment horizontal="left"/>
    </xf>
    <xf numFmtId="2" fontId="21" fillId="2" borderId="0" xfId="5" applyNumberFormat="1" applyFill="1" applyAlignment="1">
      <alignment horizontal="left"/>
    </xf>
    <xf numFmtId="0" fontId="21" fillId="16" borderId="0" xfId="3" applyFill="1" applyAlignment="1">
      <alignment horizontal="left"/>
    </xf>
    <xf numFmtId="3" fontId="21" fillId="16" borderId="0" xfId="3" applyNumberFormat="1" applyFill="1" applyAlignment="1">
      <alignment horizontal="left" vertical="top" wrapText="1"/>
    </xf>
    <xf numFmtId="3" fontId="21" fillId="0" borderId="0" xfId="3" applyNumberFormat="1" applyAlignment="1">
      <alignment horizontal="left" vertical="top" wrapText="1"/>
    </xf>
    <xf numFmtId="4" fontId="21" fillId="16" borderId="0" xfId="3" applyNumberFormat="1" applyFill="1" applyAlignment="1">
      <alignment horizontal="left" vertical="top" wrapText="1"/>
    </xf>
    <xf numFmtId="2" fontId="21" fillId="5" borderId="0" xfId="5" applyNumberFormat="1" applyFill="1" applyAlignment="1">
      <alignment horizontal="left"/>
    </xf>
    <xf numFmtId="4" fontId="21" fillId="0" borderId="0" xfId="3" applyNumberFormat="1" applyAlignment="1">
      <alignment horizontal="left" vertical="top" wrapText="1"/>
    </xf>
    <xf numFmtId="4" fontId="21" fillId="0" borderId="0" xfId="3" applyNumberFormat="1" applyAlignment="1">
      <alignment horizontal="left" vertical="top"/>
    </xf>
    <xf numFmtId="0" fontId="91" fillId="0" borderId="0" xfId="3" applyFont="1" applyAlignment="1">
      <alignment horizontal="left" vertical="top" wrapText="1"/>
    </xf>
    <xf numFmtId="3" fontId="91" fillId="0" borderId="0" xfId="3" applyNumberFormat="1" applyFont="1" applyAlignment="1">
      <alignment horizontal="left" vertical="top" wrapText="1"/>
    </xf>
    <xf numFmtId="4" fontId="91" fillId="0" borderId="0" xfId="3" applyNumberFormat="1" applyFont="1" applyAlignment="1">
      <alignment horizontal="left" vertical="top" wrapText="1"/>
    </xf>
    <xf numFmtId="0" fontId="21" fillId="0" borderId="0" xfId="3" quotePrefix="1" applyAlignment="1">
      <alignment horizontal="left"/>
    </xf>
    <xf numFmtId="9" fontId="21" fillId="9" borderId="0" xfId="3" applyNumberFormat="1" applyFill="1" applyAlignment="1">
      <alignment horizontal="left"/>
    </xf>
    <xf numFmtId="3" fontId="28" fillId="0" borderId="0" xfId="3" applyNumberFormat="1" applyFont="1" applyAlignment="1">
      <alignment horizontal="left"/>
    </xf>
    <xf numFmtId="9" fontId="21" fillId="4" borderId="0" xfId="3" applyNumberFormat="1" applyFill="1" applyAlignment="1">
      <alignment horizontal="left"/>
    </xf>
    <xf numFmtId="4" fontId="28" fillId="4" borderId="0" xfId="3" applyNumberFormat="1" applyFont="1" applyFill="1" applyAlignment="1">
      <alignment horizontal="left"/>
    </xf>
    <xf numFmtId="4" fontId="28" fillId="0" borderId="0" xfId="3" applyNumberFormat="1" applyFont="1" applyAlignment="1">
      <alignment horizontal="left"/>
    </xf>
    <xf numFmtId="0" fontId="27" fillId="0" borderId="0" xfId="3" applyFont="1" applyAlignment="1">
      <alignment horizontal="left"/>
    </xf>
    <xf numFmtId="3" fontId="21" fillId="9" borderId="0" xfId="3" applyNumberFormat="1" applyFill="1" applyAlignment="1">
      <alignment horizontal="left"/>
    </xf>
    <xf numFmtId="2" fontId="21" fillId="0" borderId="0" xfId="3" applyNumberFormat="1" applyAlignment="1">
      <alignment horizontal="center"/>
    </xf>
    <xf numFmtId="3" fontId="91" fillId="0" borderId="0" xfId="3" applyNumberFormat="1" applyFont="1" applyAlignment="1">
      <alignment horizontal="right" wrapText="1"/>
    </xf>
    <xf numFmtId="170" fontId="21" fillId="0" borderId="0" xfId="3" applyNumberFormat="1"/>
    <xf numFmtId="172" fontId="21" fillId="0" borderId="0" xfId="3" applyNumberFormat="1"/>
    <xf numFmtId="3" fontId="28" fillId="0" borderId="0" xfId="3" applyNumberFormat="1" applyFont="1"/>
    <xf numFmtId="4" fontId="28" fillId="0" borderId="0" xfId="3" applyNumberFormat="1" applyFont="1"/>
    <xf numFmtId="4" fontId="28" fillId="0" borderId="0" xfId="3" applyNumberFormat="1" applyFont="1" applyAlignment="1">
      <alignment horizontal="center"/>
    </xf>
    <xf numFmtId="4" fontId="21" fillId="0" borderId="0" xfId="3" applyNumberFormat="1" applyAlignment="1">
      <alignment horizontal="center"/>
    </xf>
    <xf numFmtId="9" fontId="21" fillId="0" borderId="0" xfId="5" applyNumberFormat="1"/>
    <xf numFmtId="3" fontId="28" fillId="6" borderId="0" xfId="3" applyNumberFormat="1" applyFont="1" applyFill="1"/>
    <xf numFmtId="3" fontId="21" fillId="0" borderId="0" xfId="3" quotePrefix="1" applyNumberFormat="1" applyAlignment="1">
      <alignment horizontal="left"/>
    </xf>
    <xf numFmtId="4" fontId="0" fillId="0" borderId="0" xfId="0" applyNumberFormat="1"/>
    <xf numFmtId="3" fontId="21" fillId="0" borderId="0" xfId="3" quotePrefix="1" applyNumberFormat="1" applyAlignment="1">
      <alignment horizontal="center"/>
    </xf>
    <xf numFmtId="9" fontId="21" fillId="2" borderId="0" xfId="3" applyNumberFormat="1" applyFill="1" applyAlignment="1">
      <alignment horizontal="left"/>
    </xf>
    <xf numFmtId="3" fontId="90" fillId="0" borderId="0" xfId="3" applyNumberFormat="1" applyFont="1" applyAlignment="1">
      <alignment horizontal="center" vertical="center" wrapText="1"/>
    </xf>
    <xf numFmtId="0" fontId="90" fillId="0" borderId="0" xfId="3" applyFont="1" applyAlignment="1">
      <alignment horizontal="right" vertical="center" wrapText="1"/>
    </xf>
    <xf numFmtId="0" fontId="34" fillId="0" borderId="0" xfId="3" applyFont="1" applyAlignment="1">
      <alignment horizontal="center" vertical="center" wrapText="1"/>
    </xf>
    <xf numFmtId="0" fontId="34" fillId="0" borderId="0" xfId="3" applyFont="1" applyAlignment="1">
      <alignment vertical="center" wrapText="1"/>
    </xf>
    <xf numFmtId="3" fontId="90" fillId="0" borderId="11" xfId="3" applyNumberFormat="1" applyFont="1" applyBorder="1" applyAlignment="1">
      <alignment horizontal="center" vertical="center" wrapText="1"/>
    </xf>
    <xf numFmtId="0" fontId="90" fillId="0" borderId="10" xfId="3" applyFont="1" applyBorder="1" applyAlignment="1">
      <alignment horizontal="right" vertical="center" wrapText="1"/>
    </xf>
    <xf numFmtId="0" fontId="34" fillId="0" borderId="10" xfId="3" applyFont="1" applyBorder="1" applyAlignment="1">
      <alignment horizontal="center" vertical="center" wrapText="1"/>
    </xf>
    <xf numFmtId="0" fontId="34" fillId="0" borderId="10" xfId="3" applyFont="1" applyBorder="1" applyAlignment="1">
      <alignment vertical="center" wrapText="1"/>
    </xf>
    <xf numFmtId="0" fontId="34" fillId="0" borderId="9" xfId="3" applyFont="1" applyBorder="1" applyAlignment="1">
      <alignment horizontal="center" vertical="center" wrapText="1"/>
    </xf>
    <xf numFmtId="0" fontId="34" fillId="0" borderId="5" xfId="3" applyFont="1" applyBorder="1" applyAlignment="1">
      <alignment horizontal="center" vertical="center" wrapText="1"/>
    </xf>
    <xf numFmtId="0" fontId="34" fillId="0" borderId="4" xfId="3" applyFont="1" applyBorder="1" applyAlignment="1">
      <alignment horizontal="center" vertical="center" wrapText="1"/>
    </xf>
    <xf numFmtId="3" fontId="90" fillId="0" borderId="5" xfId="3" applyNumberFormat="1" applyFont="1" applyBorder="1" applyAlignment="1">
      <alignment horizontal="center" vertical="center" wrapText="1"/>
    </xf>
    <xf numFmtId="0" fontId="118" fillId="0" borderId="0" xfId="3" applyFont="1" applyAlignment="1">
      <alignment horizontal="center" vertical="center" wrapText="1"/>
    </xf>
    <xf numFmtId="0" fontId="25" fillId="0" borderId="0" xfId="3" applyFont="1" applyAlignment="1">
      <alignment vertical="center"/>
    </xf>
    <xf numFmtId="3" fontId="21" fillId="0" borderId="48" xfId="3" applyNumberFormat="1" applyBorder="1" applyAlignment="1">
      <alignment horizontal="center"/>
    </xf>
    <xf numFmtId="10" fontId="76" fillId="0" borderId="0" xfId="3" applyNumberFormat="1" applyFont="1" applyAlignment="1">
      <alignment horizontal="right" vertical="center"/>
    </xf>
    <xf numFmtId="3" fontId="28" fillId="2" borderId="0" xfId="3" applyNumberFormat="1" applyFont="1" applyFill="1"/>
    <xf numFmtId="3" fontId="43" fillId="0" borderId="0" xfId="4" applyNumberFormat="1" applyFont="1" applyBorder="1" applyAlignment="1">
      <alignment horizontal="center" vertical="center" wrapText="1"/>
    </xf>
    <xf numFmtId="1" fontId="0" fillId="0" borderId="0" xfId="0" applyNumberFormat="1"/>
    <xf numFmtId="169" fontId="21" fillId="0" borderId="0" xfId="4" quotePrefix="1" applyNumberFormat="1" applyFont="1" applyBorder="1" applyAlignment="1">
      <alignment horizontal="left"/>
    </xf>
    <xf numFmtId="10" fontId="30" fillId="0" borderId="47" xfId="5" applyNumberFormat="1" applyFont="1" applyBorder="1" applyAlignment="1">
      <alignment horizontal="center"/>
    </xf>
    <xf numFmtId="3" fontId="21" fillId="0" borderId="47" xfId="0" applyNumberFormat="1" applyFont="1" applyBorder="1"/>
    <xf numFmtId="173" fontId="0" fillId="0" borderId="0" xfId="0" applyNumberFormat="1"/>
    <xf numFmtId="9" fontId="0" fillId="0" borderId="0" xfId="9" applyFont="1"/>
    <xf numFmtId="0" fontId="21" fillId="23" borderId="0" xfId="3" applyFill="1"/>
    <xf numFmtId="0" fontId="21" fillId="0" borderId="45" xfId="1" applyBorder="1" applyAlignment="1">
      <alignment vertical="center"/>
    </xf>
    <xf numFmtId="0" fontId="21" fillId="0" borderId="39" xfId="1" applyBorder="1" applyAlignment="1">
      <alignment vertical="center"/>
    </xf>
    <xf numFmtId="0" fontId="21" fillId="0" borderId="46" xfId="1" applyBorder="1" applyAlignment="1">
      <alignment vertical="center"/>
    </xf>
    <xf numFmtId="0" fontId="21" fillId="0" borderId="47" xfId="1" applyBorder="1" applyAlignment="1">
      <alignment horizontal="justify" vertical="center" wrapText="1"/>
    </xf>
    <xf numFmtId="0" fontId="21" fillId="0" borderId="48" xfId="1" applyBorder="1" applyAlignment="1">
      <alignment vertical="center"/>
    </xf>
    <xf numFmtId="0" fontId="21" fillId="0" borderId="55" xfId="1" applyBorder="1" applyAlignment="1">
      <alignment horizontal="center" vertical="center" wrapText="1"/>
    </xf>
    <xf numFmtId="0" fontId="28" fillId="0" borderId="76" xfId="1" applyFont="1" applyBorder="1" applyAlignment="1">
      <alignment horizontal="center" vertical="center" wrapText="1"/>
    </xf>
    <xf numFmtId="0" fontId="21" fillId="0" borderId="47" xfId="1" applyBorder="1" applyAlignment="1">
      <alignment horizontal="center" vertical="center" wrapText="1"/>
    </xf>
    <xf numFmtId="3" fontId="21" fillId="0" borderId="48" xfId="1" applyNumberFormat="1" applyBorder="1" applyAlignment="1">
      <alignment vertical="center"/>
    </xf>
    <xf numFmtId="49" fontId="21" fillId="0" borderId="47" xfId="1" applyNumberFormat="1" applyBorder="1" applyAlignment="1">
      <alignment horizontal="center" vertical="center" wrapText="1"/>
    </xf>
    <xf numFmtId="0" fontId="21" fillId="0" borderId="22" xfId="1" applyBorder="1" applyAlignment="1">
      <alignment horizontal="justify" vertical="center" wrapText="1"/>
    </xf>
    <xf numFmtId="0" fontId="21" fillId="0" borderId="22" xfId="1" applyBorder="1" applyAlignment="1">
      <alignment horizontal="right" vertical="center" wrapText="1" indent="1"/>
    </xf>
    <xf numFmtId="0" fontId="21" fillId="0" borderId="22" xfId="1" applyBorder="1" applyAlignment="1">
      <alignment horizontal="right" vertical="center" wrapText="1"/>
    </xf>
    <xf numFmtId="3" fontId="21" fillId="0" borderId="22" xfId="1" applyNumberFormat="1" applyBorder="1" applyAlignment="1">
      <alignment horizontal="center" vertical="center" wrapText="1"/>
    </xf>
    <xf numFmtId="3" fontId="21" fillId="0" borderId="50" xfId="1" applyNumberFormat="1" applyBorder="1" applyAlignment="1">
      <alignment vertical="center"/>
    </xf>
    <xf numFmtId="3" fontId="43" fillId="2" borderId="0" xfId="3" applyNumberFormat="1" applyFont="1" applyFill="1" applyAlignment="1">
      <alignment horizontal="left" vertical="center"/>
    </xf>
    <xf numFmtId="41" fontId="21" fillId="0" borderId="0" xfId="124" applyNumberFormat="1" applyFont="1"/>
    <xf numFmtId="0" fontId="43" fillId="0" borderId="29" xfId="3" applyFont="1" applyBorder="1" applyAlignment="1">
      <alignment horizontal="center" vertical="center" wrapText="1"/>
    </xf>
    <xf numFmtId="0" fontId="32" fillId="0" borderId="0" xfId="125" applyFont="1"/>
    <xf numFmtId="3" fontId="32" fillId="0" borderId="0" xfId="125" applyNumberFormat="1" applyFont="1" applyAlignment="1">
      <alignment horizontal="center" vertical="center"/>
    </xf>
    <xf numFmtId="3" fontId="32" fillId="0" borderId="0" xfId="125" applyNumberFormat="1" applyFont="1"/>
    <xf numFmtId="0" fontId="32" fillId="0" borderId="14" xfId="125" applyFont="1" applyBorder="1"/>
    <xf numFmtId="3" fontId="34" fillId="0" borderId="0" xfId="125" applyNumberFormat="1" applyFont="1" applyAlignment="1">
      <alignment horizontal="center"/>
    </xf>
    <xf numFmtId="3" fontId="32" fillId="0" borderId="14" xfId="125" applyNumberFormat="1" applyFont="1" applyBorder="1"/>
    <xf numFmtId="0" fontId="32" fillId="0" borderId="14" xfId="125" applyFont="1" applyBorder="1" applyAlignment="1">
      <alignment horizontal="center"/>
    </xf>
    <xf numFmtId="3" fontId="34" fillId="0" borderId="0" xfId="125" applyNumberFormat="1" applyFont="1" applyAlignment="1">
      <alignment horizontal="center" vertical="center"/>
    </xf>
    <xf numFmtId="0" fontId="32" fillId="0" borderId="19" xfId="125" applyFont="1" applyBorder="1"/>
    <xf numFmtId="0" fontId="32" fillId="0" borderId="0" xfId="125" applyFont="1" applyAlignment="1">
      <alignment horizontal="center"/>
    </xf>
    <xf numFmtId="14" fontId="32" fillId="0" borderId="0" xfId="125" applyNumberFormat="1" applyFont="1"/>
    <xf numFmtId="0" fontId="26" fillId="0" borderId="0" xfId="125" applyFont="1"/>
    <xf numFmtId="0" fontId="40" fillId="0" borderId="0" xfId="125" applyFont="1"/>
    <xf numFmtId="0" fontId="105" fillId="0" borderId="0" xfId="125" applyFont="1"/>
    <xf numFmtId="14" fontId="26" fillId="0" borderId="0" xfId="125" applyNumberFormat="1" applyFont="1"/>
    <xf numFmtId="9" fontId="21" fillId="0" borderId="0" xfId="19" applyFont="1"/>
    <xf numFmtId="3" fontId="21" fillId="0" borderId="0" xfId="0" applyNumberFormat="1" applyFont="1" applyAlignment="1">
      <alignment horizontal="right" wrapText="1"/>
    </xf>
    <xf numFmtId="3" fontId="21" fillId="0" borderId="15" xfId="0" applyNumberFormat="1" applyFont="1" applyBorder="1" applyAlignment="1">
      <alignment horizontal="right" vertical="top" wrapText="1"/>
    </xf>
    <xf numFmtId="3" fontId="21" fillId="0" borderId="0" xfId="0" applyNumberFormat="1" applyFont="1" applyAlignment="1">
      <alignment horizontal="right" vertical="top" wrapText="1"/>
    </xf>
    <xf numFmtId="3" fontId="122" fillId="0" borderId="0" xfId="0" applyNumberFormat="1" applyFont="1" applyAlignment="1">
      <alignment vertical="top" wrapText="1"/>
    </xf>
    <xf numFmtId="3" fontId="21" fillId="0" borderId="0" xfId="7" applyNumberFormat="1" applyFont="1" applyAlignment="1">
      <alignment vertical="center"/>
    </xf>
    <xf numFmtId="9" fontId="89" fillId="0" borderId="0" xfId="19" applyFont="1" applyBorder="1" applyAlignment="1">
      <alignment horizontal="center" vertical="center" wrapText="1"/>
    </xf>
    <xf numFmtId="9" fontId="89" fillId="0" borderId="0" xfId="19" applyFont="1" applyFill="1" applyBorder="1" applyAlignment="1">
      <alignment horizontal="center" vertical="center" wrapText="1"/>
    </xf>
    <xf numFmtId="0" fontId="21" fillId="0" borderId="0" xfId="3" applyAlignment="1">
      <alignment horizontal="right" indent="3"/>
    </xf>
    <xf numFmtId="37" fontId="21" fillId="0" borderId="0" xfId="3" quotePrefix="1" applyNumberFormat="1" applyAlignment="1">
      <alignment horizontal="center" vertical="center" wrapText="1"/>
    </xf>
    <xf numFmtId="3" fontId="26" fillId="0" borderId="0" xfId="125" applyNumberFormat="1" applyFont="1"/>
    <xf numFmtId="1" fontId="54" fillId="2" borderId="0" xfId="3" applyNumberFormat="1" applyFont="1" applyFill="1" applyAlignment="1">
      <alignment horizontal="left"/>
    </xf>
    <xf numFmtId="0" fontId="64" fillId="0" borderId="0" xfId="3" applyFont="1"/>
    <xf numFmtId="3" fontId="77" fillId="0" borderId="0" xfId="3" applyNumberFormat="1" applyFont="1"/>
    <xf numFmtId="3" fontId="77" fillId="24" borderId="0" xfId="3" applyNumberFormat="1" applyFont="1" applyFill="1"/>
    <xf numFmtId="0" fontId="114" fillId="0" borderId="0" xfId="0" applyFont="1"/>
    <xf numFmtId="0" fontId="65" fillId="0" borderId="0" xfId="6" quotePrefix="1" applyFont="1" applyAlignment="1">
      <alignment horizontal="left"/>
    </xf>
    <xf numFmtId="0" fontId="0" fillId="0" borderId="48" xfId="0" applyBorder="1" applyAlignment="1">
      <alignment horizontal="left"/>
    </xf>
    <xf numFmtId="0" fontId="0" fillId="5" borderId="48" xfId="0" applyFill="1" applyBorder="1" applyAlignment="1">
      <alignment horizontal="left"/>
    </xf>
    <xf numFmtId="10" fontId="0" fillId="5" borderId="60" xfId="0" applyNumberFormat="1" applyFill="1" applyBorder="1"/>
    <xf numFmtId="10" fontId="0" fillId="0" borderId="60" xfId="0" applyNumberFormat="1" applyBorder="1"/>
    <xf numFmtId="3" fontId="21" fillId="0" borderId="0" xfId="4" applyNumberFormat="1" applyFont="1" applyBorder="1" applyAlignment="1">
      <alignment horizontal="center" vertical="center" wrapText="1"/>
    </xf>
    <xf numFmtId="0" fontId="33" fillId="0" borderId="23" xfId="0" applyFont="1" applyBorder="1" applyAlignment="1">
      <alignment horizontal="center" vertical="center"/>
    </xf>
    <xf numFmtId="0" fontId="33" fillId="0" borderId="29" xfId="0" applyFont="1" applyBorder="1" applyAlignment="1">
      <alignment horizontal="center" vertical="center" wrapText="1"/>
    </xf>
    <xf numFmtId="3" fontId="21" fillId="0" borderId="0" xfId="3" applyNumberFormat="1" applyAlignment="1">
      <alignment horizontal="right"/>
    </xf>
    <xf numFmtId="3" fontId="43" fillId="0" borderId="0" xfId="3" quotePrefix="1" applyNumberFormat="1" applyFont="1" applyAlignment="1">
      <alignment horizontal="left" vertical="center"/>
    </xf>
    <xf numFmtId="0" fontId="24" fillId="0" borderId="0" xfId="3" applyFont="1" applyAlignment="1">
      <alignment horizontal="center"/>
    </xf>
    <xf numFmtId="0" fontId="24" fillId="0" borderId="10" xfId="3" applyFont="1" applyBorder="1" applyAlignment="1">
      <alignment horizontal="center"/>
    </xf>
    <xf numFmtId="0" fontId="24" fillId="0" borderId="10" xfId="3" applyFont="1" applyBorder="1"/>
    <xf numFmtId="0" fontId="21" fillId="0" borderId="47" xfId="0" applyFont="1" applyBorder="1" applyAlignment="1">
      <alignment horizontal="center" vertical="center"/>
    </xf>
    <xf numFmtId="0" fontId="21" fillId="0" borderId="49" xfId="0" applyFont="1" applyBorder="1" applyAlignment="1">
      <alignment horizontal="center" vertical="center"/>
    </xf>
    <xf numFmtId="0" fontId="0" fillId="0" borderId="47" xfId="0" applyBorder="1" applyAlignment="1">
      <alignment horizontal="center"/>
    </xf>
    <xf numFmtId="164" fontId="0" fillId="0" borderId="48" xfId="0" applyNumberFormat="1" applyBorder="1" applyAlignment="1">
      <alignment horizontal="right" indent="1"/>
    </xf>
    <xf numFmtId="3" fontId="0" fillId="0" borderId="22" xfId="0" applyNumberFormat="1" applyBorder="1" applyAlignment="1">
      <alignment horizontal="right" indent="1"/>
    </xf>
    <xf numFmtId="3" fontId="0" fillId="0" borderId="22" xfId="0" applyNumberFormat="1" applyBorder="1" applyAlignment="1">
      <alignment horizontal="right" indent="2"/>
    </xf>
    <xf numFmtId="164" fontId="0" fillId="0" borderId="22" xfId="0" applyNumberFormat="1" applyBorder="1" applyAlignment="1">
      <alignment horizontal="right" indent="2"/>
    </xf>
    <xf numFmtId="0" fontId="21" fillId="0" borderId="49" xfId="0" applyFont="1" applyBorder="1" applyAlignment="1">
      <alignment horizontal="center" wrapText="1"/>
    </xf>
    <xf numFmtId="0" fontId="21" fillId="0" borderId="50" xfId="0" applyFont="1" applyBorder="1" applyAlignment="1">
      <alignment horizontal="center" wrapText="1"/>
    </xf>
    <xf numFmtId="0" fontId="0" fillId="0" borderId="55" xfId="0" applyBorder="1" applyAlignment="1">
      <alignment horizontal="center"/>
    </xf>
    <xf numFmtId="0" fontId="0" fillId="0" borderId="76" xfId="0" applyBorder="1" applyAlignment="1">
      <alignment horizontal="center"/>
    </xf>
    <xf numFmtId="164" fontId="0" fillId="0" borderId="48" xfId="0" applyNumberFormat="1" applyBorder="1" applyAlignment="1">
      <alignment horizontal="center"/>
    </xf>
    <xf numFmtId="164" fontId="0" fillId="0" borderId="50" xfId="0" applyNumberFormat="1" applyBorder="1" applyAlignment="1">
      <alignment horizontal="center"/>
    </xf>
    <xf numFmtId="0" fontId="21" fillId="0" borderId="45" xfId="3" applyBorder="1"/>
    <xf numFmtId="0" fontId="21" fillId="0" borderId="52" xfId="3" applyBorder="1"/>
    <xf numFmtId="0" fontId="21" fillId="0" borderId="82" xfId="3" applyBorder="1"/>
    <xf numFmtId="0" fontId="21" fillId="0" borderId="39" xfId="3" applyBorder="1"/>
    <xf numFmtId="0" fontId="21" fillId="0" borderId="46" xfId="3" applyBorder="1"/>
    <xf numFmtId="0" fontId="21" fillId="0" borderId="76" xfId="3" applyBorder="1" applyAlignment="1">
      <alignment horizontal="center" vertical="center" wrapText="1"/>
    </xf>
    <xf numFmtId="0" fontId="54" fillId="0" borderId="47" xfId="3" applyFont="1" applyBorder="1" applyAlignment="1">
      <alignment horizontal="center" vertical="center"/>
    </xf>
    <xf numFmtId="3" fontId="54" fillId="0" borderId="48" xfId="3" applyNumberFormat="1" applyFont="1" applyBorder="1" applyAlignment="1">
      <alignment horizontal="right" vertical="center" indent="1"/>
    </xf>
    <xf numFmtId="0" fontId="21" fillId="0" borderId="47" xfId="3" applyBorder="1" applyAlignment="1">
      <alignment horizontal="center" vertical="center"/>
    </xf>
    <xf numFmtId="3" fontId="21" fillId="0" borderId="48" xfId="3" applyNumberFormat="1" applyBorder="1" applyAlignment="1">
      <alignment horizontal="right" vertical="center" indent="1"/>
    </xf>
    <xf numFmtId="0" fontId="21" fillId="0" borderId="49" xfId="3" applyBorder="1" applyAlignment="1">
      <alignment horizontal="center" vertical="center"/>
    </xf>
    <xf numFmtId="3" fontId="21" fillId="0" borderId="22" xfId="3" applyNumberFormat="1" applyBorder="1" applyAlignment="1">
      <alignment horizontal="right" vertical="center" indent="1"/>
    </xf>
    <xf numFmtId="3" fontId="21" fillId="0" borderId="22" xfId="3" applyNumberFormat="1" applyBorder="1" applyAlignment="1">
      <alignment horizontal="right" vertical="center" indent="2"/>
    </xf>
    <xf numFmtId="3" fontId="21" fillId="0" borderId="50" xfId="3" applyNumberFormat="1" applyBorder="1" applyAlignment="1">
      <alignment horizontal="right" vertical="center" indent="1"/>
    </xf>
    <xf numFmtId="0" fontId="21" fillId="0" borderId="76" xfId="0" applyFont="1" applyBorder="1" applyAlignment="1">
      <alignment horizontal="center"/>
    </xf>
    <xf numFmtId="0" fontId="21" fillId="0" borderId="47" xfId="0" applyFont="1" applyBorder="1" applyAlignment="1">
      <alignment horizontal="center"/>
    </xf>
    <xf numFmtId="171" fontId="21" fillId="0" borderId="80" xfId="0" applyNumberFormat="1" applyFont="1" applyBorder="1" applyAlignment="1">
      <alignment horizontal="center"/>
    </xf>
    <xf numFmtId="171" fontId="21" fillId="0" borderId="48" xfId="0" applyNumberFormat="1" applyFont="1" applyBorder="1" applyAlignment="1">
      <alignment horizontal="center"/>
    </xf>
    <xf numFmtId="3" fontId="21" fillId="0" borderId="22" xfId="0" applyNumberFormat="1" applyFont="1" applyBorder="1" applyAlignment="1">
      <alignment horizontal="center"/>
    </xf>
    <xf numFmtId="10" fontId="21" fillId="0" borderId="48" xfId="3" applyNumberFormat="1" applyBorder="1" applyAlignment="1">
      <alignment horizontal="center"/>
    </xf>
    <xf numFmtId="10" fontId="21" fillId="0" borderId="50" xfId="3" applyNumberFormat="1" applyBorder="1" applyAlignment="1">
      <alignment horizontal="center"/>
    </xf>
    <xf numFmtId="3" fontId="21" fillId="0" borderId="50" xfId="3" applyNumberFormat="1" applyBorder="1" applyAlignment="1">
      <alignment horizontal="right" indent="1"/>
    </xf>
    <xf numFmtId="171" fontId="21" fillId="0" borderId="48" xfId="13" applyNumberFormat="1" applyFont="1" applyFill="1" applyBorder="1" applyAlignment="1">
      <alignment horizontal="center"/>
    </xf>
    <xf numFmtId="3" fontId="21" fillId="0" borderId="22" xfId="12" applyNumberFormat="1" applyFont="1" applyFill="1" applyBorder="1" applyAlignment="1">
      <alignment horizontal="center"/>
    </xf>
    <xf numFmtId="171" fontId="21" fillId="0" borderId="50" xfId="13" applyNumberFormat="1" applyFont="1" applyFill="1" applyBorder="1" applyAlignment="1">
      <alignment horizontal="center"/>
    </xf>
    <xf numFmtId="0" fontId="28" fillId="0" borderId="45" xfId="0" applyFont="1" applyBorder="1" applyAlignment="1">
      <alignment horizontal="left" wrapText="1"/>
    </xf>
    <xf numFmtId="0" fontId="0" fillId="0" borderId="54" xfId="0" applyBorder="1" applyAlignment="1">
      <alignment horizontal="center"/>
    </xf>
    <xf numFmtId="0" fontId="28" fillId="0" borderId="39" xfId="0" applyFont="1" applyBorder="1" applyAlignment="1">
      <alignment wrapText="1"/>
    </xf>
    <xf numFmtId="0" fontId="28" fillId="0" borderId="46" xfId="0" applyFont="1" applyBorder="1" applyAlignment="1">
      <alignment wrapText="1"/>
    </xf>
    <xf numFmtId="0" fontId="28" fillId="0" borderId="57" xfId="0" applyFont="1" applyBorder="1" applyAlignment="1">
      <alignment horizontal="left" wrapText="1"/>
    </xf>
    <xf numFmtId="0" fontId="28" fillId="0" borderId="24" xfId="0" applyFont="1" applyBorder="1" applyAlignment="1">
      <alignment wrapText="1"/>
    </xf>
    <xf numFmtId="0" fontId="28" fillId="0" borderId="58" xfId="0" applyFont="1" applyBorder="1" applyAlignment="1">
      <alignment wrapText="1"/>
    </xf>
    <xf numFmtId="0" fontId="21" fillId="0" borderId="47" xfId="0" applyFont="1" applyBorder="1" applyAlignment="1">
      <alignment horizontal="left" indent="2"/>
    </xf>
    <xf numFmtId="0" fontId="21" fillId="0" borderId="56" xfId="0" applyFont="1" applyBorder="1" applyAlignment="1">
      <alignment horizontal="left" indent="2"/>
    </xf>
    <xf numFmtId="0" fontId="21" fillId="0" borderId="60" xfId="0" applyFont="1" applyBorder="1" applyAlignment="1">
      <alignment horizontal="left" indent="2"/>
    </xf>
    <xf numFmtId="0" fontId="21" fillId="0" borderId="59" xfId="0" applyFont="1" applyBorder="1" applyAlignment="1">
      <alignment horizontal="left" indent="2"/>
    </xf>
    <xf numFmtId="3" fontId="21" fillId="0" borderId="45" xfId="12" applyNumberFormat="1" applyFont="1" applyFill="1" applyBorder="1" applyAlignment="1">
      <alignment horizontal="center"/>
    </xf>
    <xf numFmtId="3" fontId="21" fillId="0" borderId="39" xfId="12" applyNumberFormat="1" applyFont="1" applyFill="1" applyBorder="1" applyAlignment="1">
      <alignment horizontal="center"/>
    </xf>
    <xf numFmtId="3" fontId="21" fillId="0" borderId="46" xfId="12" applyNumberFormat="1" applyFont="1" applyFill="1" applyBorder="1" applyAlignment="1">
      <alignment horizontal="center"/>
    </xf>
    <xf numFmtId="3" fontId="21" fillId="0" borderId="47" xfId="12" applyNumberFormat="1" applyFont="1" applyFill="1" applyBorder="1" applyAlignment="1">
      <alignment horizontal="center"/>
    </xf>
    <xf numFmtId="3" fontId="21" fillId="0" borderId="48" xfId="12" applyNumberFormat="1" applyFont="1" applyFill="1" applyBorder="1" applyAlignment="1">
      <alignment horizontal="center"/>
    </xf>
    <xf numFmtId="3" fontId="21" fillId="0" borderId="45" xfId="0" applyNumberFormat="1" applyFont="1" applyBorder="1" applyAlignment="1">
      <alignment horizontal="center"/>
    </xf>
    <xf numFmtId="3" fontId="0" fillId="0" borderId="39" xfId="0" quotePrefix="1" applyNumberFormat="1" applyBorder="1" applyAlignment="1">
      <alignment horizontal="center"/>
    </xf>
    <xf numFmtId="3" fontId="21" fillId="0" borderId="46" xfId="0" applyNumberFormat="1" applyFont="1" applyBorder="1" applyAlignment="1">
      <alignment horizontal="center"/>
    </xf>
    <xf numFmtId="3" fontId="21" fillId="0" borderId="47" xfId="0" applyNumberFormat="1" applyFont="1" applyBorder="1" applyAlignment="1">
      <alignment horizontal="center"/>
    </xf>
    <xf numFmtId="3" fontId="21" fillId="0" borderId="48" xfId="0" applyNumberFormat="1" applyFont="1" applyBorder="1" applyAlignment="1">
      <alignment horizontal="center"/>
    </xf>
    <xf numFmtId="3" fontId="21" fillId="0" borderId="50" xfId="0" applyNumberFormat="1" applyFont="1" applyBorder="1" applyAlignment="1">
      <alignment horizontal="center"/>
    </xf>
    <xf numFmtId="0" fontId="0" fillId="0" borderId="48" xfId="0" applyBorder="1" applyAlignment="1">
      <alignment horizontal="center"/>
    </xf>
    <xf numFmtId="171" fontId="21" fillId="0" borderId="45" xfId="13" applyNumberFormat="1" applyFont="1" applyFill="1" applyBorder="1" applyAlignment="1">
      <alignment horizontal="center"/>
    </xf>
    <xf numFmtId="171" fontId="21" fillId="0" borderId="46" xfId="13" applyNumberFormat="1" applyFont="1" applyFill="1" applyBorder="1" applyAlignment="1">
      <alignment horizontal="center"/>
    </xf>
    <xf numFmtId="171" fontId="21" fillId="0" borderId="47" xfId="13" applyNumberFormat="1" applyFont="1" applyFill="1" applyBorder="1" applyAlignment="1">
      <alignment horizontal="center"/>
    </xf>
    <xf numFmtId="3" fontId="21" fillId="0" borderId="39" xfId="0" applyNumberFormat="1" applyFont="1" applyBorder="1" applyAlignment="1">
      <alignment horizontal="center"/>
    </xf>
    <xf numFmtId="0" fontId="0" fillId="0" borderId="24" xfId="0" applyBorder="1" applyAlignment="1">
      <alignment horizontal="center" wrapText="1"/>
    </xf>
    <xf numFmtId="0" fontId="0" fillId="0" borderId="58" xfId="0" applyBorder="1" applyAlignment="1">
      <alignment horizontal="center" wrapText="1"/>
    </xf>
    <xf numFmtId="3" fontId="21" fillId="0" borderId="50" xfId="12" applyNumberFormat="1" applyFont="1" applyFill="1" applyBorder="1" applyAlignment="1">
      <alignment horizontal="center"/>
    </xf>
    <xf numFmtId="0" fontId="21" fillId="0" borderId="39" xfId="3" applyBorder="1" applyAlignment="1">
      <alignment horizontal="center"/>
    </xf>
    <xf numFmtId="3" fontId="21" fillId="0" borderId="22" xfId="3" applyNumberFormat="1" applyBorder="1" applyAlignment="1">
      <alignment horizontal="center"/>
    </xf>
    <xf numFmtId="0" fontId="21" fillId="0" borderId="50" xfId="3" applyBorder="1" applyAlignment="1">
      <alignment horizontal="center"/>
    </xf>
    <xf numFmtId="0" fontId="21" fillId="0" borderId="89" xfId="3" applyBorder="1" applyAlignment="1">
      <alignment horizontal="center" vertical="top" wrapText="1"/>
    </xf>
    <xf numFmtId="0" fontId="21" fillId="0" borderId="60" xfId="3" applyBorder="1" applyAlignment="1">
      <alignment horizontal="center" vertical="top" wrapText="1"/>
    </xf>
    <xf numFmtId="0" fontId="21" fillId="0" borderId="59" xfId="3" applyBorder="1" applyAlignment="1">
      <alignment horizontal="center" vertical="top" wrapText="1"/>
    </xf>
    <xf numFmtId="0" fontId="21" fillId="0" borderId="53" xfId="3" applyBorder="1" applyAlignment="1">
      <alignment horizontal="center"/>
    </xf>
    <xf numFmtId="3" fontId="21" fillId="0" borderId="45" xfId="3" applyNumberFormat="1" applyBorder="1" applyAlignment="1">
      <alignment horizontal="right" vertical="center" indent="1"/>
    </xf>
    <xf numFmtId="3" fontId="21" fillId="0" borderId="46" xfId="3" applyNumberFormat="1" applyBorder="1" applyAlignment="1">
      <alignment horizontal="right" vertical="center" indent="1"/>
    </xf>
    <xf numFmtId="3" fontId="21" fillId="0" borderId="47" xfId="3" applyNumberFormat="1" applyBorder="1" applyAlignment="1">
      <alignment horizontal="right" vertical="center" indent="1"/>
    </xf>
    <xf numFmtId="0" fontId="21" fillId="0" borderId="56" xfId="3" applyBorder="1" applyAlignment="1">
      <alignment horizontal="center" vertical="top" wrapText="1"/>
    </xf>
    <xf numFmtId="0" fontId="21" fillId="0" borderId="39" xfId="3" applyBorder="1" applyAlignment="1">
      <alignment horizontal="left"/>
    </xf>
    <xf numFmtId="0" fontId="21" fillId="0" borderId="46" xfId="3" applyBorder="1" applyAlignment="1">
      <alignment horizontal="left"/>
    </xf>
    <xf numFmtId="0" fontId="21" fillId="0" borderId="48" xfId="3" applyBorder="1" applyAlignment="1">
      <alignment horizontal="left"/>
    </xf>
    <xf numFmtId="0" fontId="43" fillId="0" borderId="47" xfId="3" applyFont="1" applyBorder="1" applyAlignment="1">
      <alignment horizontal="center" vertical="center" wrapText="1"/>
    </xf>
    <xf numFmtId="164" fontId="43" fillId="0" borderId="48" xfId="3" applyNumberFormat="1" applyFont="1" applyBorder="1" applyAlignment="1">
      <alignment horizontal="center" vertical="center" wrapText="1"/>
    </xf>
    <xf numFmtId="0" fontId="95" fillId="0" borderId="47" xfId="3" applyFont="1" applyBorder="1" applyAlignment="1">
      <alignment horizontal="center" vertical="center" wrapText="1"/>
    </xf>
    <xf numFmtId="164" fontId="43" fillId="0" borderId="48" xfId="3" applyNumberFormat="1" applyFont="1" applyBorder="1" applyAlignment="1">
      <alignment horizontal="right" vertical="center" wrapText="1" indent="2"/>
    </xf>
    <xf numFmtId="164" fontId="95" fillId="0" borderId="48" xfId="3" applyNumberFormat="1" applyFont="1" applyBorder="1" applyAlignment="1">
      <alignment horizontal="right" vertical="center" wrapText="1" indent="2"/>
    </xf>
    <xf numFmtId="0" fontId="43" fillId="0" borderId="49" xfId="3" applyFont="1" applyBorder="1" applyAlignment="1">
      <alignment horizontal="center" vertical="center" wrapText="1"/>
    </xf>
    <xf numFmtId="164" fontId="43" fillId="0" borderId="22" xfId="3" applyNumberFormat="1" applyFont="1" applyBorder="1" applyAlignment="1">
      <alignment horizontal="center" vertical="center" wrapText="1"/>
    </xf>
    <xf numFmtId="0" fontId="21" fillId="0" borderId="47" xfId="3" applyBorder="1" applyAlignment="1">
      <alignment horizontal="left"/>
    </xf>
    <xf numFmtId="0" fontId="21" fillId="0" borderId="56" xfId="3" applyBorder="1"/>
    <xf numFmtId="0" fontId="21" fillId="0" borderId="59" xfId="3" applyBorder="1" applyAlignment="1">
      <alignment horizontal="center"/>
    </xf>
    <xf numFmtId="0" fontId="21" fillId="0" borderId="77" xfId="3" applyBorder="1" applyAlignment="1">
      <alignment horizontal="center"/>
    </xf>
    <xf numFmtId="0" fontId="21" fillId="0" borderId="56" xfId="3" applyBorder="1" applyAlignment="1">
      <alignment horizontal="center"/>
    </xf>
    <xf numFmtId="3" fontId="21" fillId="0" borderId="45" xfId="3" applyNumberFormat="1" applyBorder="1" applyAlignment="1">
      <alignment horizontal="right" indent="2"/>
    </xf>
    <xf numFmtId="3" fontId="21" fillId="0" borderId="39" xfId="3" applyNumberFormat="1" applyBorder="1" applyAlignment="1">
      <alignment horizontal="right" indent="2"/>
    </xf>
    <xf numFmtId="3" fontId="21" fillId="0" borderId="46" xfId="3" applyNumberFormat="1" applyBorder="1" applyAlignment="1">
      <alignment horizontal="right" indent="2"/>
    </xf>
    <xf numFmtId="3" fontId="21" fillId="0" borderId="47" xfId="3" applyNumberFormat="1" applyBorder="1" applyAlignment="1">
      <alignment horizontal="right" indent="2"/>
    </xf>
    <xf numFmtId="3" fontId="21" fillId="0" borderId="48" xfId="3" applyNumberFormat="1" applyBorder="1" applyAlignment="1">
      <alignment horizontal="right" indent="2"/>
    </xf>
    <xf numFmtId="0" fontId="43" fillId="0" borderId="45" xfId="3" applyFont="1" applyBorder="1" applyAlignment="1">
      <alignment horizontal="right" vertical="center" wrapText="1"/>
    </xf>
    <xf numFmtId="0" fontId="43" fillId="0" borderId="39" xfId="3" applyFont="1" applyBorder="1" applyAlignment="1">
      <alignment wrapText="1"/>
    </xf>
    <xf numFmtId="0" fontId="43" fillId="0" borderId="48" xfId="3" applyFont="1" applyBorder="1" applyAlignment="1">
      <alignment horizontal="right" vertical="center" wrapText="1"/>
    </xf>
    <xf numFmtId="166" fontId="43" fillId="0" borderId="48" xfId="3" applyNumberFormat="1" applyFont="1" applyBorder="1" applyAlignment="1">
      <alignment horizontal="center" vertical="center" wrapText="1"/>
    </xf>
    <xf numFmtId="166" fontId="21" fillId="0" borderId="22" xfId="3" applyNumberFormat="1" applyBorder="1" applyAlignment="1">
      <alignment horizontal="center" vertical="center" wrapText="1"/>
    </xf>
    <xf numFmtId="0" fontId="117" fillId="0" borderId="22" xfId="3" applyFont="1" applyBorder="1" applyAlignment="1">
      <alignment horizontal="center" vertical="center" wrapText="1"/>
    </xf>
    <xf numFmtId="166" fontId="43" fillId="0" borderId="22" xfId="3" applyNumberFormat="1" applyFont="1" applyBorder="1" applyAlignment="1">
      <alignment horizontal="center" vertical="center" wrapText="1"/>
    </xf>
    <xf numFmtId="166" fontId="43" fillId="0" borderId="50" xfId="3" applyNumberFormat="1" applyFont="1" applyBorder="1" applyAlignment="1">
      <alignment horizontal="center" vertical="center" wrapText="1"/>
    </xf>
    <xf numFmtId="0" fontId="43" fillId="0" borderId="49" xfId="3" applyFont="1" applyBorder="1" applyAlignment="1">
      <alignment horizontal="center" wrapText="1"/>
    </xf>
    <xf numFmtId="0" fontId="43" fillId="0" borderId="22" xfId="3" applyFont="1" applyBorder="1" applyAlignment="1">
      <alignment wrapText="1"/>
    </xf>
    <xf numFmtId="0" fontId="21" fillId="0" borderId="48" xfId="3" applyBorder="1"/>
    <xf numFmtId="0" fontId="21" fillId="0" borderId="50" xfId="3" applyBorder="1"/>
    <xf numFmtId="0" fontId="43" fillId="0" borderId="48" xfId="3" applyFont="1" applyBorder="1" applyAlignment="1">
      <alignment horizontal="center" vertical="center" wrapText="1"/>
    </xf>
    <xf numFmtId="49" fontId="43" fillId="0" borderId="47" xfId="3" applyNumberFormat="1" applyFont="1" applyBorder="1" applyAlignment="1">
      <alignment horizontal="center" vertical="center" wrapText="1"/>
    </xf>
    <xf numFmtId="3" fontId="43" fillId="0" borderId="48" xfId="3" applyNumberFormat="1" applyFont="1" applyBorder="1" applyAlignment="1">
      <alignment horizontal="right" vertical="center" wrapText="1" indent="2"/>
    </xf>
    <xf numFmtId="0" fontId="43" fillId="0" borderId="48" xfId="3" applyFont="1" applyBorder="1" applyAlignment="1">
      <alignment horizontal="right" vertical="center" wrapText="1" indent="2"/>
    </xf>
    <xf numFmtId="165" fontId="43" fillId="0" borderId="48" xfId="4" applyNumberFormat="1" applyFont="1" applyBorder="1" applyAlignment="1">
      <alignment horizontal="right" vertical="center" wrapText="1" indent="2"/>
    </xf>
    <xf numFmtId="37" fontId="43" fillId="0" borderId="48" xfId="4" applyNumberFormat="1" applyFont="1" applyFill="1" applyBorder="1" applyAlignment="1">
      <alignment horizontal="right" vertical="center" wrapText="1" indent="2"/>
    </xf>
    <xf numFmtId="49" fontId="21" fillId="0" borderId="47" xfId="3" applyNumberFormat="1" applyBorder="1" applyAlignment="1">
      <alignment horizontal="center"/>
    </xf>
    <xf numFmtId="49" fontId="21" fillId="0" borderId="47" xfId="3" applyNumberFormat="1" applyBorder="1"/>
    <xf numFmtId="49" fontId="21" fillId="0" borderId="47" xfId="3" applyNumberFormat="1" applyBorder="1" applyAlignment="1">
      <alignment horizontal="center" vertical="center"/>
    </xf>
    <xf numFmtId="49" fontId="21" fillId="0" borderId="49" xfId="3" applyNumberFormat="1" applyBorder="1" applyAlignment="1">
      <alignment horizontal="center"/>
    </xf>
    <xf numFmtId="49" fontId="21" fillId="0" borderId="22" xfId="3" quotePrefix="1" applyNumberFormat="1" applyBorder="1" applyAlignment="1">
      <alignment horizontal="left" indent="1"/>
    </xf>
    <xf numFmtId="3" fontId="43" fillId="0" borderId="22" xfId="3" applyNumberFormat="1" applyFont="1" applyBorder="1" applyAlignment="1">
      <alignment horizontal="right" vertical="center" wrapText="1" indent="2"/>
    </xf>
    <xf numFmtId="0" fontId="43" fillId="0" borderId="50" xfId="3" applyFont="1" applyBorder="1" applyAlignment="1">
      <alignment horizontal="right" vertical="center" wrapText="1" indent="2"/>
    </xf>
    <xf numFmtId="0" fontId="21" fillId="0" borderId="22" xfId="3" quotePrefix="1" applyBorder="1" applyAlignment="1">
      <alignment horizontal="left" indent="1"/>
    </xf>
    <xf numFmtId="0" fontId="43" fillId="0" borderId="22" xfId="3" applyFont="1" applyBorder="1" applyAlignment="1">
      <alignment horizontal="center" vertical="center" wrapText="1"/>
    </xf>
    <xf numFmtId="0" fontId="43" fillId="0" borderId="22" xfId="3" applyFont="1" applyBorder="1" applyAlignment="1">
      <alignment horizontal="right" vertical="center" wrapText="1" indent="2"/>
    </xf>
    <xf numFmtId="49" fontId="43" fillId="0" borderId="22" xfId="3" applyNumberFormat="1" applyFont="1" applyBorder="1" applyAlignment="1">
      <alignment horizontal="center" vertical="center" wrapText="1"/>
    </xf>
    <xf numFmtId="0" fontId="43" fillId="0" borderId="50" xfId="3" applyFont="1" applyBorder="1" applyAlignment="1">
      <alignment horizontal="center" vertical="center" wrapText="1"/>
    </xf>
    <xf numFmtId="49" fontId="21" fillId="0" borderId="47" xfId="0" applyNumberFormat="1" applyFont="1" applyBorder="1" applyAlignment="1">
      <alignment horizontal="center" vertical="center" wrapText="1"/>
    </xf>
    <xf numFmtId="164" fontId="21" fillId="0" borderId="48" xfId="0" applyNumberFormat="1" applyFont="1" applyBorder="1" applyAlignment="1">
      <alignment horizontal="right" vertical="center" wrapText="1" indent="2"/>
    </xf>
    <xf numFmtId="49" fontId="21" fillId="0" borderId="49" xfId="0" applyNumberFormat="1" applyFont="1" applyBorder="1" applyAlignment="1">
      <alignment horizontal="center" vertical="center" wrapText="1"/>
    </xf>
    <xf numFmtId="164" fontId="21" fillId="0" borderId="22" xfId="0" applyNumberFormat="1" applyFont="1" applyBorder="1" applyAlignment="1">
      <alignment horizontal="right" vertical="center" wrapText="1" indent="2"/>
    </xf>
    <xf numFmtId="164" fontId="21" fillId="0" borderId="50" xfId="0" applyNumberFormat="1" applyFont="1" applyBorder="1" applyAlignment="1">
      <alignment horizontal="right" vertical="center" wrapText="1" indent="2"/>
    </xf>
    <xf numFmtId="0" fontId="33" fillId="0" borderId="80" xfId="0" applyFont="1" applyBorder="1" applyAlignment="1">
      <alignment horizontal="center" vertical="center"/>
    </xf>
    <xf numFmtId="0" fontId="33" fillId="0" borderId="47" xfId="0" applyFont="1" applyBorder="1" applyAlignment="1">
      <alignment horizontal="center" vertical="center"/>
    </xf>
    <xf numFmtId="0" fontId="0" fillId="0" borderId="48" xfId="0" applyBorder="1" applyAlignment="1">
      <alignment vertical="top" wrapText="1"/>
    </xf>
    <xf numFmtId="0" fontId="33" fillId="0" borderId="91" xfId="0" applyFont="1" applyBorder="1" applyAlignment="1">
      <alignment horizontal="center" vertical="center"/>
    </xf>
    <xf numFmtId="0" fontId="33" fillId="0" borderId="90" xfId="0" applyFont="1" applyBorder="1" applyAlignment="1">
      <alignment horizontal="center" vertical="center"/>
    </xf>
    <xf numFmtId="0" fontId="21" fillId="0" borderId="83" xfId="0" applyFont="1" applyBorder="1" applyAlignment="1">
      <alignment horizontal="center" vertical="center"/>
    </xf>
    <xf numFmtId="0" fontId="0" fillId="0" borderId="92" xfId="0" applyBorder="1" applyAlignment="1">
      <alignment vertical="top" wrapText="1"/>
    </xf>
    <xf numFmtId="0" fontId="21" fillId="0" borderId="0" xfId="0" applyFont="1" applyAlignment="1">
      <alignment horizontal="center" vertical="center"/>
    </xf>
    <xf numFmtId="0" fontId="21" fillId="0" borderId="77" xfId="0" applyFont="1" applyBorder="1" applyAlignment="1">
      <alignment horizontal="center" vertical="center"/>
    </xf>
    <xf numFmtId="0" fontId="0" fillId="0" borderId="77" xfId="0" applyBorder="1" applyAlignment="1">
      <alignment vertical="top" wrapText="1"/>
    </xf>
    <xf numFmtId="0" fontId="21" fillId="0" borderId="59" xfId="0" applyFont="1" applyBorder="1" applyAlignment="1">
      <alignment horizontal="center" vertical="center"/>
    </xf>
    <xf numFmtId="0" fontId="21" fillId="0" borderId="59" xfId="0" applyFont="1" applyBorder="1" applyAlignment="1">
      <alignment vertical="top" wrapText="1"/>
    </xf>
    <xf numFmtId="0" fontId="33" fillId="0" borderId="93" xfId="0" applyFont="1" applyBorder="1" applyAlignment="1">
      <alignment horizontal="center" vertical="center"/>
    </xf>
    <xf numFmtId="0" fontId="0" fillId="0" borderId="59" xfId="0" applyBorder="1" applyAlignment="1">
      <alignment vertical="top" wrapText="1"/>
    </xf>
    <xf numFmtId="0" fontId="33" fillId="0" borderId="87" xfId="0" applyFont="1" applyBorder="1" applyAlignment="1">
      <alignment horizontal="center" vertical="center"/>
    </xf>
    <xf numFmtId="0" fontId="0" fillId="0" borderId="11" xfId="0" applyBorder="1" applyAlignment="1">
      <alignment vertical="top" wrapText="1"/>
    </xf>
    <xf numFmtId="0" fontId="33" fillId="0" borderId="55" xfId="0" applyFont="1" applyBorder="1" applyAlignment="1">
      <alignment horizontal="center" vertical="center"/>
    </xf>
    <xf numFmtId="0" fontId="0" fillId="0" borderId="10" xfId="0" applyBorder="1" applyAlignment="1">
      <alignment vertical="top" wrapText="1"/>
    </xf>
    <xf numFmtId="0" fontId="0" fillId="0" borderId="76" xfId="0" applyBorder="1" applyAlignment="1">
      <alignment vertical="top" wrapText="1"/>
    </xf>
    <xf numFmtId="0" fontId="0" fillId="0" borderId="22" xfId="0" applyBorder="1" applyAlignment="1">
      <alignment vertical="top" wrapText="1"/>
    </xf>
    <xf numFmtId="0" fontId="0" fillId="0" borderId="24" xfId="0" applyBorder="1" applyAlignment="1">
      <alignment horizontal="left"/>
    </xf>
    <xf numFmtId="0" fontId="0" fillId="0" borderId="58" xfId="0" applyBorder="1"/>
    <xf numFmtId="0" fontId="21" fillId="0" borderId="48" xfId="0" applyFont="1" applyBorder="1"/>
    <xf numFmtId="0" fontId="0" fillId="0" borderId="47" xfId="0" applyBorder="1" applyAlignment="1">
      <alignment horizontal="center" vertical="top"/>
    </xf>
    <xf numFmtId="0" fontId="21" fillId="0" borderId="48" xfId="0" applyFont="1" applyBorder="1" applyAlignment="1">
      <alignment wrapText="1"/>
    </xf>
    <xf numFmtId="0" fontId="0" fillId="0" borderId="22" xfId="0" applyBorder="1" applyAlignment="1">
      <alignment horizontal="left"/>
    </xf>
    <xf numFmtId="0" fontId="0" fillId="0" borderId="22" xfId="0" quotePrefix="1" applyBorder="1" applyAlignment="1">
      <alignment horizontal="left"/>
    </xf>
    <xf numFmtId="0" fontId="0" fillId="0" borderId="50" xfId="0" applyBorder="1"/>
    <xf numFmtId="0" fontId="33" fillId="0" borderId="39" xfId="0" applyFont="1" applyBorder="1" applyAlignment="1">
      <alignment horizontal="right" vertical="center"/>
    </xf>
    <xf numFmtId="0" fontId="33" fillId="0" borderId="39" xfId="0" applyFont="1" applyBorder="1" applyAlignment="1">
      <alignment horizontal="right" vertical="center" wrapText="1"/>
    </xf>
    <xf numFmtId="0" fontId="33" fillId="0" borderId="72" xfId="0" applyFont="1" applyBorder="1" applyAlignment="1">
      <alignment horizontal="center" vertical="center"/>
    </xf>
    <xf numFmtId="0" fontId="33" fillId="0" borderId="47" xfId="0" applyFont="1" applyBorder="1" applyAlignment="1">
      <alignment horizontal="center" vertical="center" wrapText="1"/>
    </xf>
    <xf numFmtId="0" fontId="33" fillId="0" borderId="48" xfId="0" applyFont="1" applyBorder="1" applyAlignment="1">
      <alignment horizontal="right" vertical="center"/>
    </xf>
    <xf numFmtId="0" fontId="33" fillId="0" borderId="76" xfId="0" applyFont="1" applyBorder="1" applyAlignment="1">
      <alignment horizontal="right" vertical="center"/>
    </xf>
    <xf numFmtId="3" fontId="33" fillId="0" borderId="48" xfId="0" applyNumberFormat="1" applyFont="1" applyBorder="1" applyAlignment="1">
      <alignment horizontal="right" vertical="center"/>
    </xf>
    <xf numFmtId="3" fontId="33" fillId="0" borderId="76" xfId="0" applyNumberFormat="1" applyFont="1" applyBorder="1" applyAlignment="1">
      <alignment horizontal="right" vertical="center"/>
    </xf>
    <xf numFmtId="0" fontId="33" fillId="0" borderId="47" xfId="0" applyFont="1" applyBorder="1" applyAlignment="1">
      <alignment horizontal="right" vertical="center"/>
    </xf>
    <xf numFmtId="0" fontId="33" fillId="0" borderId="48" xfId="0" applyFont="1" applyBorder="1" applyAlignment="1">
      <alignment vertical="center" wrapText="1"/>
    </xf>
    <xf numFmtId="0" fontId="33" fillId="0" borderId="47" xfId="0" applyFont="1" applyBorder="1" applyAlignment="1">
      <alignment horizontal="left" vertical="center" wrapText="1"/>
    </xf>
    <xf numFmtId="0" fontId="33" fillId="0" borderId="47" xfId="0" applyFont="1" applyBorder="1" applyAlignment="1">
      <alignment horizontal="right" vertical="center" wrapText="1"/>
    </xf>
    <xf numFmtId="0" fontId="33" fillId="0" borderId="48" xfId="0" applyFont="1" applyBorder="1" applyAlignment="1">
      <alignment horizontal="center" vertical="center"/>
    </xf>
    <xf numFmtId="0" fontId="33" fillId="0" borderId="80" xfId="0" applyFont="1" applyBorder="1" applyAlignment="1">
      <alignment horizontal="right" vertical="center"/>
    </xf>
    <xf numFmtId="0" fontId="0" fillId="0" borderId="55" xfId="0" applyBorder="1"/>
    <xf numFmtId="3" fontId="33" fillId="0" borderId="76" xfId="0" applyNumberFormat="1" applyFont="1" applyBorder="1" applyAlignment="1">
      <alignment vertical="center" wrapText="1"/>
    </xf>
    <xf numFmtId="0" fontId="45" fillId="0" borderId="48" xfId="0" applyFont="1" applyBorder="1" applyAlignment="1">
      <alignment horizontal="right" vertical="center" wrapText="1"/>
    </xf>
    <xf numFmtId="0" fontId="33" fillId="0" borderId="79" xfId="0" applyFont="1" applyBorder="1" applyAlignment="1">
      <alignment horizontal="center" vertical="center"/>
    </xf>
    <xf numFmtId="0" fontId="0" fillId="0" borderId="49" xfId="0" applyBorder="1"/>
    <xf numFmtId="0" fontId="0" fillId="0" borderId="22" xfId="0" applyBorder="1"/>
    <xf numFmtId="0" fontId="21" fillId="0" borderId="55" xfId="7" applyFont="1" applyBorder="1" applyAlignment="1">
      <alignment horizontal="center"/>
    </xf>
    <xf numFmtId="0" fontId="21" fillId="0" borderId="76" xfId="7" applyFont="1" applyBorder="1" applyAlignment="1">
      <alignment horizontal="center"/>
    </xf>
    <xf numFmtId="1" fontId="21" fillId="0" borderId="47" xfId="7" applyNumberFormat="1" applyFont="1" applyBorder="1" applyAlignment="1">
      <alignment horizontal="center" vertical="center"/>
    </xf>
    <xf numFmtId="0" fontId="21" fillId="0" borderId="48" xfId="7" applyFont="1" applyBorder="1" applyAlignment="1">
      <alignment vertical="center"/>
    </xf>
    <xf numFmtId="0" fontId="43" fillId="0" borderId="48" xfId="3" applyFont="1" applyBorder="1" applyAlignment="1">
      <alignment horizontal="left" vertical="center"/>
    </xf>
    <xf numFmtId="0" fontId="21" fillId="0" borderId="47" xfId="7" applyFont="1" applyBorder="1" applyAlignment="1">
      <alignment horizontal="center"/>
    </xf>
    <xf numFmtId="0" fontId="21" fillId="0" borderId="48" xfId="7" applyFont="1" applyBorder="1" applyAlignment="1">
      <alignment horizontal="center"/>
    </xf>
    <xf numFmtId="1" fontId="21" fillId="0" borderId="79" xfId="7" applyNumberFormat="1" applyFont="1" applyBorder="1" applyAlignment="1">
      <alignment horizontal="center" vertical="center"/>
    </xf>
    <xf numFmtId="0" fontId="21" fillId="0" borderId="80" xfId="7" applyFont="1" applyBorder="1" applyAlignment="1">
      <alignment vertical="center"/>
    </xf>
    <xf numFmtId="3" fontId="43" fillId="0" borderId="48" xfId="3" applyNumberFormat="1" applyFont="1" applyBorder="1" applyAlignment="1">
      <alignment horizontal="center" vertical="center" wrapText="1"/>
    </xf>
    <xf numFmtId="3" fontId="43" fillId="0" borderId="22" xfId="3" applyNumberFormat="1" applyFont="1" applyBorder="1" applyAlignment="1">
      <alignment horizontal="center" vertical="center" wrapText="1"/>
    </xf>
    <xf numFmtId="3" fontId="43" fillId="0" borderId="50" xfId="3" applyNumberFormat="1" applyFont="1" applyBorder="1" applyAlignment="1">
      <alignment horizontal="center" vertical="center" wrapText="1"/>
    </xf>
    <xf numFmtId="0" fontId="43" fillId="0" borderId="85" xfId="3" applyFont="1" applyBorder="1" applyAlignment="1">
      <alignment horizontal="center" vertical="center" wrapText="1"/>
    </xf>
    <xf numFmtId="0" fontId="43" fillId="0" borderId="62" xfId="3" applyFont="1" applyBorder="1" applyAlignment="1">
      <alignment horizontal="center" vertical="center" wrapText="1"/>
    </xf>
    <xf numFmtId="0" fontId="43" fillId="0" borderId="86" xfId="3" applyFont="1" applyBorder="1" applyAlignment="1">
      <alignment horizontal="center" vertical="center" wrapText="1"/>
    </xf>
    <xf numFmtId="0" fontId="43" fillId="0" borderId="57" xfId="3" applyFont="1" applyBorder="1" applyAlignment="1">
      <alignment horizontal="center" vertical="center" wrapText="1"/>
    </xf>
    <xf numFmtId="0" fontId="43" fillId="0" borderId="24" xfId="3" applyFont="1" applyBorder="1" applyAlignment="1">
      <alignment horizontal="center" vertical="center" wrapText="1"/>
    </xf>
    <xf numFmtId="0" fontId="43" fillId="0" borderId="58" xfId="3" applyFont="1" applyBorder="1" applyAlignment="1">
      <alignment horizontal="center" vertical="center" wrapText="1"/>
    </xf>
    <xf numFmtId="164" fontId="21" fillId="0" borderId="48" xfId="3" applyNumberFormat="1" applyBorder="1" applyAlignment="1">
      <alignment horizontal="right" vertical="center" wrapText="1" indent="2"/>
    </xf>
    <xf numFmtId="164" fontId="21" fillId="0" borderId="22" xfId="3" applyNumberFormat="1" applyBorder="1" applyAlignment="1">
      <alignment horizontal="right" vertical="center" wrapText="1" indent="2"/>
    </xf>
    <xf numFmtId="164" fontId="21" fillId="0" borderId="50" xfId="3" applyNumberFormat="1" applyBorder="1" applyAlignment="1">
      <alignment horizontal="right" vertical="center" wrapText="1" indent="2"/>
    </xf>
    <xf numFmtId="0" fontId="34" fillId="0" borderId="45" xfId="10" applyFont="1" applyBorder="1" applyAlignment="1">
      <alignment vertical="center" wrapText="1"/>
    </xf>
    <xf numFmtId="0" fontId="34" fillId="0" borderId="47" xfId="10" applyFont="1" applyBorder="1" applyAlignment="1">
      <alignment vertical="center" wrapText="1"/>
    </xf>
    <xf numFmtId="0" fontId="34" fillId="0" borderId="48" xfId="10" applyFont="1" applyBorder="1" applyAlignment="1">
      <alignment horizontal="center" vertical="center" wrapText="1"/>
    </xf>
    <xf numFmtId="9" fontId="89" fillId="0" borderId="48" xfId="10" applyNumberFormat="1" applyFont="1" applyBorder="1" applyAlignment="1">
      <alignment horizontal="right" vertical="center" wrapText="1" indent="2"/>
    </xf>
    <xf numFmtId="0" fontId="34" fillId="0" borderId="47" xfId="10" applyFont="1" applyBorder="1" applyAlignment="1">
      <alignment horizontal="right" vertical="center" wrapText="1" indent="2"/>
    </xf>
    <xf numFmtId="0" fontId="90" fillId="0" borderId="47" xfId="10" applyFont="1" applyBorder="1" applyAlignment="1">
      <alignment vertical="center" wrapText="1"/>
    </xf>
    <xf numFmtId="49" fontId="34" fillId="0" borderId="47" xfId="10" applyNumberFormat="1" applyFont="1" applyBorder="1" applyAlignment="1">
      <alignment horizontal="right" vertical="center" wrapText="1" indent="2"/>
    </xf>
    <xf numFmtId="0" fontId="27" fillId="0" borderId="47" xfId="7" applyBorder="1"/>
    <xf numFmtId="9" fontId="89" fillId="0" borderId="48" xfId="10" applyNumberFormat="1" applyFont="1" applyBorder="1" applyAlignment="1">
      <alignment horizontal="center" vertical="center" wrapText="1"/>
    </xf>
    <xf numFmtId="9" fontId="89" fillId="0" borderId="48" xfId="19" applyFont="1" applyBorder="1" applyAlignment="1">
      <alignment horizontal="center" vertical="center" wrapText="1"/>
    </xf>
    <xf numFmtId="3" fontId="89" fillId="0" borderId="22" xfId="10" applyNumberFormat="1" applyFont="1" applyBorder="1" applyAlignment="1">
      <alignment horizontal="center" vertical="center" wrapText="1"/>
    </xf>
    <xf numFmtId="0" fontId="34" fillId="0" borderId="48" xfId="10" applyFont="1" applyBorder="1" applyAlignment="1">
      <alignment horizontal="center" vertical="center"/>
    </xf>
    <xf numFmtId="0" fontId="34" fillId="0" borderId="49" xfId="10" applyFont="1" applyBorder="1" applyAlignment="1">
      <alignment horizontal="center" vertical="center" wrapText="1"/>
    </xf>
    <xf numFmtId="0" fontId="34" fillId="0" borderId="22" xfId="10" applyFont="1" applyBorder="1" applyAlignment="1">
      <alignment horizontal="center" vertical="center" wrapText="1"/>
    </xf>
    <xf numFmtId="0" fontId="34" fillId="0" borderId="50" xfId="10" applyFont="1" applyBorder="1" applyAlignment="1">
      <alignment horizontal="center" vertical="center" wrapText="1"/>
    </xf>
    <xf numFmtId="0" fontId="22" fillId="0" borderId="46" xfId="3" applyFont="1" applyBorder="1" applyAlignment="1">
      <alignment horizontal="center" vertical="center" wrapText="1"/>
    </xf>
    <xf numFmtId="49" fontId="43" fillId="0" borderId="49" xfId="3" applyNumberFormat="1" applyFont="1" applyBorder="1" applyAlignment="1">
      <alignment horizontal="center" vertical="center" wrapText="1"/>
    </xf>
    <xf numFmtId="3" fontId="43" fillId="0" borderId="22" xfId="4" applyNumberFormat="1" applyFont="1" applyBorder="1" applyAlignment="1">
      <alignment horizontal="center" vertical="center" wrapText="1"/>
    </xf>
    <xf numFmtId="3" fontId="43" fillId="0" borderId="50" xfId="4" applyNumberFormat="1" applyFont="1" applyBorder="1" applyAlignment="1">
      <alignment horizontal="center" vertical="center" wrapText="1"/>
    </xf>
    <xf numFmtId="3" fontId="43" fillId="0" borderId="48" xfId="4" applyNumberFormat="1" applyFont="1" applyBorder="1" applyAlignment="1">
      <alignment horizontal="center" vertical="center" wrapText="1"/>
    </xf>
    <xf numFmtId="171" fontId="21" fillId="0" borderId="48" xfId="122" applyNumberFormat="1" applyFont="1" applyBorder="1" applyAlignment="1">
      <alignment horizontal="right" vertical="center" wrapText="1" indent="2"/>
    </xf>
    <xf numFmtId="49" fontId="21" fillId="0" borderId="57" xfId="0" applyNumberFormat="1" applyFont="1" applyBorder="1" applyAlignment="1">
      <alignment horizontal="center" vertical="center" wrapText="1"/>
    </xf>
    <xf numFmtId="171" fontId="21" fillId="0" borderId="24" xfId="122" applyNumberFormat="1" applyFont="1" applyBorder="1" applyAlignment="1">
      <alignment horizontal="right" vertical="center" wrapText="1" indent="2"/>
    </xf>
    <xf numFmtId="0" fontId="21" fillId="0" borderId="45" xfId="3" applyBorder="1" applyAlignment="1">
      <alignment horizontal="justify" vertical="center" wrapText="1"/>
    </xf>
    <xf numFmtId="0" fontId="21" fillId="0" borderId="47" xfId="3" applyBorder="1" applyAlignment="1">
      <alignment horizontal="justify" vertical="center" wrapText="1"/>
    </xf>
    <xf numFmtId="0" fontId="21" fillId="0" borderId="48" xfId="3" applyBorder="1" applyAlignment="1">
      <alignment horizontal="center" vertical="center" wrapText="1"/>
    </xf>
    <xf numFmtId="49" fontId="21" fillId="0" borderId="0" xfId="3" applyNumberFormat="1" applyAlignment="1">
      <alignment horizontal="right" vertical="center" wrapText="1" indent="2"/>
    </xf>
    <xf numFmtId="0" fontId="21" fillId="0" borderId="48" xfId="3" applyBorder="1" applyAlignment="1">
      <alignment horizontal="right" vertical="center" wrapText="1" indent="2"/>
    </xf>
    <xf numFmtId="3" fontId="21" fillId="0" borderId="0" xfId="3" applyNumberFormat="1" applyAlignment="1">
      <alignment horizontal="right" vertical="center" wrapText="1" indent="2"/>
    </xf>
    <xf numFmtId="49" fontId="21" fillId="0" borderId="0" xfId="3" quotePrefix="1" applyNumberFormat="1" applyAlignment="1">
      <alignment horizontal="center" vertical="center" wrapText="1"/>
    </xf>
    <xf numFmtId="0" fontId="21" fillId="0" borderId="22" xfId="3" applyBorder="1" applyAlignment="1">
      <alignment horizontal="right" vertical="center" wrapText="1" indent="1"/>
    </xf>
    <xf numFmtId="0" fontId="21" fillId="0" borderId="22" xfId="3" applyBorder="1" applyAlignment="1">
      <alignment horizontal="right" indent="3"/>
    </xf>
    <xf numFmtId="37" fontId="21" fillId="0" borderId="22" xfId="3" quotePrefix="1" applyNumberFormat="1" applyBorder="1" applyAlignment="1">
      <alignment horizontal="center" vertical="center" wrapText="1"/>
    </xf>
    <xf numFmtId="0" fontId="21" fillId="0" borderId="50" xfId="3" applyBorder="1" applyAlignment="1">
      <alignment horizontal="right" vertical="center" wrapText="1" indent="2"/>
    </xf>
    <xf numFmtId="0" fontId="21" fillId="0" borderId="57" xfId="3" applyBorder="1" applyAlignment="1">
      <alignment horizontal="justify" vertical="center" wrapText="1"/>
    </xf>
    <xf numFmtId="3" fontId="21" fillId="0" borderId="22" xfId="3" applyNumberFormat="1" applyBorder="1" applyAlignment="1">
      <alignment horizontal="center" vertical="center" wrapText="1"/>
    </xf>
    <xf numFmtId="3" fontId="21" fillId="0" borderId="22" xfId="3" applyNumberFormat="1" applyBorder="1" applyAlignment="1">
      <alignment horizontal="center" vertical="center"/>
    </xf>
    <xf numFmtId="0" fontId="21" fillId="0" borderId="48" xfId="3" applyBorder="1" applyAlignment="1">
      <alignment horizontal="center" vertical="center"/>
    </xf>
    <xf numFmtId="0" fontId="21" fillId="0" borderId="48" xfId="3" applyBorder="1" applyAlignment="1">
      <alignment horizontal="right" vertical="center" indent="5"/>
    </xf>
    <xf numFmtId="0" fontId="21" fillId="0" borderId="50" xfId="3" applyBorder="1" applyAlignment="1">
      <alignment horizontal="right" vertical="center" indent="5"/>
    </xf>
    <xf numFmtId="0" fontId="43" fillId="0" borderId="47" xfId="3" applyFont="1" applyBorder="1" applyAlignment="1">
      <alignment horizontal="center" vertical="center"/>
    </xf>
    <xf numFmtId="3" fontId="21" fillId="0" borderId="22" xfId="3" applyNumberFormat="1" applyBorder="1" applyAlignment="1">
      <alignment horizontal="right" indent="4"/>
    </xf>
    <xf numFmtId="3" fontId="21" fillId="0" borderId="48" xfId="3" applyNumberFormat="1" applyBorder="1" applyAlignment="1">
      <alignment horizontal="right" indent="5"/>
    </xf>
    <xf numFmtId="3" fontId="21" fillId="0" borderId="50" xfId="3" applyNumberFormat="1" applyBorder="1" applyAlignment="1">
      <alignment horizontal="right" indent="5"/>
    </xf>
    <xf numFmtId="3" fontId="21" fillId="0" borderId="48" xfId="3" applyNumberFormat="1" applyBorder="1" applyAlignment="1">
      <alignment horizontal="right" indent="3"/>
    </xf>
    <xf numFmtId="0" fontId="24" fillId="0" borderId="47" xfId="0" applyFont="1" applyBorder="1" applyAlignment="1">
      <alignment vertical="top" wrapText="1"/>
    </xf>
    <xf numFmtId="0" fontId="24" fillId="0" borderId="48" xfId="0" applyFont="1" applyBorder="1" applyAlignment="1">
      <alignment horizontal="center" vertical="top" wrapText="1"/>
    </xf>
    <xf numFmtId="1" fontId="21" fillId="0" borderId="48" xfId="0" applyNumberFormat="1" applyFont="1" applyBorder="1" applyAlignment="1">
      <alignment horizontal="right" vertical="center" wrapText="1" indent="2"/>
    </xf>
    <xf numFmtId="1" fontId="0" fillId="0" borderId="48" xfId="0" applyNumberFormat="1" applyBorder="1" applyAlignment="1">
      <alignment horizontal="right" vertical="center" indent="2"/>
    </xf>
    <xf numFmtId="164" fontId="21" fillId="18" borderId="22" xfId="0" applyNumberFormat="1" applyFont="1" applyFill="1" applyBorder="1" applyAlignment="1">
      <alignment horizontal="right" vertical="center" wrapText="1" indent="2"/>
    </xf>
    <xf numFmtId="1" fontId="21" fillId="18" borderId="22" xfId="0" applyNumberFormat="1" applyFont="1" applyFill="1" applyBorder="1" applyAlignment="1">
      <alignment horizontal="right" vertical="center" wrapText="1" indent="2"/>
    </xf>
    <xf numFmtId="1" fontId="0" fillId="18" borderId="50" xfId="0" applyNumberFormat="1" applyFill="1" applyBorder="1" applyAlignment="1">
      <alignment horizontal="right" vertical="center" indent="2"/>
    </xf>
    <xf numFmtId="0" fontId="0" fillId="0" borderId="45" xfId="0" applyBorder="1" applyAlignment="1">
      <alignment horizontal="center"/>
    </xf>
    <xf numFmtId="0" fontId="0" fillId="0" borderId="39" xfId="0" applyBorder="1" applyAlignment="1">
      <alignment horizontal="left"/>
    </xf>
    <xf numFmtId="0" fontId="0" fillId="0" borderId="39" xfId="0" applyBorder="1" applyAlignment="1">
      <alignment horizontal="center"/>
    </xf>
    <xf numFmtId="0" fontId="45" fillId="0" borderId="39" xfId="0" applyFont="1" applyBorder="1" applyAlignment="1">
      <alignment horizontal="center" vertical="center" wrapText="1"/>
    </xf>
    <xf numFmtId="0" fontId="45" fillId="0" borderId="39" xfId="0" applyFont="1" applyBorder="1" applyAlignment="1">
      <alignment horizontal="left" vertical="center" wrapText="1"/>
    </xf>
    <xf numFmtId="0" fontId="45" fillId="0" borderId="39" xfId="0" applyFont="1" applyBorder="1" applyAlignment="1">
      <alignment horizontal="right" vertical="center" wrapText="1"/>
    </xf>
    <xf numFmtId="0" fontId="45" fillId="0" borderId="46" xfId="0" applyFont="1" applyBorder="1" applyAlignment="1">
      <alignment horizontal="right" vertical="center" wrapText="1"/>
    </xf>
    <xf numFmtId="0" fontId="43" fillId="0" borderId="45" xfId="3" applyFont="1" applyBorder="1" applyAlignment="1">
      <alignment horizontal="center" vertical="center" wrapText="1"/>
    </xf>
    <xf numFmtId="3" fontId="43" fillId="0" borderId="39" xfId="3" applyNumberFormat="1" applyFont="1" applyBorder="1" applyAlignment="1">
      <alignment horizontal="center" vertical="center" wrapText="1"/>
    </xf>
    <xf numFmtId="3" fontId="43" fillId="0" borderId="46" xfId="3" applyNumberFormat="1" applyFont="1" applyBorder="1" applyAlignment="1">
      <alignment horizontal="center" vertical="center" wrapText="1"/>
    </xf>
    <xf numFmtId="49" fontId="21" fillId="0" borderId="47" xfId="3" applyNumberFormat="1" applyBorder="1" applyAlignment="1">
      <alignment horizontal="center" vertical="center" wrapText="1"/>
    </xf>
    <xf numFmtId="165" fontId="32" fillId="0" borderId="0" xfId="4" applyNumberFormat="1" applyFont="1" applyFill="1" applyAlignment="1">
      <alignment horizontal="center" vertical="center"/>
    </xf>
    <xf numFmtId="165" fontId="32" fillId="0" borderId="0" xfId="4" applyNumberFormat="1" applyFont="1" applyFill="1" applyBorder="1" applyAlignment="1">
      <alignment horizontal="center"/>
    </xf>
    <xf numFmtId="165" fontId="32" fillId="0" borderId="0" xfId="4" applyNumberFormat="1" applyFont="1" applyFill="1" applyBorder="1" applyAlignment="1">
      <alignment horizontal="center" vertical="center"/>
    </xf>
    <xf numFmtId="165" fontId="32" fillId="0" borderId="0" xfId="4" applyNumberFormat="1" applyFont="1" applyAlignment="1">
      <alignment horizontal="center" vertical="center"/>
    </xf>
    <xf numFmtId="165" fontId="32" fillId="0" borderId="6" xfId="4" applyNumberFormat="1" applyFont="1" applyBorder="1" applyAlignment="1">
      <alignment horizontal="center" vertical="center"/>
    </xf>
    <xf numFmtId="3" fontId="34" fillId="0" borderId="15" xfId="125" applyNumberFormat="1" applyFont="1" applyBorder="1" applyAlignment="1">
      <alignment horizontal="center" vertical="center"/>
    </xf>
    <xf numFmtId="165" fontId="21" fillId="0" borderId="0" xfId="4" applyNumberFormat="1" applyFont="1" applyFill="1" applyAlignment="1">
      <alignment horizontal="center" vertical="center"/>
    </xf>
    <xf numFmtId="165" fontId="21" fillId="0" borderId="0" xfId="4" applyNumberFormat="1" applyFont="1" applyAlignment="1">
      <alignment horizontal="center" vertical="center"/>
    </xf>
    <xf numFmtId="0" fontId="32" fillId="0" borderId="14" xfId="125" applyFont="1" applyBorder="1" applyAlignment="1">
      <alignment horizontal="center" vertical="center"/>
    </xf>
    <xf numFmtId="0" fontId="32" fillId="0" borderId="0" xfId="125" applyFont="1" applyAlignment="1">
      <alignment horizontal="center" vertical="center"/>
    </xf>
    <xf numFmtId="0" fontId="21" fillId="0" borderId="10" xfId="6" applyFont="1" applyBorder="1" applyAlignment="1">
      <alignment horizontal="right"/>
    </xf>
    <xf numFmtId="0" fontId="33" fillId="0" borderId="10" xfId="6" applyFont="1" applyBorder="1" applyAlignment="1">
      <alignment horizontal="right"/>
    </xf>
    <xf numFmtId="3" fontId="28" fillId="0" borderId="10" xfId="6" applyNumberFormat="1" applyFont="1" applyBorder="1"/>
    <xf numFmtId="3" fontId="33" fillId="0" borderId="10" xfId="6" applyNumberFormat="1" applyFont="1" applyBorder="1"/>
    <xf numFmtId="3" fontId="28" fillId="0" borderId="41" xfId="6" applyNumberFormat="1" applyFont="1" applyBorder="1"/>
    <xf numFmtId="3" fontId="33" fillId="0" borderId="41" xfId="6" applyNumberFormat="1" applyFont="1" applyBorder="1"/>
    <xf numFmtId="3" fontId="21" fillId="0" borderId="41" xfId="6" applyNumberFormat="1" applyFont="1" applyBorder="1"/>
    <xf numFmtId="3" fontId="28" fillId="0" borderId="41" xfId="6" applyNumberFormat="1" applyFont="1" applyBorder="1" applyAlignment="1">
      <alignment horizontal="right"/>
    </xf>
    <xf numFmtId="3" fontId="28" fillId="0" borderId="41" xfId="6" quotePrefix="1" applyNumberFormat="1" applyFont="1" applyBorder="1" applyAlignment="1">
      <alignment horizontal="right"/>
    </xf>
    <xf numFmtId="3" fontId="33" fillId="0" borderId="41" xfId="6" quotePrefix="1" applyNumberFormat="1" applyFont="1" applyBorder="1" applyAlignment="1">
      <alignment horizontal="right"/>
    </xf>
    <xf numFmtId="3" fontId="21" fillId="0" borderId="41" xfId="6" quotePrefix="1" applyNumberFormat="1" applyFont="1" applyBorder="1" applyAlignment="1">
      <alignment horizontal="right"/>
    </xf>
    <xf numFmtId="0" fontId="123" fillId="0" borderId="10" xfId="6" applyFont="1" applyBorder="1" applyAlignment="1">
      <alignment horizontal="right"/>
    </xf>
    <xf numFmtId="3" fontId="30" fillId="0" borderId="10" xfId="6" quotePrefix="1" applyNumberFormat="1" applyFont="1" applyBorder="1" applyAlignment="1">
      <alignment horizontal="right"/>
    </xf>
    <xf numFmtId="3" fontId="21" fillId="0" borderId="10" xfId="6" applyNumberFormat="1" applyFont="1" applyBorder="1"/>
    <xf numFmtId="3" fontId="28" fillId="0" borderId="10" xfId="6" quotePrefix="1" applyNumberFormat="1" applyFont="1" applyBorder="1" applyAlignment="1">
      <alignment horizontal="right"/>
    </xf>
    <xf numFmtId="3" fontId="33" fillId="0" borderId="10" xfId="6" quotePrefix="1" applyNumberFormat="1" applyFont="1" applyBorder="1" applyAlignment="1">
      <alignment horizontal="right"/>
    </xf>
    <xf numFmtId="3" fontId="28" fillId="0" borderId="10" xfId="6" applyNumberFormat="1" applyFont="1" applyBorder="1" applyAlignment="1">
      <alignment horizontal="right"/>
    </xf>
    <xf numFmtId="3" fontId="28" fillId="0" borderId="34" xfId="6" applyNumberFormat="1" applyFont="1" applyBorder="1"/>
    <xf numFmtId="3" fontId="28" fillId="0" borderId="36" xfId="6" applyNumberFormat="1" applyFont="1" applyBorder="1" applyAlignment="1">
      <alignment horizontal="center"/>
    </xf>
    <xf numFmtId="3" fontId="21" fillId="0" borderId="36" xfId="6" applyNumberFormat="1" applyFont="1" applyBorder="1" applyAlignment="1">
      <alignment horizontal="center"/>
    </xf>
    <xf numFmtId="0" fontId="21" fillId="0" borderId="35" xfId="6" applyFont="1" applyBorder="1"/>
    <xf numFmtId="0" fontId="21" fillId="0" borderId="43" xfId="6" applyFont="1" applyBorder="1"/>
    <xf numFmtId="3" fontId="28" fillId="0" borderId="22" xfId="6" applyNumberFormat="1" applyFont="1" applyBorder="1"/>
    <xf numFmtId="3" fontId="33" fillId="0" borderId="22" xfId="6" applyNumberFormat="1" applyFont="1" applyBorder="1"/>
    <xf numFmtId="3" fontId="28" fillId="0" borderId="22" xfId="6" applyNumberFormat="1" applyFont="1" applyBorder="1" applyAlignment="1">
      <alignment horizontal="right"/>
    </xf>
    <xf numFmtId="0" fontId="28" fillId="0" borderId="29" xfId="6" applyFont="1" applyBorder="1"/>
    <xf numFmtId="0" fontId="30" fillId="0" borderId="10" xfId="1" applyFont="1" applyBorder="1" applyAlignment="1">
      <alignment horizontal="center" vertical="center" wrapText="1"/>
    </xf>
    <xf numFmtId="0" fontId="21" fillId="2" borderId="0" xfId="11" applyNumberFormat="1" applyFont="1" applyFill="1" applyBorder="1" applyAlignment="1">
      <alignment horizontal="center"/>
    </xf>
    <xf numFmtId="0" fontId="21" fillId="0" borderId="0" xfId="0" applyFont="1" applyAlignment="1">
      <alignment horizontal="left" indent="1"/>
    </xf>
    <xf numFmtId="3" fontId="21" fillId="28" borderId="4" xfId="0" applyNumberFormat="1" applyFont="1" applyFill="1" applyBorder="1" applyAlignment="1">
      <alignment horizontal="right" vertical="top" wrapText="1" indent="1"/>
    </xf>
    <xf numFmtId="9" fontId="21" fillId="0" borderId="0" xfId="19" applyFont="1" applyBorder="1" applyAlignment="1">
      <alignment horizontal="left"/>
    </xf>
    <xf numFmtId="1" fontId="21" fillId="6" borderId="0" xfId="0" applyNumberFormat="1" applyFont="1" applyFill="1" applyAlignment="1">
      <alignment horizontal="left" vertical="top"/>
    </xf>
    <xf numFmtId="1" fontId="21" fillId="6" borderId="0" xfId="0" applyNumberFormat="1" applyFont="1" applyFill="1" applyAlignment="1">
      <alignment horizontal="left"/>
    </xf>
    <xf numFmtId="9" fontId="0" fillId="0" borderId="0" xfId="19" applyFont="1" applyBorder="1" applyAlignment="1">
      <alignment horizontal="left"/>
    </xf>
    <xf numFmtId="9" fontId="21" fillId="0" borderId="0" xfId="19" applyFont="1" applyAlignment="1">
      <alignment horizontal="center"/>
    </xf>
    <xf numFmtId="171" fontId="21" fillId="0" borderId="22" xfId="13" applyNumberFormat="1" applyFont="1" applyFill="1" applyBorder="1" applyAlignment="1">
      <alignment horizontal="center"/>
    </xf>
    <xf numFmtId="0" fontId="0" fillId="0" borderId="50" xfId="7" applyFont="1" applyBorder="1" applyAlignment="1">
      <alignment vertical="center"/>
    </xf>
    <xf numFmtId="3" fontId="0" fillId="0" borderId="22" xfId="7" applyNumberFormat="1" applyFont="1" applyBorder="1" applyAlignment="1">
      <alignment vertical="center"/>
    </xf>
    <xf numFmtId="3" fontId="32" fillId="0" borderId="22" xfId="8" applyNumberFormat="1" applyFont="1" applyBorder="1" applyAlignment="1">
      <alignment horizontal="right" vertical="center" indent="1"/>
    </xf>
    <xf numFmtId="1" fontId="0" fillId="0" borderId="49" xfId="7" applyNumberFormat="1" applyFont="1" applyBorder="1" applyAlignment="1">
      <alignment horizontal="center" vertical="center"/>
    </xf>
    <xf numFmtId="171" fontId="21" fillId="0" borderId="0" xfId="19" applyNumberFormat="1" applyFont="1" applyAlignment="1">
      <alignment horizontal="left"/>
    </xf>
    <xf numFmtId="9" fontId="0" fillId="0" borderId="0" xfId="19" applyFont="1"/>
    <xf numFmtId="0" fontId="0" fillId="0" borderId="73" xfId="0" applyBorder="1" applyAlignment="1">
      <alignment horizontal="center" wrapText="1"/>
    </xf>
    <xf numFmtId="0" fontId="0" fillId="0" borderId="81" xfId="0" applyBorder="1" applyAlignment="1">
      <alignment horizontal="center" wrapText="1"/>
    </xf>
    <xf numFmtId="3" fontId="54" fillId="0" borderId="48" xfId="0" applyNumberFormat="1" applyFont="1" applyBorder="1" applyAlignment="1">
      <alignment horizontal="right" vertical="top" indent="1"/>
    </xf>
    <xf numFmtId="3" fontId="21" fillId="0" borderId="48" xfId="0" applyNumberFormat="1" applyFont="1" applyBorder="1" applyAlignment="1">
      <alignment horizontal="right" vertical="top" indent="1"/>
    </xf>
    <xf numFmtId="3" fontId="21" fillId="0" borderId="22" xfId="0" applyNumberFormat="1" applyFont="1" applyBorder="1" applyAlignment="1">
      <alignment horizontal="right" vertical="top" indent="1"/>
    </xf>
    <xf numFmtId="3" fontId="21" fillId="0" borderId="50" xfId="0" applyNumberFormat="1" applyFont="1" applyBorder="1" applyAlignment="1">
      <alignment horizontal="right" vertical="top" indent="1"/>
    </xf>
    <xf numFmtId="0" fontId="0" fillId="0" borderId="94" xfId="0" applyBorder="1" applyAlignment="1">
      <alignment horizontal="center"/>
    </xf>
    <xf numFmtId="0" fontId="54" fillId="0" borderId="60" xfId="0" applyFont="1" applyBorder="1" applyAlignment="1">
      <alignment horizontal="center"/>
    </xf>
    <xf numFmtId="0" fontId="0" fillId="0" borderId="60" xfId="0" applyBorder="1" applyAlignment="1">
      <alignment horizontal="center"/>
    </xf>
    <xf numFmtId="0" fontId="21" fillId="0" borderId="60" xfId="0" applyFont="1" applyBorder="1" applyAlignment="1">
      <alignment horizontal="center"/>
    </xf>
    <xf numFmtId="164" fontId="21" fillId="0" borderId="22" xfId="0" applyNumberFormat="1" applyFont="1" applyBorder="1" applyAlignment="1">
      <alignment horizontal="right" vertical="center" wrapText="1"/>
    </xf>
    <xf numFmtId="0" fontId="22" fillId="0" borderId="48" xfId="3" applyFont="1" applyBorder="1" applyAlignment="1">
      <alignment horizontal="left"/>
    </xf>
    <xf numFmtId="3" fontId="21" fillId="0" borderId="22" xfId="4" applyNumberFormat="1" applyFont="1" applyBorder="1" applyAlignment="1">
      <alignment horizontal="center" vertical="center" wrapText="1"/>
    </xf>
    <xf numFmtId="0" fontId="21" fillId="0" borderId="45" xfId="0" applyFont="1" applyBorder="1" applyAlignment="1">
      <alignment horizontal="justify" vertical="center"/>
    </xf>
    <xf numFmtId="0" fontId="21" fillId="0" borderId="46" xfId="0" applyFont="1" applyBorder="1" applyAlignment="1">
      <alignment horizontal="justify" vertical="center"/>
    </xf>
    <xf numFmtId="0" fontId="21" fillId="0" borderId="47" xfId="0" applyFont="1" applyBorder="1" applyAlignment="1">
      <alignment horizontal="justify" vertical="center"/>
    </xf>
    <xf numFmtId="0" fontId="54" fillId="0" borderId="47" xfId="0" applyFont="1" applyBorder="1" applyAlignment="1">
      <alignment horizontal="center" vertical="center"/>
    </xf>
    <xf numFmtId="9" fontId="54" fillId="0" borderId="48" xfId="0" applyNumberFormat="1" applyFont="1" applyBorder="1" applyAlignment="1">
      <alignment horizontal="center" vertical="center"/>
    </xf>
    <xf numFmtId="9" fontId="21" fillId="0" borderId="48" xfId="0" applyNumberFormat="1" applyFont="1" applyBorder="1" applyAlignment="1">
      <alignment horizontal="center" vertical="center"/>
    </xf>
    <xf numFmtId="37" fontId="21" fillId="0" borderId="22" xfId="4" applyNumberFormat="1" applyFont="1" applyFill="1" applyBorder="1" applyAlignment="1">
      <alignment horizontal="right" vertical="center" indent="1"/>
    </xf>
    <xf numFmtId="3" fontId="21" fillId="0" borderId="22" xfId="0" applyNumberFormat="1" applyFont="1" applyBorder="1" applyAlignment="1">
      <alignment horizontal="right" vertical="center" indent="2"/>
    </xf>
    <xf numFmtId="3" fontId="21" fillId="0" borderId="22" xfId="0" applyNumberFormat="1" applyFont="1" applyBorder="1" applyAlignment="1">
      <alignment horizontal="right" vertical="center" indent="1"/>
    </xf>
    <xf numFmtId="9" fontId="21" fillId="0" borderId="50" xfId="0" applyNumberFormat="1" applyFont="1" applyBorder="1" applyAlignment="1">
      <alignment horizontal="center" vertical="center"/>
    </xf>
    <xf numFmtId="0" fontId="21" fillId="0" borderId="56" xfId="0" applyFont="1" applyBorder="1" applyAlignment="1">
      <alignment horizontal="justify" vertical="center"/>
    </xf>
    <xf numFmtId="0" fontId="21" fillId="0" borderId="60" xfId="0" applyFont="1" applyBorder="1" applyAlignment="1">
      <alignment horizontal="justify" vertical="center"/>
    </xf>
    <xf numFmtId="3" fontId="54" fillId="0" borderId="60" xfId="0" applyNumberFormat="1" applyFont="1" applyBorder="1" applyAlignment="1">
      <alignment horizontal="right" vertical="center" indent="1"/>
    </xf>
    <xf numFmtId="3" fontId="21" fillId="0" borderId="60" xfId="0" applyNumberFormat="1" applyFont="1" applyBorder="1" applyAlignment="1">
      <alignment horizontal="right" vertical="center" indent="1"/>
    </xf>
    <xf numFmtId="3" fontId="21" fillId="0" borderId="59" xfId="0" applyNumberFormat="1" applyFont="1" applyBorder="1" applyAlignment="1">
      <alignment horizontal="right" vertical="center" indent="1"/>
    </xf>
    <xf numFmtId="0" fontId="21" fillId="0" borderId="48" xfId="0" applyFont="1" applyBorder="1" applyAlignment="1">
      <alignment horizontal="justify" vertical="center"/>
    </xf>
    <xf numFmtId="3" fontId="54" fillId="0" borderId="47" xfId="0" applyNumberFormat="1" applyFont="1" applyBorder="1" applyAlignment="1">
      <alignment horizontal="right" vertical="center" indent="2"/>
    </xf>
    <xf numFmtId="3" fontId="54" fillId="0" borderId="48" xfId="0" applyNumberFormat="1" applyFont="1" applyBorder="1" applyAlignment="1">
      <alignment horizontal="right" vertical="center" indent="1"/>
    </xf>
    <xf numFmtId="3" fontId="21" fillId="0" borderId="47" xfId="0" applyNumberFormat="1" applyFont="1" applyBorder="1" applyAlignment="1">
      <alignment horizontal="right" vertical="center" indent="2"/>
    </xf>
    <xf numFmtId="3" fontId="21" fillId="0" borderId="48" xfId="0" applyNumberFormat="1" applyFont="1" applyBorder="1" applyAlignment="1">
      <alignment horizontal="right" vertical="center" indent="1"/>
    </xf>
    <xf numFmtId="0" fontId="21" fillId="0" borderId="39" xfId="0" applyFont="1" applyBorder="1" applyAlignment="1">
      <alignment horizontal="center" vertical="center"/>
    </xf>
    <xf numFmtId="0" fontId="21" fillId="0" borderId="39" xfId="0" applyFont="1" applyBorder="1" applyAlignment="1">
      <alignment horizontal="justify" vertical="center"/>
    </xf>
    <xf numFmtId="0" fontId="125" fillId="0" borderId="0" xfId="6" applyFont="1"/>
    <xf numFmtId="0" fontId="126" fillId="0" borderId="0" xfId="0" quotePrefix="1" applyFont="1" applyAlignment="1">
      <alignment horizontal="left"/>
    </xf>
    <xf numFmtId="0" fontId="56" fillId="0" borderId="0" xfId="6" applyFont="1" applyAlignment="1">
      <alignment horizontal="right"/>
    </xf>
    <xf numFmtId="0" fontId="128" fillId="0" borderId="0" xfId="6" applyFont="1" applyAlignment="1">
      <alignment horizontal="center"/>
    </xf>
    <xf numFmtId="0" fontId="129" fillId="0" borderId="0" xfId="6" applyFont="1" applyAlignment="1">
      <alignment horizontal="center"/>
    </xf>
    <xf numFmtId="0" fontId="130" fillId="0" borderId="0" xfId="6" applyFont="1" applyAlignment="1">
      <alignment horizontal="center"/>
    </xf>
    <xf numFmtId="0" fontId="131" fillId="0" borderId="0" xfId="6" applyFont="1" applyAlignment="1">
      <alignment horizontal="center"/>
    </xf>
    <xf numFmtId="0" fontId="56" fillId="0" borderId="0" xfId="6" applyFont="1" applyAlignment="1">
      <alignment horizontal="center"/>
    </xf>
    <xf numFmtId="0" fontId="53" fillId="0" borderId="0" xfId="6" applyFont="1"/>
    <xf numFmtId="0" fontId="21" fillId="0" borderId="0" xfId="6" applyFont="1" applyAlignment="1">
      <alignment horizontal="right"/>
    </xf>
    <xf numFmtId="0" fontId="33" fillId="0" borderId="0" xfId="6" applyFont="1" applyAlignment="1">
      <alignment horizontal="right"/>
    </xf>
    <xf numFmtId="3" fontId="21" fillId="0" borderId="0" xfId="6" applyNumberFormat="1" applyFont="1"/>
    <xf numFmtId="3" fontId="28" fillId="0" borderId="0" xfId="6" applyNumberFormat="1" applyFont="1"/>
    <xf numFmtId="3" fontId="33" fillId="0" borderId="0" xfId="6" applyNumberFormat="1" applyFont="1"/>
    <xf numFmtId="3" fontId="30" fillId="0" borderId="0" xfId="6" applyNumberFormat="1" applyFont="1"/>
    <xf numFmtId="3" fontId="28" fillId="0" borderId="0" xfId="6" applyNumberFormat="1" applyFont="1" applyAlignment="1">
      <alignment horizontal="right"/>
    </xf>
    <xf numFmtId="3" fontId="28" fillId="0" borderId="0" xfId="6" quotePrefix="1" applyNumberFormat="1" applyFont="1" applyAlignment="1">
      <alignment horizontal="right"/>
    </xf>
    <xf numFmtId="3" fontId="21" fillId="0" borderId="0" xfId="6" quotePrefix="1" applyNumberFormat="1" applyFont="1" applyAlignment="1">
      <alignment horizontal="right"/>
    </xf>
    <xf numFmtId="3" fontId="33" fillId="0" borderId="0" xfId="6" quotePrefix="1" applyNumberFormat="1" applyFont="1" applyAlignment="1">
      <alignment horizontal="right"/>
    </xf>
    <xf numFmtId="0" fontId="123" fillId="0" borderId="0" xfId="6" applyFont="1" applyAlignment="1">
      <alignment horizontal="right"/>
    </xf>
    <xf numFmtId="3" fontId="30" fillId="0" borderId="0" xfId="6" quotePrefix="1" applyNumberFormat="1" applyFont="1" applyAlignment="1">
      <alignment horizontal="right"/>
    </xf>
    <xf numFmtId="3" fontId="33" fillId="0" borderId="0" xfId="6" applyNumberFormat="1" applyFont="1" applyAlignment="1">
      <alignment horizontal="center"/>
    </xf>
    <xf numFmtId="0" fontId="30" fillId="0" borderId="0" xfId="6" applyFont="1" applyAlignment="1">
      <alignment horizontal="left"/>
    </xf>
    <xf numFmtId="0" fontId="30" fillId="0" borderId="0" xfId="6" applyFont="1" applyAlignment="1">
      <alignment horizontal="center"/>
    </xf>
    <xf numFmtId="0" fontId="30" fillId="0" borderId="0" xfId="6" applyFont="1"/>
    <xf numFmtId="3" fontId="30" fillId="0" borderId="0" xfId="6" applyNumberFormat="1" applyFont="1" applyAlignment="1">
      <alignment horizontal="left"/>
    </xf>
    <xf numFmtId="3" fontId="30" fillId="0" borderId="0" xfId="6" applyNumberFormat="1" applyFont="1" applyAlignment="1">
      <alignment horizontal="center"/>
    </xf>
    <xf numFmtId="49" fontId="34" fillId="0" borderId="49" xfId="10" applyNumberFormat="1" applyFont="1" applyBorder="1" applyAlignment="1">
      <alignment horizontal="right" vertical="center" wrapText="1" indent="2"/>
    </xf>
    <xf numFmtId="0" fontId="21" fillId="0" borderId="49" xfId="1" applyBorder="1" applyAlignment="1">
      <alignment horizontal="justify" vertical="center" wrapText="1"/>
    </xf>
    <xf numFmtId="3" fontId="0" fillId="0" borderId="22" xfId="0" applyNumberFormat="1" applyBorder="1" applyAlignment="1">
      <alignment horizontal="center"/>
    </xf>
    <xf numFmtId="0" fontId="21" fillId="0" borderId="50" xfId="3" applyBorder="1" applyAlignment="1">
      <alignment horizontal="center" vertical="center"/>
    </xf>
    <xf numFmtId="0" fontId="21" fillId="0" borderId="59" xfId="3" applyBorder="1" applyAlignment="1">
      <alignment horizontal="center" vertical="center"/>
    </xf>
    <xf numFmtId="0" fontId="43" fillId="0" borderId="49" xfId="3" applyFont="1" applyBorder="1" applyAlignment="1">
      <alignment horizontal="center" vertical="center"/>
    </xf>
    <xf numFmtId="3" fontId="21" fillId="0" borderId="22" xfId="3" applyNumberFormat="1" applyBorder="1" applyAlignment="1">
      <alignment horizontal="right" indent="3"/>
    </xf>
    <xf numFmtId="3" fontId="21" fillId="0" borderId="50" xfId="3" applyNumberFormat="1" applyBorder="1" applyAlignment="1">
      <alignment horizontal="right" indent="3"/>
    </xf>
    <xf numFmtId="165" fontId="0" fillId="0" borderId="0" xfId="4" applyNumberFormat="1" applyFont="1" applyBorder="1" applyAlignment="1">
      <alignment horizontal="center"/>
    </xf>
    <xf numFmtId="165" fontId="0" fillId="0" borderId="0" xfId="4" applyNumberFormat="1" applyFont="1" applyBorder="1"/>
    <xf numFmtId="165" fontId="32" fillId="0" borderId="0" xfId="4" applyNumberFormat="1" applyFont="1" applyBorder="1" applyAlignment="1">
      <alignment horizontal="center" vertical="center"/>
    </xf>
    <xf numFmtId="165" fontId="21" fillId="0" borderId="0" xfId="4" applyNumberFormat="1" applyFont="1" applyBorder="1" applyAlignment="1">
      <alignment horizontal="center" vertical="center"/>
    </xf>
    <xf numFmtId="0" fontId="32" fillId="0" borderId="6" xfId="125" applyFont="1" applyBorder="1"/>
    <xf numFmtId="3" fontId="32" fillId="0" borderId="96" xfId="125" applyNumberFormat="1" applyFont="1" applyBorder="1"/>
    <xf numFmtId="0" fontId="21" fillId="0" borderId="76" xfId="0" applyFont="1" applyBorder="1" applyAlignment="1">
      <alignment horizontal="left"/>
    </xf>
    <xf numFmtId="3" fontId="0" fillId="0" borderId="76" xfId="0" applyNumberFormat="1" applyBorder="1"/>
    <xf numFmtId="0" fontId="138" fillId="0" borderId="0" xfId="6" applyFont="1" applyAlignment="1">
      <alignment horizontal="left"/>
    </xf>
    <xf numFmtId="0" fontId="57" fillId="0" borderId="30" xfId="6" applyFont="1" applyBorder="1"/>
    <xf numFmtId="0" fontId="41" fillId="0" borderId="29" xfId="6" applyFont="1" applyBorder="1" applyAlignment="1">
      <alignment horizontal="left"/>
    </xf>
    <xf numFmtId="0" fontId="21" fillId="0" borderId="4" xfId="6" applyFont="1" applyBorder="1"/>
    <xf numFmtId="0" fontId="21" fillId="0" borderId="5" xfId="6" applyFont="1" applyBorder="1"/>
    <xf numFmtId="0" fontId="38" fillId="0" borderId="4" xfId="6" applyFont="1" applyBorder="1"/>
    <xf numFmtId="0" fontId="127" fillId="0" borderId="4" xfId="6" applyFont="1" applyBorder="1" applyAlignment="1">
      <alignment horizontal="center"/>
    </xf>
    <xf numFmtId="0" fontId="38" fillId="0" borderId="5" xfId="6" applyFont="1" applyBorder="1" applyAlignment="1">
      <alignment horizontal="center"/>
    </xf>
    <xf numFmtId="0" fontId="33" fillId="0" borderId="4" xfId="6" applyFont="1" applyBorder="1"/>
    <xf numFmtId="3" fontId="33" fillId="0" borderId="5" xfId="6" quotePrefix="1" applyNumberFormat="1" applyFont="1" applyBorder="1" applyAlignment="1">
      <alignment horizontal="right"/>
    </xf>
    <xf numFmtId="3" fontId="33" fillId="0" borderId="97" xfId="6" applyNumberFormat="1" applyFont="1" applyBorder="1" applyAlignment="1">
      <alignment horizontal="right"/>
    </xf>
    <xf numFmtId="3" fontId="33" fillId="0" borderId="5" xfId="6" applyNumberFormat="1" applyFont="1" applyBorder="1" applyAlignment="1">
      <alignment horizontal="right"/>
    </xf>
    <xf numFmtId="0" fontId="21" fillId="0" borderId="9" xfId="6" applyFont="1" applyBorder="1"/>
    <xf numFmtId="3" fontId="33" fillId="0" borderId="11" xfId="6" applyNumberFormat="1" applyFont="1" applyBorder="1" applyAlignment="1">
      <alignment horizontal="right"/>
    </xf>
    <xf numFmtId="0" fontId="54" fillId="0" borderId="4" xfId="6" applyFont="1" applyBorder="1"/>
    <xf numFmtId="3" fontId="28" fillId="0" borderId="29" xfId="6" applyNumberFormat="1" applyFont="1" applyBorder="1" applyAlignment="1">
      <alignment horizontal="right"/>
    </xf>
    <xf numFmtId="3" fontId="21" fillId="0" borderId="31" xfId="6" applyNumberFormat="1" applyFont="1" applyBorder="1" applyAlignment="1">
      <alignment horizontal="right"/>
    </xf>
    <xf numFmtId="3" fontId="30" fillId="0" borderId="5" xfId="6" applyNumberFormat="1" applyFont="1" applyBorder="1"/>
    <xf numFmtId="0" fontId="21" fillId="0" borderId="98" xfId="6" applyFont="1" applyBorder="1"/>
    <xf numFmtId="0" fontId="33" fillId="0" borderId="98" xfId="6" applyFont="1" applyBorder="1"/>
    <xf numFmtId="3" fontId="139" fillId="0" borderId="0" xfId="0" applyNumberFormat="1" applyFont="1"/>
    <xf numFmtId="3" fontId="96" fillId="0" borderId="0" xfId="0" applyNumberFormat="1" applyFont="1"/>
    <xf numFmtId="0" fontId="28" fillId="0" borderId="4" xfId="6" applyFont="1" applyBorder="1" applyAlignment="1">
      <alignment horizontal="center"/>
    </xf>
    <xf numFmtId="3" fontId="33" fillId="0" borderId="5" xfId="6" applyNumberFormat="1" applyFont="1" applyBorder="1" applyAlignment="1">
      <alignment horizontal="center"/>
    </xf>
    <xf numFmtId="0" fontId="30" fillId="0" borderId="35" xfId="6" applyFont="1" applyBorder="1"/>
    <xf numFmtId="3" fontId="54" fillId="0" borderId="35" xfId="6" applyNumberFormat="1" applyFont="1" applyBorder="1"/>
    <xf numFmtId="0" fontId="21" fillId="0" borderId="99" xfId="6" applyFont="1" applyBorder="1"/>
    <xf numFmtId="0" fontId="21" fillId="0" borderId="100" xfId="6" applyFont="1" applyBorder="1"/>
    <xf numFmtId="0" fontId="132" fillId="0" borderId="4" xfId="6" applyFont="1" applyBorder="1" applyAlignment="1">
      <alignment vertical="center"/>
    </xf>
    <xf numFmtId="0" fontId="21" fillId="0" borderId="54" xfId="6" applyFont="1" applyBorder="1" applyAlignment="1">
      <alignment horizontal="left"/>
    </xf>
    <xf numFmtId="3" fontId="33" fillId="0" borderId="53" xfId="6" applyNumberFormat="1" applyFont="1" applyBorder="1" applyAlignment="1">
      <alignment horizontal="right"/>
    </xf>
    <xf numFmtId="0" fontId="54" fillId="0" borderId="4" xfId="6" applyFont="1" applyBorder="1" applyAlignment="1">
      <alignment horizontal="left"/>
    </xf>
    <xf numFmtId="3" fontId="28" fillId="0" borderId="39" xfId="6" applyNumberFormat="1" applyFont="1" applyBorder="1" applyAlignment="1">
      <alignment horizontal="right"/>
    </xf>
    <xf numFmtId="3" fontId="21" fillId="0" borderId="52" xfId="6" applyNumberFormat="1" applyFont="1" applyBorder="1" applyAlignment="1">
      <alignment horizontal="right"/>
    </xf>
    <xf numFmtId="0" fontId="21" fillId="0" borderId="4" xfId="0" applyFont="1" applyBorder="1"/>
    <xf numFmtId="0" fontId="21" fillId="0" borderId="54" xfId="0" applyFont="1" applyBorder="1"/>
    <xf numFmtId="0" fontId="54" fillId="0" borderId="4" xfId="6" applyFont="1" applyBorder="1" applyAlignment="1">
      <alignment horizontal="center"/>
    </xf>
    <xf numFmtId="3" fontId="21" fillId="0" borderId="5" xfId="6" applyNumberFormat="1" applyFont="1" applyBorder="1" applyAlignment="1">
      <alignment horizontal="center"/>
    </xf>
    <xf numFmtId="0" fontId="21" fillId="0" borderId="4" xfId="6" applyFont="1" applyBorder="1" applyAlignment="1">
      <alignment horizontal="left"/>
    </xf>
    <xf numFmtId="3" fontId="30" fillId="0" borderId="5" xfId="6" applyNumberFormat="1" applyFont="1" applyBorder="1" applyAlignment="1">
      <alignment horizontal="right"/>
    </xf>
    <xf numFmtId="0" fontId="28" fillId="0" borderId="36" xfId="6" applyFont="1" applyBorder="1" applyAlignment="1">
      <alignment horizontal="center"/>
    </xf>
    <xf numFmtId="0" fontId="21" fillId="0" borderId="11" xfId="6" applyFont="1" applyBorder="1"/>
    <xf numFmtId="0" fontId="21" fillId="0" borderId="30" xfId="6" applyFont="1" applyBorder="1"/>
    <xf numFmtId="0" fontId="28" fillId="0" borderId="31" xfId="6" applyFont="1" applyBorder="1"/>
    <xf numFmtId="0" fontId="133" fillId="0" borderId="4" xfId="6" applyFont="1" applyBorder="1"/>
    <xf numFmtId="0" fontId="133" fillId="0" borderId="9" xfId="6" applyFont="1" applyBorder="1"/>
    <xf numFmtId="3" fontId="33" fillId="0" borderId="10" xfId="6" applyNumberFormat="1" applyFont="1" applyBorder="1" applyAlignment="1">
      <alignment horizontal="right"/>
    </xf>
    <xf numFmtId="3" fontId="30" fillId="0" borderId="10" xfId="6" applyNumberFormat="1" applyFont="1" applyBorder="1" applyAlignment="1">
      <alignment horizontal="left"/>
    </xf>
    <xf numFmtId="3" fontId="30" fillId="0" borderId="10" xfId="6" applyNumberFormat="1" applyFont="1" applyBorder="1" applyAlignment="1">
      <alignment horizontal="center"/>
    </xf>
    <xf numFmtId="0" fontId="30" fillId="0" borderId="10" xfId="6" applyFont="1" applyBorder="1"/>
    <xf numFmtId="0" fontId="54" fillId="0" borderId="10" xfId="6" applyFont="1" applyBorder="1" applyAlignment="1">
      <alignment horizontal="center"/>
    </xf>
    <xf numFmtId="0" fontId="54" fillId="0" borderId="11" xfId="6" applyFont="1" applyBorder="1" applyAlignment="1">
      <alignment horizontal="center"/>
    </xf>
    <xf numFmtId="0" fontId="140" fillId="0" borderId="0" xfId="6" quotePrefix="1" applyFont="1" applyAlignment="1">
      <alignment horizontal="left"/>
    </xf>
    <xf numFmtId="0" fontId="54" fillId="0" borderId="0" xfId="3" applyFont="1" applyAlignment="1">
      <alignment horizontal="left"/>
    </xf>
    <xf numFmtId="3" fontId="30" fillId="6" borderId="0" xfId="0" applyNumberFormat="1" applyFont="1" applyFill="1" applyAlignment="1">
      <alignment horizontal="center"/>
    </xf>
    <xf numFmtId="3" fontId="30" fillId="6" borderId="0" xfId="0" applyNumberFormat="1" applyFont="1" applyFill="1" applyAlignment="1">
      <alignment horizontal="right"/>
    </xf>
    <xf numFmtId="3" fontId="30" fillId="6" borderId="0" xfId="0" applyNumberFormat="1" applyFont="1" applyFill="1"/>
    <xf numFmtId="10" fontId="30" fillId="0" borderId="0" xfId="5" applyNumberFormat="1" applyFont="1" applyAlignment="1">
      <alignment horizontal="center"/>
    </xf>
    <xf numFmtId="3" fontId="21" fillId="0" borderId="47" xfId="0" applyNumberFormat="1" applyFont="1" applyBorder="1" applyAlignment="1">
      <alignment horizontal="right" vertical="center" indent="1"/>
    </xf>
    <xf numFmtId="3" fontId="21" fillId="0" borderId="49" xfId="0" applyNumberFormat="1" applyFont="1" applyBorder="1" applyAlignment="1">
      <alignment horizontal="right" vertical="center" indent="1"/>
    </xf>
    <xf numFmtId="164" fontId="0" fillId="0" borderId="22" xfId="0" applyNumberFormat="1" applyBorder="1" applyAlignment="1">
      <alignment horizontal="center"/>
    </xf>
    <xf numFmtId="164" fontId="0" fillId="0" borderId="22" xfId="0" applyNumberFormat="1" applyBorder="1" applyAlignment="1">
      <alignment horizontal="right" indent="1"/>
    </xf>
    <xf numFmtId="164" fontId="0" fillId="0" borderId="50" xfId="0" applyNumberFormat="1" applyBorder="1" applyAlignment="1">
      <alignment horizontal="right" indent="1"/>
    </xf>
    <xf numFmtId="2" fontId="28" fillId="4" borderId="0" xfId="0" applyNumberFormat="1" applyFont="1" applyFill="1" applyAlignment="1">
      <alignment horizontal="left"/>
    </xf>
    <xf numFmtId="9" fontId="0" fillId="0" borderId="0" xfId="9" applyFont="1" applyAlignment="1">
      <alignment horizontal="left"/>
    </xf>
    <xf numFmtId="0" fontId="21" fillId="0" borderId="48" xfId="0" applyFont="1" applyBorder="1" applyAlignment="1">
      <alignment horizontal="left"/>
    </xf>
    <xf numFmtId="3" fontId="0" fillId="0" borderId="88" xfId="0" applyNumberFormat="1" applyBorder="1"/>
    <xf numFmtId="0" fontId="99" fillId="20" borderId="60" xfId="0" applyFont="1" applyFill="1" applyBorder="1" applyAlignment="1">
      <alignment horizontal="center" vertical="center" wrapText="1"/>
    </xf>
    <xf numFmtId="0" fontId="99" fillId="20" borderId="67" xfId="0" applyFont="1" applyFill="1" applyBorder="1" applyAlignment="1">
      <alignment horizontal="center" vertical="center" wrapText="1"/>
    </xf>
    <xf numFmtId="10" fontId="0" fillId="21" borderId="60" xfId="0" applyNumberFormat="1" applyFill="1" applyBorder="1"/>
    <xf numFmtId="0" fontId="124" fillId="0" borderId="29" xfId="6" applyFont="1" applyBorder="1" applyAlignment="1">
      <alignment horizontal="left"/>
    </xf>
    <xf numFmtId="0" fontId="41" fillId="0" borderId="31" xfId="6" applyFont="1" applyBorder="1" applyAlignment="1">
      <alignment horizontal="left"/>
    </xf>
    <xf numFmtId="0" fontId="21" fillId="0" borderId="22" xfId="3" applyBorder="1" applyAlignment="1">
      <alignment horizontal="left" vertical="center" indent="1"/>
    </xf>
    <xf numFmtId="0" fontId="21" fillId="0" borderId="56" xfId="3" applyBorder="1" applyAlignment="1">
      <alignment horizontal="center" vertical="center"/>
    </xf>
    <xf numFmtId="0" fontId="21" fillId="0" borderId="60" xfId="3" applyBorder="1" applyAlignment="1">
      <alignment horizontal="center" vertical="center"/>
    </xf>
    <xf numFmtId="3" fontId="21" fillId="0" borderId="50" xfId="3" applyNumberFormat="1" applyBorder="1" applyAlignment="1">
      <alignment horizontal="center"/>
    </xf>
    <xf numFmtId="0" fontId="24" fillId="0" borderId="22" xfId="3" applyFont="1" applyBorder="1" applyAlignment="1">
      <alignment horizontal="left"/>
    </xf>
    <xf numFmtId="0" fontId="21" fillId="0" borderId="22" xfId="3" applyBorder="1" applyAlignment="1">
      <alignment horizontal="right" indent="4"/>
    </xf>
    <xf numFmtId="0" fontId="21" fillId="0" borderId="22" xfId="3" applyBorder="1" applyAlignment="1">
      <alignment horizontal="right" indent="5"/>
    </xf>
    <xf numFmtId="1" fontId="0" fillId="0" borderId="47" xfId="7" applyNumberFormat="1" applyFont="1" applyBorder="1" applyAlignment="1">
      <alignment horizontal="center" vertical="center"/>
    </xf>
    <xf numFmtId="3" fontId="0" fillId="0" borderId="0" xfId="7" applyNumberFormat="1" applyFont="1" applyAlignment="1">
      <alignment vertical="center"/>
    </xf>
    <xf numFmtId="0" fontId="0" fillId="0" borderId="48" xfId="7" applyFont="1" applyBorder="1" applyAlignment="1">
      <alignment vertical="center"/>
    </xf>
    <xf numFmtId="0" fontId="21" fillId="0" borderId="30" xfId="3" applyBorder="1" applyAlignment="1">
      <alignment horizontal="center" vertical="center"/>
    </xf>
    <xf numFmtId="0" fontId="21" fillId="0" borderId="5" xfId="3" applyBorder="1" applyAlignment="1">
      <alignment horizontal="center" vertical="center"/>
    </xf>
    <xf numFmtId="0" fontId="21" fillId="0" borderId="31" xfId="3" applyBorder="1" applyAlignment="1">
      <alignment horizontal="center" vertical="center"/>
    </xf>
    <xf numFmtId="0" fontId="54" fillId="0" borderId="45" xfId="3" applyFont="1" applyBorder="1" applyAlignment="1">
      <alignment horizontal="center" vertical="center"/>
    </xf>
    <xf numFmtId="3" fontId="54" fillId="0" borderId="39" xfId="3" applyNumberFormat="1" applyFont="1" applyBorder="1" applyAlignment="1">
      <alignment horizontal="right" vertical="center" indent="1"/>
    </xf>
    <xf numFmtId="3" fontId="54" fillId="0" borderId="39" xfId="3" applyNumberFormat="1" applyFont="1" applyBorder="1" applyAlignment="1">
      <alignment horizontal="right" vertical="center" indent="2"/>
    </xf>
    <xf numFmtId="3" fontId="54" fillId="0" borderId="46" xfId="3" applyNumberFormat="1" applyFont="1" applyBorder="1" applyAlignment="1">
      <alignment horizontal="right" vertical="center" indent="1"/>
    </xf>
    <xf numFmtId="165" fontId="21" fillId="0" borderId="0" xfId="3" applyNumberFormat="1" applyAlignment="1">
      <alignment horizontal="center" vertical="center" wrapText="1"/>
    </xf>
    <xf numFmtId="3" fontId="0" fillId="0" borderId="0" xfId="0" applyNumberFormat="1" applyAlignment="1">
      <alignment horizontal="right" indent="1"/>
    </xf>
    <xf numFmtId="3" fontId="0" fillId="0" borderId="0" xfId="0" applyNumberFormat="1" applyAlignment="1">
      <alignment horizontal="right" indent="2"/>
    </xf>
    <xf numFmtId="3" fontId="54" fillId="0" borderId="0" xfId="3" applyNumberFormat="1" applyFont="1" applyAlignment="1">
      <alignment horizontal="right" vertical="center" indent="1"/>
    </xf>
    <xf numFmtId="3" fontId="54" fillId="0" borderId="0" xfId="3" applyNumberFormat="1" applyFont="1" applyAlignment="1">
      <alignment horizontal="right" vertical="center" indent="2"/>
    </xf>
    <xf numFmtId="3" fontId="21" fillId="0" borderId="0" xfId="3" applyNumberFormat="1" applyAlignment="1">
      <alignment horizontal="right" vertical="center" indent="2"/>
    </xf>
    <xf numFmtId="0" fontId="21" fillId="0" borderId="4" xfId="3" applyBorder="1" applyAlignment="1">
      <alignment horizontal="center" vertical="center"/>
    </xf>
    <xf numFmtId="0" fontId="21" fillId="0" borderId="11" xfId="3" applyBorder="1"/>
    <xf numFmtId="164" fontId="43" fillId="0" borderId="0" xfId="3" applyNumberFormat="1" applyFont="1" applyAlignment="1">
      <alignment horizontal="center" vertical="center" wrapText="1"/>
    </xf>
    <xf numFmtId="0" fontId="43" fillId="0" borderId="0" xfId="3" applyFont="1" applyAlignment="1">
      <alignment horizontal="left" vertical="center" wrapText="1"/>
    </xf>
    <xf numFmtId="0" fontId="43" fillId="0" borderId="0" xfId="3" applyFont="1" applyAlignment="1">
      <alignment horizontal="right" vertical="center"/>
    </xf>
    <xf numFmtId="164" fontId="95" fillId="0" borderId="0" xfId="3" applyNumberFormat="1" applyFont="1" applyAlignment="1">
      <alignment horizontal="center" vertical="center" wrapText="1"/>
    </xf>
    <xf numFmtId="0" fontId="95" fillId="0" borderId="0" xfId="3" applyFont="1" applyAlignment="1">
      <alignment horizontal="left" vertical="center" wrapText="1"/>
    </xf>
    <xf numFmtId="164" fontId="95" fillId="0" borderId="0" xfId="3" applyNumberFormat="1" applyFont="1" applyAlignment="1">
      <alignment horizontal="right" vertical="center" wrapText="1" indent="2"/>
    </xf>
    <xf numFmtId="0" fontId="95" fillId="0" borderId="0" xfId="3" applyFont="1" applyAlignment="1">
      <alignment horizontal="right" vertical="center" wrapText="1"/>
    </xf>
    <xf numFmtId="164" fontId="95" fillId="0" borderId="0" xfId="3" applyNumberFormat="1" applyFont="1" applyAlignment="1">
      <alignment horizontal="right" vertical="center" wrapText="1" indent="4"/>
    </xf>
    <xf numFmtId="0" fontId="95" fillId="0" borderId="0" xfId="3" applyFont="1" applyAlignment="1">
      <alignment horizontal="right" vertical="center"/>
    </xf>
    <xf numFmtId="164" fontId="43" fillId="0" borderId="0" xfId="3" applyNumberFormat="1" applyFont="1" applyAlignment="1">
      <alignment horizontal="right" vertical="center" wrapText="1" indent="2"/>
    </xf>
    <xf numFmtId="164" fontId="43" fillId="0" borderId="0" xfId="3" applyNumberFormat="1" applyFont="1" applyAlignment="1">
      <alignment horizontal="right" vertical="center" wrapText="1" indent="4"/>
    </xf>
    <xf numFmtId="3" fontId="21" fillId="0" borderId="0" xfId="3" applyNumberFormat="1" applyAlignment="1">
      <alignment horizontal="right" indent="2"/>
    </xf>
    <xf numFmtId="166" fontId="43" fillId="0" borderId="0" xfId="3" applyNumberFormat="1" applyFont="1" applyAlignment="1">
      <alignment horizontal="center" vertical="center" wrapText="1"/>
    </xf>
    <xf numFmtId="0" fontId="49" fillId="0" borderId="0" xfId="3" applyFont="1" applyAlignment="1">
      <alignment horizontal="center" vertical="center" wrapText="1"/>
    </xf>
    <xf numFmtId="166" fontId="44" fillId="0" borderId="0" xfId="3" applyNumberFormat="1" applyFont="1" applyAlignment="1">
      <alignment horizontal="center" vertical="center" wrapText="1"/>
    </xf>
    <xf numFmtId="49" fontId="43" fillId="0" borderId="0" xfId="3" applyNumberFormat="1" applyFont="1" applyAlignment="1">
      <alignment horizontal="center" vertical="center" wrapText="1"/>
    </xf>
    <xf numFmtId="0" fontId="22" fillId="0" borderId="0" xfId="3" applyFont="1" applyAlignment="1">
      <alignment horizontal="center" vertical="top"/>
    </xf>
    <xf numFmtId="166" fontId="21" fillId="0" borderId="0" xfId="3" applyNumberFormat="1" applyAlignment="1">
      <alignment horizontal="center" vertical="center" wrapText="1"/>
    </xf>
    <xf numFmtId="166" fontId="24" fillId="0" borderId="0" xfId="3" applyNumberFormat="1" applyFont="1" applyAlignment="1">
      <alignment horizontal="center" vertical="center" wrapText="1"/>
    </xf>
    <xf numFmtId="164" fontId="21" fillId="0" borderId="0" xfId="3" applyNumberFormat="1" applyAlignment="1">
      <alignment horizontal="center" vertical="center" wrapText="1"/>
    </xf>
    <xf numFmtId="0" fontId="117" fillId="0" borderId="0" xfId="3" applyFont="1" applyAlignment="1">
      <alignment horizontal="center" vertical="center" wrapText="1"/>
    </xf>
    <xf numFmtId="49" fontId="43" fillId="0" borderId="0" xfId="3" applyNumberFormat="1" applyFont="1" applyAlignment="1">
      <alignment horizontal="right" vertical="center" wrapText="1" indent="2"/>
    </xf>
    <xf numFmtId="16" fontId="43" fillId="0" borderId="0" xfId="3" applyNumberFormat="1" applyFont="1" applyAlignment="1">
      <alignment horizontal="center" vertical="center" wrapText="1"/>
    </xf>
    <xf numFmtId="16" fontId="43" fillId="0" borderId="0" xfId="3" quotePrefix="1" applyNumberFormat="1" applyFont="1" applyAlignment="1">
      <alignment horizontal="center" vertical="center" wrapText="1"/>
    </xf>
    <xf numFmtId="1" fontId="43" fillId="0" borderId="0" xfId="3" applyNumberFormat="1" applyFont="1" applyAlignment="1">
      <alignment horizontal="right" vertical="center" wrapText="1" indent="2"/>
    </xf>
    <xf numFmtId="16" fontId="43" fillId="0" borderId="0" xfId="3" quotePrefix="1" applyNumberFormat="1" applyFont="1" applyAlignment="1">
      <alignment horizontal="left" vertical="center" wrapText="1" indent="1"/>
    </xf>
    <xf numFmtId="16" fontId="21" fillId="0" borderId="0" xfId="3" quotePrefix="1" applyNumberFormat="1" applyAlignment="1">
      <alignment horizontal="left" indent="1"/>
    </xf>
    <xf numFmtId="0" fontId="21" fillId="0" borderId="0" xfId="3" quotePrefix="1" applyAlignment="1">
      <alignment horizontal="left" indent="1"/>
    </xf>
    <xf numFmtId="0" fontId="21" fillId="0" borderId="0" xfId="3" quotePrefix="1" applyAlignment="1">
      <alignment horizontal="left" vertical="center" wrapText="1"/>
    </xf>
    <xf numFmtId="49" fontId="21" fillId="0" borderId="0" xfId="3" applyNumberFormat="1" applyAlignment="1">
      <alignment horizontal="right" indent="2"/>
    </xf>
    <xf numFmtId="0" fontId="53" fillId="0" borderId="0" xfId="6" applyFont="1" applyAlignment="1">
      <alignment horizontal="center"/>
    </xf>
    <xf numFmtId="0" fontId="21" fillId="0" borderId="0" xfId="6" applyFont="1" applyAlignment="1">
      <alignment horizontal="center"/>
    </xf>
    <xf numFmtId="49" fontId="21" fillId="0" borderId="0" xfId="6" applyNumberFormat="1" applyFont="1" applyAlignment="1">
      <alignment horizontal="center"/>
    </xf>
    <xf numFmtId="0" fontId="54" fillId="0" borderId="0" xfId="6" applyFont="1" applyAlignment="1">
      <alignment horizontal="right"/>
    </xf>
    <xf numFmtId="0" fontId="24" fillId="0" borderId="0" xfId="6" applyFont="1"/>
    <xf numFmtId="0" fontId="21" fillId="0" borderId="0" xfId="6" applyFont="1" applyAlignment="1">
      <alignment horizontal="left"/>
    </xf>
    <xf numFmtId="0" fontId="65" fillId="0" borderId="0" xfId="6" applyFont="1" applyAlignment="1">
      <alignment horizontal="right"/>
    </xf>
    <xf numFmtId="3" fontId="55" fillId="0" borderId="0" xfId="6" applyNumberFormat="1" applyFont="1" applyAlignment="1">
      <alignment horizontal="center"/>
    </xf>
    <xf numFmtId="3" fontId="55" fillId="0" borderId="0" xfId="6" quotePrefix="1" applyNumberFormat="1" applyFont="1" applyAlignment="1">
      <alignment horizontal="center"/>
    </xf>
    <xf numFmtId="0" fontId="110" fillId="0" borderId="0" xfId="6" applyFont="1" applyAlignment="1">
      <alignment horizontal="center"/>
    </xf>
    <xf numFmtId="0" fontId="53" fillId="0" borderId="0" xfId="6" quotePrefix="1" applyFont="1" applyAlignment="1">
      <alignment horizontal="center"/>
    </xf>
    <xf numFmtId="3" fontId="24" fillId="0" borderId="0" xfId="6" applyNumberFormat="1" applyFont="1" applyAlignment="1">
      <alignment horizontal="center"/>
    </xf>
    <xf numFmtId="0" fontId="57" fillId="0" borderId="0" xfId="6" applyFont="1" applyAlignment="1">
      <alignment horizontal="right"/>
    </xf>
    <xf numFmtId="0" fontId="55" fillId="0" borderId="0" xfId="6" applyFont="1" applyAlignment="1">
      <alignment horizontal="right"/>
    </xf>
    <xf numFmtId="0" fontId="28" fillId="0" borderId="0" xfId="6" applyFont="1" applyAlignment="1">
      <alignment horizontal="right"/>
    </xf>
    <xf numFmtId="0" fontId="58" fillId="0" borderId="0" xfId="6" applyFont="1" applyAlignment="1">
      <alignment horizontal="center"/>
    </xf>
    <xf numFmtId="49" fontId="58" fillId="0" borderId="0" xfId="6" applyNumberFormat="1" applyFont="1" applyAlignment="1">
      <alignment horizontal="center"/>
    </xf>
    <xf numFmtId="3" fontId="59" fillId="0" borderId="0" xfId="6" applyNumberFormat="1" applyFont="1"/>
    <xf numFmtId="3" fontId="54" fillId="0" borderId="0" xfId="6" applyNumberFormat="1" applyFont="1" applyAlignment="1">
      <alignment horizontal="right"/>
    </xf>
    <xf numFmtId="3" fontId="111" fillId="0" borderId="0" xfId="6" applyNumberFormat="1" applyFont="1" applyAlignment="1">
      <alignment horizontal="center"/>
    </xf>
    <xf numFmtId="0" fontId="24" fillId="0" borderId="0" xfId="6" applyFont="1" applyAlignment="1">
      <alignment wrapText="1"/>
    </xf>
    <xf numFmtId="0" fontId="33" fillId="0" borderId="0" xfId="0" applyFont="1" applyAlignment="1">
      <alignment horizontal="right" vertical="center"/>
    </xf>
    <xf numFmtId="0" fontId="33" fillId="0" borderId="0" xfId="0" applyFont="1" applyAlignment="1">
      <alignment horizontal="right" vertical="center" wrapText="1"/>
    </xf>
    <xf numFmtId="3" fontId="33" fillId="0" borderId="0" xfId="0" applyNumberFormat="1" applyFont="1" applyAlignment="1">
      <alignment horizontal="right" vertical="center" wrapText="1"/>
    </xf>
    <xf numFmtId="0" fontId="33" fillId="0" borderId="0" xfId="0" applyFont="1" applyAlignment="1">
      <alignment horizontal="center" vertical="center"/>
    </xf>
    <xf numFmtId="0" fontId="33" fillId="0" borderId="0" xfId="0" applyFont="1" applyAlignment="1">
      <alignment horizontal="left" vertical="center"/>
    </xf>
    <xf numFmtId="3" fontId="33" fillId="0" borderId="0" xfId="0" applyNumberFormat="1" applyFont="1" applyAlignment="1">
      <alignment horizontal="right" vertical="center"/>
    </xf>
    <xf numFmtId="3" fontId="33" fillId="0" borderId="0" xfId="0" applyNumberFormat="1" applyFont="1" applyAlignment="1">
      <alignment vertical="center" wrapText="1"/>
    </xf>
    <xf numFmtId="0" fontId="33" fillId="0" borderId="55" xfId="0" applyFont="1" applyBorder="1" applyAlignment="1">
      <alignment horizontal="left" vertical="center" wrapText="1"/>
    </xf>
    <xf numFmtId="0" fontId="33" fillId="0" borderId="79" xfId="0" applyFont="1" applyBorder="1" applyAlignment="1">
      <alignment horizontal="right" vertical="center"/>
    </xf>
    <xf numFmtId="0" fontId="33" fillId="0" borderId="0" xfId="0" applyFont="1" applyAlignment="1">
      <alignment horizontal="left"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0" borderId="0" xfId="0" applyFont="1" applyAlignment="1">
      <alignment horizontal="right" vertical="center" wrapText="1"/>
    </xf>
    <xf numFmtId="0" fontId="33" fillId="0" borderId="79" xfId="0" applyFont="1" applyBorder="1" applyAlignment="1">
      <alignment horizontal="left" vertical="center"/>
    </xf>
    <xf numFmtId="0" fontId="33" fillId="0" borderId="47" xfId="0" applyFont="1" applyBorder="1" applyAlignment="1">
      <alignment horizontal="left" vertical="center"/>
    </xf>
    <xf numFmtId="0" fontId="33" fillId="0" borderId="55" xfId="0" applyFont="1" applyBorder="1" applyAlignment="1">
      <alignment horizontal="left" vertical="center"/>
    </xf>
    <xf numFmtId="0" fontId="34" fillId="0" borderId="0" xfId="10" applyFont="1" applyAlignment="1">
      <alignment horizontal="center" vertical="center" wrapText="1"/>
    </xf>
    <xf numFmtId="0" fontId="34" fillId="0" borderId="0" xfId="10" applyFont="1" applyAlignment="1">
      <alignment horizontal="justify" vertical="center" wrapText="1"/>
    </xf>
    <xf numFmtId="0" fontId="34" fillId="0" borderId="0" xfId="10" applyFont="1" applyAlignment="1">
      <alignment horizontal="justify" vertical="center"/>
    </xf>
    <xf numFmtId="0" fontId="34" fillId="0" borderId="0" xfId="10" applyFont="1" applyAlignment="1">
      <alignment horizontal="center" vertical="center"/>
    </xf>
    <xf numFmtId="3" fontId="89" fillId="0" borderId="0" xfId="10" applyNumberFormat="1" applyFont="1" applyAlignment="1">
      <alignment horizontal="right" vertical="center" wrapText="1" indent="1"/>
    </xf>
    <xf numFmtId="9" fontId="89" fillId="0" borderId="0" xfId="10" applyNumberFormat="1" applyFont="1" applyAlignment="1">
      <alignment horizontal="right" vertical="center" wrapText="1" indent="2"/>
    </xf>
    <xf numFmtId="3" fontId="89" fillId="0" borderId="0" xfId="10" applyNumberFormat="1" applyFont="1" applyAlignment="1">
      <alignment horizontal="center" vertical="center" wrapText="1"/>
    </xf>
    <xf numFmtId="9" fontId="89" fillId="0" borderId="0" xfId="10" applyNumberFormat="1" applyFont="1" applyAlignment="1">
      <alignment horizontal="center" vertical="center" wrapText="1"/>
    </xf>
    <xf numFmtId="171" fontId="21" fillId="0" borderId="22" xfId="122" applyNumberFormat="1" applyFont="1" applyBorder="1" applyAlignment="1">
      <alignment horizontal="right" vertical="center" wrapText="1" indent="2"/>
    </xf>
    <xf numFmtId="171" fontId="21" fillId="0" borderId="50" xfId="122" applyNumberFormat="1" applyFont="1" applyBorder="1" applyAlignment="1">
      <alignment horizontal="right" vertical="center" wrapText="1" indent="2"/>
    </xf>
    <xf numFmtId="0" fontId="21" fillId="0" borderId="0" xfId="3" applyAlignment="1">
      <alignment horizontal="left" vertical="center" indent="1"/>
    </xf>
    <xf numFmtId="3" fontId="21" fillId="0" borderId="0" xfId="3" applyNumberFormat="1" applyAlignment="1">
      <alignment horizontal="right" indent="4"/>
    </xf>
    <xf numFmtId="0" fontId="35" fillId="0" borderId="0" xfId="3" applyFont="1" applyAlignment="1">
      <alignment horizontal="right" indent="3"/>
    </xf>
    <xf numFmtId="0" fontId="35" fillId="0" borderId="0" xfId="3" applyFont="1" applyAlignment="1">
      <alignment horizontal="right" indent="4"/>
    </xf>
    <xf numFmtId="3" fontId="21" fillId="0" borderId="0" xfId="3" applyNumberFormat="1" applyAlignment="1">
      <alignment horizontal="right" indent="3"/>
    </xf>
    <xf numFmtId="171" fontId="21" fillId="0" borderId="50" xfId="3" applyNumberFormat="1" applyBorder="1" applyAlignment="1">
      <alignment horizontal="center"/>
    </xf>
    <xf numFmtId="3" fontId="21" fillId="0" borderId="49" xfId="3" applyNumberFormat="1" applyBorder="1" applyAlignment="1">
      <alignment horizontal="center" vertical="center"/>
    </xf>
    <xf numFmtId="3" fontId="21" fillId="0" borderId="50" xfId="3" applyNumberFormat="1" applyBorder="1" applyAlignment="1">
      <alignment horizontal="center" vertical="center"/>
    </xf>
    <xf numFmtId="0" fontId="21" fillId="0" borderId="59" xfId="0" applyFont="1" applyBorder="1" applyAlignment="1">
      <alignment horizontal="center"/>
    </xf>
    <xf numFmtId="0" fontId="43" fillId="0" borderId="49" xfId="3" applyFont="1" applyBorder="1" applyAlignment="1">
      <alignment horizontal="center" vertical="top" wrapText="1"/>
    </xf>
    <xf numFmtId="164" fontId="43" fillId="0" borderId="22" xfId="3" applyNumberFormat="1" applyFont="1" applyBorder="1" applyAlignment="1">
      <alignment horizontal="center" vertical="top" wrapText="1"/>
    </xf>
    <xf numFmtId="164" fontId="43" fillId="0" borderId="50" xfId="3" applyNumberFormat="1" applyFont="1" applyBorder="1" applyAlignment="1">
      <alignment horizontal="center" vertical="top" wrapText="1"/>
    </xf>
    <xf numFmtId="3" fontId="21" fillId="0" borderId="49" xfId="3" applyNumberFormat="1" applyBorder="1" applyAlignment="1">
      <alignment horizontal="right" vertical="center" indent="2"/>
    </xf>
    <xf numFmtId="0" fontId="21" fillId="0" borderId="59" xfId="3" applyBorder="1" applyAlignment="1">
      <alignment horizontal="center" vertical="top"/>
    </xf>
    <xf numFmtId="3" fontId="21" fillId="0" borderId="50" xfId="3" applyNumberFormat="1" applyBorder="1" applyAlignment="1">
      <alignment horizontal="right" vertical="center" indent="2"/>
    </xf>
    <xf numFmtId="0" fontId="21" fillId="0" borderId="30" xfId="1" applyBorder="1" applyAlignment="1">
      <alignment vertical="center"/>
    </xf>
    <xf numFmtId="0" fontId="21" fillId="0" borderId="29" xfId="1" applyBorder="1" applyAlignment="1">
      <alignment vertical="center"/>
    </xf>
    <xf numFmtId="0" fontId="21" fillId="0" borderId="31" xfId="1" applyBorder="1" applyAlignment="1">
      <alignment vertical="center"/>
    </xf>
    <xf numFmtId="0" fontId="21" fillId="0" borderId="4" xfId="1" applyBorder="1" applyAlignment="1">
      <alignment horizontal="justify" vertical="center" wrapText="1"/>
    </xf>
    <xf numFmtId="0" fontId="21" fillId="0" borderId="5" xfId="1" applyBorder="1" applyAlignment="1">
      <alignment vertical="center"/>
    </xf>
    <xf numFmtId="0" fontId="21" fillId="0" borderId="9" xfId="1" applyBorder="1" applyAlignment="1">
      <alignment horizontal="center" vertical="center" wrapText="1"/>
    </xf>
    <xf numFmtId="0" fontId="28" fillId="0" borderId="11" xfId="1" applyFont="1" applyBorder="1" applyAlignment="1">
      <alignment horizontal="center" vertical="center" wrapText="1"/>
    </xf>
    <xf numFmtId="0" fontId="21" fillId="0" borderId="4" xfId="1" applyBorder="1" applyAlignment="1">
      <alignment horizontal="center" vertical="center" wrapText="1"/>
    </xf>
    <xf numFmtId="3" fontId="21" fillId="0" borderId="5" xfId="1" applyNumberFormat="1" applyBorder="1" applyAlignment="1">
      <alignment vertical="center"/>
    </xf>
    <xf numFmtId="3" fontId="21" fillId="0" borderId="0" xfId="1" applyNumberFormat="1" applyAlignment="1">
      <alignment horizontal="center" vertical="center"/>
    </xf>
    <xf numFmtId="3" fontId="21" fillId="26" borderId="0" xfId="1" applyNumberFormat="1" applyFill="1" applyAlignment="1">
      <alignment horizontal="center" vertical="center" wrapText="1"/>
    </xf>
    <xf numFmtId="3" fontId="21" fillId="27" borderId="0" xfId="1" applyNumberFormat="1" applyFill="1" applyAlignment="1">
      <alignment horizontal="center" vertical="center" wrapText="1"/>
    </xf>
    <xf numFmtId="3" fontId="21" fillId="25" borderId="0" xfId="1" applyNumberFormat="1" applyFill="1" applyAlignment="1">
      <alignment horizontal="center" vertical="center" wrapText="1"/>
    </xf>
    <xf numFmtId="0" fontId="32" fillId="0" borderId="4" xfId="125" applyFont="1" applyBorder="1"/>
    <xf numFmtId="0" fontId="32" fillId="0" borderId="4" xfId="125" applyFont="1" applyBorder="1" applyAlignment="1">
      <alignment horizontal="center"/>
    </xf>
    <xf numFmtId="3" fontId="32" fillId="2" borderId="0" xfId="125" applyNumberFormat="1" applyFont="1" applyFill="1" applyAlignment="1">
      <alignment horizontal="center" vertical="center"/>
    </xf>
    <xf numFmtId="3" fontId="32" fillId="25" borderId="0" xfId="125" applyNumberFormat="1" applyFont="1" applyFill="1" applyAlignment="1">
      <alignment horizontal="center" vertical="center"/>
    </xf>
    <xf numFmtId="3" fontId="21" fillId="2" borderId="0" xfId="0" applyNumberFormat="1" applyFont="1" applyFill="1" applyAlignment="1">
      <alignment horizontal="center"/>
    </xf>
    <xf numFmtId="3" fontId="21" fillId="27" borderId="0" xfId="125" applyNumberFormat="1" applyFont="1" applyFill="1" applyAlignment="1">
      <alignment horizontal="center" vertical="center"/>
    </xf>
    <xf numFmtId="165" fontId="0" fillId="0" borderId="0" xfId="4" applyNumberFormat="1" applyFont="1" applyFill="1" applyBorder="1" applyAlignment="1">
      <alignment horizontal="center"/>
    </xf>
    <xf numFmtId="0" fontId="32" fillId="0" borderId="9" xfId="125" applyFont="1" applyBorder="1"/>
    <xf numFmtId="0" fontId="21" fillId="0" borderId="10" xfId="1" applyBorder="1" applyAlignment="1">
      <alignment horizontal="right" vertical="center" wrapText="1" indent="1"/>
    </xf>
    <xf numFmtId="3" fontId="32" fillId="0" borderId="10" xfId="125" applyNumberFormat="1" applyFont="1" applyBorder="1"/>
    <xf numFmtId="165" fontId="32" fillId="0" borderId="10" xfId="4" applyNumberFormat="1" applyFont="1" applyBorder="1" applyAlignment="1">
      <alignment horizontal="center" vertical="center"/>
    </xf>
    <xf numFmtId="3" fontId="21" fillId="0" borderId="11" xfId="1" applyNumberFormat="1" applyBorder="1" applyAlignment="1">
      <alignment vertical="center"/>
    </xf>
    <xf numFmtId="1" fontId="21" fillId="0" borderId="0" xfId="19" applyNumberFormat="1" applyFont="1" applyBorder="1" applyAlignment="1">
      <alignment horizontal="center"/>
    </xf>
    <xf numFmtId="0" fontId="41" fillId="3" borderId="101" xfId="3" applyFont="1" applyFill="1" applyBorder="1" applyAlignment="1">
      <alignment horizontal="center" vertical="top"/>
    </xf>
    <xf numFmtId="0" fontId="22" fillId="0" borderId="5" xfId="3" applyFont="1" applyBorder="1" applyAlignment="1">
      <alignment horizontal="center" vertical="center" wrapText="1"/>
    </xf>
    <xf numFmtId="0" fontId="21" fillId="0" borderId="4" xfId="3" applyBorder="1" applyAlignment="1">
      <alignment horizontal="left" vertical="center" wrapText="1" indent="1"/>
    </xf>
    <xf numFmtId="0" fontId="21" fillId="0" borderId="5" xfId="3" applyBorder="1" applyAlignment="1">
      <alignment horizontal="right" vertical="center" wrapText="1" indent="1"/>
    </xf>
    <xf numFmtId="0" fontId="43" fillId="0" borderId="0" xfId="3" applyFont="1" applyAlignment="1">
      <alignment horizontal="right" vertical="center" wrapText="1" indent="1"/>
    </xf>
    <xf numFmtId="3" fontId="43" fillId="0" borderId="0" xfId="3" applyNumberFormat="1" applyFont="1" applyAlignment="1">
      <alignment horizontal="right" vertical="center" wrapText="1" indent="1"/>
    </xf>
    <xf numFmtId="3" fontId="21" fillId="0" borderId="0" xfId="3" applyNumberFormat="1" applyAlignment="1">
      <alignment horizontal="right" vertical="center" wrapText="1" indent="1"/>
    </xf>
    <xf numFmtId="3" fontId="21" fillId="0" borderId="5" xfId="3" applyNumberFormat="1" applyBorder="1" applyAlignment="1">
      <alignment horizontal="right" vertical="center" wrapText="1" indent="1"/>
    </xf>
    <xf numFmtId="3" fontId="43" fillId="2" borderId="0" xfId="3" applyNumberFormat="1" applyFont="1" applyFill="1" applyAlignment="1">
      <alignment horizontal="right" vertical="center" wrapText="1" indent="1"/>
    </xf>
    <xf numFmtId="0" fontId="43" fillId="0" borderId="4" xfId="3" applyFont="1" applyBorder="1" applyAlignment="1">
      <alignment horizontal="left" vertical="center" wrapText="1" indent="1"/>
    </xf>
    <xf numFmtId="3" fontId="43" fillId="0" borderId="0" xfId="3" applyNumberFormat="1" applyFont="1" applyAlignment="1">
      <alignment horizontal="right" vertical="center" wrapText="1"/>
    </xf>
    <xf numFmtId="3" fontId="43" fillId="2" borderId="0" xfId="3" applyNumberFormat="1" applyFont="1" applyFill="1" applyAlignment="1">
      <alignment horizontal="center" vertical="center" wrapText="1"/>
    </xf>
    <xf numFmtId="3" fontId="21" fillId="0" borderId="5" xfId="3" applyNumberFormat="1" applyBorder="1" applyAlignment="1">
      <alignment horizontal="center" vertical="center" wrapText="1"/>
    </xf>
    <xf numFmtId="49" fontId="43" fillId="0" borderId="4" xfId="3" applyNumberFormat="1" applyFont="1" applyBorder="1" applyAlignment="1">
      <alignment horizontal="left" vertical="center" wrapText="1" indent="1"/>
    </xf>
    <xf numFmtId="3" fontId="21" fillId="2" borderId="0" xfId="3" applyNumberFormat="1" applyFill="1" applyAlignment="1">
      <alignment horizontal="center"/>
    </xf>
    <xf numFmtId="0" fontId="43" fillId="0" borderId="9" xfId="3" applyFont="1" applyBorder="1" applyAlignment="1">
      <alignment horizontal="left" vertical="center" wrapText="1" indent="1"/>
    </xf>
    <xf numFmtId="3" fontId="21" fillId="0" borderId="10" xfId="3" applyNumberFormat="1" applyBorder="1" applyAlignment="1">
      <alignment horizontal="center"/>
    </xf>
    <xf numFmtId="1" fontId="21" fillId="0" borderId="10" xfId="19" applyNumberFormat="1" applyFont="1" applyBorder="1" applyAlignment="1">
      <alignment horizontal="center"/>
    </xf>
    <xf numFmtId="3" fontId="21" fillId="0" borderId="11" xfId="3" applyNumberFormat="1" applyBorder="1" applyAlignment="1">
      <alignment horizontal="center" vertical="center" wrapText="1"/>
    </xf>
    <xf numFmtId="165" fontId="0" fillId="0" borderId="0" xfId="124" applyNumberFormat="1" applyFont="1"/>
    <xf numFmtId="0" fontId="24" fillId="0" borderId="0" xfId="3" applyFont="1" applyAlignment="1">
      <alignment horizontal="right"/>
    </xf>
    <xf numFmtId="0" fontId="0" fillId="0" borderId="0" xfId="0" quotePrefix="1" applyAlignment="1">
      <alignment horizontal="left"/>
    </xf>
    <xf numFmtId="0" fontId="0" fillId="0" borderId="0" xfId="0" applyAlignment="1">
      <alignment horizontal="left" vertical="top"/>
    </xf>
    <xf numFmtId="2" fontId="47" fillId="0" borderId="0" xfId="3" applyNumberFormat="1" applyFont="1" applyAlignment="1">
      <alignment horizontal="left" vertical="top"/>
    </xf>
    <xf numFmtId="0" fontId="144" fillId="0" borderId="0" xfId="6" applyFont="1" applyAlignment="1">
      <alignment horizontal="left"/>
    </xf>
    <xf numFmtId="0" fontId="109" fillId="0" borderId="104" xfId="6" applyFont="1" applyBorder="1" applyAlignment="1">
      <alignment horizontal="center"/>
    </xf>
    <xf numFmtId="0" fontId="21" fillId="0" borderId="21" xfId="6" applyFont="1" applyBorder="1"/>
    <xf numFmtId="0" fontId="109" fillId="0" borderId="21" xfId="6" applyFont="1" applyBorder="1" applyAlignment="1">
      <alignment horizontal="center"/>
    </xf>
    <xf numFmtId="0" fontId="21" fillId="0" borderId="21" xfId="6" applyFont="1" applyBorder="1" applyAlignment="1">
      <alignment horizontal="center"/>
    </xf>
    <xf numFmtId="49" fontId="24" fillId="0" borderId="21" xfId="6" applyNumberFormat="1" applyFont="1" applyBorder="1" applyAlignment="1">
      <alignment horizontal="center"/>
    </xf>
    <xf numFmtId="0" fontId="24" fillId="0" borderId="21" xfId="6" applyFont="1" applyBorder="1" applyAlignment="1">
      <alignment horizontal="center"/>
    </xf>
    <xf numFmtId="0" fontId="24" fillId="0" borderId="37" xfId="6" applyFont="1" applyBorder="1" applyAlignment="1">
      <alignment horizontal="center" wrapText="1"/>
    </xf>
    <xf numFmtId="0" fontId="21" fillId="0" borderId="105" xfId="6" applyFont="1" applyBorder="1" applyAlignment="1">
      <alignment horizontal="center"/>
    </xf>
    <xf numFmtId="0" fontId="21" fillId="0" borderId="29" xfId="6" applyFont="1" applyBorder="1" applyAlignment="1">
      <alignment horizontal="center"/>
    </xf>
    <xf numFmtId="49" fontId="21" fillId="0" borderId="29" xfId="6" applyNumberFormat="1" applyFont="1" applyBorder="1" applyAlignment="1">
      <alignment horizontal="center"/>
    </xf>
    <xf numFmtId="0" fontId="21" fillId="0" borderId="18" xfId="6" applyFont="1" applyBorder="1" applyAlignment="1">
      <alignment horizontal="center"/>
    </xf>
    <xf numFmtId="0" fontId="21" fillId="0" borderId="14" xfId="6" applyFont="1" applyBorder="1"/>
    <xf numFmtId="3" fontId="54" fillId="0" borderId="22" xfId="6" applyNumberFormat="1" applyFont="1" applyBorder="1" applyAlignment="1">
      <alignment horizontal="center"/>
    </xf>
    <xf numFmtId="3" fontId="28" fillId="0" borderId="15" xfId="6" applyNumberFormat="1" applyFont="1" applyBorder="1" applyAlignment="1">
      <alignment horizontal="center"/>
    </xf>
    <xf numFmtId="0" fontId="55" fillId="0" borderId="14" xfId="6" applyFont="1" applyBorder="1" applyAlignment="1">
      <alignment horizontal="center"/>
    </xf>
    <xf numFmtId="3" fontId="21" fillId="0" borderId="15" xfId="6" applyNumberFormat="1" applyFont="1" applyBorder="1" applyAlignment="1">
      <alignment horizontal="center"/>
    </xf>
    <xf numFmtId="3" fontId="21" fillId="0" borderId="17" xfId="6" applyNumberFormat="1" applyFont="1" applyBorder="1" applyAlignment="1">
      <alignment horizontal="center"/>
    </xf>
    <xf numFmtId="3" fontId="55" fillId="0" borderId="15" xfId="6" applyNumberFormat="1" applyFont="1" applyBorder="1" applyAlignment="1">
      <alignment horizontal="center"/>
    </xf>
    <xf numFmtId="0" fontId="55" fillId="0" borderId="14" xfId="6" applyFont="1" applyBorder="1" applyAlignment="1">
      <alignment horizontal="center" vertical="center"/>
    </xf>
    <xf numFmtId="0" fontId="21" fillId="0" borderId="10" xfId="6" applyFont="1" applyBorder="1" applyAlignment="1">
      <alignment horizontal="center"/>
    </xf>
    <xf numFmtId="0" fontId="21" fillId="0" borderId="17" xfId="6" quotePrefix="1" applyFont="1" applyBorder="1" applyAlignment="1">
      <alignment horizontal="center"/>
    </xf>
    <xf numFmtId="3" fontId="55" fillId="0" borderId="18" xfId="6" applyNumberFormat="1" applyFont="1" applyBorder="1" applyAlignment="1">
      <alignment horizontal="center"/>
    </xf>
    <xf numFmtId="0" fontId="21" fillId="0" borderId="14" xfId="6" applyFont="1" applyBorder="1" applyAlignment="1">
      <alignment horizontal="left" vertical="center"/>
    </xf>
    <xf numFmtId="0" fontId="24" fillId="0" borderId="22" xfId="6" applyFont="1" applyBorder="1"/>
    <xf numFmtId="0" fontId="54" fillId="0" borderId="22" xfId="6" applyFont="1" applyBorder="1" applyAlignment="1">
      <alignment horizontal="right"/>
    </xf>
    <xf numFmtId="3" fontId="24" fillId="0" borderId="22" xfId="6" applyNumberFormat="1" applyFont="1" applyBorder="1" applyAlignment="1">
      <alignment horizontal="center"/>
    </xf>
    <xf numFmtId="3" fontId="21" fillId="0" borderId="22" xfId="6" applyNumberFormat="1" applyFont="1" applyBorder="1" applyAlignment="1">
      <alignment horizontal="center"/>
    </xf>
    <xf numFmtId="3" fontId="21" fillId="0" borderId="25" xfId="6" applyNumberFormat="1" applyFont="1" applyBorder="1" applyAlignment="1">
      <alignment horizontal="center"/>
    </xf>
    <xf numFmtId="3" fontId="28" fillId="0" borderId="10" xfId="6" applyNumberFormat="1" applyFont="1" applyBorder="1" applyAlignment="1">
      <alignment horizontal="center"/>
    </xf>
    <xf numFmtId="3" fontId="28" fillId="0" borderId="17" xfId="6" applyNumberFormat="1" applyFont="1" applyBorder="1" applyAlignment="1">
      <alignment horizontal="center"/>
    </xf>
    <xf numFmtId="0" fontId="21" fillId="0" borderId="22" xfId="6" applyFont="1" applyBorder="1"/>
    <xf numFmtId="0" fontId="54" fillId="29" borderId="0" xfId="6" applyFont="1" applyFill="1" applyAlignment="1">
      <alignment horizontal="center"/>
    </xf>
    <xf numFmtId="0" fontId="21" fillId="29" borderId="0" xfId="6" applyFont="1" applyFill="1" applyAlignment="1">
      <alignment horizontal="center"/>
    </xf>
    <xf numFmtId="49" fontId="21" fillId="29" borderId="0" xfId="6" applyNumberFormat="1" applyFont="1" applyFill="1" applyAlignment="1">
      <alignment horizontal="right"/>
    </xf>
    <xf numFmtId="49" fontId="21" fillId="29" borderId="0" xfId="6" applyNumberFormat="1" applyFont="1" applyFill="1" applyAlignment="1">
      <alignment horizontal="center"/>
    </xf>
    <xf numFmtId="0" fontId="21" fillId="29" borderId="0" xfId="6" applyFont="1" applyFill="1" applyAlignment="1">
      <alignment horizontal="left"/>
    </xf>
    <xf numFmtId="0" fontId="24" fillId="0" borderId="22" xfId="6" applyFont="1" applyBorder="1" applyAlignment="1">
      <alignment horizontal="left"/>
    </xf>
    <xf numFmtId="0" fontId="54" fillId="29" borderId="22" xfId="6" applyFont="1" applyFill="1" applyBorder="1" applyAlignment="1">
      <alignment horizontal="center"/>
    </xf>
    <xf numFmtId="0" fontId="21" fillId="29" borderId="22" xfId="6" applyFont="1" applyFill="1" applyBorder="1" applyAlignment="1">
      <alignment horizontal="center"/>
    </xf>
    <xf numFmtId="49" fontId="21" fillId="29" borderId="22" xfId="6" applyNumberFormat="1" applyFont="1" applyFill="1" applyBorder="1" applyAlignment="1">
      <alignment horizontal="right"/>
    </xf>
    <xf numFmtId="49" fontId="21" fillId="29" borderId="22" xfId="6" applyNumberFormat="1" applyFont="1" applyFill="1" applyBorder="1" applyAlignment="1">
      <alignment horizontal="center"/>
    </xf>
    <xf numFmtId="0" fontId="21" fillId="29" borderId="22" xfId="6" applyFont="1" applyFill="1" applyBorder="1" applyAlignment="1">
      <alignment horizontal="left"/>
    </xf>
    <xf numFmtId="3" fontId="21" fillId="29" borderId="22" xfId="6" applyNumberFormat="1" applyFont="1" applyFill="1" applyBorder="1" applyAlignment="1">
      <alignment horizontal="center"/>
    </xf>
    <xf numFmtId="3" fontId="21" fillId="29" borderId="0" xfId="6" applyNumberFormat="1" applyFont="1" applyFill="1" applyAlignment="1">
      <alignment horizontal="center"/>
    </xf>
    <xf numFmtId="0" fontId="62" fillId="0" borderId="14" xfId="6" applyFont="1" applyBorder="1" applyAlignment="1">
      <alignment horizontal="left"/>
    </xf>
    <xf numFmtId="0" fontId="62" fillId="0" borderId="14" xfId="6" applyFont="1" applyBorder="1" applyAlignment="1">
      <alignment horizontal="center" vertical="center"/>
    </xf>
    <xf numFmtId="0" fontId="55" fillId="0" borderId="14" xfId="6" applyFont="1" applyBorder="1" applyAlignment="1">
      <alignment horizontal="left"/>
    </xf>
    <xf numFmtId="3" fontId="28" fillId="0" borderId="22" xfId="6" applyNumberFormat="1" applyFont="1" applyBorder="1" applyAlignment="1">
      <alignment horizontal="center"/>
    </xf>
    <xf numFmtId="3" fontId="28" fillId="0" borderId="25" xfId="6" applyNumberFormat="1" applyFont="1" applyBorder="1" applyAlignment="1">
      <alignment horizontal="center"/>
    </xf>
    <xf numFmtId="3" fontId="55" fillId="0" borderId="75" xfId="6" applyNumberFormat="1" applyFont="1" applyBorder="1" applyAlignment="1">
      <alignment horizontal="center"/>
    </xf>
    <xf numFmtId="3" fontId="55" fillId="0" borderId="106" xfId="6" applyNumberFormat="1" applyFont="1" applyBorder="1" applyAlignment="1">
      <alignment horizontal="center"/>
    </xf>
    <xf numFmtId="0" fontId="28" fillId="0" borderId="14" xfId="6" applyFont="1" applyBorder="1"/>
    <xf numFmtId="3" fontId="21" fillId="0" borderId="75" xfId="6" applyNumberFormat="1" applyFont="1" applyBorder="1" applyAlignment="1">
      <alignment horizontal="center"/>
    </xf>
    <xf numFmtId="3" fontId="21" fillId="0" borderId="106" xfId="6" applyNumberFormat="1" applyFont="1" applyBorder="1" applyAlignment="1">
      <alignment horizontal="center"/>
    </xf>
    <xf numFmtId="3" fontId="24" fillId="0" borderId="15" xfId="6" applyNumberFormat="1" applyFont="1" applyBorder="1" applyAlignment="1">
      <alignment horizontal="center"/>
    </xf>
    <xf numFmtId="0" fontId="110" fillId="0" borderId="15" xfId="6" applyFont="1" applyBorder="1" applyAlignment="1">
      <alignment horizontal="center"/>
    </xf>
    <xf numFmtId="0" fontId="112" fillId="0" borderId="0" xfId="6" applyFont="1" applyAlignment="1">
      <alignment horizontal="center"/>
    </xf>
    <xf numFmtId="0" fontId="60" fillId="0" borderId="0" xfId="6" applyFont="1" applyAlignment="1">
      <alignment horizontal="center"/>
    </xf>
    <xf numFmtId="3" fontId="61" fillId="0" borderId="0" xfId="6" applyNumberFormat="1" applyFont="1" applyAlignment="1">
      <alignment horizontal="center"/>
    </xf>
    <xf numFmtId="3" fontId="62" fillId="0" borderId="0" xfId="6" applyNumberFormat="1" applyFont="1" applyAlignment="1">
      <alignment horizontal="center"/>
    </xf>
    <xf numFmtId="0" fontId="21" fillId="0" borderId="19" xfId="6" applyFont="1" applyBorder="1"/>
    <xf numFmtId="0" fontId="21" fillId="0" borderId="6" xfId="6" applyFont="1" applyBorder="1"/>
    <xf numFmtId="0" fontId="21" fillId="0" borderId="6" xfId="6" applyFont="1" applyBorder="1" applyAlignment="1">
      <alignment horizontal="center"/>
    </xf>
    <xf numFmtId="49" fontId="21" fillId="0" borderId="6" xfId="6" applyNumberFormat="1" applyFont="1" applyBorder="1" applyAlignment="1">
      <alignment horizontal="center"/>
    </xf>
    <xf numFmtId="0" fontId="21" fillId="0" borderId="20" xfId="6" applyFont="1" applyBorder="1" applyAlignment="1">
      <alignment horizontal="center"/>
    </xf>
    <xf numFmtId="0" fontId="24" fillId="0" borderId="0" xfId="6" quotePrefix="1" applyFont="1" applyAlignment="1">
      <alignment horizontal="left"/>
    </xf>
    <xf numFmtId="0" fontId="27" fillId="0" borderId="0" xfId="0" applyFont="1" applyAlignment="1">
      <alignment horizontal="right"/>
    </xf>
    <xf numFmtId="0" fontId="0" fillId="0" borderId="76" xfId="0" applyBorder="1" applyAlignment="1">
      <alignment horizontal="left"/>
    </xf>
    <xf numFmtId="10" fontId="0" fillId="0" borderId="10" xfId="0" applyNumberFormat="1" applyBorder="1"/>
    <xf numFmtId="10" fontId="0" fillId="0" borderId="76" xfId="0" applyNumberFormat="1" applyBorder="1"/>
    <xf numFmtId="10" fontId="0" fillId="0" borderId="88" xfId="0" applyNumberFormat="1" applyBorder="1"/>
    <xf numFmtId="171" fontId="21" fillId="0" borderId="58" xfId="122" applyNumberFormat="1" applyFont="1" applyBorder="1" applyAlignment="1">
      <alignment horizontal="right" vertical="center" wrapText="1" indent="2"/>
    </xf>
    <xf numFmtId="3" fontId="21" fillId="28" borderId="0" xfId="0" applyNumberFormat="1" applyFont="1" applyFill="1" applyAlignment="1">
      <alignment horizontal="right" vertical="top" wrapText="1" indent="1"/>
    </xf>
    <xf numFmtId="0" fontId="24" fillId="0" borderId="0" xfId="0" applyFont="1" applyAlignment="1">
      <alignment horizontal="right" wrapText="1"/>
    </xf>
    <xf numFmtId="0" fontId="24" fillId="0" borderId="0" xfId="0" applyFont="1" applyAlignment="1">
      <alignment horizontal="right" vertical="top" wrapText="1"/>
    </xf>
    <xf numFmtId="164" fontId="24" fillId="0" borderId="0" xfId="0" applyNumberFormat="1" applyFont="1" applyAlignment="1">
      <alignment vertical="center" wrapText="1"/>
    </xf>
    <xf numFmtId="164" fontId="21" fillId="0" borderId="0" xfId="0" applyNumberFormat="1" applyFont="1" applyAlignment="1">
      <alignment vertical="center" wrapText="1"/>
    </xf>
    <xf numFmtId="0" fontId="21" fillId="0" borderId="0" xfId="0" applyFont="1" applyAlignment="1">
      <alignment vertical="center"/>
    </xf>
    <xf numFmtId="0" fontId="0" fillId="0" borderId="22" xfId="0" applyBorder="1" applyAlignment="1">
      <alignment vertical="center"/>
    </xf>
    <xf numFmtId="3" fontId="21" fillId="0" borderId="0" xfId="0" applyNumberFormat="1" applyFont="1" applyAlignment="1">
      <alignment horizontal="right" vertical="center" indent="1"/>
    </xf>
    <xf numFmtId="3" fontId="21" fillId="0" borderId="0" xfId="0" applyNumberFormat="1" applyFont="1" applyAlignment="1">
      <alignment horizontal="right" vertical="center" indent="2"/>
    </xf>
    <xf numFmtId="0" fontId="21" fillId="0" borderId="0" xfId="0" applyFont="1" applyAlignment="1">
      <alignment horizontal="justify" vertical="center"/>
    </xf>
    <xf numFmtId="3" fontId="54" fillId="0" borderId="0" xfId="0" applyNumberFormat="1" applyFont="1" applyAlignment="1">
      <alignment horizontal="right" vertical="center" indent="1"/>
    </xf>
    <xf numFmtId="3" fontId="54" fillId="0" borderId="0" xfId="0" applyNumberFormat="1" applyFont="1" applyAlignment="1">
      <alignment horizontal="right" vertical="center" indent="2"/>
    </xf>
    <xf numFmtId="0" fontId="54" fillId="0" borderId="0" xfId="0" applyFont="1" applyAlignment="1">
      <alignment horizontal="right" vertical="center" indent="1"/>
    </xf>
    <xf numFmtId="3" fontId="21" fillId="0" borderId="49" xfId="0" applyNumberFormat="1" applyFont="1" applyBorder="1" applyAlignment="1">
      <alignment horizontal="right" vertical="center" indent="2"/>
    </xf>
    <xf numFmtId="164" fontId="0" fillId="0" borderId="0" xfId="0" applyNumberFormat="1" applyAlignment="1">
      <alignment horizontal="right" indent="1"/>
    </xf>
    <xf numFmtId="3" fontId="0" fillId="8" borderId="0" xfId="0" applyNumberFormat="1" applyFill="1" applyAlignment="1">
      <alignment horizontal="center"/>
    </xf>
    <xf numFmtId="3" fontId="21" fillId="0" borderId="22" xfId="3" applyNumberFormat="1" applyBorder="1" applyAlignment="1">
      <alignment horizontal="right" indent="1"/>
    </xf>
    <xf numFmtId="3" fontId="21" fillId="0" borderId="22" xfId="3" applyNumberFormat="1" applyBorder="1" applyAlignment="1">
      <alignment horizontal="right"/>
    </xf>
    <xf numFmtId="164" fontId="21" fillId="2" borderId="0" xfId="3" applyNumberFormat="1" applyFill="1"/>
    <xf numFmtId="164" fontId="21" fillId="2" borderId="0" xfId="3" applyNumberFormat="1" applyFill="1" applyAlignment="1">
      <alignment horizontal="right"/>
    </xf>
    <xf numFmtId="0" fontId="21" fillId="2" borderId="75" xfId="3" applyFill="1" applyBorder="1" applyAlignment="1">
      <alignment horizontal="left"/>
    </xf>
    <xf numFmtId="0" fontId="28" fillId="2" borderId="10" xfId="3" applyFont="1" applyFill="1" applyBorder="1" applyAlignment="1">
      <alignment horizontal="left"/>
    </xf>
    <xf numFmtId="164" fontId="43" fillId="0" borderId="0" xfId="3" applyNumberFormat="1" applyFont="1" applyAlignment="1">
      <alignment horizontal="center" vertical="top" wrapText="1"/>
    </xf>
    <xf numFmtId="0" fontId="0" fillId="0" borderId="0" xfId="3" applyFont="1"/>
    <xf numFmtId="3" fontId="43" fillId="6" borderId="0" xfId="10" applyNumberFormat="1" applyFont="1" applyFill="1" applyAlignment="1">
      <alignment horizontal="center" vertical="center" wrapText="1"/>
    </xf>
    <xf numFmtId="1" fontId="21" fillId="0" borderId="0" xfId="7" applyNumberFormat="1" applyFont="1" applyAlignment="1">
      <alignment horizontal="center"/>
    </xf>
    <xf numFmtId="9" fontId="21" fillId="0" borderId="0" xfId="19" applyFont="1" applyAlignment="1">
      <alignment horizontal="left"/>
    </xf>
    <xf numFmtId="0" fontId="21" fillId="2" borderId="0" xfId="7" applyFont="1" applyFill="1" applyAlignment="1">
      <alignment horizontal="center"/>
    </xf>
    <xf numFmtId="3" fontId="89" fillId="0" borderId="50" xfId="10" applyNumberFormat="1" applyFont="1" applyBorder="1" applyAlignment="1">
      <alignment horizontal="center" vertical="center" wrapText="1"/>
    </xf>
    <xf numFmtId="49" fontId="34" fillId="0" borderId="0" xfId="10" applyNumberFormat="1" applyFont="1" applyAlignment="1">
      <alignment horizontal="right" vertical="center" wrapText="1" indent="2"/>
    </xf>
    <xf numFmtId="0" fontId="28" fillId="5" borderId="0" xfId="3" applyFont="1" applyFill="1" applyAlignment="1">
      <alignment horizontal="left"/>
    </xf>
    <xf numFmtId="3" fontId="28" fillId="5" borderId="0" xfId="3" applyNumberFormat="1" applyFont="1" applyFill="1" applyAlignment="1">
      <alignment horizontal="left"/>
    </xf>
    <xf numFmtId="3" fontId="28" fillId="2" borderId="0" xfId="3" applyNumberFormat="1" applyFont="1" applyFill="1" applyAlignment="1">
      <alignment horizontal="left"/>
    </xf>
    <xf numFmtId="0" fontId="54" fillId="0" borderId="22" xfId="6" applyFont="1" applyBorder="1" applyAlignment="1">
      <alignment horizontal="center"/>
    </xf>
    <xf numFmtId="0" fontId="21" fillId="0" borderId="22" xfId="6" applyFont="1" applyBorder="1" applyAlignment="1">
      <alignment horizontal="center"/>
    </xf>
    <xf numFmtId="49" fontId="21" fillId="0" borderId="22" xfId="6" applyNumberFormat="1" applyFont="1" applyBorder="1" applyAlignment="1">
      <alignment horizontal="right"/>
    </xf>
    <xf numFmtId="49" fontId="21" fillId="0" borderId="22" xfId="6" applyNumberFormat="1" applyFont="1" applyBorder="1" applyAlignment="1">
      <alignment horizontal="center"/>
    </xf>
    <xf numFmtId="0" fontId="21" fillId="0" borderId="22" xfId="6" applyFont="1" applyBorder="1" applyAlignment="1">
      <alignment horizontal="left"/>
    </xf>
    <xf numFmtId="49" fontId="21" fillId="0" borderId="0" xfId="6" applyNumberFormat="1" applyFont="1" applyAlignment="1">
      <alignment horizontal="right"/>
    </xf>
    <xf numFmtId="49" fontId="29" fillId="0" borderId="0" xfId="6" applyNumberFormat="1" applyFont="1" applyAlignment="1">
      <alignment horizontal="center"/>
    </xf>
    <xf numFmtId="0" fontId="146" fillId="0" borderId="0" xfId="0" applyFont="1" applyAlignment="1">
      <alignment horizontal="center"/>
    </xf>
    <xf numFmtId="3" fontId="99" fillId="0" borderId="0" xfId="0" applyNumberFormat="1" applyFont="1" applyAlignment="1">
      <alignment horizontal="center"/>
    </xf>
    <xf numFmtId="3" fontId="30" fillId="2" borderId="0" xfId="0" applyNumberFormat="1" applyFont="1" applyFill="1" applyAlignment="1">
      <alignment horizontal="center"/>
    </xf>
    <xf numFmtId="10" fontId="21" fillId="0" borderId="0" xfId="3" applyNumberFormat="1" applyAlignment="1">
      <alignment horizontal="center"/>
    </xf>
    <xf numFmtId="171" fontId="21" fillId="0" borderId="22" xfId="3" applyNumberFormat="1" applyBorder="1" applyAlignment="1">
      <alignment horizontal="center"/>
    </xf>
    <xf numFmtId="10" fontId="21" fillId="0" borderId="22" xfId="3" applyNumberFormat="1" applyBorder="1" applyAlignment="1">
      <alignment horizontal="center"/>
    </xf>
    <xf numFmtId="171" fontId="21" fillId="0" borderId="0" xfId="13" applyNumberFormat="1" applyFont="1" applyFill="1" applyBorder="1" applyAlignment="1">
      <alignment horizontal="center"/>
    </xf>
    <xf numFmtId="3" fontId="30" fillId="2" borderId="0" xfId="0" applyNumberFormat="1" applyFont="1" applyFill="1" applyAlignment="1">
      <alignment horizontal="right"/>
    </xf>
    <xf numFmtId="0" fontId="99" fillId="0" borderId="0" xfId="229" applyFont="1"/>
    <xf numFmtId="0" fontId="99" fillId="0" borderId="22" xfId="229" applyFont="1" applyBorder="1"/>
    <xf numFmtId="0" fontId="2" fillId="0" borderId="0" xfId="229"/>
    <xf numFmtId="0" fontId="2" fillId="30" borderId="0" xfId="229" applyFill="1"/>
    <xf numFmtId="174" fontId="75" fillId="0" borderId="0" xfId="230" applyNumberFormat="1" applyFont="1"/>
    <xf numFmtId="10" fontId="2" fillId="30" borderId="0" xfId="229" applyNumberFormat="1" applyFill="1"/>
    <xf numFmtId="10" fontId="2" fillId="0" borderId="0" xfId="229" applyNumberFormat="1"/>
    <xf numFmtId="10" fontId="2" fillId="23" borderId="0" xfId="229" applyNumberFormat="1" applyFill="1"/>
    <xf numFmtId="10" fontId="2" fillId="31" borderId="0" xfId="229" applyNumberFormat="1" applyFill="1"/>
    <xf numFmtId="9" fontId="2" fillId="0" borderId="0" xfId="229" applyNumberFormat="1"/>
    <xf numFmtId="10" fontId="2" fillId="32" borderId="0" xfId="229" applyNumberFormat="1" applyFill="1"/>
    <xf numFmtId="174" fontId="2" fillId="31" borderId="0" xfId="229" applyNumberFormat="1" applyFill="1"/>
    <xf numFmtId="0" fontId="148" fillId="30" borderId="0" xfId="229" applyFont="1" applyFill="1"/>
    <xf numFmtId="174" fontId="148" fillId="0" borderId="0" xfId="230" applyNumberFormat="1" applyFont="1"/>
    <xf numFmtId="174" fontId="1" fillId="0" borderId="0" xfId="230" applyNumberFormat="1" applyFont="1"/>
    <xf numFmtId="174" fontId="1" fillId="2" borderId="0" xfId="230" applyNumberFormat="1" applyFont="1" applyFill="1"/>
    <xf numFmtId="174" fontId="75" fillId="2" borderId="0" xfId="230" applyNumberFormat="1" applyFont="1" applyFill="1"/>
    <xf numFmtId="10" fontId="75" fillId="0" borderId="0" xfId="230" applyNumberFormat="1" applyFont="1"/>
    <xf numFmtId="10" fontId="75" fillId="0" borderId="0" xfId="230" applyNumberFormat="1" applyFont="1" applyFill="1"/>
    <xf numFmtId="174" fontId="75" fillId="0" borderId="0" xfId="230" applyNumberFormat="1" applyFont="1" applyFill="1"/>
    <xf numFmtId="10" fontId="75" fillId="32" borderId="0" xfId="230" applyNumberFormat="1" applyFont="1" applyFill="1"/>
    <xf numFmtId="10" fontId="75" fillId="23" borderId="0" xfId="230" applyNumberFormat="1" applyFont="1" applyFill="1"/>
    <xf numFmtId="10" fontId="75" fillId="30" borderId="0" xfId="230" applyNumberFormat="1" applyFont="1" applyFill="1"/>
    <xf numFmtId="10" fontId="75" fillId="31" borderId="0" xfId="230" applyNumberFormat="1" applyFont="1" applyFill="1"/>
    <xf numFmtId="10" fontId="75" fillId="33" borderId="0" xfId="230" applyNumberFormat="1" applyFont="1" applyFill="1"/>
    <xf numFmtId="10" fontId="75" fillId="34" borderId="0" xfId="230" applyNumberFormat="1" applyFont="1" applyFill="1"/>
    <xf numFmtId="0" fontId="2" fillId="2" borderId="0" xfId="229" applyFill="1"/>
    <xf numFmtId="174" fontId="0" fillId="0" borderId="0" xfId="230" applyNumberFormat="1" applyFont="1"/>
    <xf numFmtId="174" fontId="0" fillId="0" borderId="0" xfId="230" applyNumberFormat="1" applyFont="1" applyFill="1"/>
    <xf numFmtId="0" fontId="2" fillId="31" borderId="0" xfId="229" applyFill="1"/>
    <xf numFmtId="0" fontId="21" fillId="0" borderId="0" xfId="0" applyFont="1" applyAlignment="1">
      <alignment horizontal="center" wrapText="1"/>
    </xf>
    <xf numFmtId="0" fontId="21" fillId="0" borderId="0" xfId="0" applyFont="1" applyAlignment="1">
      <alignment horizontal="center"/>
    </xf>
    <xf numFmtId="0" fontId="21" fillId="0" borderId="10" xfId="0" applyFont="1" applyBorder="1" applyAlignment="1">
      <alignment horizontal="center" wrapText="1"/>
    </xf>
    <xf numFmtId="0" fontId="21" fillId="0" borderId="47" xfId="0" applyFont="1" applyBorder="1" applyAlignment="1">
      <alignment horizontal="center" wrapText="1"/>
    </xf>
    <xf numFmtId="0" fontId="21" fillId="0" borderId="6" xfId="3" applyBorder="1" applyAlignment="1">
      <alignment horizontal="center" vertical="center" wrapText="1"/>
    </xf>
    <xf numFmtId="0" fontId="21" fillId="0" borderId="4" xfId="3" applyBorder="1" applyAlignment="1">
      <alignment horizontal="center" vertical="center" wrapText="1"/>
    </xf>
    <xf numFmtId="0" fontId="21" fillId="0" borderId="2" xfId="3" applyBorder="1" applyAlignment="1">
      <alignment horizontal="center" vertical="center" wrapText="1"/>
    </xf>
    <xf numFmtId="0" fontId="21" fillId="0" borderId="0" xfId="3" applyAlignment="1">
      <alignment horizontal="center" vertical="center" wrapText="1"/>
    </xf>
    <xf numFmtId="0" fontId="24" fillId="0" borderId="0" xfId="0" applyFont="1" applyAlignment="1">
      <alignment horizontal="left" wrapText="1"/>
    </xf>
    <xf numFmtId="0" fontId="21" fillId="0" borderId="45" xfId="0" applyFont="1" applyBorder="1" applyAlignment="1">
      <alignment horizontal="center" wrapText="1"/>
    </xf>
    <xf numFmtId="0" fontId="21" fillId="0" borderId="48" xfId="0" applyFont="1" applyBorder="1" applyAlignment="1">
      <alignment horizontal="center" wrapText="1"/>
    </xf>
    <xf numFmtId="0" fontId="21" fillId="0" borderId="12" xfId="3" applyBorder="1" applyAlignment="1">
      <alignment horizontal="center" vertical="center" wrapText="1"/>
    </xf>
    <xf numFmtId="0" fontId="21" fillId="0" borderId="14" xfId="3" applyBorder="1" applyAlignment="1">
      <alignment horizontal="center" vertical="center" wrapText="1"/>
    </xf>
    <xf numFmtId="0" fontId="65" fillId="0" borderId="0" xfId="3" applyFont="1" applyAlignment="1">
      <alignment horizontal="left" vertical="center" wrapText="1"/>
    </xf>
    <xf numFmtId="0" fontId="65" fillId="0" borderId="0" xfId="3" applyFont="1" applyAlignment="1">
      <alignment horizontal="left"/>
    </xf>
    <xf numFmtId="0" fontId="21" fillId="0" borderId="45" xfId="3" applyBorder="1" applyAlignment="1">
      <alignment horizontal="center" vertical="center" wrapText="1"/>
    </xf>
    <xf numFmtId="0" fontId="21" fillId="0" borderId="47" xfId="3" applyBorder="1" applyAlignment="1">
      <alignment horizontal="center" vertical="center" wrapText="1"/>
    </xf>
    <xf numFmtId="0" fontId="21" fillId="0" borderId="39" xfId="3" applyBorder="1" applyAlignment="1">
      <alignment horizontal="center" vertical="center" wrapText="1"/>
    </xf>
    <xf numFmtId="0" fontId="21" fillId="0" borderId="10" xfId="3" applyBorder="1" applyAlignment="1">
      <alignment horizontal="center" vertical="center" wrapText="1"/>
    </xf>
    <xf numFmtId="0" fontId="21" fillId="0" borderId="10" xfId="0" applyFont="1" applyBorder="1" applyAlignment="1">
      <alignment horizontal="center"/>
    </xf>
    <xf numFmtId="0" fontId="21" fillId="0" borderId="0" xfId="0" applyFont="1" applyAlignment="1">
      <alignment horizontal="center" vertical="center" wrapText="1"/>
    </xf>
    <xf numFmtId="0" fontId="21" fillId="0" borderId="47" xfId="0" applyFont="1" applyBorder="1" applyAlignment="1">
      <alignment horizontal="center" vertical="center" wrapText="1"/>
    </xf>
    <xf numFmtId="0" fontId="21" fillId="0" borderId="0" xfId="0" applyFont="1" applyAlignment="1">
      <alignment horizontal="left" vertical="center"/>
    </xf>
    <xf numFmtId="0" fontId="28" fillId="0" borderId="47" xfId="0" applyFont="1" applyBorder="1" applyAlignment="1">
      <alignment horizontal="center"/>
    </xf>
    <xf numFmtId="0" fontId="0" fillId="0" borderId="0" xfId="0" applyAlignment="1">
      <alignment horizontal="center"/>
    </xf>
    <xf numFmtId="0" fontId="0" fillId="0" borderId="45" xfId="0" applyBorder="1"/>
    <xf numFmtId="0" fontId="0" fillId="0" borderId="47" xfId="0" applyBorder="1"/>
    <xf numFmtId="0" fontId="21" fillId="0" borderId="0" xfId="3" applyAlignment="1">
      <alignment horizontal="left"/>
    </xf>
    <xf numFmtId="0" fontId="21" fillId="0" borderId="10" xfId="3" applyBorder="1" applyAlignment="1">
      <alignment horizontal="center" wrapText="1"/>
    </xf>
    <xf numFmtId="0" fontId="21" fillId="0" borderId="0" xfId="3" applyAlignment="1">
      <alignment horizontal="center" wrapText="1"/>
    </xf>
    <xf numFmtId="0" fontId="21" fillId="0" borderId="9" xfId="3" applyBorder="1" applyAlignment="1">
      <alignment horizontal="center" vertical="center"/>
    </xf>
    <xf numFmtId="0" fontId="30" fillId="0" borderId="24" xfId="0" applyFont="1" applyBorder="1" applyAlignment="1">
      <alignment horizontal="center"/>
    </xf>
    <xf numFmtId="0" fontId="30" fillId="0" borderId="58" xfId="0" applyFont="1" applyBorder="1" applyAlignment="1">
      <alignment horizontal="center"/>
    </xf>
    <xf numFmtId="0" fontId="30" fillId="0" borderId="57" xfId="0" applyFont="1" applyBorder="1" applyAlignment="1">
      <alignment horizontal="center"/>
    </xf>
    <xf numFmtId="0" fontId="21" fillId="0" borderId="73" xfId="0" applyFont="1" applyBorder="1" applyAlignment="1">
      <alignment horizontal="center" wrapText="1"/>
    </xf>
    <xf numFmtId="0" fontId="21" fillId="0" borderId="73" xfId="0" applyFont="1" applyBorder="1" applyAlignment="1">
      <alignment horizontal="center"/>
    </xf>
    <xf numFmtId="0" fontId="21" fillId="0" borderId="57" xfId="3" applyBorder="1" applyAlignment="1">
      <alignment horizontal="center"/>
    </xf>
    <xf numFmtId="0" fontId="21" fillId="0" borderId="58" xfId="3" applyBorder="1" applyAlignment="1">
      <alignment horizontal="center"/>
    </xf>
    <xf numFmtId="0" fontId="0" fillId="0" borderId="50" xfId="0" applyBorder="1" applyAlignment="1">
      <alignment horizontal="center" wrapText="1"/>
    </xf>
    <xf numFmtId="0" fontId="0" fillId="0" borderId="22" xfId="0" applyBorder="1" applyAlignment="1">
      <alignment horizontal="center"/>
    </xf>
    <xf numFmtId="0" fontId="0" fillId="0" borderId="53" xfId="0" applyBorder="1" applyAlignment="1">
      <alignment horizontal="center"/>
    </xf>
    <xf numFmtId="0" fontId="0" fillId="0" borderId="50" xfId="0" applyBorder="1" applyAlignment="1">
      <alignment horizontal="center"/>
    </xf>
    <xf numFmtId="0" fontId="0" fillId="0" borderId="49" xfId="0" applyBorder="1" applyAlignment="1">
      <alignment horizontal="center"/>
    </xf>
    <xf numFmtId="0" fontId="0" fillId="0" borderId="0" xfId="0" applyAlignment="1">
      <alignment horizontal="center" wrapText="1"/>
    </xf>
    <xf numFmtId="0" fontId="0" fillId="0" borderId="22" xfId="0" applyBorder="1" applyAlignment="1">
      <alignment horizontal="center" wrapText="1"/>
    </xf>
    <xf numFmtId="0" fontId="0" fillId="0" borderId="57" xfId="0" applyBorder="1" applyAlignment="1">
      <alignment horizontal="center"/>
    </xf>
    <xf numFmtId="0" fontId="21" fillId="0" borderId="0" xfId="3" applyAlignment="1">
      <alignment horizontal="center"/>
    </xf>
    <xf numFmtId="0" fontId="21" fillId="0" borderId="4" xfId="3" applyBorder="1" applyAlignment="1">
      <alignment horizontal="center" vertical="center" textRotation="90"/>
    </xf>
    <xf numFmtId="0" fontId="21" fillId="0" borderId="9" xfId="3" applyBorder="1"/>
    <xf numFmtId="0" fontId="21" fillId="0" borderId="22" xfId="3" applyBorder="1" applyAlignment="1">
      <alignment horizontal="center"/>
    </xf>
    <xf numFmtId="0" fontId="28" fillId="0" borderId="0" xfId="3" applyFont="1" applyAlignment="1">
      <alignment horizontal="left"/>
    </xf>
    <xf numFmtId="0" fontId="92" fillId="0" borderId="0" xfId="3" applyFont="1" applyAlignment="1">
      <alignment horizontal="center"/>
    </xf>
    <xf numFmtId="0" fontId="21" fillId="0" borderId="45" xfId="3" applyBorder="1" applyAlignment="1">
      <alignment horizontal="center"/>
    </xf>
    <xf numFmtId="0" fontId="21" fillId="0" borderId="47" xfId="3" applyBorder="1" applyAlignment="1">
      <alignment horizontal="center"/>
    </xf>
    <xf numFmtId="0" fontId="21" fillId="0" borderId="49" xfId="3" applyBorder="1" applyAlignment="1">
      <alignment horizontal="center"/>
    </xf>
    <xf numFmtId="0" fontId="21" fillId="0" borderId="22" xfId="3" applyBorder="1" applyAlignment="1">
      <alignment horizontal="center" wrapText="1"/>
    </xf>
    <xf numFmtId="0" fontId="21" fillId="0" borderId="50" xfId="3" applyBorder="1" applyAlignment="1">
      <alignment horizontal="center" wrapText="1"/>
    </xf>
    <xf numFmtId="0" fontId="21" fillId="0" borderId="0" xfId="3"/>
    <xf numFmtId="0" fontId="21" fillId="0" borderId="24" xfId="3" applyBorder="1" applyAlignment="1">
      <alignment horizontal="center"/>
    </xf>
    <xf numFmtId="0" fontId="21" fillId="0" borderId="60" xfId="3" applyBorder="1" applyAlignment="1">
      <alignment horizontal="center"/>
    </xf>
    <xf numFmtId="0" fontId="21" fillId="0" borderId="47" xfId="3" applyBorder="1" applyAlignment="1">
      <alignment horizontal="center" wrapText="1"/>
    </xf>
    <xf numFmtId="0" fontId="21" fillId="0" borderId="49" xfId="3" applyBorder="1" applyAlignment="1">
      <alignment horizontal="center" wrapText="1"/>
    </xf>
    <xf numFmtId="0" fontId="21" fillId="0" borderId="48" xfId="3" applyBorder="1" applyAlignment="1">
      <alignment horizontal="center"/>
    </xf>
    <xf numFmtId="0" fontId="43" fillId="0" borderId="39" xfId="3" applyFont="1" applyBorder="1" applyAlignment="1">
      <alignment horizontal="center" wrapText="1"/>
    </xf>
    <xf numFmtId="0" fontId="43" fillId="0" borderId="22" xfId="3" applyFont="1" applyBorder="1" applyAlignment="1">
      <alignment horizontal="center" wrapText="1"/>
    </xf>
    <xf numFmtId="0" fontId="43" fillId="0" borderId="0" xfId="3" applyFont="1" applyAlignment="1">
      <alignment horizontal="center" wrapText="1"/>
    </xf>
    <xf numFmtId="0" fontId="38" fillId="0" borderId="0" xfId="6" applyFont="1" applyAlignment="1">
      <alignment horizontal="center"/>
    </xf>
    <xf numFmtId="3" fontId="21" fillId="0" borderId="0" xfId="6" applyNumberFormat="1" applyFont="1" applyAlignment="1">
      <alignment horizontal="center"/>
    </xf>
    <xf numFmtId="0" fontId="54" fillId="0" borderId="0" xfId="6" applyFont="1" applyAlignment="1">
      <alignment horizontal="center"/>
    </xf>
    <xf numFmtId="3" fontId="28" fillId="0" borderId="0" xfId="6" applyNumberFormat="1" applyFont="1" applyAlignment="1">
      <alignment horizontal="center"/>
    </xf>
    <xf numFmtId="3" fontId="28" fillId="0" borderId="5" xfId="6" applyNumberFormat="1" applyFont="1" applyBorder="1" applyAlignment="1">
      <alignment horizontal="center"/>
    </xf>
    <xf numFmtId="0" fontId="28" fillId="0" borderId="0" xfId="6" applyFont="1" applyAlignment="1">
      <alignment horizontal="center"/>
    </xf>
    <xf numFmtId="0" fontId="42" fillId="0" borderId="0" xfId="6" applyFont="1" applyAlignment="1">
      <alignment horizontal="center"/>
    </xf>
    <xf numFmtId="0" fontId="0" fillId="0" borderId="10" xfId="0" applyBorder="1" applyAlignment="1">
      <alignment horizontal="center"/>
    </xf>
    <xf numFmtId="49" fontId="21" fillId="0" borderId="14" xfId="0" applyNumberFormat="1" applyFont="1" applyBorder="1" applyAlignment="1">
      <alignment horizontal="center" vertical="center" wrapText="1"/>
    </xf>
    <xf numFmtId="0" fontId="21" fillId="0" borderId="80"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0" xfId="0" applyFont="1" applyAlignment="1">
      <alignment horizontal="center" vertical="center" wrapText="1"/>
    </xf>
    <xf numFmtId="0" fontId="33" fillId="0" borderId="76" xfId="0" applyFont="1" applyBorder="1" applyAlignment="1">
      <alignment horizontal="center" vertical="center" wrapText="1"/>
    </xf>
    <xf numFmtId="0" fontId="33" fillId="0" borderId="10" xfId="0" applyFont="1" applyBorder="1" applyAlignment="1">
      <alignment horizontal="center" vertical="center"/>
    </xf>
    <xf numFmtId="0" fontId="33" fillId="0" borderId="76" xfId="0" applyFont="1" applyBorder="1" applyAlignment="1">
      <alignment horizontal="center" vertical="center"/>
    </xf>
    <xf numFmtId="0" fontId="21" fillId="0" borderId="21" xfId="3" applyBorder="1" applyAlignment="1">
      <alignment horizontal="center" vertical="center" wrapText="1"/>
    </xf>
    <xf numFmtId="0" fontId="21" fillId="0" borderId="49" xfId="3" applyBorder="1" applyAlignment="1">
      <alignment horizontal="center" vertical="center" wrapText="1"/>
    </xf>
    <xf numFmtId="0" fontId="21" fillId="0" borderId="22" xfId="3" applyBorder="1" applyAlignment="1">
      <alignment horizontal="center" vertical="center" wrapText="1"/>
    </xf>
    <xf numFmtId="0" fontId="21" fillId="0" borderId="50" xfId="3" applyBorder="1" applyAlignment="1">
      <alignment horizontal="center" vertical="center" wrapText="1"/>
    </xf>
    <xf numFmtId="0" fontId="21" fillId="0" borderId="0" xfId="7" applyFont="1" applyAlignment="1">
      <alignment horizontal="center"/>
    </xf>
    <xf numFmtId="0" fontId="32" fillId="0" borderId="0" xfId="10" applyFont="1" applyAlignment="1">
      <alignment horizontal="left" vertical="center"/>
    </xf>
    <xf numFmtId="0" fontId="32" fillId="0" borderId="0" xfId="10" applyFont="1" applyAlignment="1">
      <alignment horizontal="left" vertical="center" wrapText="1"/>
    </xf>
    <xf numFmtId="0" fontId="21" fillId="0" borderId="23" xfId="1" applyBorder="1" applyAlignment="1">
      <alignment horizontal="center" vertical="center" wrapText="1"/>
    </xf>
    <xf numFmtId="0" fontId="21" fillId="0" borderId="24" xfId="1" applyBorder="1" applyAlignment="1">
      <alignment horizontal="center" vertical="center" wrapText="1"/>
    </xf>
    <xf numFmtId="0" fontId="21" fillId="0" borderId="10" xfId="1" applyBorder="1" applyAlignment="1">
      <alignment horizontal="center" vertical="center" wrapText="1"/>
    </xf>
    <xf numFmtId="0" fontId="21" fillId="0" borderId="24" xfId="3" applyBorder="1" applyAlignment="1">
      <alignment horizontal="center" vertical="center" wrapText="1"/>
    </xf>
    <xf numFmtId="0" fontId="99" fillId="20" borderId="0" xfId="0" applyFont="1" applyFill="1" applyAlignment="1">
      <alignment horizontal="center"/>
    </xf>
    <xf numFmtId="0" fontId="99" fillId="20" borderId="0" xfId="0" applyFont="1" applyFill="1" applyAlignment="1">
      <alignment horizontal="center" vertical="center" wrapText="1"/>
    </xf>
    <xf numFmtId="0" fontId="99" fillId="20" borderId="48" xfId="0" applyFont="1" applyFill="1" applyBorder="1" applyAlignment="1">
      <alignment horizontal="center" vertical="center" wrapText="1"/>
    </xf>
    <xf numFmtId="0" fontId="21" fillId="0" borderId="45" xfId="0" applyFont="1" applyBorder="1" applyAlignment="1">
      <alignment horizontal="center" vertical="center" wrapText="1"/>
    </xf>
    <xf numFmtId="0" fontId="21" fillId="0" borderId="49" xfId="0" applyFont="1" applyBorder="1" applyAlignment="1">
      <alignment horizontal="center" vertical="center" wrapText="1"/>
    </xf>
    <xf numFmtId="0" fontId="76" fillId="0" borderId="0" xfId="3" applyFont="1" applyAlignment="1">
      <alignment vertical="center"/>
    </xf>
    <xf numFmtId="0" fontId="106" fillId="0" borderId="0" xfId="3" applyFont="1" applyAlignment="1">
      <alignment vertical="center"/>
    </xf>
    <xf numFmtId="0" fontId="106" fillId="0" borderId="9" xfId="3" applyFont="1" applyBorder="1" applyAlignment="1">
      <alignment horizontal="center" vertical="center"/>
    </xf>
    <xf numFmtId="0" fontId="106" fillId="0" borderId="11" xfId="3" applyFont="1" applyBorder="1" applyAlignment="1">
      <alignment horizontal="center" vertical="center"/>
    </xf>
    <xf numFmtId="0" fontId="43" fillId="0" borderId="23" xfId="0" applyFont="1" applyBorder="1" applyAlignment="1">
      <alignment horizontal="center" vertical="center"/>
    </xf>
    <xf numFmtId="0" fontId="41" fillId="0" borderId="26" xfId="0" applyFont="1" applyBorder="1" applyAlignment="1">
      <alignment horizontal="justify" wrapText="1"/>
    </xf>
    <xf numFmtId="0" fontId="41" fillId="0" borderId="27" xfId="0" applyFont="1" applyBorder="1" applyAlignment="1">
      <alignment horizontal="justify" wrapText="1"/>
    </xf>
    <xf numFmtId="0" fontId="41" fillId="0" borderId="28" xfId="0" applyFont="1" applyBorder="1" applyAlignment="1">
      <alignment horizontal="justify" wrapText="1"/>
    </xf>
    <xf numFmtId="0" fontId="21" fillId="0" borderId="0" xfId="0" applyFont="1" applyAlignment="1">
      <alignment horizontal="center" wrapText="1"/>
    </xf>
    <xf numFmtId="0" fontId="65" fillId="0" borderId="0" xfId="0" applyFont="1" applyAlignment="1">
      <alignment horizontal="left" vertical="top" wrapText="1"/>
    </xf>
    <xf numFmtId="0" fontId="21" fillId="0" borderId="0" xfId="0" applyFont="1" applyAlignment="1">
      <alignment horizontal="center"/>
    </xf>
    <xf numFmtId="0" fontId="21" fillId="0" borderId="29" xfId="0" applyFont="1" applyBorder="1" applyAlignment="1">
      <alignment horizontal="center" wrapText="1"/>
    </xf>
    <xf numFmtId="0" fontId="21" fillId="0" borderId="10" xfId="0" applyFont="1" applyBorder="1" applyAlignment="1">
      <alignment horizontal="center" wrapText="1"/>
    </xf>
    <xf numFmtId="0" fontId="65" fillId="0" borderId="0" xfId="0" applyFont="1" applyAlignment="1">
      <alignment horizontal="left" wrapText="1"/>
    </xf>
    <xf numFmtId="0" fontId="21" fillId="0" borderId="80" xfId="0" applyFont="1" applyBorder="1" applyAlignment="1">
      <alignment horizontal="center" wrapText="1"/>
    </xf>
    <xf numFmtId="0" fontId="21" fillId="0" borderId="76" xfId="0" applyFont="1" applyBorder="1" applyAlignment="1">
      <alignment horizontal="center" wrapText="1"/>
    </xf>
    <xf numFmtId="0" fontId="21" fillId="0" borderId="47" xfId="0" applyFont="1" applyBorder="1" applyAlignment="1">
      <alignment horizontal="center" wrapText="1"/>
    </xf>
    <xf numFmtId="0" fontId="21" fillId="0" borderId="55" xfId="0" applyFont="1" applyBorder="1" applyAlignment="1">
      <alignment horizontal="center" wrapText="1"/>
    </xf>
    <xf numFmtId="0" fontId="21" fillId="0" borderId="39" xfId="0" applyFont="1" applyBorder="1" applyAlignment="1">
      <alignment horizontal="center" wrapText="1"/>
    </xf>
    <xf numFmtId="0" fontId="21" fillId="0" borderId="46" xfId="0" applyFont="1" applyBorder="1" applyAlignment="1">
      <alignment horizontal="center" wrapText="1"/>
    </xf>
    <xf numFmtId="0" fontId="24" fillId="0" borderId="45" xfId="0" applyFont="1" applyBorder="1" applyAlignment="1">
      <alignment horizontal="center" wrapText="1"/>
    </xf>
    <xf numFmtId="0" fontId="24" fillId="0" borderId="47" xfId="0" applyFont="1" applyBorder="1" applyAlignment="1">
      <alignment horizontal="center" wrapText="1"/>
    </xf>
    <xf numFmtId="0" fontId="24" fillId="0" borderId="39" xfId="0" applyFont="1" applyBorder="1" applyAlignment="1">
      <alignment horizontal="center" wrapText="1"/>
    </xf>
    <xf numFmtId="0" fontId="24" fillId="0" borderId="0" xfId="0" applyFont="1" applyAlignment="1">
      <alignment horizontal="center" wrapText="1"/>
    </xf>
    <xf numFmtId="0" fontId="21" fillId="0" borderId="6" xfId="3" applyBorder="1" applyAlignment="1">
      <alignment horizontal="center" vertical="center" wrapText="1"/>
    </xf>
    <xf numFmtId="0" fontId="21" fillId="0" borderId="8" xfId="3" applyBorder="1" applyAlignment="1">
      <alignment horizontal="center" vertical="center" wrapText="1"/>
    </xf>
    <xf numFmtId="0" fontId="21" fillId="0" borderId="1" xfId="3" applyBorder="1" applyAlignment="1">
      <alignment horizontal="center" vertical="center" wrapText="1"/>
    </xf>
    <xf numFmtId="0" fontId="21" fillId="0" borderId="4" xfId="3" applyBorder="1" applyAlignment="1">
      <alignment horizontal="center" vertical="center" wrapText="1"/>
    </xf>
    <xf numFmtId="0" fontId="21" fillId="0" borderId="2" xfId="3" applyBorder="1" applyAlignment="1">
      <alignment horizontal="center" vertical="center" wrapText="1"/>
    </xf>
    <xf numFmtId="0" fontId="21" fillId="0" borderId="0" xfId="3" applyAlignment="1">
      <alignment horizontal="center" vertical="center" wrapText="1"/>
    </xf>
    <xf numFmtId="0" fontId="21" fillId="0" borderId="3" xfId="3" applyBorder="1" applyAlignment="1">
      <alignment horizontal="center" vertical="center" wrapText="1"/>
    </xf>
    <xf numFmtId="0" fontId="21" fillId="0" borderId="5" xfId="3" applyBorder="1" applyAlignment="1">
      <alignment horizontal="center" vertical="center" wrapText="1"/>
    </xf>
    <xf numFmtId="0" fontId="21" fillId="0" borderId="6" xfId="3" applyBorder="1" applyAlignment="1">
      <alignment wrapText="1"/>
    </xf>
    <xf numFmtId="0" fontId="65" fillId="0" borderId="0" xfId="0" applyFont="1" applyAlignment="1">
      <alignment horizontal="left" vertical="center" wrapText="1"/>
    </xf>
    <xf numFmtId="0" fontId="24" fillId="0" borderId="0" xfId="0" applyFont="1" applyAlignment="1">
      <alignment horizontal="left" wrapText="1"/>
    </xf>
    <xf numFmtId="0" fontId="21" fillId="0" borderId="45" xfId="0" applyFont="1" applyBorder="1" applyAlignment="1">
      <alignment horizontal="center" wrapText="1"/>
    </xf>
    <xf numFmtId="0" fontId="21" fillId="0" borderId="48" xfId="0" applyFont="1" applyBorder="1" applyAlignment="1">
      <alignment horizontal="center" wrapText="1"/>
    </xf>
    <xf numFmtId="0" fontId="21" fillId="0" borderId="13" xfId="3" applyBorder="1" applyAlignment="1">
      <alignment horizontal="center" vertical="center" wrapText="1"/>
    </xf>
    <xf numFmtId="0" fontId="21" fillId="0" borderId="15" xfId="3" applyBorder="1" applyAlignment="1">
      <alignment horizontal="center" vertical="center" wrapText="1"/>
    </xf>
    <xf numFmtId="0" fontId="38" fillId="0" borderId="0" xfId="3" applyFont="1" applyAlignment="1">
      <alignment horizontal="center" vertical="center" wrapText="1"/>
    </xf>
    <xf numFmtId="0" fontId="21" fillId="0" borderId="12" xfId="3" applyBorder="1" applyAlignment="1">
      <alignment horizontal="center" vertical="center" wrapText="1"/>
    </xf>
    <xf numFmtId="0" fontId="21" fillId="0" borderId="14" xfId="3" applyBorder="1" applyAlignment="1">
      <alignment horizontal="center" vertical="center" wrapText="1"/>
    </xf>
    <xf numFmtId="0" fontId="65" fillId="0" borderId="0" xfId="3" applyFont="1" applyAlignment="1">
      <alignment horizontal="left" vertical="center" wrapText="1"/>
    </xf>
    <xf numFmtId="0" fontId="65" fillId="0" borderId="0" xfId="3" applyFont="1" applyAlignment="1">
      <alignment horizontal="left"/>
    </xf>
    <xf numFmtId="0" fontId="24" fillId="0" borderId="0" xfId="3" applyFont="1" applyAlignment="1">
      <alignment horizontal="left" vertical="top" wrapText="1"/>
    </xf>
    <xf numFmtId="0" fontId="21" fillId="0" borderId="45" xfId="3" applyBorder="1" applyAlignment="1">
      <alignment horizontal="center" vertical="center" wrapText="1"/>
    </xf>
    <xf numFmtId="0" fontId="21" fillId="0" borderId="47" xfId="3" applyBorder="1" applyAlignment="1">
      <alignment horizontal="center" vertical="center" wrapText="1"/>
    </xf>
    <xf numFmtId="0" fontId="21" fillId="0" borderId="39" xfId="3" applyBorder="1" applyAlignment="1">
      <alignment horizontal="center" vertical="center" wrapText="1"/>
    </xf>
    <xf numFmtId="0" fontId="21" fillId="0" borderId="10" xfId="3" applyBorder="1" applyAlignment="1">
      <alignment horizontal="center" vertical="center" wrapText="1"/>
    </xf>
    <xf numFmtId="0" fontId="21" fillId="0" borderId="47" xfId="0" applyFont="1" applyBorder="1" applyAlignment="1">
      <alignment horizontal="center" vertical="center" wrapText="1"/>
    </xf>
    <xf numFmtId="0" fontId="21" fillId="0" borderId="55" xfId="0" applyFont="1" applyBorder="1" applyAlignment="1">
      <alignment horizontal="center" vertical="center" wrapText="1"/>
    </xf>
    <xf numFmtId="0" fontId="21" fillId="0" borderId="60" xfId="0" applyFont="1" applyBorder="1" applyAlignment="1">
      <alignment horizontal="center" vertical="center" wrapText="1"/>
    </xf>
    <xf numFmtId="0" fontId="21" fillId="0" borderId="88" xfId="0" applyFont="1" applyBorder="1" applyAlignment="1">
      <alignment horizontal="center" vertical="center" wrapText="1"/>
    </xf>
    <xf numFmtId="0" fontId="21" fillId="0" borderId="79" xfId="0" applyFont="1" applyBorder="1" applyAlignment="1">
      <alignment horizontal="center"/>
    </xf>
    <xf numFmtId="0" fontId="21" fillId="0" borderId="55" xfId="0" applyFont="1" applyBorder="1" applyAlignment="1">
      <alignment horizontal="center"/>
    </xf>
    <xf numFmtId="0" fontId="21" fillId="0" borderId="0" xfId="0" applyFont="1" applyAlignment="1">
      <alignment horizontal="center" vertical="center" wrapText="1"/>
    </xf>
    <xf numFmtId="0" fontId="21" fillId="0" borderId="4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76" xfId="0" applyFont="1" applyBorder="1" applyAlignment="1">
      <alignment horizontal="center" vertical="center" wrapText="1"/>
    </xf>
    <xf numFmtId="0" fontId="21" fillId="0" borderId="84" xfId="0" applyFont="1" applyBorder="1" applyAlignment="1">
      <alignment horizontal="center" vertical="center" wrapText="1"/>
    </xf>
    <xf numFmtId="0" fontId="21" fillId="0" borderId="73" xfId="0" applyFont="1" applyBorder="1" applyAlignment="1">
      <alignment horizontal="center" vertical="center" wrapText="1"/>
    </xf>
    <xf numFmtId="0" fontId="21" fillId="0" borderId="81" xfId="0" applyFont="1" applyBorder="1" applyAlignment="1">
      <alignment horizontal="center" vertical="center" wrapText="1"/>
    </xf>
    <xf numFmtId="0" fontId="21" fillId="0" borderId="95" xfId="0" applyFont="1" applyBorder="1" applyAlignment="1">
      <alignment horizontal="center" vertical="center"/>
    </xf>
    <xf numFmtId="0" fontId="21" fillId="0" borderId="23" xfId="0" applyFont="1" applyBorder="1" applyAlignment="1">
      <alignment horizontal="center" vertical="center"/>
    </xf>
    <xf numFmtId="0" fontId="21" fillId="0" borderId="10" xfId="0" applyFont="1" applyBorder="1" applyAlignment="1">
      <alignment horizontal="center"/>
    </xf>
    <xf numFmtId="0" fontId="21" fillId="0" borderId="0" xfId="0" applyFont="1" applyAlignment="1">
      <alignment horizontal="left" vertical="center"/>
    </xf>
    <xf numFmtId="0" fontId="21" fillId="0" borderId="39" xfId="0" applyFont="1" applyBorder="1" applyAlignment="1">
      <alignment horizontal="center" vertical="center" wrapText="1"/>
    </xf>
    <xf numFmtId="0" fontId="21" fillId="0" borderId="46" xfId="0" applyFont="1" applyBorder="1" applyAlignment="1">
      <alignment horizontal="center" vertical="center" wrapText="1"/>
    </xf>
    <xf numFmtId="0" fontId="28" fillId="0" borderId="45" xfId="0" applyFont="1" applyBorder="1" applyAlignment="1">
      <alignment horizontal="center"/>
    </xf>
    <xf numFmtId="0" fontId="28" fillId="0" borderId="47" xfId="0" applyFont="1" applyBorder="1" applyAlignment="1">
      <alignment horizontal="center"/>
    </xf>
    <xf numFmtId="49" fontId="21" fillId="0" borderId="39" xfId="0" applyNumberFormat="1" applyFont="1" applyBorder="1" applyAlignment="1">
      <alignment horizontal="center" vertical="center" wrapText="1"/>
    </xf>
    <xf numFmtId="49" fontId="21" fillId="0" borderId="10" xfId="0" applyNumberFormat="1" applyFont="1" applyBorder="1" applyAlignment="1">
      <alignment horizontal="center" vertical="center" wrapText="1"/>
    </xf>
    <xf numFmtId="0" fontId="0" fillId="0" borderId="0" xfId="0" applyAlignment="1">
      <alignment horizontal="center"/>
    </xf>
    <xf numFmtId="0" fontId="21" fillId="0" borderId="0" xfId="3" applyAlignment="1">
      <alignment horizontal="left"/>
    </xf>
    <xf numFmtId="0" fontId="21" fillId="0" borderId="63" xfId="3" applyBorder="1" applyAlignment="1">
      <alignment horizontal="center" vertical="center" wrapText="1"/>
    </xf>
    <xf numFmtId="0" fontId="21" fillId="0" borderId="52" xfId="3" applyBorder="1" applyAlignment="1">
      <alignment horizontal="center" vertical="center" wrapText="1"/>
    </xf>
    <xf numFmtId="0" fontId="21" fillId="0" borderId="82" xfId="3" applyBorder="1" applyAlignment="1">
      <alignment horizontal="center" wrapText="1"/>
    </xf>
    <xf numFmtId="0" fontId="21" fillId="0" borderId="36" xfId="3" applyBorder="1" applyAlignment="1">
      <alignment horizontal="center" wrapText="1"/>
    </xf>
    <xf numFmtId="0" fontId="21" fillId="0" borderId="63" xfId="3" applyBorder="1" applyAlignment="1">
      <alignment horizontal="center" wrapText="1"/>
    </xf>
    <xf numFmtId="0" fontId="21" fillId="0" borderId="9" xfId="3" applyBorder="1" applyAlignment="1">
      <alignment horizontal="center" wrapText="1"/>
    </xf>
    <xf numFmtId="0" fontId="21" fillId="0" borderId="39" xfId="3" applyBorder="1" applyAlignment="1">
      <alignment horizontal="center" wrapText="1"/>
    </xf>
    <xf numFmtId="0" fontId="21" fillId="0" borderId="10" xfId="3" applyBorder="1" applyAlignment="1">
      <alignment horizontal="center" wrapText="1"/>
    </xf>
    <xf numFmtId="0" fontId="21" fillId="0" borderId="5" xfId="3" applyBorder="1" applyAlignment="1">
      <alignment horizontal="center" wrapText="1"/>
    </xf>
    <xf numFmtId="0" fontId="21" fillId="0" borderId="0" xfId="3" applyAlignment="1">
      <alignment horizontal="center" wrapText="1"/>
    </xf>
    <xf numFmtId="0" fontId="21" fillId="0" borderId="9" xfId="3" applyBorder="1" applyAlignment="1">
      <alignment horizontal="center" vertical="center"/>
    </xf>
    <xf numFmtId="0" fontId="21" fillId="0" borderId="10" xfId="3" applyBorder="1" applyAlignment="1">
      <alignment horizontal="center" vertical="center"/>
    </xf>
    <xf numFmtId="0" fontId="30" fillId="0" borderId="0" xfId="0" applyFont="1" applyAlignment="1">
      <alignment wrapText="1"/>
    </xf>
    <xf numFmtId="0" fontId="30" fillId="0" borderId="22" xfId="0" applyFont="1" applyBorder="1" applyAlignment="1">
      <alignment wrapText="1"/>
    </xf>
    <xf numFmtId="0" fontId="30" fillId="0" borderId="57" xfId="0" applyFont="1" applyBorder="1" applyAlignment="1">
      <alignment horizontal="center"/>
    </xf>
    <xf numFmtId="0" fontId="30" fillId="0" borderId="58" xfId="0" applyFont="1" applyBorder="1" applyAlignment="1">
      <alignment horizontal="center"/>
    </xf>
    <xf numFmtId="0" fontId="31" fillId="0" borderId="49" xfId="0" applyFont="1" applyBorder="1" applyAlignment="1">
      <alignment horizontal="center" vertical="center" wrapText="1"/>
    </xf>
    <xf numFmtId="0" fontId="31" fillId="0" borderId="22" xfId="0" applyFont="1" applyBorder="1" applyAlignment="1">
      <alignment horizontal="center" vertical="center" wrapText="1"/>
    </xf>
    <xf numFmtId="0" fontId="30" fillId="0" borderId="24" xfId="0" applyFont="1" applyBorder="1" applyAlignment="1">
      <alignment horizontal="center"/>
    </xf>
    <xf numFmtId="0" fontId="65" fillId="0" borderId="39" xfId="0" applyFont="1" applyBorder="1" applyAlignment="1">
      <alignment horizontal="left" vertical="top"/>
    </xf>
    <xf numFmtId="0" fontId="65" fillId="0" borderId="0" xfId="0" applyFont="1" applyAlignment="1">
      <alignment horizontal="left" vertical="top"/>
    </xf>
    <xf numFmtId="0" fontId="21" fillId="0" borderId="73" xfId="0" applyFont="1" applyBorder="1" applyAlignment="1">
      <alignment horizontal="center" wrapText="1"/>
    </xf>
    <xf numFmtId="0" fontId="21" fillId="0" borderId="81" xfId="0" applyFont="1" applyBorder="1" applyAlignment="1">
      <alignment horizontal="center" wrapText="1"/>
    </xf>
    <xf numFmtId="0" fontId="21" fillId="0" borderId="45" xfId="0" applyFont="1" applyBorder="1" applyAlignment="1">
      <alignment horizontal="center"/>
    </xf>
    <xf numFmtId="0" fontId="21" fillId="0" borderId="73" xfId="0" applyFont="1" applyBorder="1" applyAlignment="1">
      <alignment horizontal="center"/>
    </xf>
    <xf numFmtId="0" fontId="21" fillId="0" borderId="57" xfId="3" applyBorder="1" applyAlignment="1">
      <alignment horizontal="center"/>
    </xf>
    <xf numFmtId="0" fontId="21" fillId="0" borderId="58" xfId="3" applyBorder="1" applyAlignment="1">
      <alignment horizontal="center"/>
    </xf>
    <xf numFmtId="0" fontId="65" fillId="0" borderId="39" xfId="3" applyFont="1" applyBorder="1" applyAlignment="1">
      <alignment horizontal="left" vertical="center" wrapText="1"/>
    </xf>
    <xf numFmtId="0" fontId="28" fillId="0" borderId="57" xfId="3" applyFont="1" applyBorder="1" applyAlignment="1">
      <alignment horizontal="center" vertical="center" wrapText="1"/>
    </xf>
    <xf numFmtId="0" fontId="28" fillId="0" borderId="24" xfId="3" applyFont="1" applyBorder="1" applyAlignment="1">
      <alignment horizontal="center" vertical="center" wrapText="1"/>
    </xf>
    <xf numFmtId="0" fontId="28" fillId="0" borderId="58" xfId="3" applyFont="1" applyBorder="1" applyAlignment="1">
      <alignment horizontal="center" vertical="center" wrapText="1"/>
    </xf>
    <xf numFmtId="0" fontId="28" fillId="0" borderId="57" xfId="3" applyFont="1" applyBorder="1" applyAlignment="1">
      <alignment horizontal="center"/>
    </xf>
    <xf numFmtId="0" fontId="28" fillId="0" borderId="24" xfId="3" applyFont="1" applyBorder="1" applyAlignment="1">
      <alignment horizontal="center"/>
    </xf>
    <xf numFmtId="0" fontId="28" fillId="0" borderId="58" xfId="3" applyFont="1" applyBorder="1" applyAlignment="1">
      <alignment horizontal="center"/>
    </xf>
    <xf numFmtId="0" fontId="0" fillId="0" borderId="22" xfId="0" applyBorder="1" applyAlignment="1">
      <alignment horizontal="center"/>
    </xf>
    <xf numFmtId="0" fontId="21" fillId="0" borderId="22" xfId="0" applyFont="1" applyBorder="1" applyAlignment="1">
      <alignment horizontal="center"/>
    </xf>
    <xf numFmtId="0" fontId="0" fillId="0" borderId="45" xfId="0" applyBorder="1" applyAlignment="1">
      <alignment horizontal="center" wrapText="1"/>
    </xf>
    <xf numFmtId="0" fontId="0" fillId="0" borderId="49" xfId="0" applyBorder="1" applyAlignment="1">
      <alignment horizontal="center" wrapText="1"/>
    </xf>
    <xf numFmtId="0" fontId="0" fillId="0" borderId="46" xfId="0" applyBorder="1" applyAlignment="1">
      <alignment horizontal="center" wrapText="1"/>
    </xf>
    <xf numFmtId="0" fontId="0" fillId="0" borderId="50" xfId="0" applyBorder="1" applyAlignment="1">
      <alignment horizontal="center" wrapText="1"/>
    </xf>
    <xf numFmtId="0" fontId="0" fillId="0" borderId="0" xfId="0" applyAlignment="1">
      <alignment horizontal="center" wrapText="1"/>
    </xf>
    <xf numFmtId="0" fontId="0" fillId="0" borderId="22" xfId="0" applyBorder="1" applyAlignment="1">
      <alignment horizontal="center" wrapText="1"/>
    </xf>
    <xf numFmtId="0" fontId="0" fillId="0" borderId="48" xfId="0" applyBorder="1" applyAlignment="1">
      <alignment horizontal="center" wrapText="1"/>
    </xf>
    <xf numFmtId="0" fontId="28" fillId="0" borderId="57" xfId="0" applyFont="1" applyBorder="1" applyAlignment="1">
      <alignment horizontal="center" vertical="center" wrapText="1"/>
    </xf>
    <xf numFmtId="0" fontId="28" fillId="0" borderId="24" xfId="0" applyFont="1" applyBorder="1" applyAlignment="1">
      <alignment horizontal="center" vertical="center" wrapText="1"/>
    </xf>
    <xf numFmtId="0" fontId="28" fillId="0" borderId="58" xfId="0" applyFont="1" applyBorder="1" applyAlignment="1">
      <alignment horizontal="center" vertical="center" wrapText="1"/>
    </xf>
    <xf numFmtId="0" fontId="21" fillId="0" borderId="49" xfId="0" applyFont="1" applyBorder="1" applyAlignment="1">
      <alignment horizontal="center"/>
    </xf>
    <xf numFmtId="0" fontId="21" fillId="0" borderId="50" xfId="0" applyFont="1" applyBorder="1" applyAlignment="1">
      <alignment horizontal="center"/>
    </xf>
    <xf numFmtId="0" fontId="21" fillId="0" borderId="57" xfId="0" applyFont="1" applyBorder="1" applyAlignment="1">
      <alignment horizontal="center"/>
    </xf>
    <xf numFmtId="0" fontId="0" fillId="0" borderId="24" xfId="0" applyBorder="1" applyAlignment="1">
      <alignment horizontal="center"/>
    </xf>
    <xf numFmtId="0" fontId="21" fillId="0" borderId="58" xfId="0" applyFont="1" applyBorder="1" applyAlignment="1">
      <alignment horizontal="center"/>
    </xf>
    <xf numFmtId="0" fontId="0" fillId="0" borderId="53" xfId="0" applyBorder="1" applyAlignment="1">
      <alignment horizontal="center"/>
    </xf>
    <xf numFmtId="0" fontId="0" fillId="0" borderId="50" xfId="0" applyBorder="1" applyAlignment="1">
      <alignment horizontal="center"/>
    </xf>
    <xf numFmtId="0" fontId="0" fillId="0" borderId="47" xfId="0" applyBorder="1" applyAlignment="1">
      <alignment horizontal="center" wrapText="1"/>
    </xf>
    <xf numFmtId="0" fontId="0" fillId="0" borderId="49" xfId="0" applyBorder="1" applyAlignment="1">
      <alignment horizontal="center"/>
    </xf>
    <xf numFmtId="0" fontId="0" fillId="0" borderId="57" xfId="0" applyBorder="1" applyAlignment="1">
      <alignment horizontal="center"/>
    </xf>
    <xf numFmtId="0" fontId="21" fillId="0" borderId="24" xfId="0" applyFont="1" applyBorder="1" applyAlignment="1">
      <alignment horizontal="center"/>
    </xf>
    <xf numFmtId="0" fontId="65" fillId="0" borderId="0" xfId="0" applyFont="1" applyAlignment="1">
      <alignment wrapText="1"/>
    </xf>
    <xf numFmtId="0" fontId="28" fillId="0" borderId="45" xfId="0" applyFont="1" applyBorder="1" applyAlignment="1">
      <alignment horizontal="center" vertical="center" wrapText="1"/>
    </xf>
    <xf numFmtId="0" fontId="28" fillId="0" borderId="39" xfId="0" applyFont="1" applyBorder="1" applyAlignment="1">
      <alignment horizontal="center" vertical="center" wrapText="1"/>
    </xf>
    <xf numFmtId="0" fontId="28" fillId="0" borderId="46" xfId="0" applyFont="1" applyBorder="1" applyAlignment="1">
      <alignment horizontal="center" vertical="center" wrapText="1"/>
    </xf>
    <xf numFmtId="0" fontId="0" fillId="0" borderId="58" xfId="0" applyBorder="1" applyAlignment="1">
      <alignment horizontal="center"/>
    </xf>
    <xf numFmtId="0" fontId="21" fillId="0" borderId="0" xfId="3" applyAlignment="1">
      <alignment horizontal="center"/>
    </xf>
    <xf numFmtId="0" fontId="21" fillId="0" borderId="56" xfId="3" applyBorder="1" applyAlignment="1">
      <alignment horizontal="center" wrapText="1"/>
    </xf>
    <xf numFmtId="0" fontId="21" fillId="0" borderId="88" xfId="3" applyBorder="1" applyAlignment="1">
      <alignment horizontal="center" wrapText="1"/>
    </xf>
    <xf numFmtId="0" fontId="21" fillId="0" borderId="73" xfId="3" applyBorder="1" applyAlignment="1">
      <alignment horizontal="center"/>
    </xf>
    <xf numFmtId="0" fontId="21" fillId="0" borderId="81" xfId="3" applyBorder="1" applyAlignment="1">
      <alignment horizontal="center"/>
    </xf>
    <xf numFmtId="0" fontId="21" fillId="0" borderId="59" xfId="3" applyBorder="1" applyAlignment="1">
      <alignment horizontal="center" wrapText="1"/>
    </xf>
    <xf numFmtId="0" fontId="21" fillId="0" borderId="78" xfId="3" applyBorder="1" applyAlignment="1">
      <alignment horizontal="center"/>
    </xf>
    <xf numFmtId="0" fontId="27" fillId="17" borderId="0" xfId="3" applyFont="1" applyFill="1" applyAlignment="1">
      <alignment horizontal="center"/>
    </xf>
    <xf numFmtId="0" fontId="21" fillId="0" borderId="30" xfId="3" applyBorder="1" applyAlignment="1">
      <alignment horizontal="center" vertical="center" textRotation="90"/>
    </xf>
    <xf numFmtId="0" fontId="21" fillId="0" borderId="4" xfId="3" applyBorder="1" applyAlignment="1">
      <alignment horizontal="center" vertical="center" textRotation="90"/>
    </xf>
    <xf numFmtId="0" fontId="21" fillId="0" borderId="74" xfId="3" applyBorder="1" applyAlignment="1">
      <alignment horizontal="center" vertical="center" textRotation="90"/>
    </xf>
    <xf numFmtId="0" fontId="21" fillId="0" borderId="22" xfId="3" applyBorder="1" applyAlignment="1">
      <alignment horizontal="center"/>
    </xf>
    <xf numFmtId="0" fontId="28" fillId="0" borderId="0" xfId="3" applyFont="1" applyAlignment="1">
      <alignment horizontal="left"/>
    </xf>
    <xf numFmtId="0" fontId="92" fillId="0" borderId="0" xfId="3" applyFont="1" applyAlignment="1">
      <alignment horizontal="center"/>
    </xf>
    <xf numFmtId="0" fontId="21" fillId="0" borderId="45" xfId="3" applyBorder="1" applyAlignment="1">
      <alignment horizontal="center"/>
    </xf>
    <xf numFmtId="0" fontId="21" fillId="0" borderId="47" xfId="3" applyBorder="1" applyAlignment="1">
      <alignment horizontal="center"/>
    </xf>
    <xf numFmtId="0" fontId="21" fillId="0" borderId="49" xfId="3" applyBorder="1" applyAlignment="1">
      <alignment horizontal="center"/>
    </xf>
    <xf numFmtId="0" fontId="21" fillId="0" borderId="22" xfId="3" applyBorder="1" applyAlignment="1">
      <alignment horizontal="center" wrapText="1"/>
    </xf>
    <xf numFmtId="0" fontId="21" fillId="0" borderId="10" xfId="3" applyBorder="1" applyAlignment="1">
      <alignment horizontal="center"/>
    </xf>
    <xf numFmtId="0" fontId="21" fillId="0" borderId="23" xfId="3" applyBorder="1" applyAlignment="1">
      <alignment horizontal="center"/>
    </xf>
    <xf numFmtId="0" fontId="21" fillId="0" borderId="48" xfId="3" applyBorder="1" applyAlignment="1">
      <alignment horizontal="center" wrapText="1"/>
    </xf>
    <xf numFmtId="0" fontId="21" fillId="0" borderId="50" xfId="3" applyBorder="1" applyAlignment="1">
      <alignment horizontal="center" wrapText="1"/>
    </xf>
    <xf numFmtId="0" fontId="21" fillId="0" borderId="24" xfId="3" applyBorder="1" applyAlignment="1">
      <alignment horizontal="center"/>
    </xf>
    <xf numFmtId="0" fontId="21" fillId="0" borderId="60" xfId="3" applyBorder="1" applyAlignment="1">
      <alignment horizontal="center"/>
    </xf>
    <xf numFmtId="0" fontId="21" fillId="0" borderId="47" xfId="3" applyBorder="1" applyAlignment="1">
      <alignment horizontal="center" wrapText="1"/>
    </xf>
    <xf numFmtId="0" fontId="21" fillId="0" borderId="49" xfId="3" applyBorder="1" applyAlignment="1">
      <alignment horizontal="center" wrapText="1"/>
    </xf>
    <xf numFmtId="0" fontId="21" fillId="0" borderId="45" xfId="3" applyBorder="1" applyAlignment="1">
      <alignment horizontal="center" wrapText="1"/>
    </xf>
    <xf numFmtId="0" fontId="21" fillId="0" borderId="46" xfId="3" applyBorder="1" applyAlignment="1">
      <alignment horizontal="center" wrapText="1"/>
    </xf>
    <xf numFmtId="0" fontId="21" fillId="0" borderId="48" xfId="3" applyBorder="1" applyAlignment="1">
      <alignment horizontal="center"/>
    </xf>
    <xf numFmtId="0" fontId="43" fillId="0" borderId="46" xfId="3" applyFont="1" applyBorder="1" applyAlignment="1">
      <alignment horizontal="center" wrapText="1"/>
    </xf>
    <xf numFmtId="0" fontId="43" fillId="0" borderId="50" xfId="3" applyFont="1" applyBorder="1" applyAlignment="1">
      <alignment horizontal="center" wrapText="1"/>
    </xf>
    <xf numFmtId="0" fontId="43" fillId="0" borderId="73" xfId="3" applyFont="1" applyBorder="1" applyAlignment="1">
      <alignment horizontal="center" wrapText="1"/>
    </xf>
    <xf numFmtId="0" fontId="43" fillId="0" borderId="39" xfId="3" applyFont="1" applyBorder="1" applyAlignment="1">
      <alignment horizontal="center" wrapText="1"/>
    </xf>
    <xf numFmtId="0" fontId="43" fillId="0" borderId="22" xfId="3" applyFont="1" applyBorder="1" applyAlignment="1">
      <alignment horizontal="center" wrapText="1"/>
    </xf>
    <xf numFmtId="0" fontId="54" fillId="0" borderId="0" xfId="3" applyFont="1" applyAlignment="1">
      <alignment horizontal="left" wrapText="1"/>
    </xf>
    <xf numFmtId="49" fontId="24" fillId="0" borderId="0" xfId="3" applyNumberFormat="1" applyFont="1" applyAlignment="1">
      <alignment horizontal="left" wrapText="1"/>
    </xf>
    <xf numFmtId="49" fontId="43" fillId="0" borderId="45" xfId="3" applyNumberFormat="1" applyFont="1" applyBorder="1" applyAlignment="1">
      <alignment horizontal="center" wrapText="1"/>
    </xf>
    <xf numFmtId="49" fontId="43" fillId="0" borderId="47" xfId="3" applyNumberFormat="1" applyFont="1" applyBorder="1" applyAlignment="1">
      <alignment horizontal="center" wrapText="1"/>
    </xf>
    <xf numFmtId="0" fontId="43" fillId="0" borderId="0" xfId="3" applyFont="1" applyAlignment="1">
      <alignment horizontal="center" wrapText="1"/>
    </xf>
    <xf numFmtId="0" fontId="43" fillId="0" borderId="39" xfId="3" applyFont="1" applyBorder="1" applyAlignment="1">
      <alignment horizontal="center" vertical="center" wrapText="1"/>
    </xf>
    <xf numFmtId="0" fontId="43" fillId="0" borderId="46" xfId="3" applyFont="1" applyBorder="1" applyAlignment="1">
      <alignment horizontal="center" vertical="center" wrapText="1"/>
    </xf>
    <xf numFmtId="49" fontId="43" fillId="0" borderId="49" xfId="3" applyNumberFormat="1" applyFont="1" applyBorder="1" applyAlignment="1">
      <alignment horizontal="center" wrapText="1"/>
    </xf>
    <xf numFmtId="0" fontId="43" fillId="0" borderId="73" xfId="3" applyFont="1" applyBorder="1" applyAlignment="1">
      <alignment horizontal="center" vertical="center" wrapText="1"/>
    </xf>
    <xf numFmtId="0" fontId="43" fillId="0" borderId="81" xfId="3" applyFont="1" applyBorder="1" applyAlignment="1">
      <alignment horizontal="center" vertical="center" wrapText="1"/>
    </xf>
    <xf numFmtId="0" fontId="145" fillId="0" borderId="0" xfId="0" applyFont="1" applyAlignment="1">
      <alignment horizontal="center"/>
    </xf>
    <xf numFmtId="3" fontId="28" fillId="0" borderId="0" xfId="6" applyNumberFormat="1" applyFont="1" applyAlignment="1">
      <alignment horizontal="center"/>
    </xf>
    <xf numFmtId="3" fontId="28" fillId="0" borderId="5" xfId="6" applyNumberFormat="1" applyFont="1" applyBorder="1" applyAlignment="1">
      <alignment horizontal="center"/>
    </xf>
    <xf numFmtId="0" fontId="28" fillId="0" borderId="0" xfId="6" applyFont="1" applyAlignment="1">
      <alignment horizontal="center"/>
    </xf>
    <xf numFmtId="0" fontId="42" fillId="0" borderId="0" xfId="6" applyFont="1" applyAlignment="1">
      <alignment horizontal="center"/>
    </xf>
    <xf numFmtId="3" fontId="28" fillId="0" borderId="34" xfId="6" applyNumberFormat="1" applyFont="1" applyBorder="1" applyAlignment="1">
      <alignment horizontal="center" vertical="center"/>
    </xf>
    <xf numFmtId="3" fontId="28" fillId="0" borderId="35" xfId="6" applyNumberFormat="1" applyFont="1" applyBorder="1" applyAlignment="1">
      <alignment horizontal="center" vertical="center"/>
    </xf>
    <xf numFmtId="3" fontId="33" fillId="0" borderId="4" xfId="6" applyNumberFormat="1" applyFont="1" applyBorder="1" applyAlignment="1">
      <alignment horizontal="center" vertical="center"/>
    </xf>
    <xf numFmtId="3" fontId="21" fillId="0" borderId="34" xfId="6" applyNumberFormat="1" applyFont="1" applyBorder="1" applyAlignment="1">
      <alignment horizontal="center" vertical="center"/>
    </xf>
    <xf numFmtId="3" fontId="21" fillId="0" borderId="35" xfId="6" applyNumberFormat="1" applyFont="1" applyBorder="1" applyAlignment="1">
      <alignment horizontal="center" vertical="center"/>
    </xf>
    <xf numFmtId="3" fontId="33" fillId="0" borderId="36" xfId="6" applyNumberFormat="1" applyFont="1" applyBorder="1" applyAlignment="1">
      <alignment horizontal="center" vertical="center"/>
    </xf>
    <xf numFmtId="0" fontId="28" fillId="0" borderId="29" xfId="6" applyFont="1" applyBorder="1" applyAlignment="1">
      <alignment horizontal="center"/>
    </xf>
    <xf numFmtId="0" fontId="28" fillId="0" borderId="4" xfId="6" applyFont="1" applyBorder="1" applyAlignment="1">
      <alignment horizontal="center" wrapText="1"/>
    </xf>
    <xf numFmtId="0" fontId="62" fillId="0" borderId="4" xfId="6" applyFont="1" applyBorder="1" applyAlignment="1">
      <alignment horizontal="center"/>
    </xf>
    <xf numFmtId="3" fontId="54" fillId="0" borderId="0" xfId="6" applyNumberFormat="1" applyFont="1" applyAlignment="1">
      <alignment horizontal="center"/>
    </xf>
    <xf numFmtId="3" fontId="54" fillId="0" borderId="5" xfId="6" applyNumberFormat="1" applyFont="1" applyBorder="1" applyAlignment="1">
      <alignment horizontal="center"/>
    </xf>
    <xf numFmtId="0" fontId="28" fillId="0" borderId="5" xfId="6" applyFont="1" applyBorder="1" applyAlignment="1">
      <alignment horizontal="center"/>
    </xf>
    <xf numFmtId="0" fontId="27" fillId="0" borderId="0" xfId="0" applyFont="1" applyAlignment="1">
      <alignment horizontal="center"/>
    </xf>
    <xf numFmtId="0" fontId="38" fillId="0" borderId="0" xfId="6" applyFont="1" applyAlignment="1">
      <alignment horizontal="center"/>
    </xf>
    <xf numFmtId="3" fontId="21" fillId="0" borderId="0" xfId="6" applyNumberFormat="1" applyFont="1" applyAlignment="1">
      <alignment horizontal="center"/>
    </xf>
    <xf numFmtId="0" fontId="54" fillId="0" borderId="0" xfId="6" applyFont="1" applyAlignment="1">
      <alignment horizontal="center"/>
    </xf>
    <xf numFmtId="0" fontId="54" fillId="0" borderId="5" xfId="6" applyFont="1" applyBorder="1" applyAlignment="1">
      <alignment horizontal="center"/>
    </xf>
    <xf numFmtId="167" fontId="21" fillId="5" borderId="30" xfId="0" applyNumberFormat="1" applyFont="1" applyFill="1" applyBorder="1" applyAlignment="1">
      <alignment horizontal="center" vertical="center" wrapText="1"/>
    </xf>
    <xf numFmtId="167" fontId="21" fillId="5" borderId="29" xfId="0" applyNumberFormat="1" applyFont="1" applyFill="1" applyBorder="1" applyAlignment="1">
      <alignment horizontal="center" vertical="center" wrapText="1"/>
    </xf>
    <xf numFmtId="167" fontId="21" fillId="5" borderId="31" xfId="0" applyNumberFormat="1" applyFont="1" applyFill="1" applyBorder="1" applyAlignment="1">
      <alignment horizontal="center" vertical="center" wrapText="1"/>
    </xf>
    <xf numFmtId="167" fontId="21" fillId="5" borderId="4" xfId="0" applyNumberFormat="1" applyFont="1" applyFill="1" applyBorder="1" applyAlignment="1">
      <alignment horizontal="center" vertical="center" wrapText="1"/>
    </xf>
    <xf numFmtId="167" fontId="21" fillId="5" borderId="0" xfId="0" applyNumberFormat="1" applyFont="1" applyFill="1" applyAlignment="1">
      <alignment horizontal="center" vertical="center" wrapText="1"/>
    </xf>
    <xf numFmtId="167" fontId="21" fillId="5" borderId="5" xfId="0" applyNumberFormat="1" applyFont="1" applyFill="1" applyBorder="1" applyAlignment="1">
      <alignment horizontal="center" vertical="center" wrapText="1"/>
    </xf>
    <xf numFmtId="167" fontId="21" fillId="5" borderId="9" xfId="0" applyNumberFormat="1" applyFont="1" applyFill="1" applyBorder="1" applyAlignment="1">
      <alignment horizontal="center" vertical="center" wrapText="1"/>
    </xf>
    <xf numFmtId="167" fontId="21" fillId="5" borderId="10" xfId="0" applyNumberFormat="1" applyFont="1" applyFill="1" applyBorder="1" applyAlignment="1">
      <alignment horizontal="center" vertical="center" wrapText="1"/>
    </xf>
    <xf numFmtId="167" fontId="21" fillId="5" borderId="11" xfId="0" applyNumberFormat="1" applyFont="1" applyFill="1" applyBorder="1" applyAlignment="1">
      <alignment horizontal="center" vertical="center" wrapText="1"/>
    </xf>
    <xf numFmtId="0" fontId="21" fillId="0" borderId="29"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21" xfId="0" applyFont="1" applyBorder="1" applyAlignment="1">
      <alignment horizontal="center" vertical="center" wrapText="1"/>
    </xf>
    <xf numFmtId="0" fontId="21" fillId="0" borderId="37" xfId="0" applyFont="1" applyBorder="1" applyAlignment="1">
      <alignment horizontal="center" vertical="center" wrapText="1"/>
    </xf>
    <xf numFmtId="0" fontId="0" fillId="0" borderId="10" xfId="0" applyBorder="1" applyAlignment="1">
      <alignment horizontal="center"/>
    </xf>
    <xf numFmtId="49" fontId="21" fillId="0" borderId="14" xfId="0" applyNumberFormat="1" applyFont="1" applyBorder="1" applyAlignment="1">
      <alignment horizontal="center" vertical="center" wrapText="1"/>
    </xf>
    <xf numFmtId="49" fontId="21" fillId="0" borderId="16" xfId="0" applyNumberFormat="1" applyFont="1" applyBorder="1" applyAlignment="1">
      <alignment horizontal="center" vertical="center" wrapText="1"/>
    </xf>
    <xf numFmtId="0" fontId="51" fillId="0" borderId="0" xfId="0" applyFont="1" applyAlignment="1">
      <alignment horizontal="left" vertical="center" wrapText="1"/>
    </xf>
    <xf numFmtId="0" fontId="21" fillId="0" borderId="80" xfId="0" applyFont="1" applyBorder="1" applyAlignment="1">
      <alignment horizontal="center" vertical="center" wrapText="1"/>
    </xf>
    <xf numFmtId="0" fontId="33" fillId="0" borderId="47" xfId="0" applyFont="1" applyBorder="1" applyAlignment="1">
      <alignment horizontal="center"/>
    </xf>
    <xf numFmtId="0" fontId="33" fillId="0" borderId="0" xfId="0" applyFont="1" applyAlignment="1">
      <alignment horizontal="center" vertical="center" wrapText="1"/>
    </xf>
    <xf numFmtId="0" fontId="33" fillId="0" borderId="10" xfId="0" applyFont="1" applyBorder="1" applyAlignment="1">
      <alignment horizontal="center" vertical="center"/>
    </xf>
    <xf numFmtId="0" fontId="33" fillId="0" borderId="0" xfId="0" applyFont="1" applyAlignment="1">
      <alignment horizontal="center"/>
    </xf>
    <xf numFmtId="0" fontId="33" fillId="0" borderId="10" xfId="0" applyFont="1" applyBorder="1" applyAlignment="1">
      <alignment horizontal="center"/>
    </xf>
    <xf numFmtId="0" fontId="33" fillId="0" borderId="76" xfId="0" applyFont="1" applyBorder="1" applyAlignment="1">
      <alignment horizontal="center" vertical="center"/>
    </xf>
    <xf numFmtId="0" fontId="33" fillId="0" borderId="73" xfId="0" applyFont="1" applyBorder="1" applyAlignment="1">
      <alignment horizontal="center" vertical="center"/>
    </xf>
    <xf numFmtId="0" fontId="33" fillId="0" borderId="81" xfId="0" applyFont="1" applyBorder="1" applyAlignment="1">
      <alignment horizontal="center" vertical="center"/>
    </xf>
    <xf numFmtId="0" fontId="33" fillId="0" borderId="47" xfId="0" applyFont="1" applyBorder="1" applyAlignment="1">
      <alignment horizontal="center" wrapText="1"/>
    </xf>
    <xf numFmtId="0" fontId="33" fillId="0" borderId="55" xfId="0" applyFont="1" applyBorder="1" applyAlignment="1">
      <alignment horizontal="center" wrapText="1"/>
    </xf>
    <xf numFmtId="0" fontId="33" fillId="0" borderId="10" xfId="0" applyFont="1" applyBorder="1" applyAlignment="1">
      <alignment horizontal="center" vertical="center" wrapText="1"/>
    </xf>
    <xf numFmtId="0" fontId="33" fillId="0" borderId="73" xfId="0" applyFont="1" applyBorder="1" applyAlignment="1">
      <alignment horizontal="center" vertical="center" wrapText="1"/>
    </xf>
    <xf numFmtId="0" fontId="33" fillId="0" borderId="45" xfId="0" applyFont="1" applyBorder="1" applyAlignment="1">
      <alignment horizontal="center" wrapText="1"/>
    </xf>
    <xf numFmtId="0" fontId="33" fillId="0" borderId="39" xfId="0" applyFont="1" applyBorder="1" applyAlignment="1">
      <alignment horizontal="center" vertical="center" wrapText="1"/>
    </xf>
    <xf numFmtId="0" fontId="33" fillId="0" borderId="39" xfId="0" applyFont="1" applyBorder="1" applyAlignment="1">
      <alignment horizontal="center"/>
    </xf>
    <xf numFmtId="0" fontId="33" fillId="0" borderId="76" xfId="0" applyFont="1" applyBorder="1" applyAlignment="1">
      <alignment horizontal="center" vertical="center" wrapText="1"/>
    </xf>
    <xf numFmtId="0" fontId="33" fillId="0" borderId="55" xfId="0" applyFont="1" applyBorder="1" applyAlignment="1">
      <alignment horizontal="center"/>
    </xf>
    <xf numFmtId="0" fontId="33" fillId="0" borderId="0" xfId="0" applyFont="1" applyAlignment="1">
      <alignment horizontal="center" wrapText="1"/>
    </xf>
    <xf numFmtId="0" fontId="33" fillId="0" borderId="10" xfId="0" applyFont="1" applyBorder="1" applyAlignment="1">
      <alignment horizontal="center" wrapText="1"/>
    </xf>
    <xf numFmtId="0" fontId="56" fillId="0" borderId="4" xfId="7" applyFont="1" applyBorder="1" applyAlignment="1">
      <alignment horizontal="center"/>
    </xf>
    <xf numFmtId="0" fontId="56" fillId="0" borderId="0" xfId="7" applyFont="1" applyAlignment="1">
      <alignment horizontal="center"/>
    </xf>
    <xf numFmtId="0" fontId="56" fillId="0" borderId="5" xfId="7" applyFont="1" applyBorder="1" applyAlignment="1">
      <alignment horizontal="center"/>
    </xf>
    <xf numFmtId="0" fontId="56" fillId="0" borderId="30" xfId="7" applyFont="1" applyBorder="1" applyAlignment="1">
      <alignment horizontal="center"/>
    </xf>
    <xf numFmtId="0" fontId="56" fillId="0" borderId="29" xfId="7" applyFont="1" applyBorder="1" applyAlignment="1">
      <alignment horizontal="center"/>
    </xf>
    <xf numFmtId="0" fontId="56" fillId="0" borderId="31" xfId="7" applyFont="1" applyBorder="1" applyAlignment="1">
      <alignment horizontal="center"/>
    </xf>
    <xf numFmtId="0" fontId="21" fillId="0" borderId="29" xfId="7" applyFont="1" applyBorder="1" applyAlignment="1">
      <alignment horizontal="center" vertical="center"/>
    </xf>
    <xf numFmtId="0" fontId="21" fillId="0" borderId="31" xfId="7" applyFont="1" applyBorder="1" applyAlignment="1">
      <alignment horizontal="center" vertical="center"/>
    </xf>
    <xf numFmtId="0" fontId="56" fillId="0" borderId="45" xfId="7" applyFont="1" applyBorder="1" applyAlignment="1">
      <alignment horizontal="center"/>
    </xf>
    <xf numFmtId="0" fontId="56" fillId="0" borderId="39" xfId="7" applyFont="1" applyBorder="1" applyAlignment="1">
      <alignment horizontal="center"/>
    </xf>
    <xf numFmtId="0" fontId="56" fillId="0" borderId="46" xfId="7" applyFont="1" applyBorder="1" applyAlignment="1">
      <alignment horizontal="center"/>
    </xf>
    <xf numFmtId="0" fontId="56" fillId="0" borderId="47" xfId="7" applyFont="1" applyBorder="1" applyAlignment="1">
      <alignment horizontal="center"/>
    </xf>
    <xf numFmtId="0" fontId="56" fillId="0" borderId="48" xfId="7" applyFont="1" applyBorder="1" applyAlignment="1">
      <alignment horizontal="center"/>
    </xf>
    <xf numFmtId="0" fontId="28" fillId="0" borderId="84" xfId="3" applyFont="1" applyBorder="1" applyAlignment="1">
      <alignment horizontal="center" vertical="center" wrapText="1"/>
    </xf>
    <xf numFmtId="0" fontId="28" fillId="0" borderId="73" xfId="3" applyFont="1" applyBorder="1" applyAlignment="1">
      <alignment horizontal="center" vertical="center" wrapText="1"/>
    </xf>
    <xf numFmtId="0" fontId="28" fillId="0" borderId="81" xfId="3" applyFont="1" applyBorder="1" applyAlignment="1">
      <alignment horizontal="center" vertical="center" wrapText="1"/>
    </xf>
    <xf numFmtId="0" fontId="28" fillId="0" borderId="47" xfId="3" applyFont="1" applyBorder="1" applyAlignment="1">
      <alignment horizontal="center" vertical="center" wrapText="1"/>
    </xf>
    <xf numFmtId="0" fontId="28" fillId="0" borderId="0" xfId="3" applyFont="1" applyAlignment="1">
      <alignment horizontal="center" vertical="center" wrapText="1"/>
    </xf>
    <xf numFmtId="0" fontId="28" fillId="0" borderId="48" xfId="3" applyFont="1" applyBorder="1" applyAlignment="1">
      <alignment horizontal="center" vertical="center" wrapText="1"/>
    </xf>
    <xf numFmtId="2" fontId="47" fillId="0" borderId="0" xfId="3" applyNumberFormat="1" applyFont="1" applyAlignment="1">
      <alignment horizontal="left" vertical="center" wrapText="1"/>
    </xf>
    <xf numFmtId="0" fontId="21" fillId="0" borderId="29" xfId="3" applyBorder="1" applyAlignment="1">
      <alignment horizontal="center" vertical="center" wrapText="1"/>
    </xf>
    <xf numFmtId="0" fontId="21" fillId="0" borderId="18" xfId="3" applyBorder="1" applyAlignment="1">
      <alignment horizontal="center" vertical="center" wrapText="1"/>
    </xf>
    <xf numFmtId="0" fontId="21" fillId="0" borderId="17" xfId="3" applyBorder="1" applyAlignment="1">
      <alignment horizontal="center" vertical="center" wrapText="1"/>
    </xf>
    <xf numFmtId="0" fontId="21" fillId="0" borderId="21" xfId="3" applyBorder="1" applyAlignment="1">
      <alignment horizontal="center" vertical="center" wrapText="1"/>
    </xf>
    <xf numFmtId="0" fontId="21" fillId="0" borderId="37" xfId="3" applyBorder="1" applyAlignment="1">
      <alignment horizontal="center" vertical="center" wrapText="1"/>
    </xf>
    <xf numFmtId="0" fontId="21" fillId="0" borderId="16" xfId="3" applyBorder="1" applyAlignment="1">
      <alignment horizontal="center" vertical="center" wrapText="1"/>
    </xf>
    <xf numFmtId="0" fontId="51" fillId="0" borderId="0" xfId="3" applyFont="1" applyAlignment="1">
      <alignment horizontal="left" vertical="center" wrapText="1"/>
    </xf>
    <xf numFmtId="0" fontId="21" fillId="0" borderId="46" xfId="3" applyBorder="1" applyAlignment="1">
      <alignment horizontal="center" vertical="center" wrapText="1"/>
    </xf>
    <xf numFmtId="0" fontId="21" fillId="0" borderId="49" xfId="3" applyBorder="1" applyAlignment="1">
      <alignment horizontal="center" vertical="center" wrapText="1"/>
    </xf>
    <xf numFmtId="0" fontId="21" fillId="0" borderId="22" xfId="3" applyBorder="1" applyAlignment="1">
      <alignment horizontal="center" vertical="center" wrapText="1"/>
    </xf>
    <xf numFmtId="0" fontId="21" fillId="0" borderId="50" xfId="3" applyBorder="1" applyAlignment="1">
      <alignment horizontal="center" vertical="center" wrapText="1"/>
    </xf>
    <xf numFmtId="0" fontId="21" fillId="0" borderId="0" xfId="7" applyFont="1" applyAlignment="1">
      <alignment horizontal="center"/>
    </xf>
    <xf numFmtId="0" fontId="32" fillId="0" borderId="0" xfId="10" applyFont="1" applyAlignment="1">
      <alignment horizontal="left" vertical="center"/>
    </xf>
    <xf numFmtId="0" fontId="32" fillId="0" borderId="0" xfId="10" applyFont="1" applyAlignment="1">
      <alignment horizontal="left" vertical="center" wrapText="1"/>
    </xf>
    <xf numFmtId="0" fontId="87" fillId="0" borderId="39" xfId="10" applyFont="1" applyBorder="1" applyAlignment="1">
      <alignment horizontal="center" vertical="center" wrapText="1"/>
    </xf>
    <xf numFmtId="0" fontId="87" fillId="0" borderId="46" xfId="10" applyFont="1" applyBorder="1" applyAlignment="1">
      <alignment horizontal="center" vertical="center" wrapText="1"/>
    </xf>
    <xf numFmtId="0" fontId="21" fillId="0" borderId="21" xfId="1" applyBorder="1" applyAlignment="1">
      <alignment horizontal="center" vertical="center"/>
    </xf>
    <xf numFmtId="0" fontId="21" fillId="0" borderId="23" xfId="1" applyBorder="1" applyAlignment="1">
      <alignment horizontal="center" vertical="center" wrapText="1"/>
    </xf>
    <xf numFmtId="0" fontId="21" fillId="0" borderId="23" xfId="1" applyBorder="1" applyAlignment="1">
      <alignment horizontal="center" vertical="center"/>
    </xf>
    <xf numFmtId="0" fontId="21" fillId="0" borderId="70" xfId="1" applyBorder="1" applyAlignment="1">
      <alignment horizontal="center" vertical="center"/>
    </xf>
    <xf numFmtId="0" fontId="21" fillId="0" borderId="24" xfId="1" applyBorder="1" applyAlignment="1">
      <alignment horizontal="center" vertical="center" wrapText="1"/>
    </xf>
    <xf numFmtId="0" fontId="21" fillId="0" borderId="57" xfId="1" applyBorder="1" applyAlignment="1">
      <alignment horizontal="center" vertical="center"/>
    </xf>
    <xf numFmtId="0" fontId="21" fillId="0" borderId="24" xfId="1" applyBorder="1" applyAlignment="1">
      <alignment horizontal="center" vertical="center"/>
    </xf>
    <xf numFmtId="0" fontId="21" fillId="0" borderId="58" xfId="1" applyBorder="1" applyAlignment="1">
      <alignment horizontal="center" vertical="center"/>
    </xf>
    <xf numFmtId="0" fontId="21" fillId="0" borderId="10" xfId="1" applyBorder="1" applyAlignment="1">
      <alignment horizontal="center" vertical="center" wrapText="1"/>
    </xf>
    <xf numFmtId="0" fontId="33" fillId="0" borderId="5" xfId="3" applyFont="1" applyBorder="1" applyAlignment="1">
      <alignment horizontal="center" wrapText="1"/>
    </xf>
    <xf numFmtId="0" fontId="33" fillId="0" borderId="11" xfId="3" applyFont="1" applyBorder="1" applyAlignment="1">
      <alignment horizontal="center" wrapText="1"/>
    </xf>
    <xf numFmtId="0" fontId="41" fillId="3" borderId="102" xfId="3" applyFont="1" applyFill="1" applyBorder="1" applyAlignment="1">
      <alignment horizontal="left" vertical="center" wrapText="1"/>
    </xf>
    <xf numFmtId="0" fontId="41" fillId="3" borderId="103" xfId="3" applyFont="1" applyFill="1" applyBorder="1" applyAlignment="1">
      <alignment horizontal="left" vertical="center" wrapText="1"/>
    </xf>
    <xf numFmtId="0" fontId="21" fillId="0" borderId="4" xfId="3" applyBorder="1" applyAlignment="1">
      <alignment horizontal="center" wrapText="1"/>
    </xf>
    <xf numFmtId="0" fontId="33" fillId="0" borderId="29" xfId="3" applyFont="1" applyBorder="1" applyAlignment="1">
      <alignment horizontal="center" wrapText="1"/>
    </xf>
    <xf numFmtId="0" fontId="33" fillId="0" borderId="10" xfId="3" applyFont="1" applyBorder="1" applyAlignment="1">
      <alignment horizontal="center" wrapText="1"/>
    </xf>
    <xf numFmtId="0" fontId="42" fillId="0" borderId="29" xfId="3" applyFont="1" applyBorder="1" applyAlignment="1">
      <alignment horizontal="center" wrapText="1"/>
    </xf>
    <xf numFmtId="0" fontId="42" fillId="0" borderId="10" xfId="3" applyFont="1" applyBorder="1" applyAlignment="1">
      <alignment horizontal="center" wrapText="1"/>
    </xf>
    <xf numFmtId="0" fontId="33" fillId="0" borderId="0" xfId="3" applyFont="1" applyAlignment="1">
      <alignment horizontal="center" wrapText="1"/>
    </xf>
    <xf numFmtId="0" fontId="42" fillId="0" borderId="0" xfId="3" applyFont="1" applyAlignment="1">
      <alignment horizontal="center" wrapText="1"/>
    </xf>
    <xf numFmtId="0" fontId="21" fillId="0" borderId="24" xfId="3" applyBorder="1" applyAlignment="1">
      <alignment horizontal="center" vertical="center" wrapText="1"/>
    </xf>
    <xf numFmtId="0" fontId="33" fillId="0" borderId="22" xfId="3" applyFont="1" applyBorder="1" applyAlignment="1">
      <alignment horizontal="center" wrapText="1"/>
    </xf>
    <xf numFmtId="165" fontId="33" fillId="0" borderId="0" xfId="4" applyNumberFormat="1" applyFont="1" applyBorder="1" applyAlignment="1">
      <alignment horizontal="center" wrapText="1"/>
    </xf>
    <xf numFmtId="165" fontId="33" fillId="0" borderId="22" xfId="4" applyNumberFormat="1" applyFont="1" applyBorder="1" applyAlignment="1">
      <alignment horizontal="center" wrapText="1"/>
    </xf>
    <xf numFmtId="49" fontId="33" fillId="0" borderId="0" xfId="4" applyNumberFormat="1" applyFont="1" applyBorder="1" applyAlignment="1">
      <alignment horizontal="center" wrapText="1"/>
    </xf>
    <xf numFmtId="49" fontId="33" fillId="0" borderId="22" xfId="4" applyNumberFormat="1" applyFont="1" applyBorder="1" applyAlignment="1">
      <alignment horizontal="center" wrapText="1"/>
    </xf>
    <xf numFmtId="165" fontId="42" fillId="0" borderId="0" xfId="4" applyNumberFormat="1" applyFont="1" applyBorder="1" applyAlignment="1">
      <alignment horizontal="center" wrapText="1"/>
    </xf>
    <xf numFmtId="165" fontId="42" fillId="0" borderId="22" xfId="4" applyNumberFormat="1" applyFont="1" applyBorder="1" applyAlignment="1">
      <alignment horizontal="center" wrapText="1"/>
    </xf>
    <xf numFmtId="0" fontId="42" fillId="0" borderId="22" xfId="3" applyFont="1" applyBorder="1" applyAlignment="1">
      <alignment horizontal="center" wrapText="1"/>
    </xf>
    <xf numFmtId="0" fontId="33" fillId="0" borderId="48" xfId="3" applyFont="1" applyBorder="1" applyAlignment="1">
      <alignment horizontal="center" wrapText="1"/>
    </xf>
    <xf numFmtId="0" fontId="33" fillId="0" borderId="50" xfId="3" applyFont="1" applyBorder="1" applyAlignment="1">
      <alignment horizontal="center" wrapText="1"/>
    </xf>
    <xf numFmtId="0" fontId="99" fillId="20" borderId="47" xfId="0" applyFont="1" applyFill="1" applyBorder="1" applyAlignment="1">
      <alignment horizontal="center"/>
    </xf>
    <xf numFmtId="0" fontId="99" fillId="20" borderId="48" xfId="0" applyFont="1" applyFill="1" applyBorder="1" applyAlignment="1">
      <alignment horizontal="center"/>
    </xf>
    <xf numFmtId="0" fontId="99" fillId="20" borderId="0" xfId="0" applyFont="1" applyFill="1" applyAlignment="1">
      <alignment horizontal="center"/>
    </xf>
    <xf numFmtId="0" fontId="99" fillId="20" borderId="47" xfId="0" applyFont="1" applyFill="1" applyBorder="1" applyAlignment="1">
      <alignment horizontal="center" vertical="center" wrapText="1"/>
    </xf>
    <xf numFmtId="0" fontId="99" fillId="20" borderId="0" xfId="0" applyFont="1" applyFill="1" applyAlignment="1">
      <alignment horizontal="center" vertical="center" wrapText="1"/>
    </xf>
    <xf numFmtId="0" fontId="99" fillId="20" borderId="48" xfId="0" applyFont="1" applyFill="1" applyBorder="1" applyAlignment="1">
      <alignment horizontal="center" vertical="center" wrapText="1"/>
    </xf>
    <xf numFmtId="0" fontId="21" fillId="0" borderId="45" xfId="0" applyFont="1" applyBorder="1" applyAlignment="1">
      <alignment horizontal="center" vertical="center" wrapText="1"/>
    </xf>
    <xf numFmtId="0" fontId="21" fillId="0" borderId="49"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50" xfId="0" applyFont="1" applyBorder="1" applyAlignment="1">
      <alignment horizontal="center" vertical="center" wrapText="1"/>
    </xf>
    <xf numFmtId="0" fontId="25" fillId="0" borderId="0" xfId="3" applyFont="1" applyAlignment="1">
      <alignment horizontal="left" vertical="center" wrapText="1"/>
    </xf>
    <xf numFmtId="0" fontId="21" fillId="0" borderId="58" xfId="3" applyBorder="1" applyAlignment="1">
      <alignment horizontal="center" vertical="center" wrapText="1"/>
    </xf>
    <xf numFmtId="0" fontId="41" fillId="0" borderId="47" xfId="3" applyFont="1" applyBorder="1" applyAlignment="1">
      <alignment horizontal="justify" vertical="center" wrapText="1"/>
    </xf>
    <xf numFmtId="0" fontId="41" fillId="0" borderId="0" xfId="3" applyFont="1" applyAlignment="1">
      <alignment horizontal="justify" vertical="center" wrapText="1"/>
    </xf>
    <xf numFmtId="0" fontId="41" fillId="0" borderId="48" xfId="3" applyFont="1" applyBorder="1" applyAlignment="1">
      <alignment horizontal="justify" vertical="center" wrapText="1"/>
    </xf>
    <xf numFmtId="0" fontId="41" fillId="0" borderId="47" xfId="3" applyFont="1" applyBorder="1" applyAlignment="1">
      <alignment horizontal="left" vertical="center" wrapText="1"/>
    </xf>
    <xf numFmtId="0" fontId="41" fillId="0" borderId="0" xfId="3" applyFont="1" applyAlignment="1">
      <alignment horizontal="left" vertical="center" wrapText="1"/>
    </xf>
    <xf numFmtId="0" fontId="41" fillId="0" borderId="48" xfId="3" applyFont="1" applyBorder="1" applyAlignment="1">
      <alignment horizontal="left" vertical="center" wrapText="1"/>
    </xf>
    <xf numFmtId="0" fontId="41" fillId="13" borderId="45" xfId="3" applyFont="1" applyFill="1" applyBorder="1" applyAlignment="1">
      <alignment horizontal="center" vertical="center" wrapText="1"/>
    </xf>
    <xf numFmtId="0" fontId="41" fillId="13" borderId="39" xfId="3" applyFont="1" applyFill="1" applyBorder="1" applyAlignment="1">
      <alignment horizontal="center" vertical="center" wrapText="1"/>
    </xf>
    <xf numFmtId="0" fontId="41" fillId="13" borderId="46" xfId="3" applyFont="1" applyFill="1" applyBorder="1" applyAlignment="1">
      <alignment horizontal="center" vertical="center" wrapText="1"/>
    </xf>
    <xf numFmtId="0" fontId="21" fillId="0" borderId="73" xfId="3" applyBorder="1" applyAlignment="1">
      <alignment horizontal="center" vertical="center" wrapText="1"/>
    </xf>
    <xf numFmtId="0" fontId="21" fillId="0" borderId="81" xfId="3" applyBorder="1" applyAlignment="1">
      <alignment horizontal="center" vertical="center" wrapText="1"/>
    </xf>
    <xf numFmtId="0" fontId="41" fillId="0" borderId="45" xfId="3" applyFont="1" applyBorder="1" applyAlignment="1">
      <alignment horizontal="center" vertical="center" wrapText="1"/>
    </xf>
    <xf numFmtId="0" fontId="41" fillId="0" borderId="39" xfId="3" applyFont="1" applyBorder="1" applyAlignment="1">
      <alignment horizontal="center" vertical="center" wrapText="1"/>
    </xf>
    <xf numFmtId="0" fontId="41" fillId="0" borderId="46" xfId="3" applyFont="1" applyBorder="1" applyAlignment="1">
      <alignment horizontal="center" vertical="center" wrapText="1"/>
    </xf>
    <xf numFmtId="0" fontId="76" fillId="0" borderId="49" xfId="3" applyFont="1" applyBorder="1" applyAlignment="1">
      <alignment vertical="center"/>
    </xf>
    <xf numFmtId="0" fontId="76" fillId="0" borderId="22" xfId="3" applyFont="1" applyBorder="1" applyAlignment="1">
      <alignment vertical="center"/>
    </xf>
    <xf numFmtId="0" fontId="80" fillId="0" borderId="39" xfId="3" applyFont="1" applyBorder="1" applyAlignment="1">
      <alignment horizontal="left" vertical="center" wrapText="1"/>
    </xf>
    <xf numFmtId="0" fontId="54" fillId="0" borderId="0" xfId="3" applyFont="1" applyAlignment="1">
      <alignment horizontal="left" vertical="center" wrapText="1"/>
    </xf>
    <xf numFmtId="0" fontId="76" fillId="0" borderId="0" xfId="3" applyFont="1" applyAlignment="1">
      <alignment vertical="center"/>
    </xf>
    <xf numFmtId="0" fontId="76" fillId="0" borderId="0" xfId="3" applyFont="1" applyAlignment="1">
      <alignment vertical="center" wrapText="1"/>
    </xf>
    <xf numFmtId="0" fontId="75" fillId="0" borderId="22" xfId="3" applyFont="1" applyBorder="1" applyAlignment="1">
      <alignment horizontal="left" wrapText="1"/>
    </xf>
    <xf numFmtId="0" fontId="76" fillId="0" borderId="45" xfId="3" applyFont="1" applyBorder="1" applyAlignment="1">
      <alignment horizontal="center" vertical="center"/>
    </xf>
    <xf numFmtId="0" fontId="76" fillId="0" borderId="39" xfId="3" applyFont="1" applyBorder="1" applyAlignment="1">
      <alignment horizontal="center" vertical="center"/>
    </xf>
    <xf numFmtId="0" fontId="76" fillId="0" borderId="46" xfId="3" applyFont="1" applyBorder="1" applyAlignment="1">
      <alignment horizontal="center" vertical="center"/>
    </xf>
    <xf numFmtId="0" fontId="76" fillId="0" borderId="57" xfId="3" applyFont="1" applyBorder="1" applyAlignment="1">
      <alignment horizontal="center" vertical="center" wrapText="1"/>
    </xf>
    <xf numFmtId="0" fontId="76" fillId="0" borderId="24" xfId="3" applyFont="1" applyBorder="1" applyAlignment="1">
      <alignment horizontal="center" vertical="center" wrapText="1"/>
    </xf>
    <xf numFmtId="0" fontId="76" fillId="0" borderId="58" xfId="3" applyFont="1" applyBorder="1" applyAlignment="1">
      <alignment horizontal="center" vertical="center" wrapText="1"/>
    </xf>
    <xf numFmtId="0" fontId="106" fillId="0" borderId="0" xfId="3" applyFont="1" applyAlignment="1">
      <alignment vertical="center"/>
    </xf>
    <xf numFmtId="0" fontId="106" fillId="0" borderId="30" xfId="3" applyFont="1" applyBorder="1" applyAlignment="1">
      <alignment horizontal="center" vertical="center"/>
    </xf>
    <xf numFmtId="0" fontId="106" fillId="0" borderId="29" xfId="3" applyFont="1" applyBorder="1" applyAlignment="1">
      <alignment horizontal="center" vertical="center"/>
    </xf>
    <xf numFmtId="0" fontId="106" fillId="0" borderId="69" xfId="3" applyFont="1" applyBorder="1" applyAlignment="1">
      <alignment horizontal="center" vertical="center"/>
    </xf>
    <xf numFmtId="0" fontId="106" fillId="0" borderId="68" xfId="3" applyFont="1" applyBorder="1" applyAlignment="1">
      <alignment horizontal="center" vertical="center"/>
    </xf>
    <xf numFmtId="0" fontId="106" fillId="0" borderId="9" xfId="3" applyFont="1" applyBorder="1" applyAlignment="1">
      <alignment horizontal="center" vertical="center"/>
    </xf>
    <xf numFmtId="0" fontId="106" fillId="0" borderId="11" xfId="3" applyFont="1" applyBorder="1" applyAlignment="1">
      <alignment horizontal="center" vertical="center"/>
    </xf>
    <xf numFmtId="0" fontId="106" fillId="0" borderId="29" xfId="3" applyFont="1" applyBorder="1" applyAlignment="1">
      <alignment vertical="center"/>
    </xf>
    <xf numFmtId="0" fontId="28" fillId="5" borderId="30" xfId="0" applyFont="1" applyFill="1" applyBorder="1" applyAlignment="1">
      <alignment horizontal="center" vertical="center" wrapText="1"/>
    </xf>
    <xf numFmtId="0" fontId="28" fillId="5" borderId="29" xfId="0" applyFont="1" applyFill="1" applyBorder="1" applyAlignment="1">
      <alignment horizontal="center" vertical="center" wrapText="1"/>
    </xf>
    <xf numFmtId="0" fontId="28" fillId="5" borderId="31" xfId="0" applyFont="1" applyFill="1" applyBorder="1" applyAlignment="1">
      <alignment horizontal="center" vertical="center" wrapText="1"/>
    </xf>
    <xf numFmtId="0" fontId="43" fillId="0" borderId="23" xfId="0" applyFont="1" applyBorder="1" applyAlignment="1">
      <alignment horizontal="center" vertical="center"/>
    </xf>
    <xf numFmtId="0" fontId="43" fillId="0" borderId="38" xfId="0" applyFont="1" applyBorder="1" applyAlignment="1">
      <alignment horizontal="center" vertical="center"/>
    </xf>
    <xf numFmtId="0" fontId="82" fillId="14" borderId="26" xfId="0" applyFont="1" applyFill="1" applyBorder="1" applyAlignment="1">
      <alignment horizontal="center" vertical="center" wrapText="1"/>
    </xf>
    <xf numFmtId="0" fontId="82" fillId="14" borderId="61" xfId="0" applyFont="1" applyFill="1" applyBorder="1" applyAlignment="1">
      <alignment horizontal="center" vertical="center" wrapText="1"/>
    </xf>
    <xf numFmtId="14" fontId="24" fillId="0" borderId="0" xfId="3" applyNumberFormat="1" applyFont="1" applyAlignment="1"/>
    <xf numFmtId="0" fontId="27" fillId="0" borderId="0" xfId="0" applyFont="1"/>
    <xf numFmtId="3" fontId="27" fillId="0" borderId="0" xfId="0" applyNumberFormat="1" applyFont="1" applyAlignment="1">
      <alignment horizontal="right"/>
    </xf>
    <xf numFmtId="0" fontId="27" fillId="0" borderId="48" xfId="0" applyFont="1" applyBorder="1" applyAlignment="1">
      <alignment horizontal="right"/>
    </xf>
    <xf numFmtId="3" fontId="27" fillId="0" borderId="48" xfId="0" applyNumberFormat="1" applyFont="1" applyBorder="1" applyAlignment="1">
      <alignment horizontal="right"/>
    </xf>
    <xf numFmtId="0" fontId="0" fillId="0" borderId="45" xfId="0" applyBorder="1" applyAlignment="1"/>
    <xf numFmtId="0" fontId="0" fillId="0" borderId="47" xfId="0" applyBorder="1" applyAlignment="1"/>
    <xf numFmtId="0" fontId="21" fillId="0" borderId="4" xfId="3" applyBorder="1" applyAlignment="1"/>
    <xf numFmtId="0" fontId="21" fillId="0" borderId="9" xfId="3" applyBorder="1" applyAlignment="1"/>
    <xf numFmtId="0" fontId="21" fillId="0" borderId="0" xfId="3" applyAlignment="1"/>
  </cellXfs>
  <cellStyles count="231">
    <cellStyle name="Comma" xfId="124" builtinId="3"/>
    <cellStyle name="Comma 10" xfId="11" xr:uid="{00000000-0005-0000-0000-000000000000}"/>
    <cellStyle name="Comma 2" xfId="4" xr:uid="{00000000-0005-0000-0000-000001000000}"/>
    <cellStyle name="Comma 2 2" xfId="8" xr:uid="{00000000-0005-0000-0000-000002000000}"/>
    <cellStyle name="Comma 2 2 4" xfId="12" xr:uid="{00000000-0005-0000-0000-000003000000}"/>
    <cellStyle name="Comma 3" xfId="44" xr:uid="{00000000-0005-0000-0000-000004000000}"/>
    <cellStyle name="Comma 3 2" xfId="69" xr:uid="{00000000-0005-0000-0000-000005000000}"/>
    <cellStyle name="Comma 3 2 2" xfId="173" xr:uid="{5B88D010-D6D8-4B8E-BBC0-F9C4F1EF0C55}"/>
    <cellStyle name="Comma 3 3" xfId="93" xr:uid="{00000000-0005-0000-0000-000006000000}"/>
    <cellStyle name="Comma 3 3 2" xfId="197" xr:uid="{765EF9B1-0BB2-43DB-889E-079DD56B3127}"/>
    <cellStyle name="Comma 3 4" xfId="118" xr:uid="{00000000-0005-0000-0000-000007000000}"/>
    <cellStyle name="Comma 3 4 2" xfId="222" xr:uid="{A5818766-B410-4BF4-8356-6D07F9C2DEA5}"/>
    <cellStyle name="Comma 3 5" xfId="149" xr:uid="{23727114-B826-4E17-8242-C341AA408B14}"/>
    <cellStyle name="Normal" xfId="0" builtinId="0"/>
    <cellStyle name="Normal 11 2" xfId="6" xr:uid="{00000000-0005-0000-0000-000009000000}"/>
    <cellStyle name="Normal 2" xfId="7" xr:uid="{00000000-0005-0000-0000-00000A000000}"/>
    <cellStyle name="Normal 2 11" xfId="3" xr:uid="{00000000-0005-0000-0000-00000B000000}"/>
    <cellStyle name="Normal 2 2" xfId="20" xr:uid="{00000000-0005-0000-0000-00000C000000}"/>
    <cellStyle name="Normal 2 2 2" xfId="39" xr:uid="{00000000-0005-0000-0000-00000D000000}"/>
    <cellStyle name="Normal 2 2 3" xfId="30" xr:uid="{00000000-0005-0000-0000-00000E000000}"/>
    <cellStyle name="Normal 2 3" xfId="42" xr:uid="{00000000-0005-0000-0000-00000F000000}"/>
    <cellStyle name="Normal 2 3 2" xfId="67" xr:uid="{00000000-0005-0000-0000-000010000000}"/>
    <cellStyle name="Normal 2 3 3" xfId="116" xr:uid="{00000000-0005-0000-0000-000011000000}"/>
    <cellStyle name="Normal 2 3 3 2" xfId="220" xr:uid="{ADF3DB1C-A606-4324-AD43-7374F73B3076}"/>
    <cellStyle name="Normal 27" xfId="10" xr:uid="{00000000-0005-0000-0000-000012000000}"/>
    <cellStyle name="Normal 3" xfId="15" xr:uid="{00000000-0005-0000-0000-000013000000}"/>
    <cellStyle name="Normal 3 2" xfId="35" xr:uid="{00000000-0005-0000-0000-000014000000}"/>
    <cellStyle name="Normal 3 2 2" xfId="62" xr:uid="{00000000-0005-0000-0000-000015000000}"/>
    <cellStyle name="Normal 3 2 2 2" xfId="167" xr:uid="{26FB8C15-2A65-4D95-8E94-AAC15BEA658F}"/>
    <cellStyle name="Normal 3 2 3" xfId="87" xr:uid="{00000000-0005-0000-0000-000016000000}"/>
    <cellStyle name="Normal 3 2 3 2" xfId="191" xr:uid="{6E0364D2-5E52-4F93-8312-7495A058B7A0}"/>
    <cellStyle name="Normal 3 2 4" xfId="111" xr:uid="{00000000-0005-0000-0000-000017000000}"/>
    <cellStyle name="Normal 3 2 4 2" xfId="215" xr:uid="{8D2E8FED-E747-41EF-AC48-88D173AE9F3E}"/>
    <cellStyle name="Normal 3 2 5" xfId="143" xr:uid="{E9B42826-B686-4BC4-9FE2-11AA29DB53C5}"/>
    <cellStyle name="Normal 3 3" xfId="26" xr:uid="{00000000-0005-0000-0000-000018000000}"/>
    <cellStyle name="Normal 3 3 2" xfId="55" xr:uid="{00000000-0005-0000-0000-000019000000}"/>
    <cellStyle name="Normal 3 3 2 2" xfId="160" xr:uid="{0B026A38-2469-4F7C-B5EC-5B747422309D}"/>
    <cellStyle name="Normal 3 3 3" xfId="80" xr:uid="{00000000-0005-0000-0000-00001A000000}"/>
    <cellStyle name="Normal 3 3 3 2" xfId="184" xr:uid="{241F79C4-DFCA-470F-A0A8-A3FE3994170B}"/>
    <cellStyle name="Normal 3 3 4" xfId="104" xr:uid="{00000000-0005-0000-0000-00001B000000}"/>
    <cellStyle name="Normal 3 3 4 2" xfId="208" xr:uid="{6A090789-EBFE-4549-9F29-BE73EBE2C3E9}"/>
    <cellStyle name="Normal 3 3 5" xfId="136" xr:uid="{44DAB225-4B4D-4B1D-B08C-5C332954D110}"/>
    <cellStyle name="Normal 3 4" xfId="47" xr:uid="{00000000-0005-0000-0000-00001C000000}"/>
    <cellStyle name="Normal 3 4 2" xfId="152" xr:uid="{9BA9F7DF-C801-4074-A438-5EAA06B3B418}"/>
    <cellStyle name="Normal 3 5" xfId="72" xr:uid="{00000000-0005-0000-0000-00001D000000}"/>
    <cellStyle name="Normal 3 5 2" xfId="176" xr:uid="{6B8FF2CE-6BBD-4D48-AE2C-8037062136BA}"/>
    <cellStyle name="Normal 3 6" xfId="96" xr:uid="{00000000-0005-0000-0000-00001E000000}"/>
    <cellStyle name="Normal 3 6 2" xfId="200" xr:uid="{F2EA940B-727F-4AA9-99B0-AF2360ED31A5}"/>
    <cellStyle name="Normal 3 7" xfId="128" xr:uid="{FC4ED686-9FEC-4170-90AE-A20C831643B9}"/>
    <cellStyle name="Normal 31 2" xfId="2" xr:uid="{00000000-0005-0000-0000-00001F000000}"/>
    <cellStyle name="Normal 31 2 2" xfId="23" xr:uid="{00000000-0005-0000-0000-000020000000}"/>
    <cellStyle name="Normal 31 2 2 2" xfId="33" xr:uid="{00000000-0005-0000-0000-000021000000}"/>
    <cellStyle name="Normal 31 2 2 2 2" xfId="60" xr:uid="{00000000-0005-0000-0000-000022000000}"/>
    <cellStyle name="Normal 31 2 2 2 2 2" xfId="165" xr:uid="{579F55D0-6539-4B9B-8343-2BA32B91A540}"/>
    <cellStyle name="Normal 31 2 2 2 3" xfId="85" xr:uid="{00000000-0005-0000-0000-000023000000}"/>
    <cellStyle name="Normal 31 2 2 2 3 2" xfId="189" xr:uid="{169662FA-8C80-442E-AA50-A8CEF14A1740}"/>
    <cellStyle name="Normal 31 2 2 2 4" xfId="109" xr:uid="{00000000-0005-0000-0000-000024000000}"/>
    <cellStyle name="Normal 31 2 2 2 4 2" xfId="213" xr:uid="{4260BA1E-E9D9-4A50-96F7-7D753A0BCD98}"/>
    <cellStyle name="Normal 31 2 2 2 5" xfId="141" xr:uid="{9FB70E15-A111-43B7-8A1E-B5141321D852}"/>
    <cellStyle name="Normal 31 2 2 3" xfId="52" xr:uid="{00000000-0005-0000-0000-000025000000}"/>
    <cellStyle name="Normal 31 2 2 3 2" xfId="157" xr:uid="{7C878AAB-51C9-41C3-9439-64FC334D952B}"/>
    <cellStyle name="Normal 31 2 2 4" xfId="77" xr:uid="{00000000-0005-0000-0000-000026000000}"/>
    <cellStyle name="Normal 31 2 2 4 2" xfId="181" xr:uid="{38E49E73-3A0E-49D5-8CB8-21E6EF693A20}"/>
    <cellStyle name="Normal 31 2 2 5" xfId="101" xr:uid="{00000000-0005-0000-0000-000027000000}"/>
    <cellStyle name="Normal 31 2 2 5 2" xfId="205" xr:uid="{EAAC7659-1100-4FDF-9AB5-0940C2E3CE8F}"/>
    <cellStyle name="Normal 31 2 2 6" xfId="120" xr:uid="{FF6A7B40-73B0-4187-A4A4-EF5D72F7582C}"/>
    <cellStyle name="Normal 31 2 2 6 2" xfId="224" xr:uid="{3E455F4D-37FA-40F3-BB32-033E2E41CA09}"/>
    <cellStyle name="Normal 31 2 2 7" xfId="121" xr:uid="{F22FB870-BD0C-4855-B9DE-A87C849BEC85}"/>
    <cellStyle name="Normal 31 2 2 7 2" xfId="225" xr:uid="{AEAAA1CF-0533-4522-AA12-6DEEB2866E80}"/>
    <cellStyle name="Normal 31 2 2 8" xfId="123" xr:uid="{A0E9AEE2-AE5F-4049-9D9D-CB3A8B1A9879}"/>
    <cellStyle name="Normal 31 2 2 8 2" xfId="125" xr:uid="{89496AE2-6FEB-4F63-A896-A3ED57802B90}"/>
    <cellStyle name="Normal 31 2 2 8 2 2" xfId="228" xr:uid="{FC44A200-C823-45B1-98CD-ABBAE026AF29}"/>
    <cellStyle name="Normal 31 2 2 8 3" xfId="227" xr:uid="{DC9DA4F4-36C0-43B3-8308-D5A158C1F135}"/>
    <cellStyle name="Normal 31 2 2 9" xfId="133" xr:uid="{459D0C81-B618-4A1A-86BE-B11955642A5A}"/>
    <cellStyle name="Normal 31 2 3" xfId="24" xr:uid="{00000000-0005-0000-0000-000028000000}"/>
    <cellStyle name="Normal 31 2 3 2" xfId="53" xr:uid="{00000000-0005-0000-0000-000029000000}"/>
    <cellStyle name="Normal 31 2 3 2 2" xfId="158" xr:uid="{A3A18276-E30D-44BD-9E76-FDD9EE1D1814}"/>
    <cellStyle name="Normal 31 2 3 3" xfId="78" xr:uid="{00000000-0005-0000-0000-00002A000000}"/>
    <cellStyle name="Normal 31 2 3 3 2" xfId="182" xr:uid="{99FFC1E3-DDD9-449A-B296-1F52F357F87F}"/>
    <cellStyle name="Normal 31 2 3 4" xfId="102" xr:uid="{00000000-0005-0000-0000-00002B000000}"/>
    <cellStyle name="Normal 31 2 3 4 2" xfId="206" xr:uid="{A0A4F925-BC96-4DA8-B0C8-94DB26CA839F}"/>
    <cellStyle name="Normal 31 2 3 5" xfId="134" xr:uid="{23C4D637-B81B-4954-8C81-DED86D86AF73}"/>
    <cellStyle name="Normal 31 2 4" xfId="45" xr:uid="{00000000-0005-0000-0000-00002C000000}"/>
    <cellStyle name="Normal 31 2 4 2" xfId="150" xr:uid="{3A38C085-5275-4F59-891A-0A5081AB28B2}"/>
    <cellStyle name="Normal 31 2 5" xfId="70" xr:uid="{00000000-0005-0000-0000-00002D000000}"/>
    <cellStyle name="Normal 31 2 5 2" xfId="174" xr:uid="{CA5C597B-D197-457F-9D50-2317C8D96B23}"/>
    <cellStyle name="Normal 31 2 6" xfId="94" xr:uid="{00000000-0005-0000-0000-00002E000000}"/>
    <cellStyle name="Normal 31 2 6 2" xfId="198" xr:uid="{6934A990-8AFB-4190-8DF5-56C1CE5F4BDC}"/>
    <cellStyle name="Normal 31 2 7" xfId="126" xr:uid="{02F94507-0ECE-4C2F-85CD-B7724A005F02}"/>
    <cellStyle name="Normal 4" xfId="16" xr:uid="{00000000-0005-0000-0000-00002F000000}"/>
    <cellStyle name="Normal 4 2" xfId="36" xr:uid="{00000000-0005-0000-0000-000030000000}"/>
    <cellStyle name="Normal 4 2 2" xfId="63" xr:uid="{00000000-0005-0000-0000-000031000000}"/>
    <cellStyle name="Normal 4 2 2 2" xfId="168" xr:uid="{65DF5110-08EB-4328-9157-621DBCFD4BFE}"/>
    <cellStyle name="Normal 4 2 3" xfId="88" xr:uid="{00000000-0005-0000-0000-000032000000}"/>
    <cellStyle name="Normal 4 2 3 2" xfId="192" xr:uid="{9F266165-166D-4406-844A-0ABB9EE9CFA7}"/>
    <cellStyle name="Normal 4 2 4" xfId="112" xr:uid="{00000000-0005-0000-0000-000033000000}"/>
    <cellStyle name="Normal 4 2 4 2" xfId="216" xr:uid="{5FEA584C-8CC9-4233-8135-05B2195C35E1}"/>
    <cellStyle name="Normal 4 2 5" xfId="144" xr:uid="{7DAFDFCC-2198-4A45-B6F5-6945604E49E9}"/>
    <cellStyle name="Normal 4 3" xfId="27" xr:uid="{00000000-0005-0000-0000-000034000000}"/>
    <cellStyle name="Normal 4 3 2" xfId="56" xr:uid="{00000000-0005-0000-0000-000035000000}"/>
    <cellStyle name="Normal 4 3 2 2" xfId="161" xr:uid="{075AEAFA-CA4A-41F7-ABF3-747B59E2D9B5}"/>
    <cellStyle name="Normal 4 3 3" xfId="81" xr:uid="{00000000-0005-0000-0000-000036000000}"/>
    <cellStyle name="Normal 4 3 3 2" xfId="185" xr:uid="{68E77BFE-8747-4BE4-B43B-AC3FE5D2C139}"/>
    <cellStyle name="Normal 4 3 4" xfId="105" xr:uid="{00000000-0005-0000-0000-000037000000}"/>
    <cellStyle name="Normal 4 3 4 2" xfId="209" xr:uid="{24D0E09D-50AF-4794-BFB6-A37E48742D14}"/>
    <cellStyle name="Normal 4 3 5" xfId="137" xr:uid="{7C2A545F-F19D-4312-829A-65D2A0DA534D}"/>
    <cellStyle name="Normal 4 4" xfId="48" xr:uid="{00000000-0005-0000-0000-000038000000}"/>
    <cellStyle name="Normal 4 4 2" xfId="153" xr:uid="{8814D9FC-5A70-4BF0-B7DA-1C0BFCB713B9}"/>
    <cellStyle name="Normal 4 5" xfId="73" xr:uid="{00000000-0005-0000-0000-000039000000}"/>
    <cellStyle name="Normal 4 5 2" xfId="177" xr:uid="{8EEB20DA-EA63-4E12-A988-1E10F2424BCF}"/>
    <cellStyle name="Normal 4 6" xfId="97" xr:uid="{00000000-0005-0000-0000-00003A000000}"/>
    <cellStyle name="Normal 4 6 2" xfId="201" xr:uid="{8DAA1348-B195-4EB9-AAA2-7F5DA21302A8}"/>
    <cellStyle name="Normal 4 7" xfId="129" xr:uid="{1D8A9538-ABD4-4E7C-8D40-75B4D06EE287}"/>
    <cellStyle name="Normal 4 8" xfId="229" xr:uid="{59C4ED47-6DA6-4571-93A1-FA67903FA5F9}"/>
    <cellStyle name="Normal 5" xfId="18" xr:uid="{00000000-0005-0000-0000-00003B000000}"/>
    <cellStyle name="Normal 5 2" xfId="38" xr:uid="{00000000-0005-0000-0000-00003C000000}"/>
    <cellStyle name="Normal 5 2 2" xfId="65" xr:uid="{00000000-0005-0000-0000-00003D000000}"/>
    <cellStyle name="Normal 5 2 2 2" xfId="170" xr:uid="{9B15355E-6AF5-40BF-9BBB-7B2DDBEB7D06}"/>
    <cellStyle name="Normal 5 2 3" xfId="90" xr:uid="{00000000-0005-0000-0000-00003E000000}"/>
    <cellStyle name="Normal 5 2 3 2" xfId="194" xr:uid="{A163225C-F0EF-40C8-93BE-0DE6EEFFE4FC}"/>
    <cellStyle name="Normal 5 2 4" xfId="114" xr:uid="{00000000-0005-0000-0000-00003F000000}"/>
    <cellStyle name="Normal 5 2 4 2" xfId="218" xr:uid="{6E601407-EB38-4D20-B3A7-01A59EC9DF2D}"/>
    <cellStyle name="Normal 5 2 5" xfId="146" xr:uid="{81F293A1-A768-497B-9694-1421D524A659}"/>
    <cellStyle name="Normal 5 3" xfId="29" xr:uid="{00000000-0005-0000-0000-000040000000}"/>
    <cellStyle name="Normal 5 3 2" xfId="58" xr:uid="{00000000-0005-0000-0000-000041000000}"/>
    <cellStyle name="Normal 5 3 2 2" xfId="163" xr:uid="{3D8215E4-F24D-4CB1-901B-5B2B2CC1A283}"/>
    <cellStyle name="Normal 5 3 3" xfId="83" xr:uid="{00000000-0005-0000-0000-000042000000}"/>
    <cellStyle name="Normal 5 3 3 2" xfId="187" xr:uid="{D207B484-372A-46CD-BD55-B3348F8C809D}"/>
    <cellStyle name="Normal 5 3 4" xfId="107" xr:uid="{00000000-0005-0000-0000-000043000000}"/>
    <cellStyle name="Normal 5 3 4 2" xfId="211" xr:uid="{7611B046-C818-43B3-A9D2-60EAFAEF4CF3}"/>
    <cellStyle name="Normal 5 3 5" xfId="139" xr:uid="{E5299107-F10E-4865-AFCF-DA0A986891D0}"/>
    <cellStyle name="Normal 5 4" xfId="50" xr:uid="{00000000-0005-0000-0000-000044000000}"/>
    <cellStyle name="Normal 5 4 2" xfId="155" xr:uid="{E6E7FE73-3C9A-4063-AE0B-DA69833EE24A}"/>
    <cellStyle name="Normal 5 5" xfId="75" xr:uid="{00000000-0005-0000-0000-000045000000}"/>
    <cellStyle name="Normal 5 5 2" xfId="179" xr:uid="{F246D7D7-E11D-4F05-A224-B00BF0502A8A}"/>
    <cellStyle name="Normal 5 6" xfId="99" xr:uid="{00000000-0005-0000-0000-000046000000}"/>
    <cellStyle name="Normal 5 6 2" xfId="203" xr:uid="{0A4866E5-C245-4EF2-9FAE-B4A8C7D41A6C}"/>
    <cellStyle name="Normal 5 7" xfId="131" xr:uid="{79F23F07-5B66-4880-90B9-15D3AF9C8956}"/>
    <cellStyle name="Normal 6" xfId="21" xr:uid="{00000000-0005-0000-0000-000047000000}"/>
    <cellStyle name="Normal 6 2" xfId="40" xr:uid="{00000000-0005-0000-0000-000048000000}"/>
    <cellStyle name="Normal 6 2 2" xfId="66" xr:uid="{00000000-0005-0000-0000-000049000000}"/>
    <cellStyle name="Normal 6 2 2 2" xfId="171" xr:uid="{032DFC65-37C6-4ABD-B7C4-8ECB157FDEAE}"/>
    <cellStyle name="Normal 6 2 3" xfId="91" xr:uid="{00000000-0005-0000-0000-00004A000000}"/>
    <cellStyle name="Normal 6 2 3 2" xfId="195" xr:uid="{E793B2D4-E219-4F64-8413-22D936EB2BE3}"/>
    <cellStyle name="Normal 6 2 4" xfId="115" xr:uid="{00000000-0005-0000-0000-00004B000000}"/>
    <cellStyle name="Normal 6 2 4 2" xfId="219" xr:uid="{9E5CB7B0-A4D1-4DC0-AF10-6161F4BCE2BD}"/>
    <cellStyle name="Normal 6 2 5" xfId="147" xr:uid="{25ED19A7-480E-49DC-AACD-B859B97FCE67}"/>
    <cellStyle name="Normal 6 3" xfId="31" xr:uid="{00000000-0005-0000-0000-00004C000000}"/>
    <cellStyle name="Normal 6 3 2" xfId="59" xr:uid="{00000000-0005-0000-0000-00004D000000}"/>
    <cellStyle name="Normal 6 3 2 2" xfId="164" xr:uid="{B12F5100-9FB1-4DC1-A03B-0BC149A5C5F2}"/>
    <cellStyle name="Normal 6 3 3" xfId="84" xr:uid="{00000000-0005-0000-0000-00004E000000}"/>
    <cellStyle name="Normal 6 3 3 2" xfId="188" xr:uid="{679E6556-6308-4A67-8904-442D00253E7B}"/>
    <cellStyle name="Normal 6 3 4" xfId="108" xr:uid="{00000000-0005-0000-0000-00004F000000}"/>
    <cellStyle name="Normal 6 3 4 2" xfId="212" xr:uid="{D7815003-B0FA-47A7-82C3-1B64D5DF5DE2}"/>
    <cellStyle name="Normal 6 3 5" xfId="140" xr:uid="{7CC0837F-A675-43D7-88A3-5BA48A39924B}"/>
    <cellStyle name="Normal 6 4" xfId="51" xr:uid="{00000000-0005-0000-0000-000050000000}"/>
    <cellStyle name="Normal 6 4 2" xfId="156" xr:uid="{05FB7A1F-4780-40C3-9BBF-4CA40365E9D2}"/>
    <cellStyle name="Normal 6 5" xfId="76" xr:uid="{00000000-0005-0000-0000-000051000000}"/>
    <cellStyle name="Normal 6 5 2" xfId="180" xr:uid="{079DDBE5-7800-4D36-BE0A-F92FBDE2E8FE}"/>
    <cellStyle name="Normal 6 6" xfId="100" xr:uid="{00000000-0005-0000-0000-000052000000}"/>
    <cellStyle name="Normal 6 6 2" xfId="204" xr:uid="{397CF05F-F4D5-45EE-A1C4-AF48DABD6D3E}"/>
    <cellStyle name="Normal 6 7" xfId="132" xr:uid="{CA2DAEE6-4B1F-43B1-A654-2D99320A2A5E}"/>
    <cellStyle name="Normal 7" xfId="22" xr:uid="{00000000-0005-0000-0000-000053000000}"/>
    <cellStyle name="Normal 7 2" xfId="41" xr:uid="{00000000-0005-0000-0000-000054000000}"/>
    <cellStyle name="Normal 7 3" xfId="32" xr:uid="{00000000-0005-0000-0000-000055000000}"/>
    <cellStyle name="Normal 8" xfId="43" xr:uid="{00000000-0005-0000-0000-000056000000}"/>
    <cellStyle name="Normal 8 2" xfId="68" xr:uid="{00000000-0005-0000-0000-000057000000}"/>
    <cellStyle name="Normal 8 2 2" xfId="172" xr:uid="{A36E655E-F07B-4ED9-AD50-5147F9588164}"/>
    <cellStyle name="Normal 8 3" xfId="92" xr:uid="{00000000-0005-0000-0000-000058000000}"/>
    <cellStyle name="Normal 8 3 2" xfId="196" xr:uid="{30915DEF-5C64-431F-A7BA-AD9733BB7FB4}"/>
    <cellStyle name="Normal 8 4" xfId="117" xr:uid="{00000000-0005-0000-0000-000059000000}"/>
    <cellStyle name="Normal 8 4 2" xfId="221" xr:uid="{42219E14-CA3F-40FB-B1D8-E133D134E7CA}"/>
    <cellStyle name="Normal 8 5" xfId="148" xr:uid="{B0032AC1-19E9-4B5F-B804-41733468C1F1}"/>
    <cellStyle name="Normal 9" xfId="119" xr:uid="{00000000-0005-0000-0000-00005A000000}"/>
    <cellStyle name="Normal 9 2" xfId="223" xr:uid="{5DB2860D-E639-44F5-A9FD-31D7012B1DDF}"/>
    <cellStyle name="Normal_SAF JSR Table 5 Redo" xfId="1" xr:uid="{00000000-0005-0000-0000-00005B000000}"/>
    <cellStyle name="Percent" xfId="9" builtinId="5"/>
    <cellStyle name="Percent 11" xfId="13" xr:uid="{00000000-0005-0000-0000-00005D000000}"/>
    <cellStyle name="Percent 2" xfId="5" xr:uid="{00000000-0005-0000-0000-00005E000000}"/>
    <cellStyle name="Percent 3" xfId="14" xr:uid="{00000000-0005-0000-0000-00005F000000}"/>
    <cellStyle name="Percent 3 2" xfId="34" xr:uid="{00000000-0005-0000-0000-000060000000}"/>
    <cellStyle name="Percent 3 2 2" xfId="61" xr:uid="{00000000-0005-0000-0000-000061000000}"/>
    <cellStyle name="Percent 3 2 2 2" xfId="166" xr:uid="{C4D3E110-E22B-4F15-88C9-13EA5BCA6A96}"/>
    <cellStyle name="Percent 3 2 3" xfId="86" xr:uid="{00000000-0005-0000-0000-000062000000}"/>
    <cellStyle name="Percent 3 2 3 2" xfId="190" xr:uid="{DC65C3EC-FCB5-4426-BB03-FF5603E6072D}"/>
    <cellStyle name="Percent 3 2 4" xfId="110" xr:uid="{00000000-0005-0000-0000-000063000000}"/>
    <cellStyle name="Percent 3 2 4 2" xfId="214" xr:uid="{56A07701-593F-4AAB-B57E-50DBF85A128E}"/>
    <cellStyle name="Percent 3 2 5" xfId="142" xr:uid="{1C580ED7-E7C4-49F3-BC2B-BA6987297485}"/>
    <cellStyle name="Percent 3 3" xfId="25" xr:uid="{00000000-0005-0000-0000-000064000000}"/>
    <cellStyle name="Percent 3 3 2" xfId="54" xr:uid="{00000000-0005-0000-0000-000065000000}"/>
    <cellStyle name="Percent 3 3 2 2" xfId="159" xr:uid="{E80F2953-562C-4C0E-A691-BA7C8214C4D6}"/>
    <cellStyle name="Percent 3 3 3" xfId="79" xr:uid="{00000000-0005-0000-0000-000066000000}"/>
    <cellStyle name="Percent 3 3 3 2" xfId="183" xr:uid="{4E981792-22B1-4E64-A99E-4ADB3D06BFF0}"/>
    <cellStyle name="Percent 3 3 4" xfId="103" xr:uid="{00000000-0005-0000-0000-000067000000}"/>
    <cellStyle name="Percent 3 3 4 2" xfId="207" xr:uid="{CA48BCC3-1EB0-4C80-9D7E-4299FDD0CFE0}"/>
    <cellStyle name="Percent 3 3 5" xfId="135" xr:uid="{9A54B28F-26B4-49A0-A3D8-CE57DF72DB66}"/>
    <cellStyle name="Percent 3 4" xfId="46" xr:uid="{00000000-0005-0000-0000-000068000000}"/>
    <cellStyle name="Percent 3 4 2" xfId="151" xr:uid="{E69830E6-9DAB-4C7A-BBA1-03D04C16AF9A}"/>
    <cellStyle name="Percent 3 5" xfId="71" xr:uid="{00000000-0005-0000-0000-000069000000}"/>
    <cellStyle name="Percent 3 5 2" xfId="175" xr:uid="{99F42C44-5FB7-4BDB-AFC0-10FFBBA59267}"/>
    <cellStyle name="Percent 3 6" xfId="95" xr:uid="{00000000-0005-0000-0000-00006A000000}"/>
    <cellStyle name="Percent 3 6 2" xfId="199" xr:uid="{7488145C-F772-4135-8FD5-66D03C64D162}"/>
    <cellStyle name="Percent 3 7" xfId="122" xr:uid="{8FCDBB9D-D581-4F24-8C5A-6C21AA07CDF5}"/>
    <cellStyle name="Percent 3 7 2" xfId="226" xr:uid="{6827D631-8F1A-4CC2-9E7D-6EF419F71073}"/>
    <cellStyle name="Percent 3 8" xfId="127" xr:uid="{1DF4DC1D-6721-4940-AADB-477BC5A7E638}"/>
    <cellStyle name="Percent 4" xfId="17" xr:uid="{00000000-0005-0000-0000-00006B000000}"/>
    <cellStyle name="Percent 4 2" xfId="37" xr:uid="{00000000-0005-0000-0000-00006C000000}"/>
    <cellStyle name="Percent 4 2 2" xfId="64" xr:uid="{00000000-0005-0000-0000-00006D000000}"/>
    <cellStyle name="Percent 4 2 2 2" xfId="169" xr:uid="{5B71126A-9005-4537-B661-0AC81F2474BE}"/>
    <cellStyle name="Percent 4 2 3" xfId="89" xr:uid="{00000000-0005-0000-0000-00006E000000}"/>
    <cellStyle name="Percent 4 2 3 2" xfId="193" xr:uid="{63E87C46-6C4F-4272-981C-FE91B945416E}"/>
    <cellStyle name="Percent 4 2 4" xfId="113" xr:uid="{00000000-0005-0000-0000-00006F000000}"/>
    <cellStyle name="Percent 4 2 4 2" xfId="217" xr:uid="{7D59002F-9023-4C71-B994-F3B5944A6EFC}"/>
    <cellStyle name="Percent 4 2 5" xfId="145" xr:uid="{A308CBDC-325E-4B68-B13C-2908B99A1727}"/>
    <cellStyle name="Percent 4 3" xfId="28" xr:uid="{00000000-0005-0000-0000-000070000000}"/>
    <cellStyle name="Percent 4 3 2" xfId="57" xr:uid="{00000000-0005-0000-0000-000071000000}"/>
    <cellStyle name="Percent 4 3 2 2" xfId="162" xr:uid="{EC2BF7E4-D82C-4A3D-B65D-7E8DB0E4A478}"/>
    <cellStyle name="Percent 4 3 3" xfId="82" xr:uid="{00000000-0005-0000-0000-000072000000}"/>
    <cellStyle name="Percent 4 3 3 2" xfId="186" xr:uid="{BF43AE93-9539-4A04-8652-E1F08250A390}"/>
    <cellStyle name="Percent 4 3 4" xfId="106" xr:uid="{00000000-0005-0000-0000-000073000000}"/>
    <cellStyle name="Percent 4 3 4 2" xfId="210" xr:uid="{7C58F6CC-59F4-4280-A026-85B8551BD441}"/>
    <cellStyle name="Percent 4 3 5" xfId="138" xr:uid="{8C0385C7-9096-4C64-A736-80A69521A3F9}"/>
    <cellStyle name="Percent 4 4" xfId="49" xr:uid="{00000000-0005-0000-0000-000074000000}"/>
    <cellStyle name="Percent 4 4 2" xfId="154" xr:uid="{C9EC05B9-2EAB-4A07-826E-80134841E164}"/>
    <cellStyle name="Percent 4 5" xfId="74" xr:uid="{00000000-0005-0000-0000-000075000000}"/>
    <cellStyle name="Percent 4 5 2" xfId="178" xr:uid="{A7CD2268-EBF3-4CE7-8AC0-9F4D019092AE}"/>
    <cellStyle name="Percent 4 6" xfId="98" xr:uid="{00000000-0005-0000-0000-000076000000}"/>
    <cellStyle name="Percent 4 6 2" xfId="202" xr:uid="{F2235154-9F71-4032-A18E-48140660BD0D}"/>
    <cellStyle name="Percent 4 7" xfId="130" xr:uid="{9E029145-A403-49B7-8ED9-54D37683DA05}"/>
    <cellStyle name="Percent 4 8" xfId="230" xr:uid="{BB77D1BE-FD08-4008-A8B4-BB1CD7ED40CB}"/>
    <cellStyle name="Percent 5" xfId="19" xr:uid="{00000000-0005-0000-0000-000077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33"/>
      <color rgb="FFFFFFCC"/>
      <color rgb="FFFBEF97"/>
      <color rgb="FF66CCFF"/>
      <color rgb="FF996633"/>
      <color rgb="FF0000FF"/>
      <color rgb="FF9966FF"/>
      <color rgb="FFFF5050"/>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theme" Target="theme/theme1.xml"/><Relationship Id="rId79"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alcChain" Target="calcChain.xml"/><Relationship Id="rId8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Minimum Adult Spring Chinook Run Entering the Columbia River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v>Select Area</c:v>
          </c:tx>
          <c:spPr>
            <a:solidFill>
              <a:schemeClr val="accent2"/>
            </a:solidFill>
            <a:ln>
              <a:noFill/>
            </a:ln>
            <a:effectLst/>
          </c:spPr>
          <c:invertIfNegative val="0"/>
          <c:cat>
            <c:numRef>
              <c:f>(T1Manip!$A$4:$A$8,T1Manip!$A$10:$A$14,T1Manip!$A$16:$A$50)</c:f>
              <c:numCache>
                <c:formatCode>General</c:formatCod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numCache>
            </c:numRef>
          </c:cat>
          <c:val>
            <c:numRef>
              <c:f>(T1Manip!$B$4:$B$8,T1Manip!$B$10:$B$14,T1Manip!$B$16:$B$50)</c:f>
              <c:numCache>
                <c:formatCode>General</c:formatCode>
                <c:ptCount val="45"/>
                <c:pt idx="0">
                  <c:v>0</c:v>
                </c:pt>
                <c:pt idx="1">
                  <c:v>0</c:v>
                </c:pt>
                <c:pt idx="2">
                  <c:v>0</c:v>
                </c:pt>
                <c:pt idx="3">
                  <c:v>0</c:v>
                </c:pt>
                <c:pt idx="4">
                  <c:v>0</c:v>
                </c:pt>
                <c:pt idx="5">
                  <c:v>0</c:v>
                </c:pt>
                <c:pt idx="6">
                  <c:v>0</c:v>
                </c:pt>
                <c:pt idx="7">
                  <c:v>0</c:v>
                </c:pt>
                <c:pt idx="8">
                  <c:v>0</c:v>
                </c:pt>
                <c:pt idx="9">
                  <c:v>0</c:v>
                </c:pt>
                <c:pt idx="10">
                  <c:v>0</c:v>
                </c:pt>
                <c:pt idx="11">
                  <c:v>0</c:v>
                </c:pt>
                <c:pt idx="12" formatCode="#,##0">
                  <c:v>211</c:v>
                </c:pt>
                <c:pt idx="13" formatCode="#,##0">
                  <c:v>629</c:v>
                </c:pt>
                <c:pt idx="14" formatCode="#,##0">
                  <c:v>126</c:v>
                </c:pt>
                <c:pt idx="15" formatCode="#,##0">
                  <c:v>169</c:v>
                </c:pt>
                <c:pt idx="16" formatCode="#,##0">
                  <c:v>689</c:v>
                </c:pt>
                <c:pt idx="17" formatCode="#,##0">
                  <c:v>1583</c:v>
                </c:pt>
                <c:pt idx="18" formatCode="#,##0">
                  <c:v>2034</c:v>
                </c:pt>
                <c:pt idx="19" formatCode="#,##0">
                  <c:v>1337</c:v>
                </c:pt>
                <c:pt idx="20" formatCode="#,##0">
                  <c:v>5585</c:v>
                </c:pt>
                <c:pt idx="21" formatCode="#,##0">
                  <c:v>8089</c:v>
                </c:pt>
                <c:pt idx="22" formatCode="#,##0">
                  <c:v>8661</c:v>
                </c:pt>
                <c:pt idx="23" formatCode="#,##0">
                  <c:v>6827</c:v>
                </c:pt>
                <c:pt idx="24" formatCode="#,##0">
                  <c:v>10162</c:v>
                </c:pt>
                <c:pt idx="25" formatCode="#,##0">
                  <c:v>2366</c:v>
                </c:pt>
                <c:pt idx="26" formatCode="#,##0">
                  <c:v>6998</c:v>
                </c:pt>
                <c:pt idx="27" formatCode="#,##0">
                  <c:v>6356</c:v>
                </c:pt>
                <c:pt idx="28" formatCode="#,##0">
                  <c:v>3289</c:v>
                </c:pt>
                <c:pt idx="29" formatCode="#,##0">
                  <c:v>2830</c:v>
                </c:pt>
                <c:pt idx="30" formatCode="#,##0">
                  <c:v>22955</c:v>
                </c:pt>
                <c:pt idx="31" formatCode="#,##0">
                  <c:v>8850</c:v>
                </c:pt>
                <c:pt idx="32" formatCode="#,##0">
                  <c:v>8984</c:v>
                </c:pt>
                <c:pt idx="33" formatCode="#,##0">
                  <c:v>5383</c:v>
                </c:pt>
                <c:pt idx="34" formatCode="#,##0">
                  <c:v>2479</c:v>
                </c:pt>
                <c:pt idx="35" formatCode="#,##0">
                  <c:v>13562</c:v>
                </c:pt>
                <c:pt idx="36" formatCode="#,##0">
                  <c:v>9920</c:v>
                </c:pt>
                <c:pt idx="37" formatCode="#,##0">
                  <c:v>16818</c:v>
                </c:pt>
                <c:pt idx="38" formatCode="#,##0">
                  <c:v>10569</c:v>
                </c:pt>
                <c:pt idx="39" formatCode="#,##0">
                  <c:v>2717</c:v>
                </c:pt>
                <c:pt idx="40" formatCode="#,##0">
                  <c:v>4003</c:v>
                </c:pt>
                <c:pt idx="41" formatCode="#,##0">
                  <c:v>6897</c:v>
                </c:pt>
                <c:pt idx="42" formatCode="#,##0">
                  <c:v>19186</c:v>
                </c:pt>
                <c:pt idx="43" formatCode="#,##0">
                  <c:v>21468</c:v>
                </c:pt>
                <c:pt idx="44" formatCode="#,##0">
                  <c:v>17424</c:v>
                </c:pt>
              </c:numCache>
            </c:numRef>
          </c:val>
          <c:extLst>
            <c:ext xmlns:c16="http://schemas.microsoft.com/office/drawing/2014/chart" uri="{C3380CC4-5D6E-409C-BE32-E72D297353CC}">
              <c16:uniqueId val="{00000000-01A4-469C-916C-0FADC84DB518}"/>
            </c:ext>
          </c:extLst>
        </c:ser>
        <c:ser>
          <c:idx val="2"/>
          <c:order val="1"/>
          <c:tx>
            <c:strRef>
              <c:f>T1Manip!$C$2</c:f>
              <c:strCache>
                <c:ptCount val="1"/>
                <c:pt idx="0">
                  <c:v>Cowlitz River </c:v>
                </c:pt>
              </c:strCache>
            </c:strRef>
          </c:tx>
          <c:spPr>
            <a:solidFill>
              <a:schemeClr val="accent3"/>
            </a:solidFill>
            <a:ln>
              <a:noFill/>
            </a:ln>
            <a:effectLst/>
          </c:spPr>
          <c:invertIfNegative val="0"/>
          <c:cat>
            <c:numRef>
              <c:f>(T1Manip!$A$4:$A$8,T1Manip!$A$10:$A$14,T1Manip!$A$16:$A$50)</c:f>
              <c:numCache>
                <c:formatCode>General</c:formatCod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numCache>
            </c:numRef>
          </c:cat>
          <c:val>
            <c:numRef>
              <c:f>(T1Manip!$C$4:$C$8,T1Manip!$C$10:$C$14,T1Manip!$C$16:$C$50)</c:f>
              <c:numCache>
                <c:formatCode>General</c:formatCode>
                <c:ptCount val="45"/>
                <c:pt idx="0">
                  <c:v>23749</c:v>
                </c:pt>
                <c:pt idx="1">
                  <c:v>27921</c:v>
                </c:pt>
                <c:pt idx="2">
                  <c:v>19337</c:v>
                </c:pt>
                <c:pt idx="3">
                  <c:v>21350</c:v>
                </c:pt>
                <c:pt idx="4">
                  <c:v>21327</c:v>
                </c:pt>
                <c:pt idx="5" formatCode="#,##0">
                  <c:v>9911</c:v>
                </c:pt>
                <c:pt idx="6" formatCode="#,##0">
                  <c:v>7325</c:v>
                </c:pt>
                <c:pt idx="7" formatCode="#,##0">
                  <c:v>17983</c:v>
                </c:pt>
                <c:pt idx="8" formatCode="#,##0">
                  <c:v>12337</c:v>
                </c:pt>
                <c:pt idx="9" formatCode="#,##0">
                  <c:v>8324</c:v>
                </c:pt>
                <c:pt idx="10" formatCode="#,##0">
                  <c:v>7555</c:v>
                </c:pt>
                <c:pt idx="11" formatCode="#,##0">
                  <c:v>8945</c:v>
                </c:pt>
                <c:pt idx="12" formatCode="#,##0">
                  <c:v>10353</c:v>
                </c:pt>
                <c:pt idx="13" formatCode="#,##0">
                  <c:v>9458</c:v>
                </c:pt>
                <c:pt idx="14" formatCode="#,##0">
                  <c:v>3149</c:v>
                </c:pt>
                <c:pt idx="15" formatCode="#,##0">
                  <c:v>2102</c:v>
                </c:pt>
                <c:pt idx="16" formatCode="#,##0">
                  <c:v>1787</c:v>
                </c:pt>
                <c:pt idx="17" formatCode="#,##0">
                  <c:v>1877</c:v>
                </c:pt>
                <c:pt idx="18" formatCode="#,##0">
                  <c:v>1055</c:v>
                </c:pt>
                <c:pt idx="19" formatCode="#,##0">
                  <c:v>2069</c:v>
                </c:pt>
                <c:pt idx="20" formatCode="#,##0">
                  <c:v>2199</c:v>
                </c:pt>
                <c:pt idx="21" formatCode="#,##0">
                  <c:v>1609</c:v>
                </c:pt>
                <c:pt idx="22" formatCode="#,##0">
                  <c:v>5129</c:v>
                </c:pt>
                <c:pt idx="23" formatCode="#,##0">
                  <c:v>15954</c:v>
                </c:pt>
                <c:pt idx="24" formatCode="#,##0">
                  <c:v>16530</c:v>
                </c:pt>
                <c:pt idx="25" formatCode="#,##0">
                  <c:v>9398</c:v>
                </c:pt>
                <c:pt idx="26" formatCode="#,##0">
                  <c:v>7001</c:v>
                </c:pt>
                <c:pt idx="27" formatCode="#,##0">
                  <c:v>3961</c:v>
                </c:pt>
                <c:pt idx="28" formatCode="#,##0">
                  <c:v>2978</c:v>
                </c:pt>
                <c:pt idx="29" formatCode="#,##0">
                  <c:v>6054</c:v>
                </c:pt>
                <c:pt idx="30" formatCode="#,##0">
                  <c:v>8615</c:v>
                </c:pt>
                <c:pt idx="31" formatCode="#,##0">
                  <c:v>5379</c:v>
                </c:pt>
                <c:pt idx="32" formatCode="#,##0">
                  <c:v>12212.851999999999</c:v>
                </c:pt>
                <c:pt idx="33" formatCode="#,##0">
                  <c:v>8132</c:v>
                </c:pt>
                <c:pt idx="34" formatCode="#,##0">
                  <c:v>8294</c:v>
                </c:pt>
                <c:pt idx="35" formatCode="#,##0">
                  <c:v>26504</c:v>
                </c:pt>
                <c:pt idx="36" formatCode="#,##0">
                  <c:v>24554</c:v>
                </c:pt>
                <c:pt idx="37" formatCode="#,##0">
                  <c:v>14618</c:v>
                </c:pt>
                <c:pt idx="38" formatCode="#,##0">
                  <c:v>4196</c:v>
                </c:pt>
                <c:pt idx="39" formatCode="#,##0">
                  <c:v>1573</c:v>
                </c:pt>
                <c:pt idx="40" formatCode="#,##0">
                  <c:v>908</c:v>
                </c:pt>
                <c:pt idx="41" formatCode="#,##0">
                  <c:v>3700</c:v>
                </c:pt>
                <c:pt idx="42" formatCode="#,##0">
                  <c:v>7146</c:v>
                </c:pt>
                <c:pt idx="43" formatCode="#,##0">
                  <c:v>6217</c:v>
                </c:pt>
                <c:pt idx="44" formatCode="#,##0">
                  <c:v>8983</c:v>
                </c:pt>
              </c:numCache>
            </c:numRef>
          </c:val>
          <c:extLst>
            <c:ext xmlns:c16="http://schemas.microsoft.com/office/drawing/2014/chart" uri="{C3380CC4-5D6E-409C-BE32-E72D297353CC}">
              <c16:uniqueId val="{00000001-01A4-469C-916C-0FADC84DB518}"/>
            </c:ext>
          </c:extLst>
        </c:ser>
        <c:ser>
          <c:idx val="3"/>
          <c:order val="2"/>
          <c:tx>
            <c:strRef>
              <c:f>T1Manip!$D$2</c:f>
              <c:strCache>
                <c:ptCount val="1"/>
                <c:pt idx="0">
                  <c:v>Kalama River </c:v>
                </c:pt>
              </c:strCache>
            </c:strRef>
          </c:tx>
          <c:spPr>
            <a:solidFill>
              <a:schemeClr val="accent4"/>
            </a:solidFill>
            <a:ln>
              <a:noFill/>
            </a:ln>
            <a:effectLst/>
          </c:spPr>
          <c:invertIfNegative val="0"/>
          <c:cat>
            <c:numRef>
              <c:f>(T1Manip!$A$4:$A$8,T1Manip!$A$10:$A$14,T1Manip!$A$16:$A$50)</c:f>
              <c:numCache>
                <c:formatCode>General</c:formatCod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numCache>
            </c:numRef>
          </c:cat>
          <c:val>
            <c:numRef>
              <c:f>(T1Manip!$D$4:$D$8,T1Manip!$D$10:$D$14,T1Manip!$D$16:$D$50)</c:f>
              <c:numCache>
                <c:formatCode>General</c:formatCode>
                <c:ptCount val="45"/>
                <c:pt idx="0">
                  <c:v>2477</c:v>
                </c:pt>
                <c:pt idx="1">
                  <c:v>3265</c:v>
                </c:pt>
                <c:pt idx="2">
                  <c:v>8420</c:v>
                </c:pt>
                <c:pt idx="3">
                  <c:v>4857</c:v>
                </c:pt>
                <c:pt idx="4">
                  <c:v>1807</c:v>
                </c:pt>
                <c:pt idx="5" formatCode="#,##0">
                  <c:v>338</c:v>
                </c:pt>
                <c:pt idx="6" formatCode="#,##0">
                  <c:v>1077</c:v>
                </c:pt>
                <c:pt idx="7" formatCode="#,##0">
                  <c:v>2421</c:v>
                </c:pt>
                <c:pt idx="8" formatCode="#,##0">
                  <c:v>1937</c:v>
                </c:pt>
                <c:pt idx="9" formatCode="#,##0">
                  <c:v>1986</c:v>
                </c:pt>
                <c:pt idx="10" formatCode="#,##0">
                  <c:v>1987</c:v>
                </c:pt>
                <c:pt idx="11" formatCode="#,##0">
                  <c:v>2613</c:v>
                </c:pt>
                <c:pt idx="12" formatCode="#,##0">
                  <c:v>2430</c:v>
                </c:pt>
                <c:pt idx="13" formatCode="#,##0">
                  <c:v>2874</c:v>
                </c:pt>
                <c:pt idx="14" formatCode="#,##0">
                  <c:v>1265</c:v>
                </c:pt>
                <c:pt idx="15" formatCode="#,##0">
                  <c:v>697</c:v>
                </c:pt>
                <c:pt idx="16" formatCode="#,##0">
                  <c:v>627</c:v>
                </c:pt>
                <c:pt idx="17" formatCode="#,##0">
                  <c:v>505</c:v>
                </c:pt>
                <c:pt idx="18" formatCode="#,##0">
                  <c:v>407</c:v>
                </c:pt>
                <c:pt idx="19" formatCode="#,##0">
                  <c:v>977</c:v>
                </c:pt>
                <c:pt idx="20" formatCode="#,##0">
                  <c:v>1418</c:v>
                </c:pt>
                <c:pt idx="21" formatCode="#,##0">
                  <c:v>1796</c:v>
                </c:pt>
                <c:pt idx="22" formatCode="#,##0">
                  <c:v>2912</c:v>
                </c:pt>
                <c:pt idx="23" formatCode="#,##0">
                  <c:v>4556</c:v>
                </c:pt>
                <c:pt idx="24" formatCode="#,##0">
                  <c:v>4286</c:v>
                </c:pt>
                <c:pt idx="25" formatCode="#,##0">
                  <c:v>3367</c:v>
                </c:pt>
                <c:pt idx="26" formatCode="#,##0">
                  <c:v>5458</c:v>
                </c:pt>
                <c:pt idx="27" formatCode="#,##0">
                  <c:v>8030</c:v>
                </c:pt>
                <c:pt idx="28" formatCode="#,##0">
                  <c:v>1623</c:v>
                </c:pt>
                <c:pt idx="29" formatCode="#,##0">
                  <c:v>404</c:v>
                </c:pt>
                <c:pt idx="30" formatCode="#,##0">
                  <c:v>977</c:v>
                </c:pt>
                <c:pt idx="31" formatCode="#,##0">
                  <c:v>776</c:v>
                </c:pt>
                <c:pt idx="32" formatCode="#,##0">
                  <c:v>889.02629999999999</c:v>
                </c:pt>
                <c:pt idx="33" formatCode="#,##0">
                  <c:v>1014</c:v>
                </c:pt>
                <c:pt idx="34" formatCode="#,##0">
                  <c:v>1013</c:v>
                </c:pt>
                <c:pt idx="35" formatCode="#,##0">
                  <c:v>3237</c:v>
                </c:pt>
                <c:pt idx="36" formatCode="#,##0">
                  <c:v>4462</c:v>
                </c:pt>
                <c:pt idx="37" formatCode="#,##0">
                  <c:v>3505</c:v>
                </c:pt>
                <c:pt idx="38" formatCode="#,##0">
                  <c:v>1889</c:v>
                </c:pt>
                <c:pt idx="39" formatCode="#,##0">
                  <c:v>809</c:v>
                </c:pt>
                <c:pt idx="40" formatCode="#,##0">
                  <c:v>1158</c:v>
                </c:pt>
                <c:pt idx="41" formatCode="#,##0">
                  <c:v>1857</c:v>
                </c:pt>
                <c:pt idx="42" formatCode="#,##0">
                  <c:v>3148</c:v>
                </c:pt>
                <c:pt idx="43" formatCode="#,##0">
                  <c:v>2525</c:v>
                </c:pt>
                <c:pt idx="44" formatCode="#,##0">
                  <c:v>2474</c:v>
                </c:pt>
              </c:numCache>
            </c:numRef>
          </c:val>
          <c:extLst>
            <c:ext xmlns:c16="http://schemas.microsoft.com/office/drawing/2014/chart" uri="{C3380CC4-5D6E-409C-BE32-E72D297353CC}">
              <c16:uniqueId val="{00000002-01A4-469C-916C-0FADC84DB518}"/>
            </c:ext>
          </c:extLst>
        </c:ser>
        <c:ser>
          <c:idx val="4"/>
          <c:order val="3"/>
          <c:tx>
            <c:strRef>
              <c:f>T1Manip!$C$2</c:f>
              <c:strCache>
                <c:ptCount val="1"/>
                <c:pt idx="0">
                  <c:v>Cowlitz River </c:v>
                </c:pt>
              </c:strCache>
            </c:strRef>
          </c:tx>
          <c:spPr>
            <a:solidFill>
              <a:schemeClr val="accent5"/>
            </a:solidFill>
            <a:ln>
              <a:noFill/>
            </a:ln>
            <a:effectLst/>
          </c:spPr>
          <c:invertIfNegative val="0"/>
          <c:cat>
            <c:numRef>
              <c:f>(T1Manip!$A$4:$A$8,T1Manip!$A$10:$A$14,T1Manip!$A$16:$A$50)</c:f>
              <c:numCache>
                <c:formatCode>General</c:formatCod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numCache>
            </c:numRef>
          </c:cat>
          <c:val>
            <c:numRef>
              <c:f>(T1Manip!$C$4:$C$8,T1Manip!$C$10:$C$14,T1Manip!$C$16:$C$50)</c:f>
              <c:numCache>
                <c:formatCode>General</c:formatCode>
                <c:ptCount val="45"/>
                <c:pt idx="0">
                  <c:v>23749</c:v>
                </c:pt>
                <c:pt idx="1">
                  <c:v>27921</c:v>
                </c:pt>
                <c:pt idx="2">
                  <c:v>19337</c:v>
                </c:pt>
                <c:pt idx="3">
                  <c:v>21350</c:v>
                </c:pt>
                <c:pt idx="4">
                  <c:v>21327</c:v>
                </c:pt>
                <c:pt idx="5" formatCode="#,##0">
                  <c:v>9911</c:v>
                </c:pt>
                <c:pt idx="6" formatCode="#,##0">
                  <c:v>7325</c:v>
                </c:pt>
                <c:pt idx="7" formatCode="#,##0">
                  <c:v>17983</c:v>
                </c:pt>
                <c:pt idx="8" formatCode="#,##0">
                  <c:v>12337</c:v>
                </c:pt>
                <c:pt idx="9" formatCode="#,##0">
                  <c:v>8324</c:v>
                </c:pt>
                <c:pt idx="10" formatCode="#,##0">
                  <c:v>7555</c:v>
                </c:pt>
                <c:pt idx="11" formatCode="#,##0">
                  <c:v>8945</c:v>
                </c:pt>
                <c:pt idx="12" formatCode="#,##0">
                  <c:v>10353</c:v>
                </c:pt>
                <c:pt idx="13" formatCode="#,##0">
                  <c:v>9458</c:v>
                </c:pt>
                <c:pt idx="14" formatCode="#,##0">
                  <c:v>3149</c:v>
                </c:pt>
                <c:pt idx="15" formatCode="#,##0">
                  <c:v>2102</c:v>
                </c:pt>
                <c:pt idx="16" formatCode="#,##0">
                  <c:v>1787</c:v>
                </c:pt>
                <c:pt idx="17" formatCode="#,##0">
                  <c:v>1877</c:v>
                </c:pt>
                <c:pt idx="18" formatCode="#,##0">
                  <c:v>1055</c:v>
                </c:pt>
                <c:pt idx="19" formatCode="#,##0">
                  <c:v>2069</c:v>
                </c:pt>
                <c:pt idx="20" formatCode="#,##0">
                  <c:v>2199</c:v>
                </c:pt>
                <c:pt idx="21" formatCode="#,##0">
                  <c:v>1609</c:v>
                </c:pt>
                <c:pt idx="22" formatCode="#,##0">
                  <c:v>5129</c:v>
                </c:pt>
                <c:pt idx="23" formatCode="#,##0">
                  <c:v>15954</c:v>
                </c:pt>
                <c:pt idx="24" formatCode="#,##0">
                  <c:v>16530</c:v>
                </c:pt>
                <c:pt idx="25" formatCode="#,##0">
                  <c:v>9398</c:v>
                </c:pt>
                <c:pt idx="26" formatCode="#,##0">
                  <c:v>7001</c:v>
                </c:pt>
                <c:pt idx="27" formatCode="#,##0">
                  <c:v>3961</c:v>
                </c:pt>
                <c:pt idx="28" formatCode="#,##0">
                  <c:v>2978</c:v>
                </c:pt>
                <c:pt idx="29" formatCode="#,##0">
                  <c:v>6054</c:v>
                </c:pt>
                <c:pt idx="30" formatCode="#,##0">
                  <c:v>8615</c:v>
                </c:pt>
                <c:pt idx="31" formatCode="#,##0">
                  <c:v>5379</c:v>
                </c:pt>
                <c:pt idx="32" formatCode="#,##0">
                  <c:v>12212.851999999999</c:v>
                </c:pt>
                <c:pt idx="33" formatCode="#,##0">
                  <c:v>8132</c:v>
                </c:pt>
                <c:pt idx="34" formatCode="#,##0">
                  <c:v>8294</c:v>
                </c:pt>
                <c:pt idx="35" formatCode="#,##0">
                  <c:v>26504</c:v>
                </c:pt>
                <c:pt idx="36" formatCode="#,##0">
                  <c:v>24554</c:v>
                </c:pt>
                <c:pt idx="37" formatCode="#,##0">
                  <c:v>14618</c:v>
                </c:pt>
                <c:pt idx="38" formatCode="#,##0">
                  <c:v>4196</c:v>
                </c:pt>
                <c:pt idx="39" formatCode="#,##0">
                  <c:v>1573</c:v>
                </c:pt>
                <c:pt idx="40" formatCode="#,##0">
                  <c:v>908</c:v>
                </c:pt>
                <c:pt idx="41" formatCode="#,##0">
                  <c:v>3700</c:v>
                </c:pt>
                <c:pt idx="42" formatCode="#,##0">
                  <c:v>7146</c:v>
                </c:pt>
                <c:pt idx="43" formatCode="#,##0">
                  <c:v>6217</c:v>
                </c:pt>
                <c:pt idx="44" formatCode="#,##0">
                  <c:v>8983</c:v>
                </c:pt>
              </c:numCache>
            </c:numRef>
          </c:val>
          <c:extLst>
            <c:ext xmlns:c16="http://schemas.microsoft.com/office/drawing/2014/chart" uri="{C3380CC4-5D6E-409C-BE32-E72D297353CC}">
              <c16:uniqueId val="{00000003-01A4-469C-916C-0FADC84DB518}"/>
            </c:ext>
          </c:extLst>
        </c:ser>
        <c:ser>
          <c:idx val="5"/>
          <c:order val="4"/>
          <c:tx>
            <c:strRef>
              <c:f>T1Manip!$F$2</c:f>
              <c:strCache>
                <c:ptCount val="1"/>
                <c:pt idx="0">
                  <c:v>Sandy River </c:v>
                </c:pt>
              </c:strCache>
            </c:strRef>
          </c:tx>
          <c:spPr>
            <a:solidFill>
              <a:schemeClr val="accent6"/>
            </a:solidFill>
            <a:ln>
              <a:noFill/>
            </a:ln>
            <a:effectLst/>
          </c:spPr>
          <c:invertIfNegative val="0"/>
          <c:cat>
            <c:numRef>
              <c:f>(T1Manip!$A$4:$A$8,T1Manip!$A$10:$A$14,T1Manip!$A$16:$A$50)</c:f>
              <c:numCache>
                <c:formatCode>General</c:formatCod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numCache>
            </c:numRef>
          </c:cat>
          <c:val>
            <c:numRef>
              <c:f>(T1Manip!$F$4:$F$8,T1Manip!$F$10:$F$14,T1Manip!$F$16:$F$50)</c:f>
              <c:numCache>
                <c:formatCode>#,##0</c:formatCode>
                <c:ptCount val="45"/>
                <c:pt idx="0">
                  <c:v>1822</c:v>
                </c:pt>
                <c:pt idx="1">
                  <c:v>2841</c:v>
                </c:pt>
                <c:pt idx="2">
                  <c:v>1382</c:v>
                </c:pt>
                <c:pt idx="3">
                  <c:v>1864</c:v>
                </c:pt>
                <c:pt idx="4">
                  <c:v>2374</c:v>
                </c:pt>
                <c:pt idx="5">
                  <c:v>1449</c:v>
                </c:pt>
                <c:pt idx="6">
                  <c:v>1286</c:v>
                </c:pt>
                <c:pt idx="7">
                  <c:v>2353</c:v>
                </c:pt>
                <c:pt idx="8">
                  <c:v>2931</c:v>
                </c:pt>
                <c:pt idx="9">
                  <c:v>2004</c:v>
                </c:pt>
                <c:pt idx="10">
                  <c:v>3527</c:v>
                </c:pt>
                <c:pt idx="11">
                  <c:v>3652</c:v>
                </c:pt>
                <c:pt idx="12">
                  <c:v>8551</c:v>
                </c:pt>
                <c:pt idx="13">
                  <c:v>6369</c:v>
                </c:pt>
                <c:pt idx="14">
                  <c:v>3498</c:v>
                </c:pt>
                <c:pt idx="15">
                  <c:v>2529</c:v>
                </c:pt>
                <c:pt idx="16">
                  <c:v>3801</c:v>
                </c:pt>
                <c:pt idx="17">
                  <c:v>4410</c:v>
                </c:pt>
                <c:pt idx="18">
                  <c:v>3577</c:v>
                </c:pt>
                <c:pt idx="19">
                  <c:v>3585</c:v>
                </c:pt>
                <c:pt idx="20">
                  <c:v>3641</c:v>
                </c:pt>
                <c:pt idx="21">
                  <c:v>5329</c:v>
                </c:pt>
                <c:pt idx="22">
                  <c:v>5905</c:v>
                </c:pt>
                <c:pt idx="23">
                  <c:v>5472</c:v>
                </c:pt>
                <c:pt idx="24">
                  <c:v>12680</c:v>
                </c:pt>
                <c:pt idx="25">
                  <c:v>7665</c:v>
                </c:pt>
                <c:pt idx="26">
                  <c:v>4382</c:v>
                </c:pt>
                <c:pt idx="27">
                  <c:v>2841</c:v>
                </c:pt>
                <c:pt idx="28">
                  <c:v>5848</c:v>
                </c:pt>
                <c:pt idx="29">
                  <c:v>2347</c:v>
                </c:pt>
                <c:pt idx="30">
                  <c:v>7343</c:v>
                </c:pt>
                <c:pt idx="31">
                  <c:v>4702</c:v>
                </c:pt>
                <c:pt idx="32">
                  <c:v>4568</c:v>
                </c:pt>
                <c:pt idx="33">
                  <c:v>3723</c:v>
                </c:pt>
                <c:pt idx="34">
                  <c:v>3106</c:v>
                </c:pt>
                <c:pt idx="35">
                  <c:v>3474</c:v>
                </c:pt>
                <c:pt idx="36">
                  <c:v>3964</c:v>
                </c:pt>
                <c:pt idx="37">
                  <c:v>7607</c:v>
                </c:pt>
                <c:pt idx="38">
                  <c:v>4838</c:v>
                </c:pt>
                <c:pt idx="39">
                  <c:v>3424</c:v>
                </c:pt>
                <c:pt idx="40">
                  <c:v>7782</c:v>
                </c:pt>
                <c:pt idx="41">
                  <c:v>5676</c:v>
                </c:pt>
                <c:pt idx="42">
                  <c:v>10289</c:v>
                </c:pt>
                <c:pt idx="43">
                  <c:v>6312</c:v>
                </c:pt>
                <c:pt idx="44">
                  <c:v>5358</c:v>
                </c:pt>
              </c:numCache>
            </c:numRef>
          </c:val>
          <c:extLst>
            <c:ext xmlns:c16="http://schemas.microsoft.com/office/drawing/2014/chart" uri="{C3380CC4-5D6E-409C-BE32-E72D297353CC}">
              <c16:uniqueId val="{00000004-01A4-469C-916C-0FADC84DB518}"/>
            </c:ext>
          </c:extLst>
        </c:ser>
        <c:ser>
          <c:idx val="6"/>
          <c:order val="5"/>
          <c:tx>
            <c:v>Willamette River</c:v>
          </c:tx>
          <c:spPr>
            <a:solidFill>
              <a:schemeClr val="accent1">
                <a:lumMod val="60000"/>
              </a:schemeClr>
            </a:solidFill>
            <a:ln>
              <a:noFill/>
            </a:ln>
            <a:effectLst/>
          </c:spPr>
          <c:invertIfNegative val="0"/>
          <c:cat>
            <c:numRef>
              <c:f>(T1Manip!$A$4:$A$8,T1Manip!$A$10:$A$14,T1Manip!$A$16:$A$50)</c:f>
              <c:numCache>
                <c:formatCode>General</c:formatCod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numCache>
            </c:numRef>
          </c:cat>
          <c:val>
            <c:numRef>
              <c:f>(T1Manip!$G$4:$G$8,T1Manip!$G$10:$G$14,T1Manip!$G$16:$G$50)</c:f>
              <c:numCache>
                <c:formatCode>#,##0</c:formatCode>
                <c:ptCount val="45"/>
                <c:pt idx="0">
                  <c:v>42378</c:v>
                </c:pt>
                <c:pt idx="1">
                  <c:v>54338</c:v>
                </c:pt>
                <c:pt idx="2">
                  <c:v>75941</c:v>
                </c:pt>
                <c:pt idx="3">
                  <c:v>59395</c:v>
                </c:pt>
                <c:pt idx="4">
                  <c:v>82621</c:v>
                </c:pt>
                <c:pt idx="5">
                  <c:v>65994</c:v>
                </c:pt>
                <c:pt idx="6">
                  <c:v>70498</c:v>
                </c:pt>
                <c:pt idx="7">
                  <c:v>90917</c:v>
                </c:pt>
                <c:pt idx="8">
                  <c:v>115994</c:v>
                </c:pt>
                <c:pt idx="9">
                  <c:v>110613</c:v>
                </c:pt>
                <c:pt idx="10">
                  <c:v>127900</c:v>
                </c:pt>
                <c:pt idx="11">
                  <c:v>105530</c:v>
                </c:pt>
                <c:pt idx="12">
                  <c:v>72197</c:v>
                </c:pt>
                <c:pt idx="13">
                  <c:v>62778</c:v>
                </c:pt>
                <c:pt idx="14">
                  <c:v>48804</c:v>
                </c:pt>
                <c:pt idx="15">
                  <c:v>40854</c:v>
                </c:pt>
                <c:pt idx="16">
                  <c:v>33358</c:v>
                </c:pt>
                <c:pt idx="17">
                  <c:v>34540</c:v>
                </c:pt>
                <c:pt idx="18">
                  <c:v>43497</c:v>
                </c:pt>
                <c:pt idx="19">
                  <c:v>52584</c:v>
                </c:pt>
                <c:pt idx="20">
                  <c:v>55740</c:v>
                </c:pt>
                <c:pt idx="21">
                  <c:v>78502</c:v>
                </c:pt>
                <c:pt idx="22">
                  <c:v>120161</c:v>
                </c:pt>
                <c:pt idx="23">
                  <c:v>123355</c:v>
                </c:pt>
                <c:pt idx="24">
                  <c:v>143240</c:v>
                </c:pt>
                <c:pt idx="25">
                  <c:v>59471</c:v>
                </c:pt>
                <c:pt idx="26">
                  <c:v>59311</c:v>
                </c:pt>
                <c:pt idx="27">
                  <c:v>39963</c:v>
                </c:pt>
                <c:pt idx="28">
                  <c:v>26615</c:v>
                </c:pt>
                <c:pt idx="29">
                  <c:v>35432</c:v>
                </c:pt>
                <c:pt idx="30">
                  <c:v>107675</c:v>
                </c:pt>
                <c:pt idx="31">
                  <c:v>76549</c:v>
                </c:pt>
                <c:pt idx="32">
                  <c:v>63037</c:v>
                </c:pt>
                <c:pt idx="33">
                  <c:v>44880</c:v>
                </c:pt>
                <c:pt idx="34">
                  <c:v>49765</c:v>
                </c:pt>
                <c:pt idx="35">
                  <c:v>84532</c:v>
                </c:pt>
                <c:pt idx="36">
                  <c:v>47225</c:v>
                </c:pt>
                <c:pt idx="37">
                  <c:v>50774</c:v>
                </c:pt>
                <c:pt idx="38">
                  <c:v>37441</c:v>
                </c:pt>
                <c:pt idx="39">
                  <c:v>27292</c:v>
                </c:pt>
                <c:pt idx="40">
                  <c:v>45965</c:v>
                </c:pt>
                <c:pt idx="41">
                  <c:v>41308</c:v>
                </c:pt>
                <c:pt idx="42">
                  <c:v>55391</c:v>
                </c:pt>
                <c:pt idx="43">
                  <c:v>38373</c:v>
                </c:pt>
                <c:pt idx="44">
                  <c:v>37737</c:v>
                </c:pt>
              </c:numCache>
            </c:numRef>
          </c:val>
          <c:extLst>
            <c:ext xmlns:c16="http://schemas.microsoft.com/office/drawing/2014/chart" uri="{C3380CC4-5D6E-409C-BE32-E72D297353CC}">
              <c16:uniqueId val="{00000005-01A4-469C-916C-0FADC84DB518}"/>
            </c:ext>
          </c:extLst>
        </c:ser>
        <c:ser>
          <c:idx val="7"/>
          <c:order val="6"/>
          <c:tx>
            <c:v>Upriver Stocks</c:v>
          </c:tx>
          <c:spPr>
            <a:solidFill>
              <a:schemeClr val="accent2">
                <a:lumMod val="60000"/>
              </a:schemeClr>
            </a:solidFill>
            <a:ln>
              <a:noFill/>
            </a:ln>
            <a:effectLst/>
          </c:spPr>
          <c:invertIfNegative val="0"/>
          <c:cat>
            <c:numRef>
              <c:f>(T1Manip!$A$4:$A$8,T1Manip!$A$10:$A$14,T1Manip!$A$16:$A$50)</c:f>
              <c:numCache>
                <c:formatCode>General</c:formatCod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numCache>
            </c:numRef>
          </c:cat>
          <c:val>
            <c:numRef>
              <c:f>(T1Manip!$H$4:$H$8,T1Manip!$H$10:$H$14,T1Manip!$H$16:$H$50)</c:f>
              <c:numCache>
                <c:formatCode>#,##0</c:formatCode>
                <c:ptCount val="45"/>
                <c:pt idx="0">
                  <c:v>57691.63791172221</c:v>
                </c:pt>
                <c:pt idx="1">
                  <c:v>67400.661533241757</c:v>
                </c:pt>
                <c:pt idx="2">
                  <c:v>77246.321318817834</c:v>
                </c:pt>
                <c:pt idx="3">
                  <c:v>62911.566168194164</c:v>
                </c:pt>
                <c:pt idx="4">
                  <c:v>52357.285239117911</c:v>
                </c:pt>
                <c:pt idx="5">
                  <c:v>92284</c:v>
                </c:pt>
                <c:pt idx="6">
                  <c:v>128413.05047545682</c:v>
                </c:pt>
                <c:pt idx="7">
                  <c:v>110771.71076093169</c:v>
                </c:pt>
                <c:pt idx="8">
                  <c:v>106003.11528755868</c:v>
                </c:pt>
                <c:pt idx="9">
                  <c:v>90031.088587530816</c:v>
                </c:pt>
                <c:pt idx="10">
                  <c:v>105715.28177347367</c:v>
                </c:pt>
                <c:pt idx="11">
                  <c:v>64478.651819107508</c:v>
                </c:pt>
                <c:pt idx="12">
                  <c:v>95691.438848632926</c:v>
                </c:pt>
                <c:pt idx="13">
                  <c:v>119962.96327890742</c:v>
                </c:pt>
                <c:pt idx="14">
                  <c:v>24095.182175867772</c:v>
                </c:pt>
                <c:pt idx="15">
                  <c:v>12792</c:v>
                </c:pt>
                <c:pt idx="16">
                  <c:v>55551</c:v>
                </c:pt>
                <c:pt idx="17">
                  <c:v>124321</c:v>
                </c:pt>
                <c:pt idx="18">
                  <c:v>44308</c:v>
                </c:pt>
                <c:pt idx="19">
                  <c:v>43067.18</c:v>
                </c:pt>
                <c:pt idx="20">
                  <c:v>186715.2</c:v>
                </c:pt>
                <c:pt idx="21">
                  <c:v>439885</c:v>
                </c:pt>
                <c:pt idx="22">
                  <c:v>335306</c:v>
                </c:pt>
                <c:pt idx="23">
                  <c:v>242605.3</c:v>
                </c:pt>
                <c:pt idx="24">
                  <c:v>221675.28</c:v>
                </c:pt>
                <c:pt idx="25">
                  <c:v>106909.655</c:v>
                </c:pt>
                <c:pt idx="26">
                  <c:v>132583.34</c:v>
                </c:pt>
                <c:pt idx="27">
                  <c:v>86246.565000000002</c:v>
                </c:pt>
                <c:pt idx="28">
                  <c:v>178626.95699999999</c:v>
                </c:pt>
                <c:pt idx="29">
                  <c:v>169295.899</c:v>
                </c:pt>
                <c:pt idx="30">
                  <c:v>315345.82300000003</c:v>
                </c:pt>
                <c:pt idx="31">
                  <c:v>221157.83300000001</c:v>
                </c:pt>
                <c:pt idx="32">
                  <c:v>203089.6</c:v>
                </c:pt>
                <c:pt idx="33">
                  <c:v>123136.14599999999</c:v>
                </c:pt>
                <c:pt idx="34">
                  <c:v>242634.83499999999</c:v>
                </c:pt>
                <c:pt idx="35">
                  <c:v>288993</c:v>
                </c:pt>
                <c:pt idx="36">
                  <c:v>187815.79699999999</c:v>
                </c:pt>
                <c:pt idx="37">
                  <c:v>115820.9</c:v>
                </c:pt>
                <c:pt idx="38">
                  <c:v>115080.8</c:v>
                </c:pt>
                <c:pt idx="39">
                  <c:v>73105</c:v>
                </c:pt>
                <c:pt idx="40">
                  <c:v>81301</c:v>
                </c:pt>
                <c:pt idx="41">
                  <c:v>91756</c:v>
                </c:pt>
                <c:pt idx="42">
                  <c:v>185379</c:v>
                </c:pt>
                <c:pt idx="43">
                  <c:v>141179</c:v>
                </c:pt>
                <c:pt idx="44">
                  <c:v>116332</c:v>
                </c:pt>
              </c:numCache>
            </c:numRef>
          </c:val>
          <c:extLst>
            <c:ext xmlns:c16="http://schemas.microsoft.com/office/drawing/2014/chart" uri="{C3380CC4-5D6E-409C-BE32-E72D297353CC}">
              <c16:uniqueId val="{00000006-01A4-469C-916C-0FADC84DB518}"/>
            </c:ext>
          </c:extLst>
        </c:ser>
        <c:dLbls>
          <c:showLegendKey val="0"/>
          <c:showVal val="0"/>
          <c:showCatName val="0"/>
          <c:showSerName val="0"/>
          <c:showPercent val="0"/>
          <c:showBubbleSize val="0"/>
        </c:dLbls>
        <c:gapWidth val="150"/>
        <c:overlap val="100"/>
        <c:axId val="572281992"/>
        <c:axId val="572279040"/>
      </c:barChart>
      <c:catAx>
        <c:axId val="57228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79040"/>
        <c:crosses val="autoZero"/>
        <c:auto val="1"/>
        <c:lblAlgn val="ctr"/>
        <c:lblOffset val="100"/>
        <c:tickLblSkip val="5"/>
        <c:noMultiLvlLbl val="0"/>
      </c:catAx>
      <c:valAx>
        <c:axId val="572279040"/>
        <c:scaling>
          <c:orientation val="minMax"/>
          <c:max val="5500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81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Minimum Adult Willamette-Origin Spring Chinook Run Entering the Columbia River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0"/>
          <c:tx>
            <c:v>Willamette River</c:v>
          </c:tx>
          <c:spPr>
            <a:solidFill>
              <a:sysClr val="windowText" lastClr="000000"/>
            </a:solidFill>
            <a:ln>
              <a:noFill/>
            </a:ln>
            <a:effectLst/>
          </c:spPr>
          <c:invertIfNegative val="0"/>
          <c:cat>
            <c:numRef>
              <c:f>(T1Manip!$A$4:$A$8,T1Manip!$A$10:$A$14,T1Manip!$A$16:$A$47)</c:f>
              <c:numCache>
                <c:formatCode>General</c:formatCode>
                <c:ptCount val="42"/>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numCache>
            </c:numRef>
          </c:cat>
          <c:val>
            <c:numRef>
              <c:f>(T1Manip!$G$4:$G$8,T1Manip!$G$10:$G$14,T1Manip!$G$16:$G$50)</c:f>
              <c:numCache>
                <c:formatCode>#,##0</c:formatCode>
                <c:ptCount val="45"/>
                <c:pt idx="0">
                  <c:v>42378</c:v>
                </c:pt>
                <c:pt idx="1">
                  <c:v>54338</c:v>
                </c:pt>
                <c:pt idx="2">
                  <c:v>75941</c:v>
                </c:pt>
                <c:pt idx="3">
                  <c:v>59395</c:v>
                </c:pt>
                <c:pt idx="4">
                  <c:v>82621</c:v>
                </c:pt>
                <c:pt idx="5">
                  <c:v>65994</c:v>
                </c:pt>
                <c:pt idx="6">
                  <c:v>70498</c:v>
                </c:pt>
                <c:pt idx="7">
                  <c:v>90917</c:v>
                </c:pt>
                <c:pt idx="8">
                  <c:v>115994</c:v>
                </c:pt>
                <c:pt idx="9">
                  <c:v>110613</c:v>
                </c:pt>
                <c:pt idx="10">
                  <c:v>127900</c:v>
                </c:pt>
                <c:pt idx="11">
                  <c:v>105530</c:v>
                </c:pt>
                <c:pt idx="12">
                  <c:v>72197</c:v>
                </c:pt>
                <c:pt idx="13">
                  <c:v>62778</c:v>
                </c:pt>
                <c:pt idx="14">
                  <c:v>48804</c:v>
                </c:pt>
                <c:pt idx="15">
                  <c:v>40854</c:v>
                </c:pt>
                <c:pt idx="16">
                  <c:v>33358</c:v>
                </c:pt>
                <c:pt idx="17">
                  <c:v>34540</c:v>
                </c:pt>
                <c:pt idx="18">
                  <c:v>43497</c:v>
                </c:pt>
                <c:pt idx="19">
                  <c:v>52584</c:v>
                </c:pt>
                <c:pt idx="20">
                  <c:v>55740</c:v>
                </c:pt>
                <c:pt idx="21">
                  <c:v>78502</c:v>
                </c:pt>
                <c:pt idx="22">
                  <c:v>120161</c:v>
                </c:pt>
                <c:pt idx="23">
                  <c:v>123355</c:v>
                </c:pt>
                <c:pt idx="24">
                  <c:v>143240</c:v>
                </c:pt>
                <c:pt idx="25">
                  <c:v>59471</c:v>
                </c:pt>
                <c:pt idx="26">
                  <c:v>59311</c:v>
                </c:pt>
                <c:pt idx="27">
                  <c:v>39963</c:v>
                </c:pt>
                <c:pt idx="28">
                  <c:v>26615</c:v>
                </c:pt>
                <c:pt idx="29">
                  <c:v>35432</c:v>
                </c:pt>
                <c:pt idx="30">
                  <c:v>107675</c:v>
                </c:pt>
                <c:pt idx="31">
                  <c:v>76549</c:v>
                </c:pt>
                <c:pt idx="32">
                  <c:v>63037</c:v>
                </c:pt>
                <c:pt idx="33">
                  <c:v>44880</c:v>
                </c:pt>
                <c:pt idx="34">
                  <c:v>49765</c:v>
                </c:pt>
                <c:pt idx="35">
                  <c:v>84532</c:v>
                </c:pt>
                <c:pt idx="36">
                  <c:v>47225</c:v>
                </c:pt>
                <c:pt idx="37">
                  <c:v>50774</c:v>
                </c:pt>
                <c:pt idx="38">
                  <c:v>37441</c:v>
                </c:pt>
                <c:pt idx="39">
                  <c:v>27292</c:v>
                </c:pt>
                <c:pt idx="40">
                  <c:v>45965</c:v>
                </c:pt>
                <c:pt idx="41">
                  <c:v>41308</c:v>
                </c:pt>
                <c:pt idx="42">
                  <c:v>55391</c:v>
                </c:pt>
                <c:pt idx="43">
                  <c:v>38373</c:v>
                </c:pt>
                <c:pt idx="44">
                  <c:v>37737</c:v>
                </c:pt>
              </c:numCache>
            </c:numRef>
          </c:val>
          <c:extLst>
            <c:ext xmlns:c16="http://schemas.microsoft.com/office/drawing/2014/chart" uri="{C3380CC4-5D6E-409C-BE32-E72D297353CC}">
              <c16:uniqueId val="{00000000-E854-4DF1-98E4-E1C2EA4FC830}"/>
            </c:ext>
          </c:extLst>
        </c:ser>
        <c:dLbls>
          <c:showLegendKey val="0"/>
          <c:showVal val="0"/>
          <c:showCatName val="0"/>
          <c:showSerName val="0"/>
          <c:showPercent val="0"/>
          <c:showBubbleSize val="0"/>
        </c:dLbls>
        <c:gapWidth val="150"/>
        <c:axId val="572281992"/>
        <c:axId val="572279040"/>
      </c:barChart>
      <c:catAx>
        <c:axId val="57228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79040"/>
        <c:crosses val="autoZero"/>
        <c:auto val="1"/>
        <c:lblAlgn val="ctr"/>
        <c:lblOffset val="100"/>
        <c:tickLblSkip val="5"/>
        <c:noMultiLvlLbl val="0"/>
      </c:catAx>
      <c:valAx>
        <c:axId val="572279040"/>
        <c:scaling>
          <c:orientation val="minMax"/>
          <c:max val="1500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81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Minimum Adult Upriver-Origin Spring Chinook Run Entering the Columbia River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7"/>
          <c:order val="0"/>
          <c:tx>
            <c:v>Upriver Stocks</c:v>
          </c:tx>
          <c:spPr>
            <a:solidFill>
              <a:sysClr val="windowText" lastClr="000000"/>
            </a:solidFill>
            <a:ln>
              <a:noFill/>
            </a:ln>
            <a:effectLst/>
          </c:spPr>
          <c:invertIfNegative val="0"/>
          <c:cat>
            <c:numRef>
              <c:f>(T1Manip!$A$4:$A$8,T1Manip!$A$10:$A$14,T1Manip!$A$16:$A$47)</c:f>
              <c:numCache>
                <c:formatCode>General</c:formatCode>
                <c:ptCount val="42"/>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numCache>
            </c:numRef>
          </c:cat>
          <c:val>
            <c:numRef>
              <c:f>(T1Manip!$H$4:$H$8,T1Manip!$H$10:$H$14,T1Manip!$H$16:$H$50)</c:f>
              <c:numCache>
                <c:formatCode>#,##0</c:formatCode>
                <c:ptCount val="45"/>
                <c:pt idx="0">
                  <c:v>57691.63791172221</c:v>
                </c:pt>
                <c:pt idx="1">
                  <c:v>67400.661533241757</c:v>
                </c:pt>
                <c:pt idx="2">
                  <c:v>77246.321318817834</c:v>
                </c:pt>
                <c:pt idx="3">
                  <c:v>62911.566168194164</c:v>
                </c:pt>
                <c:pt idx="4">
                  <c:v>52357.285239117911</c:v>
                </c:pt>
                <c:pt idx="5">
                  <c:v>92284</c:v>
                </c:pt>
                <c:pt idx="6">
                  <c:v>128413.05047545682</c:v>
                </c:pt>
                <c:pt idx="7">
                  <c:v>110771.71076093169</c:v>
                </c:pt>
                <c:pt idx="8">
                  <c:v>106003.11528755868</c:v>
                </c:pt>
                <c:pt idx="9">
                  <c:v>90031.088587530816</c:v>
                </c:pt>
                <c:pt idx="10">
                  <c:v>105715.28177347367</c:v>
                </c:pt>
                <c:pt idx="11">
                  <c:v>64478.651819107508</c:v>
                </c:pt>
                <c:pt idx="12">
                  <c:v>95691.438848632926</c:v>
                </c:pt>
                <c:pt idx="13">
                  <c:v>119962.96327890742</c:v>
                </c:pt>
                <c:pt idx="14">
                  <c:v>24095.182175867772</c:v>
                </c:pt>
                <c:pt idx="15">
                  <c:v>12792</c:v>
                </c:pt>
                <c:pt idx="16">
                  <c:v>55551</c:v>
                </c:pt>
                <c:pt idx="17">
                  <c:v>124321</c:v>
                </c:pt>
                <c:pt idx="18">
                  <c:v>44308</c:v>
                </c:pt>
                <c:pt idx="19">
                  <c:v>43067.18</c:v>
                </c:pt>
                <c:pt idx="20">
                  <c:v>186715.2</c:v>
                </c:pt>
                <c:pt idx="21">
                  <c:v>439885</c:v>
                </c:pt>
                <c:pt idx="22">
                  <c:v>335306</c:v>
                </c:pt>
                <c:pt idx="23">
                  <c:v>242605.3</c:v>
                </c:pt>
                <c:pt idx="24">
                  <c:v>221675.28</c:v>
                </c:pt>
                <c:pt idx="25">
                  <c:v>106909.655</c:v>
                </c:pt>
                <c:pt idx="26">
                  <c:v>132583.34</c:v>
                </c:pt>
                <c:pt idx="27">
                  <c:v>86246.565000000002</c:v>
                </c:pt>
                <c:pt idx="28">
                  <c:v>178626.95699999999</c:v>
                </c:pt>
                <c:pt idx="29">
                  <c:v>169295.899</c:v>
                </c:pt>
                <c:pt idx="30">
                  <c:v>315345.82300000003</c:v>
                </c:pt>
                <c:pt idx="31">
                  <c:v>221157.83300000001</c:v>
                </c:pt>
                <c:pt idx="32">
                  <c:v>203089.6</c:v>
                </c:pt>
                <c:pt idx="33">
                  <c:v>123136.14599999999</c:v>
                </c:pt>
                <c:pt idx="34">
                  <c:v>242634.83499999999</c:v>
                </c:pt>
                <c:pt idx="35">
                  <c:v>288993</c:v>
                </c:pt>
                <c:pt idx="36">
                  <c:v>187815.79699999999</c:v>
                </c:pt>
                <c:pt idx="37">
                  <c:v>115820.9</c:v>
                </c:pt>
                <c:pt idx="38">
                  <c:v>115080.8</c:v>
                </c:pt>
                <c:pt idx="39">
                  <c:v>73105</c:v>
                </c:pt>
                <c:pt idx="40">
                  <c:v>81301</c:v>
                </c:pt>
                <c:pt idx="41">
                  <c:v>91756</c:v>
                </c:pt>
                <c:pt idx="42">
                  <c:v>185379</c:v>
                </c:pt>
                <c:pt idx="43">
                  <c:v>141179</c:v>
                </c:pt>
                <c:pt idx="44">
                  <c:v>116332</c:v>
                </c:pt>
              </c:numCache>
            </c:numRef>
          </c:val>
          <c:extLst>
            <c:ext xmlns:c16="http://schemas.microsoft.com/office/drawing/2014/chart" uri="{C3380CC4-5D6E-409C-BE32-E72D297353CC}">
              <c16:uniqueId val="{00000000-95FF-4C41-BD32-F69BF66D6001}"/>
            </c:ext>
          </c:extLst>
        </c:ser>
        <c:dLbls>
          <c:showLegendKey val="0"/>
          <c:showVal val="0"/>
          <c:showCatName val="0"/>
          <c:showSerName val="0"/>
          <c:showPercent val="0"/>
          <c:showBubbleSize val="0"/>
        </c:dLbls>
        <c:gapWidth val="150"/>
        <c:overlap val="100"/>
        <c:axId val="572281992"/>
        <c:axId val="572279040"/>
      </c:barChart>
      <c:catAx>
        <c:axId val="57228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79040"/>
        <c:crosses val="autoZero"/>
        <c:auto val="1"/>
        <c:lblAlgn val="ctr"/>
        <c:lblOffset val="100"/>
        <c:tickLblSkip val="5"/>
        <c:noMultiLvlLbl val="0"/>
      </c:catAx>
      <c:valAx>
        <c:axId val="572279040"/>
        <c:scaling>
          <c:orientation val="minMax"/>
          <c:max val="4500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81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Minimum Adult Upper Columbia Summer Chinook Run Entering the Columbia River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0"/>
          <c:tx>
            <c:v>upper CR summer Chinook</c:v>
          </c:tx>
          <c:spPr>
            <a:solidFill>
              <a:sysClr val="windowText" lastClr="000000"/>
            </a:solidFill>
            <a:ln>
              <a:noFill/>
            </a:ln>
            <a:effectLst/>
          </c:spPr>
          <c:invertIfNegative val="0"/>
          <c:cat>
            <c:numRef>
              <c:f>T8UCCHSuManip!$A$5:$A$47</c:f>
              <c:numCache>
                <c:formatCode>General</c:formatCode>
                <c:ptCount val="43"/>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numCache>
            </c:numRef>
          </c:cat>
          <c:val>
            <c:numRef>
              <c:f>T8UCCHSuManip!$B$5:$B$50</c:f>
              <c:numCache>
                <c:formatCode>#,##0</c:formatCode>
                <c:ptCount val="46"/>
                <c:pt idx="0">
                  <c:v>22497.833703998313</c:v>
                </c:pt>
                <c:pt idx="1">
                  <c:v>18746.284412704194</c:v>
                </c:pt>
                <c:pt idx="2">
                  <c:v>14368.762014515496</c:v>
                </c:pt>
                <c:pt idx="3">
                  <c:v>13145.410209758595</c:v>
                </c:pt>
                <c:pt idx="4">
                  <c:v>18764.773584411501</c:v>
                </c:pt>
                <c:pt idx="5">
                  <c:v>18521.920731707316</c:v>
                </c:pt>
                <c:pt idx="6">
                  <c:v>18751.837455577661</c:v>
                </c:pt>
                <c:pt idx="7">
                  <c:v>22714.537723916797</c:v>
                </c:pt>
                <c:pt idx="8">
                  <c:v>22719.547212441314</c:v>
                </c:pt>
                <c:pt idx="9">
                  <c:v>22201.100833626864</c:v>
                </c:pt>
                <c:pt idx="10">
                  <c:v>18794.135821834247</c:v>
                </c:pt>
                <c:pt idx="11">
                  <c:v>14322.884064316902</c:v>
                </c:pt>
                <c:pt idx="12">
                  <c:v>9428.2330263670792</c:v>
                </c:pt>
                <c:pt idx="13">
                  <c:v>14021.477461833312</c:v>
                </c:pt>
                <c:pt idx="14">
                  <c:v>14691.013438167316</c:v>
                </c:pt>
                <c:pt idx="15">
                  <c:v>12454.651080550098</c:v>
                </c:pt>
                <c:pt idx="16">
                  <c:v>12080.3</c:v>
                </c:pt>
                <c:pt idx="17">
                  <c:v>17708.5</c:v>
                </c:pt>
                <c:pt idx="18">
                  <c:v>15535.6</c:v>
                </c:pt>
                <c:pt idx="19">
                  <c:v>21866.799999999999</c:v>
                </c:pt>
                <c:pt idx="20">
                  <c:v>22595.1</c:v>
                </c:pt>
                <c:pt idx="21">
                  <c:v>52960.480000000003</c:v>
                </c:pt>
                <c:pt idx="22">
                  <c:v>89523.5</c:v>
                </c:pt>
                <c:pt idx="23">
                  <c:v>83057.8</c:v>
                </c:pt>
                <c:pt idx="24">
                  <c:v>65622.660588235289</c:v>
                </c:pt>
                <c:pt idx="25">
                  <c:v>60272</c:v>
                </c:pt>
                <c:pt idx="26">
                  <c:v>77572.600000000006</c:v>
                </c:pt>
                <c:pt idx="27">
                  <c:v>37035</c:v>
                </c:pt>
                <c:pt idx="28">
                  <c:v>55532</c:v>
                </c:pt>
                <c:pt idx="29">
                  <c:v>53881</c:v>
                </c:pt>
                <c:pt idx="30">
                  <c:v>72346.2</c:v>
                </c:pt>
                <c:pt idx="31">
                  <c:v>80573.649999999994</c:v>
                </c:pt>
                <c:pt idx="32">
                  <c:v>58299.7</c:v>
                </c:pt>
                <c:pt idx="33">
                  <c:v>67603.199999999997</c:v>
                </c:pt>
                <c:pt idx="34">
                  <c:v>78254.45</c:v>
                </c:pt>
                <c:pt idx="35">
                  <c:v>126881.65</c:v>
                </c:pt>
                <c:pt idx="36">
                  <c:v>91047.5</c:v>
                </c:pt>
                <c:pt idx="37">
                  <c:v>68204.2</c:v>
                </c:pt>
                <c:pt idx="38">
                  <c:v>42119.5</c:v>
                </c:pt>
                <c:pt idx="39">
                  <c:v>34556</c:v>
                </c:pt>
                <c:pt idx="40">
                  <c:v>65466</c:v>
                </c:pt>
                <c:pt idx="41">
                  <c:v>56800</c:v>
                </c:pt>
                <c:pt idx="42">
                  <c:v>78494</c:v>
                </c:pt>
                <c:pt idx="43">
                  <c:v>54722</c:v>
                </c:pt>
                <c:pt idx="44">
                  <c:v>42511</c:v>
                </c:pt>
                <c:pt idx="45">
                  <c:v>43623</c:v>
                </c:pt>
              </c:numCache>
            </c:numRef>
          </c:val>
          <c:extLst>
            <c:ext xmlns:c16="http://schemas.microsoft.com/office/drawing/2014/chart" uri="{C3380CC4-5D6E-409C-BE32-E72D297353CC}">
              <c16:uniqueId val="{00000000-90D0-4399-BD8F-91049AD15049}"/>
            </c:ext>
          </c:extLst>
        </c:ser>
        <c:dLbls>
          <c:showLegendKey val="0"/>
          <c:showVal val="0"/>
          <c:showCatName val="0"/>
          <c:showSerName val="0"/>
          <c:showPercent val="0"/>
          <c:showBubbleSize val="0"/>
        </c:dLbls>
        <c:gapWidth val="150"/>
        <c:axId val="572281992"/>
        <c:axId val="572279040"/>
      </c:barChart>
      <c:catAx>
        <c:axId val="57228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79040"/>
        <c:crosses val="autoZero"/>
        <c:auto val="1"/>
        <c:lblAlgn val="ctr"/>
        <c:lblOffset val="100"/>
        <c:tickLblSkip val="5"/>
        <c:noMultiLvlLbl val="0"/>
      </c:catAx>
      <c:valAx>
        <c:axId val="572279040"/>
        <c:scaling>
          <c:orientation val="minMax"/>
          <c:max val="1300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81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Minimum Adult Sockeye Run Entering the Columbia River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7"/>
          <c:order val="0"/>
          <c:tx>
            <c:v>Sockeye</c:v>
          </c:tx>
          <c:spPr>
            <a:solidFill>
              <a:sysClr val="windowText" lastClr="000000"/>
            </a:solidFill>
            <a:ln>
              <a:noFill/>
            </a:ln>
            <a:effectLst/>
          </c:spPr>
          <c:invertIfNegative val="0"/>
          <c:cat>
            <c:numRef>
              <c:f>T15SOKManip!$A$7:$A$51</c:f>
              <c:numCache>
                <c:formatCode>General</c:formatCod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numCache>
            </c:numRef>
          </c:cat>
          <c:val>
            <c:numRef>
              <c:f>T15SOKManip!$B$7:$B$51</c:f>
              <c:numCache>
                <c:formatCode>#,##0</c:formatCode>
                <c:ptCount val="45"/>
                <c:pt idx="0">
                  <c:v>58886</c:v>
                </c:pt>
                <c:pt idx="1">
                  <c:v>56037</c:v>
                </c:pt>
                <c:pt idx="2">
                  <c:v>50319</c:v>
                </c:pt>
                <c:pt idx="3">
                  <c:v>100610</c:v>
                </c:pt>
                <c:pt idx="4">
                  <c:v>161890</c:v>
                </c:pt>
                <c:pt idx="5">
                  <c:v>200758</c:v>
                </c:pt>
                <c:pt idx="6">
                  <c:v>59963</c:v>
                </c:pt>
                <c:pt idx="7">
                  <c:v>145546</c:v>
                </c:pt>
                <c:pt idx="8">
                  <c:v>99780</c:v>
                </c:pt>
                <c:pt idx="9">
                  <c:v>47478</c:v>
                </c:pt>
                <c:pt idx="10">
                  <c:v>49754</c:v>
                </c:pt>
                <c:pt idx="11">
                  <c:v>76484</c:v>
                </c:pt>
                <c:pt idx="12">
                  <c:v>85000</c:v>
                </c:pt>
                <c:pt idx="13">
                  <c:v>88025</c:v>
                </c:pt>
                <c:pt idx="14">
                  <c:v>12873</c:v>
                </c:pt>
                <c:pt idx="15">
                  <c:v>9913</c:v>
                </c:pt>
                <c:pt idx="16">
                  <c:v>30942</c:v>
                </c:pt>
                <c:pt idx="17">
                  <c:v>49978.7</c:v>
                </c:pt>
                <c:pt idx="18">
                  <c:v>13220.2</c:v>
                </c:pt>
                <c:pt idx="19">
                  <c:v>19093.900000000001</c:v>
                </c:pt>
                <c:pt idx="20">
                  <c:v>93763.8</c:v>
                </c:pt>
                <c:pt idx="21">
                  <c:v>117878.878</c:v>
                </c:pt>
                <c:pt idx="22">
                  <c:v>50556.7</c:v>
                </c:pt>
                <c:pt idx="23">
                  <c:v>39291</c:v>
                </c:pt>
                <c:pt idx="24">
                  <c:v>130231</c:v>
                </c:pt>
                <c:pt idx="25">
                  <c:v>77399.399999999994</c:v>
                </c:pt>
                <c:pt idx="26">
                  <c:v>37067.32</c:v>
                </c:pt>
                <c:pt idx="27">
                  <c:v>26604</c:v>
                </c:pt>
                <c:pt idx="28">
                  <c:v>214465</c:v>
                </c:pt>
                <c:pt idx="29">
                  <c:v>179731.5</c:v>
                </c:pt>
                <c:pt idx="30">
                  <c:v>392192.8</c:v>
                </c:pt>
                <c:pt idx="31">
                  <c:v>187365.2</c:v>
                </c:pt>
                <c:pt idx="32">
                  <c:v>521158.8</c:v>
                </c:pt>
                <c:pt idx="33">
                  <c:v>186191.45</c:v>
                </c:pt>
                <c:pt idx="34">
                  <c:v>651145.55000000005</c:v>
                </c:pt>
                <c:pt idx="35">
                  <c:v>512454.8</c:v>
                </c:pt>
                <c:pt idx="36">
                  <c:v>356605.8</c:v>
                </c:pt>
                <c:pt idx="37">
                  <c:v>88263</c:v>
                </c:pt>
                <c:pt idx="38">
                  <c:v>210914.89347826087</c:v>
                </c:pt>
                <c:pt idx="39">
                  <c:v>63221.794000000002</c:v>
                </c:pt>
                <c:pt idx="40">
                  <c:v>345018</c:v>
                </c:pt>
                <c:pt idx="41">
                  <c:v>152322</c:v>
                </c:pt>
                <c:pt idx="42">
                  <c:v>664935</c:v>
                </c:pt>
                <c:pt idx="43">
                  <c:v>329040</c:v>
                </c:pt>
                <c:pt idx="44">
                  <c:v>761682</c:v>
                </c:pt>
              </c:numCache>
            </c:numRef>
          </c:val>
          <c:extLst>
            <c:ext xmlns:c16="http://schemas.microsoft.com/office/drawing/2014/chart" uri="{C3380CC4-5D6E-409C-BE32-E72D297353CC}">
              <c16:uniqueId val="{00000000-5E10-44DB-8FB2-BC119E48955D}"/>
            </c:ext>
          </c:extLst>
        </c:ser>
        <c:dLbls>
          <c:showLegendKey val="0"/>
          <c:showVal val="0"/>
          <c:showCatName val="0"/>
          <c:showSerName val="0"/>
          <c:showPercent val="0"/>
          <c:showBubbleSize val="0"/>
        </c:dLbls>
        <c:gapWidth val="150"/>
        <c:overlap val="100"/>
        <c:axId val="572281992"/>
        <c:axId val="572279040"/>
      </c:barChart>
      <c:catAx>
        <c:axId val="57228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79040"/>
        <c:crosses val="autoZero"/>
        <c:auto val="1"/>
        <c:lblAlgn val="ctr"/>
        <c:lblOffset val="100"/>
        <c:tickLblSkip val="5"/>
        <c:noMultiLvlLbl val="0"/>
      </c:catAx>
      <c:valAx>
        <c:axId val="57227904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81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Minimum American Shad Run Entering the Columbia River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7"/>
          <c:order val="0"/>
          <c:tx>
            <c:v>Shad</c:v>
          </c:tx>
          <c:spPr>
            <a:solidFill>
              <a:sysClr val="windowText" lastClr="000000"/>
            </a:solidFill>
            <a:ln>
              <a:noFill/>
            </a:ln>
            <a:effectLst/>
          </c:spPr>
          <c:invertIfNegative val="0"/>
          <c:cat>
            <c:strRef>
              <c:f>('T16'!$A$7:$A$11,'T16'!$A$13:$A$17,'T16'!$A$19:$A$23,'T16'!$A$25:$A$29,'T16'!$A$31:$A$35,'T16'!$A$37:$A$41,'T16'!$A$43:$A$47,'T16'!$A$49:$A$53,'T16'!$A$55:$A$61)</c:f>
              <c:strCache>
                <c:ptCount val="4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1Washougal Reef landings are included in Area 2S landings until 1986.  No seasons have been set in recent history, except for 2005 and 2011 which resulted in no fish landed.</c:v>
                </c:pt>
              </c:strCache>
            </c:strRef>
          </c:cat>
          <c:val>
            <c:numRef>
              <c:f>('T16'!$W$7:$W$11,'T16'!$W$13:$W$17,'T16'!$W$19:$W$23,'T16'!$W$25:$W$29,'T16'!$W$31:$W$35,'T16'!$W$37:$W$41,'T16'!$W$43:$W$47,'T16'!$W$49:$W$53,'T16'!$W$55:$W$60)</c:f>
              <c:numCache>
                <c:formatCode>_(* #,##0_);_(* \(#,##0\);_(* "-"_);_(@_)</c:formatCode>
                <c:ptCount val="46"/>
                <c:pt idx="0">
                  <c:v>1223800</c:v>
                </c:pt>
                <c:pt idx="1">
                  <c:v>1159900</c:v>
                </c:pt>
                <c:pt idx="2">
                  <c:v>1133399.9999999998</c:v>
                </c:pt>
                <c:pt idx="3">
                  <c:v>2082600</c:v>
                </c:pt>
                <c:pt idx="4">
                  <c:v>1336100</c:v>
                </c:pt>
                <c:pt idx="5">
                  <c:v>1455000</c:v>
                </c:pt>
                <c:pt idx="6">
                  <c:v>1474900</c:v>
                </c:pt>
                <c:pt idx="7">
                  <c:v>1417800</c:v>
                </c:pt>
                <c:pt idx="8">
                  <c:v>2156000</c:v>
                </c:pt>
                <c:pt idx="9">
                  <c:v>3105300</c:v>
                </c:pt>
                <c:pt idx="10">
                  <c:v>4011600.0000000005</c:v>
                </c:pt>
                <c:pt idx="11">
                  <c:v>2363299.9999999995</c:v>
                </c:pt>
                <c:pt idx="12">
                  <c:v>3070200.0000000005</c:v>
                </c:pt>
                <c:pt idx="13">
                  <c:v>2671300</c:v>
                </c:pt>
                <c:pt idx="14">
                  <c:v>1996200</c:v>
                </c:pt>
                <c:pt idx="15">
                  <c:v>2109100</c:v>
                </c:pt>
                <c:pt idx="16">
                  <c:v>2905900</c:v>
                </c:pt>
                <c:pt idx="17">
                  <c:v>2748100.0000000005</c:v>
                </c:pt>
                <c:pt idx="18">
                  <c:v>2304900</c:v>
                </c:pt>
                <c:pt idx="19">
                  <c:v>1880500</c:v>
                </c:pt>
                <c:pt idx="20">
                  <c:v>1709500</c:v>
                </c:pt>
                <c:pt idx="21">
                  <c:v>2908400</c:v>
                </c:pt>
                <c:pt idx="22">
                  <c:v>3430200</c:v>
                </c:pt>
                <c:pt idx="23">
                  <c:v>4800200.0000000009</c:v>
                </c:pt>
                <c:pt idx="24">
                  <c:v>5680299.9999999991</c:v>
                </c:pt>
                <c:pt idx="25">
                  <c:v>6323500</c:v>
                </c:pt>
                <c:pt idx="26">
                  <c:v>4833900.0000000009</c:v>
                </c:pt>
                <c:pt idx="27">
                  <c:v>3756700</c:v>
                </c:pt>
                <c:pt idx="28">
                  <c:v>2269100.0000000005</c:v>
                </c:pt>
                <c:pt idx="29">
                  <c:v>1726600.0000000002</c:v>
                </c:pt>
                <c:pt idx="30">
                  <c:v>1319500</c:v>
                </c:pt>
                <c:pt idx="31">
                  <c:v>1049100</c:v>
                </c:pt>
                <c:pt idx="32">
                  <c:v>2607200.0000000005</c:v>
                </c:pt>
                <c:pt idx="33">
                  <c:v>3964800</c:v>
                </c:pt>
                <c:pt idx="34">
                  <c:v>2725600.0000000005</c:v>
                </c:pt>
                <c:pt idx="35">
                  <c:v>1881600</c:v>
                </c:pt>
                <c:pt idx="36">
                  <c:v>1886800</c:v>
                </c:pt>
                <c:pt idx="37">
                  <c:v>3336633.0000000005</c:v>
                </c:pt>
                <c:pt idx="38">
                  <c:v>6342546</c:v>
                </c:pt>
                <c:pt idx="39">
                  <c:v>7689640</c:v>
                </c:pt>
                <c:pt idx="40">
                  <c:v>5964862</c:v>
                </c:pt>
                <c:pt idx="41">
                  <c:v>5826298</c:v>
                </c:pt>
                <c:pt idx="42">
                  <c:v>6361001</c:v>
                </c:pt>
                <c:pt idx="43">
                  <c:v>4541745</c:v>
                </c:pt>
                <c:pt idx="44">
                  <c:v>3196979.0000000005</c:v>
                </c:pt>
                <c:pt idx="45">
                  <c:v>3636791</c:v>
                </c:pt>
              </c:numCache>
            </c:numRef>
          </c:val>
          <c:extLst>
            <c:ext xmlns:c16="http://schemas.microsoft.com/office/drawing/2014/chart" uri="{C3380CC4-5D6E-409C-BE32-E72D297353CC}">
              <c16:uniqueId val="{00000000-348B-4F93-82EA-3990B09E50B7}"/>
            </c:ext>
          </c:extLst>
        </c:ser>
        <c:dLbls>
          <c:showLegendKey val="0"/>
          <c:showVal val="0"/>
          <c:showCatName val="0"/>
          <c:showSerName val="0"/>
          <c:showPercent val="0"/>
          <c:showBubbleSize val="0"/>
        </c:dLbls>
        <c:gapWidth val="150"/>
        <c:overlap val="100"/>
        <c:axId val="572281992"/>
        <c:axId val="572279040"/>
      </c:barChart>
      <c:catAx>
        <c:axId val="57228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79040"/>
        <c:crosses val="autoZero"/>
        <c:auto val="1"/>
        <c:lblAlgn val="ctr"/>
        <c:lblOffset val="100"/>
        <c:tickLblSkip val="5"/>
        <c:noMultiLvlLbl val="0"/>
      </c:catAx>
      <c:valAx>
        <c:axId val="572279040"/>
        <c:scaling>
          <c:orientation val="minMax"/>
          <c:max val="77000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81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Minimum Natural-Origin</a:t>
            </a:r>
            <a:r>
              <a:rPr lang="en-US" baseline="0"/>
              <a:t> Winter Steelhead </a:t>
            </a:r>
            <a:r>
              <a:rPr lang="en-US"/>
              <a:t>Run Entering the Columbia River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0"/>
          <c:spPr>
            <a:solidFill>
              <a:sysClr val="windowText" lastClr="000000"/>
            </a:solidFill>
            <a:ln>
              <a:noFill/>
            </a:ln>
            <a:effectLst/>
          </c:spPr>
          <c:invertIfNegative val="0"/>
          <c:cat>
            <c:strRef>
              <c:f>T9WWSManip!$A$7:$A$30</c:f>
              <c:strCache>
                <c:ptCount val="24"/>
                <c:pt idx="0">
                  <c:v>2000-01</c:v>
                </c:pt>
                <c:pt idx="1">
                  <c:v>2001-02</c:v>
                </c:pt>
                <c:pt idx="2">
                  <c:v>2002-03</c:v>
                </c:pt>
                <c:pt idx="3">
                  <c:v>2003-04</c:v>
                </c:pt>
                <c:pt idx="4">
                  <c:v>2004-05</c:v>
                </c:pt>
                <c:pt idx="5">
                  <c:v>2005-06</c:v>
                </c:pt>
                <c:pt idx="6">
                  <c:v>2006-07</c:v>
                </c:pt>
                <c:pt idx="7">
                  <c:v>2007-08</c:v>
                </c:pt>
                <c:pt idx="8">
                  <c:v>2008-09</c:v>
                </c:pt>
                <c:pt idx="9">
                  <c:v>2009-10</c:v>
                </c:pt>
                <c:pt idx="10">
                  <c:v>2010-11</c:v>
                </c:pt>
                <c:pt idx="11">
                  <c:v>2011-12</c:v>
                </c:pt>
                <c:pt idx="12">
                  <c:v>2012-13</c:v>
                </c:pt>
                <c:pt idx="13">
                  <c:v>2013-14</c:v>
                </c:pt>
                <c:pt idx="14">
                  <c:v>2014-15</c:v>
                </c:pt>
                <c:pt idx="15">
                  <c:v>2015-16</c:v>
                </c:pt>
                <c:pt idx="16">
                  <c:v>2016-17</c:v>
                </c:pt>
                <c:pt idx="17">
                  <c:v>2017-18</c:v>
                </c:pt>
                <c:pt idx="18">
                  <c:v>2018-19</c:v>
                </c:pt>
                <c:pt idx="19">
                  <c:v>2019-20</c:v>
                </c:pt>
                <c:pt idx="20">
                  <c:v>2020-21</c:v>
                </c:pt>
                <c:pt idx="21">
                  <c:v>2021-22</c:v>
                </c:pt>
                <c:pt idx="22">
                  <c:v>2022-23</c:v>
                </c:pt>
                <c:pt idx="23">
                  <c:v>2023-24</c:v>
                </c:pt>
              </c:strCache>
            </c:strRef>
          </c:cat>
          <c:val>
            <c:numRef>
              <c:f>T9WWSManip!$B$7:$B$30</c:f>
              <c:numCache>
                <c:formatCode>#,##0</c:formatCode>
                <c:ptCount val="24"/>
                <c:pt idx="0">
                  <c:v>21824.742268041231</c:v>
                </c:pt>
                <c:pt idx="1">
                  <c:v>33711.164480269748</c:v>
                </c:pt>
                <c:pt idx="2">
                  <c:v>23451.971136084536</c:v>
                </c:pt>
                <c:pt idx="3">
                  <c:v>29566.143906793393</c:v>
                </c:pt>
                <c:pt idx="4">
                  <c:v>14660.248052175886</c:v>
                </c:pt>
                <c:pt idx="5">
                  <c:v>16708.691781946993</c:v>
                </c:pt>
                <c:pt idx="6">
                  <c:v>15071.572057439611</c:v>
                </c:pt>
                <c:pt idx="7">
                  <c:v>13943.308887554147</c:v>
                </c:pt>
                <c:pt idx="8">
                  <c:v>11575.059209519166</c:v>
                </c:pt>
                <c:pt idx="9">
                  <c:v>20035.378294724564</c:v>
                </c:pt>
                <c:pt idx="10">
                  <c:v>16740</c:v>
                </c:pt>
                <c:pt idx="11">
                  <c:v>17332</c:v>
                </c:pt>
                <c:pt idx="12">
                  <c:v>15655</c:v>
                </c:pt>
                <c:pt idx="13">
                  <c:v>14928</c:v>
                </c:pt>
                <c:pt idx="14">
                  <c:v>20117</c:v>
                </c:pt>
                <c:pt idx="15">
                  <c:v>22379</c:v>
                </c:pt>
                <c:pt idx="16">
                  <c:v>9448</c:v>
                </c:pt>
                <c:pt idx="17">
                  <c:v>11323</c:v>
                </c:pt>
                <c:pt idx="18">
                  <c:v>9440</c:v>
                </c:pt>
                <c:pt idx="19">
                  <c:v>14545</c:v>
                </c:pt>
                <c:pt idx="20">
                  <c:v>13654</c:v>
                </c:pt>
                <c:pt idx="21">
                  <c:v>15111</c:v>
                </c:pt>
                <c:pt idx="22">
                  <c:v>14699</c:v>
                </c:pt>
                <c:pt idx="23">
                  <c:v>25396</c:v>
                </c:pt>
              </c:numCache>
            </c:numRef>
          </c:val>
          <c:extLst>
            <c:ext xmlns:c16="http://schemas.microsoft.com/office/drawing/2014/chart" uri="{C3380CC4-5D6E-409C-BE32-E72D297353CC}">
              <c16:uniqueId val="{00000000-E9A7-489E-9FAB-7248C50DDF6B}"/>
            </c:ext>
          </c:extLst>
        </c:ser>
        <c:dLbls>
          <c:showLegendKey val="0"/>
          <c:showVal val="0"/>
          <c:showCatName val="0"/>
          <c:showSerName val="0"/>
          <c:showPercent val="0"/>
          <c:showBubbleSize val="0"/>
        </c:dLbls>
        <c:gapWidth val="150"/>
        <c:axId val="572281992"/>
        <c:axId val="572279040"/>
      </c:barChart>
      <c:catAx>
        <c:axId val="57228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79040"/>
        <c:crosses val="autoZero"/>
        <c:auto val="1"/>
        <c:lblAlgn val="ctr"/>
        <c:lblOffset val="100"/>
        <c:tickLblSkip val="3"/>
        <c:noMultiLvlLbl val="0"/>
      </c:catAx>
      <c:valAx>
        <c:axId val="572279040"/>
        <c:scaling>
          <c:orientation val="minMax"/>
          <c:max val="350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81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533398</xdr:colOff>
      <xdr:row>1</xdr:row>
      <xdr:rowOff>161923</xdr:rowOff>
    </xdr:from>
    <xdr:to>
      <xdr:col>11</xdr:col>
      <xdr:colOff>380998</xdr:colOff>
      <xdr:row>23</xdr:row>
      <xdr:rowOff>28574</xdr:rowOff>
    </xdr:to>
    <xdr:graphicFrame macro="">
      <xdr:nvGraphicFramePr>
        <xdr:cNvPr id="2" name="Chart 1">
          <a:extLst>
            <a:ext uri="{FF2B5EF4-FFF2-40B4-BE49-F238E27FC236}">
              <a16:creationId xmlns:a16="http://schemas.microsoft.com/office/drawing/2014/main" id="{73FB1B89-1401-4A73-BB83-3A8698392BC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xdr:colOff>
      <xdr:row>1</xdr:row>
      <xdr:rowOff>152400</xdr:rowOff>
    </xdr:from>
    <xdr:to>
      <xdr:col>23</xdr:col>
      <xdr:colOff>400050</xdr:colOff>
      <xdr:row>23</xdr:row>
      <xdr:rowOff>19051</xdr:rowOff>
    </xdr:to>
    <xdr:graphicFrame macro="">
      <xdr:nvGraphicFramePr>
        <xdr:cNvPr id="3" name="Chart 2">
          <a:extLst>
            <a:ext uri="{FF2B5EF4-FFF2-40B4-BE49-F238E27FC236}">
              <a16:creationId xmlns:a16="http://schemas.microsoft.com/office/drawing/2014/main" id="{CA7D434C-95EC-402F-9AB5-7BBA47D6713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26</xdr:row>
      <xdr:rowOff>19050</xdr:rowOff>
    </xdr:from>
    <xdr:to>
      <xdr:col>11</xdr:col>
      <xdr:colOff>390525</xdr:colOff>
      <xdr:row>47</xdr:row>
      <xdr:rowOff>47626</xdr:rowOff>
    </xdr:to>
    <xdr:graphicFrame macro="">
      <xdr:nvGraphicFramePr>
        <xdr:cNvPr id="4" name="Chart 3">
          <a:extLst>
            <a:ext uri="{FF2B5EF4-FFF2-40B4-BE49-F238E27FC236}">
              <a16:creationId xmlns:a16="http://schemas.microsoft.com/office/drawing/2014/main" id="{B810A1F3-B6C4-4F7E-BF92-14AAEE60D78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xdr:colOff>
      <xdr:row>26</xdr:row>
      <xdr:rowOff>19050</xdr:rowOff>
    </xdr:from>
    <xdr:to>
      <xdr:col>23</xdr:col>
      <xdr:colOff>400050</xdr:colOff>
      <xdr:row>47</xdr:row>
      <xdr:rowOff>47626</xdr:rowOff>
    </xdr:to>
    <xdr:graphicFrame macro="">
      <xdr:nvGraphicFramePr>
        <xdr:cNvPr id="5" name="Chart 4">
          <a:extLst>
            <a:ext uri="{FF2B5EF4-FFF2-40B4-BE49-F238E27FC236}">
              <a16:creationId xmlns:a16="http://schemas.microsoft.com/office/drawing/2014/main" id="{25CB0E6A-C2E5-4D3F-8FF2-46BE71EABED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xdr:colOff>
      <xdr:row>50</xdr:row>
      <xdr:rowOff>9525</xdr:rowOff>
    </xdr:from>
    <xdr:to>
      <xdr:col>11</xdr:col>
      <xdr:colOff>400050</xdr:colOff>
      <xdr:row>71</xdr:row>
      <xdr:rowOff>38101</xdr:rowOff>
    </xdr:to>
    <xdr:graphicFrame macro="">
      <xdr:nvGraphicFramePr>
        <xdr:cNvPr id="6" name="Chart 5">
          <a:extLst>
            <a:ext uri="{FF2B5EF4-FFF2-40B4-BE49-F238E27FC236}">
              <a16:creationId xmlns:a16="http://schemas.microsoft.com/office/drawing/2014/main" id="{05F4CBB9-173D-4B2E-B2D8-DF57B73CE2A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74</xdr:row>
      <xdr:rowOff>19050</xdr:rowOff>
    </xdr:from>
    <xdr:to>
      <xdr:col>11</xdr:col>
      <xdr:colOff>400050</xdr:colOff>
      <xdr:row>95</xdr:row>
      <xdr:rowOff>47626</xdr:rowOff>
    </xdr:to>
    <xdr:graphicFrame macro="">
      <xdr:nvGraphicFramePr>
        <xdr:cNvPr id="7" name="Chart 6">
          <a:extLst>
            <a:ext uri="{FF2B5EF4-FFF2-40B4-BE49-F238E27FC236}">
              <a16:creationId xmlns:a16="http://schemas.microsoft.com/office/drawing/2014/main" id="{573727DF-B3AC-441B-B5EE-26E453D33D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50</xdr:row>
      <xdr:rowOff>0</xdr:rowOff>
    </xdr:from>
    <xdr:to>
      <xdr:col>23</xdr:col>
      <xdr:colOff>381000</xdr:colOff>
      <xdr:row>71</xdr:row>
      <xdr:rowOff>28576</xdr:rowOff>
    </xdr:to>
    <xdr:graphicFrame macro="">
      <xdr:nvGraphicFramePr>
        <xdr:cNvPr id="8" name="Chart 7">
          <a:extLst>
            <a:ext uri="{FF2B5EF4-FFF2-40B4-BE49-F238E27FC236}">
              <a16:creationId xmlns:a16="http://schemas.microsoft.com/office/drawing/2014/main" id="{C9314435-9880-4515-AEC9-1E2D1B9052F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ortmacr\Desktop\2026%20Spring%20JSR%20TABLES_DRAFT_WA.xlsx" TargetMode="External"/><Relationship Id="rId1" Type="http://schemas.openxmlformats.org/officeDocument/2006/relationships/externalLinkPath" Target="file:///C:\Users\gortmacr\Desktop\2026%20Spring%20JSR%20TABLES_DRAFT_W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OSCRP/CRM/%5e%20CRM/~%20Reports%20and%20Presentations/%5eJoint%20Staff%20Reports/2024%20JS%20Reports/2024%20Spring%20JSR/2024%20Spring%20JSR%20TABLES_DRAFT_WAEDITS_dec13.xlsx" TargetMode="External"/><Relationship Id="rId2" Type="http://schemas.openxmlformats.org/officeDocument/2006/relationships/externalLinkPath" Target="file:///U:\OSCRP\CRM\%5e%20CRM\~%20Reports%20and%20Presentations\%5eJoint%20Staff%20Reports\2024%20JS%20Reports\2024%20Spring%20JSR\2024%20Spring%20JSR%20TABLES_DRAFT_WAEDITS_dec13.xlsx" TargetMode="External"/><Relationship Id="rId1" Type="http://schemas.openxmlformats.org/officeDocument/2006/relationships/externalLinkPath" Target="/OSCRP/CRM/%5e%20CRM/~%20Reports%20and%20Presentations/%5eJoint%20Staff%20Reports/2024%20JS%20Reports/2024%20Spring%20JSR/2024%20Spring%20JSR%20TABLES_DRAFT_WAEDITS_dec1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U:\OSCRP\CRM\%5e%20CRM\~%20Reports%20and%20Presentations\%5eJoint%20Staff%20Reports\2025%20JS%20Reports\2025%20Spring%20JSR\Copy%20of%202025%20Spring%20JSR%20TABLES_DRAFT%20SE.xlsx" TargetMode="External"/><Relationship Id="rId1" Type="http://schemas.openxmlformats.org/officeDocument/2006/relationships/externalLinkPath" Target="file:///\\fwcla\data\OSCRP\CRM\%5e%20CRM\~%20Reports%20and%20Presentations\%5eJoint%20Staff%20Reports\2025%20JS%20Reports\2025%20Spring%20JSR\Copy%20of%202025%20Spring%20JSR%20TABLES_DRAFT%20S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ritfcnsn-my.sharepoint.com/FWCLA/Data/personal/ells_critfc_org/Documents/TAC/Policy%20Committee%20Reports/2020%20May/Tables%20for%20Annual%20TAC%20Mgtreport_2019%20Fisheries%20111220.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OSCRP/CRM/%5e%20CRM/~%20Reports%20and%20Presentations/%5eJoint%20Staff%20Reports/Joint%20Staff%20Reports%20Archive/2025%20JS%20Reports/2025%20Spring%20JSR/2025%20Spring%20JSR%20TABLES_DRAFT_v4_Final.xlsx" TargetMode="External"/><Relationship Id="rId2" Type="http://schemas.openxmlformats.org/officeDocument/2006/relationships/externalLinkPath" Target="file:///U:\OSCRP\CRM\%5e%20CRM\~%20Reports%20and%20Presentations\%5eJoint%20Staff%20Reports\Joint%20Staff%20Reports%20Archive\2025%20JS%20Reports\2025%20Spring%20JSR\2025%20Spring%20JSR%20TABLES_DRAFT_v4_Final.xlsx" TargetMode="External"/><Relationship Id="rId1" Type="http://schemas.openxmlformats.org/officeDocument/2006/relationships/externalLinkPath" Target="/OSCRP/CRM/%5e%20CRM/~%20Reports%20and%20Presentations/%5eJoint%20Staff%20Reports/Joint%20Staff%20Reports%20Archive/2025%20JS%20Reports/2025%20Spring%20JSR/2025%20Spring%20JSR%20TABLES_DRAFT_v4_Final.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U:\OSCRP\CRM\%5e%20CRM\~%20Reports%20and%20Presentations\%5eJoint%20Staff%20Reports\2024%20JS%20Reports\2024%20Spring%20JSR\Past%20drafts\2024%20Spring%20JSR%20TABLES_DRAFT_v1.xlsx" TargetMode="External"/><Relationship Id="rId1" Type="http://schemas.openxmlformats.org/officeDocument/2006/relationships/externalLinkPath" Target="file:///\\fwcla\data\OSCRP\CRM\%5e%20CRM\~%20Reports%20and%20Presentations\%5eJoint%20Staff%20Reports\2024%20JS%20Reports\2024%20Spring%20JSR\Past%20drafts\2024%20Spring%20JSR%20TABLES_DRAFT_v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OSCRP/CRM/%5e%20CRM/~%20Select%20Area%20Fisheries/~%20Impacts/SAFE%20Steelhead%20Impacts/SAFE%20STH%20Impact%20Rates%20Multiyear.xlsx" TargetMode="External"/><Relationship Id="rId1" Type="http://schemas.openxmlformats.org/officeDocument/2006/relationships/externalLinkPath" Target="/OSCRP/CRM/%5e%20CRM/~%20Select%20Area%20Fisheries/~%20Impacts/SAFE%20Steelhead%20Impacts/SAFE%20STH%20Impact%20Rates%20Multiyea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ue Dates"/>
      <sheetName val="New Figures"/>
      <sheetName val="T1Manip"/>
      <sheetName val="T1Static"/>
      <sheetName val="T2Manip"/>
      <sheetName val="T2Static"/>
      <sheetName val="T3Manip"/>
      <sheetName val="T3Static"/>
      <sheetName val="T4Manip"/>
      <sheetName val="T4Static"/>
      <sheetName val="T5Manip"/>
      <sheetName val="T5Static"/>
      <sheetName val="T5addnl"/>
      <sheetName val="T6_UCCHSpManip"/>
      <sheetName val="T6_UCCHSpStatic"/>
      <sheetName val="T7_SRManip"/>
      <sheetName val="T7_SRStatic"/>
      <sheetName val="T8UCCHSuManip"/>
      <sheetName val="T8UCCHSuStatic"/>
      <sheetName val="T9WWSManip"/>
      <sheetName val="T9WWSStatic"/>
      <sheetName val="T10"/>
      <sheetName val="T11a"/>
      <sheetName val="T11b"/>
      <sheetName val="T12SthdManip"/>
      <sheetName val="T12SthdStatic"/>
      <sheetName val="T13LWGSthdManip"/>
      <sheetName val="T13LWGSthdStatic"/>
      <sheetName val="T14Manip"/>
      <sheetName val="T14Static"/>
      <sheetName val="T15SOKManip"/>
      <sheetName val="T15SOKStatic"/>
      <sheetName val="T16"/>
      <sheetName val="T17"/>
      <sheetName val="T18"/>
      <sheetName val="T19"/>
      <sheetName val="T20"/>
      <sheetName val="T21CondManip"/>
      <sheetName val="T21CondStatic"/>
      <sheetName val="T22"/>
      <sheetName val="T23"/>
      <sheetName val="T24"/>
      <sheetName val="T25Manip"/>
      <sheetName val="T25Static"/>
      <sheetName val="T26Manip"/>
      <sheetName val="T26Static"/>
      <sheetName val="T27CompManip"/>
      <sheetName val="T27CompStatic"/>
      <sheetName val="T28Manip"/>
      <sheetName val="T28Static"/>
      <sheetName val="T27Static"/>
      <sheetName val="T29Manip"/>
      <sheetName val="T29Static"/>
      <sheetName val="T30Manip"/>
      <sheetName val="T30Static"/>
      <sheetName val="T31 SAFE Comp Manip"/>
      <sheetName val="T31 SAFE Comp Static"/>
      <sheetName val="T32_NULL"/>
      <sheetName val="T32"/>
      <sheetName val="T33"/>
      <sheetName val="T34"/>
      <sheetName val="T35"/>
      <sheetName val="T36"/>
      <sheetName val="Sheet1"/>
      <sheetName val="Sheet7"/>
      <sheetName val="Sheet8"/>
    </sheetNames>
    <sheetDataSet>
      <sheetData sheetId="0" refreshError="1"/>
      <sheetData sheetId="1" refreshError="1"/>
      <sheetData sheetId="2">
        <row r="49">
          <cell r="C49">
            <v>6217</v>
          </cell>
          <cell r="D49">
            <v>2525</v>
          </cell>
          <cell r="E49">
            <v>3191</v>
          </cell>
          <cell r="F49">
            <v>6312</v>
          </cell>
        </row>
        <row r="50">
          <cell r="C50">
            <v>8983</v>
          </cell>
          <cell r="D50">
            <v>2474</v>
          </cell>
          <cell r="E50">
            <v>2722</v>
          </cell>
          <cell r="F50">
            <v>5358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5">
          <cell r="B5">
            <v>22497.833703998313</v>
          </cell>
          <cell r="E5">
            <v>15.833703998311712</v>
          </cell>
          <cell r="G5">
            <v>22482</v>
          </cell>
          <cell r="H5">
            <v>0</v>
          </cell>
          <cell r="I5">
            <v>1181</v>
          </cell>
          <cell r="J5">
            <v>21301</v>
          </cell>
          <cell r="L5">
            <v>0</v>
          </cell>
        </row>
        <row r="6">
          <cell r="B6">
            <v>18746.284412704194</v>
          </cell>
          <cell r="E6">
            <v>9.2844127041922491</v>
          </cell>
          <cell r="G6">
            <v>18737</v>
          </cell>
          <cell r="H6">
            <v>0</v>
          </cell>
          <cell r="I6">
            <v>1364</v>
          </cell>
          <cell r="J6">
            <v>17373</v>
          </cell>
          <cell r="L6">
            <v>0</v>
          </cell>
        </row>
        <row r="7">
          <cell r="B7">
            <v>14368.762014515496</v>
          </cell>
          <cell r="E7">
            <v>116.76201451549628</v>
          </cell>
          <cell r="G7">
            <v>14252</v>
          </cell>
          <cell r="H7">
            <v>0</v>
          </cell>
          <cell r="I7">
            <v>1295</v>
          </cell>
          <cell r="J7">
            <v>12957</v>
          </cell>
          <cell r="L7">
            <v>0</v>
          </cell>
        </row>
        <row r="8">
          <cell r="B8">
            <v>13145.410209758595</v>
          </cell>
          <cell r="E8">
            <v>92.410209758595158</v>
          </cell>
          <cell r="G8">
            <v>13053</v>
          </cell>
          <cell r="H8">
            <v>0</v>
          </cell>
          <cell r="I8">
            <v>297</v>
          </cell>
          <cell r="J8">
            <v>12756</v>
          </cell>
          <cell r="L8">
            <v>0</v>
          </cell>
        </row>
        <row r="9">
          <cell r="B9">
            <v>18764.773584411501</v>
          </cell>
          <cell r="E9">
            <v>21.773584411502796</v>
          </cell>
          <cell r="G9">
            <v>18743</v>
          </cell>
          <cell r="H9">
            <v>0</v>
          </cell>
          <cell r="I9">
            <v>457</v>
          </cell>
          <cell r="J9">
            <v>18286</v>
          </cell>
          <cell r="L9">
            <v>0</v>
          </cell>
        </row>
        <row r="10">
          <cell r="B10">
            <v>18521.920731707316</v>
          </cell>
          <cell r="E10">
            <v>35.920731707317074</v>
          </cell>
          <cell r="G10">
            <v>18486</v>
          </cell>
          <cell r="H10">
            <v>0</v>
          </cell>
          <cell r="I10">
            <v>1453</v>
          </cell>
          <cell r="J10">
            <v>17033</v>
          </cell>
          <cell r="L10">
            <v>0</v>
          </cell>
        </row>
        <row r="11">
          <cell r="B11">
            <v>18751.837455577661</v>
          </cell>
          <cell r="C11">
            <v>0</v>
          </cell>
          <cell r="E11">
            <v>108.83745557766099</v>
          </cell>
          <cell r="G11">
            <v>18643</v>
          </cell>
          <cell r="H11">
            <v>0</v>
          </cell>
          <cell r="I11">
            <v>1116</v>
          </cell>
          <cell r="J11">
            <v>17527</v>
          </cell>
          <cell r="L11">
            <v>0</v>
          </cell>
        </row>
        <row r="12">
          <cell r="B12">
            <v>22714.537723916797</v>
          </cell>
          <cell r="C12">
            <v>6.4</v>
          </cell>
          <cell r="E12">
            <v>141.13772391679788</v>
          </cell>
          <cell r="G12">
            <v>22567</v>
          </cell>
          <cell r="H12">
            <v>0</v>
          </cell>
          <cell r="I12">
            <v>1684</v>
          </cell>
          <cell r="J12">
            <v>20883</v>
          </cell>
          <cell r="L12">
            <v>0</v>
          </cell>
        </row>
        <row r="13">
          <cell r="B13">
            <v>22719.547212441314</v>
          </cell>
          <cell r="C13">
            <v>8.6</v>
          </cell>
          <cell r="E13">
            <v>80.947212441314548</v>
          </cell>
          <cell r="G13">
            <v>22630</v>
          </cell>
          <cell r="H13">
            <v>0</v>
          </cell>
          <cell r="I13">
            <v>1497</v>
          </cell>
          <cell r="J13">
            <v>21133</v>
          </cell>
          <cell r="L13">
            <v>0</v>
          </cell>
        </row>
        <row r="14">
          <cell r="B14">
            <v>22201.100833626864</v>
          </cell>
          <cell r="C14">
            <v>19.899999999999999</v>
          </cell>
          <cell r="E14">
            <v>9.2008336268639184</v>
          </cell>
          <cell r="G14">
            <v>22172</v>
          </cell>
          <cell r="H14">
            <v>0</v>
          </cell>
          <cell r="I14">
            <v>100</v>
          </cell>
          <cell r="J14">
            <v>22072</v>
          </cell>
          <cell r="L14">
            <v>0</v>
          </cell>
        </row>
        <row r="15">
          <cell r="B15">
            <v>18794.135821834247</v>
          </cell>
          <cell r="C15">
            <v>3.9000000000000004</v>
          </cell>
          <cell r="E15">
            <v>15.235821834246437</v>
          </cell>
          <cell r="G15">
            <v>18775</v>
          </cell>
          <cell r="H15">
            <v>0</v>
          </cell>
          <cell r="I15">
            <v>111</v>
          </cell>
          <cell r="J15">
            <v>18664</v>
          </cell>
          <cell r="L15">
            <v>0</v>
          </cell>
        </row>
        <row r="16">
          <cell r="B16">
            <v>14322.884064316902</v>
          </cell>
          <cell r="C16">
            <v>0.79999999999999982</v>
          </cell>
          <cell r="E16">
            <v>9.0840643169023565</v>
          </cell>
          <cell r="G16">
            <v>14313</v>
          </cell>
          <cell r="H16">
            <v>0</v>
          </cell>
          <cell r="I16">
            <v>171</v>
          </cell>
          <cell r="J16">
            <v>14142</v>
          </cell>
          <cell r="L16">
            <v>0</v>
          </cell>
        </row>
        <row r="17">
          <cell r="B17">
            <v>9428.2330263670792</v>
          </cell>
          <cell r="C17">
            <v>16</v>
          </cell>
          <cell r="E17">
            <v>35.233026367078736</v>
          </cell>
          <cell r="G17">
            <v>9377</v>
          </cell>
          <cell r="H17">
            <v>0</v>
          </cell>
          <cell r="I17">
            <v>46</v>
          </cell>
          <cell r="J17">
            <v>9331</v>
          </cell>
          <cell r="L17">
            <v>0</v>
          </cell>
        </row>
        <row r="18">
          <cell r="B18">
            <v>14021.477461833312</v>
          </cell>
          <cell r="C18">
            <v>15.7</v>
          </cell>
          <cell r="E18">
            <v>80.777461833312429</v>
          </cell>
          <cell r="G18">
            <v>13925</v>
          </cell>
          <cell r="H18">
            <v>0</v>
          </cell>
          <cell r="I18">
            <v>328</v>
          </cell>
          <cell r="J18">
            <v>13597</v>
          </cell>
          <cell r="L18">
            <v>0</v>
          </cell>
        </row>
        <row r="19">
          <cell r="B19">
            <v>14691.013438167316</v>
          </cell>
          <cell r="C19">
            <v>28.200000000000003</v>
          </cell>
          <cell r="E19">
            <v>22.81343816731566</v>
          </cell>
          <cell r="G19">
            <v>14640</v>
          </cell>
          <cell r="H19">
            <v>0</v>
          </cell>
          <cell r="I19">
            <v>171</v>
          </cell>
          <cell r="J19">
            <v>14469</v>
          </cell>
          <cell r="L19">
            <v>0</v>
          </cell>
        </row>
        <row r="20">
          <cell r="B20">
            <v>12454.651080550098</v>
          </cell>
          <cell r="C20">
            <v>13.600000000000001</v>
          </cell>
          <cell r="E20">
            <v>5.1080550098231647E-2</v>
          </cell>
          <cell r="G20">
            <v>12441</v>
          </cell>
          <cell r="H20">
            <v>0</v>
          </cell>
          <cell r="I20">
            <v>417</v>
          </cell>
          <cell r="J20">
            <v>12024</v>
          </cell>
          <cell r="L20">
            <v>0</v>
          </cell>
        </row>
        <row r="21">
          <cell r="B21">
            <v>12080.3</v>
          </cell>
          <cell r="C21">
            <v>34.299999999999997</v>
          </cell>
          <cell r="E21">
            <v>15</v>
          </cell>
          <cell r="G21">
            <v>12031</v>
          </cell>
          <cell r="H21">
            <v>0</v>
          </cell>
          <cell r="I21">
            <v>374</v>
          </cell>
          <cell r="J21">
            <v>11657</v>
          </cell>
          <cell r="L21">
            <v>0</v>
          </cell>
        </row>
        <row r="22">
          <cell r="B22">
            <v>17708.5</v>
          </cell>
          <cell r="C22">
            <v>15.5</v>
          </cell>
          <cell r="E22">
            <v>6</v>
          </cell>
          <cell r="G22">
            <v>17687</v>
          </cell>
          <cell r="H22">
            <v>0</v>
          </cell>
          <cell r="I22">
            <v>270</v>
          </cell>
          <cell r="J22">
            <v>17417</v>
          </cell>
          <cell r="L22">
            <v>0</v>
          </cell>
        </row>
        <row r="23">
          <cell r="B23">
            <v>15535.6</v>
          </cell>
          <cell r="C23">
            <v>26.799999999999997</v>
          </cell>
          <cell r="E23">
            <v>0.8</v>
          </cell>
          <cell r="G23">
            <v>15508</v>
          </cell>
          <cell r="H23">
            <v>0</v>
          </cell>
          <cell r="I23">
            <v>335</v>
          </cell>
          <cell r="J23">
            <v>15173</v>
          </cell>
          <cell r="L23">
            <v>0</v>
          </cell>
        </row>
        <row r="24">
          <cell r="B24">
            <v>21866.799999999999</v>
          </cell>
          <cell r="C24">
            <v>50.8</v>
          </cell>
          <cell r="E24">
            <v>1</v>
          </cell>
          <cell r="G24">
            <v>21815</v>
          </cell>
          <cell r="H24">
            <v>0</v>
          </cell>
          <cell r="I24">
            <v>395</v>
          </cell>
          <cell r="J24">
            <v>21420</v>
          </cell>
          <cell r="L24">
            <v>0</v>
          </cell>
        </row>
        <row r="25">
          <cell r="B25">
            <v>22595.1</v>
          </cell>
          <cell r="C25">
            <v>17</v>
          </cell>
          <cell r="E25">
            <v>0.10000000000000009</v>
          </cell>
          <cell r="G25">
            <v>22578</v>
          </cell>
          <cell r="H25">
            <v>0</v>
          </cell>
          <cell r="I25">
            <v>209</v>
          </cell>
          <cell r="J25">
            <v>22369</v>
          </cell>
          <cell r="L25">
            <v>39</v>
          </cell>
          <cell r="M25">
            <v>1092</v>
          </cell>
          <cell r="N25">
            <v>442</v>
          </cell>
        </row>
        <row r="26">
          <cell r="B26">
            <v>52960.480000000003</v>
          </cell>
          <cell r="C26">
            <v>64</v>
          </cell>
          <cell r="E26">
            <v>1.48</v>
          </cell>
          <cell r="G26">
            <v>52895</v>
          </cell>
          <cell r="H26">
            <v>0</v>
          </cell>
          <cell r="I26">
            <v>692</v>
          </cell>
          <cell r="J26">
            <v>52203</v>
          </cell>
          <cell r="L26">
            <v>82</v>
          </cell>
          <cell r="M26">
            <v>4380</v>
          </cell>
          <cell r="N26">
            <v>2346</v>
          </cell>
        </row>
        <row r="27">
          <cell r="B27">
            <v>89523.5</v>
          </cell>
          <cell r="C27">
            <v>1446.5</v>
          </cell>
          <cell r="E27">
            <v>8</v>
          </cell>
          <cell r="G27">
            <v>88069</v>
          </cell>
          <cell r="H27">
            <v>112.7</v>
          </cell>
          <cell r="I27">
            <v>2093</v>
          </cell>
          <cell r="J27">
            <v>85863.3</v>
          </cell>
          <cell r="K27">
            <v>36</v>
          </cell>
          <cell r="L27">
            <v>197</v>
          </cell>
          <cell r="M27">
            <v>4535</v>
          </cell>
          <cell r="N27">
            <v>2720</v>
          </cell>
        </row>
        <row r="28">
          <cell r="B28">
            <v>83057.8</v>
          </cell>
          <cell r="C28">
            <v>1944.8</v>
          </cell>
          <cell r="E28">
            <v>36</v>
          </cell>
          <cell r="G28">
            <v>81077</v>
          </cell>
          <cell r="H28">
            <v>415.15</v>
          </cell>
          <cell r="I28">
            <v>4297</v>
          </cell>
          <cell r="J28">
            <v>76364.850000000006</v>
          </cell>
          <cell r="K28">
            <v>40</v>
          </cell>
          <cell r="L28">
            <v>223</v>
          </cell>
          <cell r="M28">
            <v>5187</v>
          </cell>
          <cell r="N28">
            <v>2178</v>
          </cell>
        </row>
        <row r="29">
          <cell r="B29">
            <v>65622.660588235289</v>
          </cell>
          <cell r="C29">
            <v>1245.5999999999999</v>
          </cell>
          <cell r="D29">
            <v>219.06058823529412</v>
          </cell>
          <cell r="E29">
            <v>3</v>
          </cell>
          <cell r="G29">
            <v>64155</v>
          </cell>
          <cell r="H29">
            <v>259.89999999999998</v>
          </cell>
          <cell r="I29">
            <v>8394</v>
          </cell>
          <cell r="J29">
            <v>55501.1</v>
          </cell>
          <cell r="K29">
            <v>36</v>
          </cell>
          <cell r="L29">
            <v>157</v>
          </cell>
          <cell r="M29">
            <v>5849</v>
          </cell>
          <cell r="N29">
            <v>1874</v>
          </cell>
        </row>
        <row r="30">
          <cell r="B30">
            <v>60272</v>
          </cell>
          <cell r="C30">
            <v>1621</v>
          </cell>
          <cell r="D30">
            <v>2787</v>
          </cell>
          <cell r="E30">
            <v>0</v>
          </cell>
          <cell r="G30">
            <v>55864</v>
          </cell>
          <cell r="H30">
            <v>422.72727272727275</v>
          </cell>
          <cell r="I30">
            <v>7642</v>
          </cell>
          <cell r="J30">
            <v>47799.272727272728</v>
          </cell>
          <cell r="K30">
            <v>2</v>
          </cell>
          <cell r="L30">
            <v>338</v>
          </cell>
          <cell r="M30">
            <v>2192</v>
          </cell>
          <cell r="N30">
            <v>894</v>
          </cell>
        </row>
        <row r="31">
          <cell r="B31">
            <v>77572.600000000006</v>
          </cell>
          <cell r="C31">
            <v>4925.6000000000004</v>
          </cell>
          <cell r="D31">
            <v>4819</v>
          </cell>
          <cell r="E31">
            <v>9</v>
          </cell>
          <cell r="G31">
            <v>67819</v>
          </cell>
          <cell r="H31">
            <v>276</v>
          </cell>
          <cell r="I31">
            <v>16319</v>
          </cell>
          <cell r="J31">
            <v>51224</v>
          </cell>
          <cell r="K31">
            <v>19</v>
          </cell>
          <cell r="L31">
            <v>216</v>
          </cell>
          <cell r="M31">
            <v>3864</v>
          </cell>
          <cell r="N31">
            <v>1340</v>
          </cell>
        </row>
        <row r="32">
          <cell r="B32">
            <v>37035</v>
          </cell>
          <cell r="C32">
            <v>2214</v>
          </cell>
          <cell r="D32">
            <v>1122</v>
          </cell>
          <cell r="E32">
            <v>0</v>
          </cell>
          <cell r="G32">
            <v>33699</v>
          </cell>
          <cell r="H32">
            <v>136</v>
          </cell>
          <cell r="I32">
            <v>5375</v>
          </cell>
          <cell r="J32">
            <v>28188</v>
          </cell>
          <cell r="K32">
            <v>12</v>
          </cell>
          <cell r="L32">
            <v>294</v>
          </cell>
          <cell r="M32">
            <v>3900</v>
          </cell>
          <cell r="N32">
            <v>1070</v>
          </cell>
        </row>
        <row r="33">
          <cell r="B33">
            <v>55532</v>
          </cell>
          <cell r="C33">
            <v>2140</v>
          </cell>
          <cell r="D33">
            <v>1370</v>
          </cell>
          <cell r="E33">
            <v>59</v>
          </cell>
          <cell r="F33">
            <v>0</v>
          </cell>
          <cell r="G33">
            <v>51963</v>
          </cell>
          <cell r="H33">
            <v>942</v>
          </cell>
          <cell r="I33">
            <v>9029</v>
          </cell>
          <cell r="J33">
            <v>41992</v>
          </cell>
          <cell r="K33">
            <v>55</v>
          </cell>
          <cell r="L33">
            <v>188</v>
          </cell>
          <cell r="M33">
            <v>2597</v>
          </cell>
          <cell r="N33">
            <v>1861</v>
          </cell>
        </row>
        <row r="34">
          <cell r="B34">
            <v>53881</v>
          </cell>
          <cell r="C34">
            <v>2341</v>
          </cell>
          <cell r="D34">
            <v>2524</v>
          </cell>
          <cell r="E34">
            <v>22</v>
          </cell>
          <cell r="F34">
            <v>0</v>
          </cell>
          <cell r="G34">
            <v>48994</v>
          </cell>
          <cell r="H34">
            <v>175</v>
          </cell>
          <cell r="I34">
            <v>11650</v>
          </cell>
          <cell r="J34">
            <v>37169</v>
          </cell>
          <cell r="K34">
            <v>90</v>
          </cell>
          <cell r="L34">
            <v>185</v>
          </cell>
          <cell r="M34">
            <v>2458.4</v>
          </cell>
          <cell r="N34">
            <v>1190.01</v>
          </cell>
        </row>
        <row r="35">
          <cell r="B35">
            <v>72346.2</v>
          </cell>
          <cell r="C35">
            <v>2738.2</v>
          </cell>
          <cell r="D35">
            <v>4720</v>
          </cell>
          <cell r="E35">
            <v>20</v>
          </cell>
          <cell r="F35">
            <v>230</v>
          </cell>
          <cell r="G35">
            <v>64638</v>
          </cell>
          <cell r="H35">
            <v>434.59032258064519</v>
          </cell>
          <cell r="I35">
            <v>15569</v>
          </cell>
          <cell r="J35">
            <v>48634.409677419353</v>
          </cell>
          <cell r="K35">
            <v>451</v>
          </cell>
          <cell r="L35">
            <v>48</v>
          </cell>
          <cell r="M35">
            <v>2480.5500000000002</v>
          </cell>
          <cell r="N35">
            <v>3524.31</v>
          </cell>
        </row>
        <row r="36">
          <cell r="B36">
            <v>80573.649999999994</v>
          </cell>
          <cell r="C36">
            <v>5575.65</v>
          </cell>
          <cell r="D36">
            <v>5004</v>
          </cell>
          <cell r="E36">
            <v>0</v>
          </cell>
          <cell r="F36">
            <v>0</v>
          </cell>
          <cell r="G36">
            <v>69994</v>
          </cell>
          <cell r="H36">
            <v>302.51603773584907</v>
          </cell>
          <cell r="I36">
            <v>20645</v>
          </cell>
          <cell r="J36">
            <v>49046.483962264145</v>
          </cell>
          <cell r="K36">
            <v>86</v>
          </cell>
          <cell r="L36">
            <v>55</v>
          </cell>
          <cell r="M36">
            <v>5545.6</v>
          </cell>
          <cell r="N36">
            <v>1207.8800000000001</v>
          </cell>
        </row>
        <row r="37">
          <cell r="B37">
            <v>58299.7</v>
          </cell>
          <cell r="C37">
            <v>3280.7</v>
          </cell>
          <cell r="D37">
            <v>1692</v>
          </cell>
          <cell r="E37">
            <v>23</v>
          </cell>
          <cell r="F37">
            <v>0</v>
          </cell>
          <cell r="G37">
            <v>53304</v>
          </cell>
          <cell r="H37">
            <v>230.785593220339</v>
          </cell>
          <cell r="I37">
            <v>7824</v>
          </cell>
          <cell r="J37">
            <v>45249.214406779662</v>
          </cell>
          <cell r="K37">
            <v>65</v>
          </cell>
          <cell r="L37">
            <v>23</v>
          </cell>
          <cell r="M37">
            <v>3979.95</v>
          </cell>
          <cell r="N37">
            <v>3400.09</v>
          </cell>
        </row>
        <row r="38">
          <cell r="B38">
            <v>67603.199999999997</v>
          </cell>
          <cell r="C38">
            <v>2058.1999999999998</v>
          </cell>
          <cell r="D38">
            <v>1954</v>
          </cell>
          <cell r="E38">
            <v>33</v>
          </cell>
          <cell r="F38">
            <v>50</v>
          </cell>
          <cell r="G38">
            <v>63508</v>
          </cell>
          <cell r="H38">
            <v>176.41836734693879</v>
          </cell>
          <cell r="I38">
            <v>13347</v>
          </cell>
          <cell r="J38">
            <v>49984.581632653062</v>
          </cell>
          <cell r="K38">
            <v>148</v>
          </cell>
          <cell r="L38">
            <v>240</v>
          </cell>
          <cell r="M38">
            <v>2898.85</v>
          </cell>
          <cell r="N38">
            <v>3451.96</v>
          </cell>
        </row>
        <row r="39">
          <cell r="B39">
            <v>78254.45</v>
          </cell>
          <cell r="C39">
            <v>2385.4499999999998</v>
          </cell>
          <cell r="D39">
            <v>2743</v>
          </cell>
          <cell r="E39">
            <v>45</v>
          </cell>
          <cell r="F39">
            <v>210</v>
          </cell>
          <cell r="G39">
            <v>72871</v>
          </cell>
          <cell r="H39">
            <v>307.57432432432432</v>
          </cell>
          <cell r="I39">
            <v>19179</v>
          </cell>
          <cell r="J39">
            <v>53384.42567567568</v>
          </cell>
          <cell r="K39">
            <v>146</v>
          </cell>
          <cell r="L39">
            <v>150</v>
          </cell>
          <cell r="M39">
            <v>2874.8</v>
          </cell>
          <cell r="N39">
            <v>3573.52</v>
          </cell>
        </row>
        <row r="40">
          <cell r="B40">
            <v>126881.65</v>
          </cell>
          <cell r="C40">
            <v>6151.65</v>
          </cell>
          <cell r="D40">
            <v>3938</v>
          </cell>
          <cell r="E40">
            <v>105</v>
          </cell>
          <cell r="F40">
            <v>30</v>
          </cell>
          <cell r="G40">
            <v>116657</v>
          </cell>
          <cell r="H40">
            <v>608.70000000000005</v>
          </cell>
          <cell r="I40">
            <v>37733</v>
          </cell>
          <cell r="J40">
            <v>78315.3</v>
          </cell>
          <cell r="K40">
            <v>177</v>
          </cell>
          <cell r="L40">
            <v>284</v>
          </cell>
          <cell r="M40">
            <v>4822.7</v>
          </cell>
          <cell r="N40">
            <v>10409.89</v>
          </cell>
        </row>
        <row r="41">
          <cell r="B41">
            <v>91047.5</v>
          </cell>
          <cell r="C41">
            <v>3705.5</v>
          </cell>
          <cell r="D41">
            <v>2990</v>
          </cell>
          <cell r="E41">
            <v>60</v>
          </cell>
          <cell r="F41">
            <v>100</v>
          </cell>
          <cell r="G41">
            <v>84192</v>
          </cell>
          <cell r="H41">
            <v>360.9</v>
          </cell>
          <cell r="I41">
            <v>20415</v>
          </cell>
          <cell r="J41">
            <v>63416.100000000006</v>
          </cell>
          <cell r="K41">
            <v>204.5</v>
          </cell>
          <cell r="L41">
            <v>218</v>
          </cell>
          <cell r="M41">
            <v>4213.55</v>
          </cell>
          <cell r="N41">
            <v>3540.85</v>
          </cell>
        </row>
        <row r="42">
          <cell r="B42">
            <v>68204.2</v>
          </cell>
          <cell r="C42">
            <v>3853</v>
          </cell>
          <cell r="D42">
            <v>0</v>
          </cell>
          <cell r="E42">
            <v>47</v>
          </cell>
          <cell r="F42">
            <v>160</v>
          </cell>
          <cell r="G42">
            <v>64144</v>
          </cell>
          <cell r="H42">
            <v>136</v>
          </cell>
          <cell r="I42">
            <v>16168</v>
          </cell>
          <cell r="J42">
            <v>47840</v>
          </cell>
          <cell r="K42">
            <v>126</v>
          </cell>
          <cell r="L42">
            <v>158</v>
          </cell>
          <cell r="M42">
            <v>4325.3500000000004</v>
          </cell>
          <cell r="N42">
            <v>1577.84</v>
          </cell>
        </row>
        <row r="43">
          <cell r="B43">
            <v>42119.5</v>
          </cell>
          <cell r="C43">
            <v>1140</v>
          </cell>
          <cell r="D43">
            <v>0</v>
          </cell>
          <cell r="E43">
            <v>24</v>
          </cell>
          <cell r="F43">
            <v>50</v>
          </cell>
          <cell r="G43">
            <v>40906</v>
          </cell>
          <cell r="H43">
            <v>12</v>
          </cell>
          <cell r="I43">
            <v>9448</v>
          </cell>
          <cell r="J43">
            <v>31446</v>
          </cell>
          <cell r="K43">
            <v>122</v>
          </cell>
          <cell r="L43">
            <v>68</v>
          </cell>
          <cell r="M43">
            <v>3385</v>
          </cell>
          <cell r="N43">
            <v>1268</v>
          </cell>
        </row>
        <row r="44">
          <cell r="B44">
            <v>34556</v>
          </cell>
          <cell r="C44">
            <v>11</v>
          </cell>
          <cell r="D44">
            <v>0</v>
          </cell>
          <cell r="E44">
            <v>23</v>
          </cell>
          <cell r="F44">
            <v>50</v>
          </cell>
          <cell r="G44">
            <v>34472</v>
          </cell>
          <cell r="H44">
            <v>6</v>
          </cell>
          <cell r="I44">
            <v>5587</v>
          </cell>
          <cell r="J44">
            <v>28879</v>
          </cell>
          <cell r="K44">
            <v>0</v>
          </cell>
          <cell r="L44">
            <v>27</v>
          </cell>
          <cell r="M44">
            <v>6025</v>
          </cell>
          <cell r="N44">
            <v>1404</v>
          </cell>
        </row>
        <row r="45">
          <cell r="B45">
            <v>65466</v>
          </cell>
          <cell r="C45">
            <v>1389</v>
          </cell>
          <cell r="D45">
            <v>0</v>
          </cell>
          <cell r="E45">
            <v>13</v>
          </cell>
          <cell r="F45">
            <v>0</v>
          </cell>
          <cell r="G45">
            <v>64064</v>
          </cell>
          <cell r="H45">
            <v>6</v>
          </cell>
          <cell r="I45">
            <v>8410</v>
          </cell>
          <cell r="J45">
            <v>55648</v>
          </cell>
          <cell r="K45">
            <v>166</v>
          </cell>
          <cell r="L45">
            <v>36</v>
          </cell>
          <cell r="M45">
            <v>5894</v>
          </cell>
          <cell r="N45">
            <v>1728</v>
          </cell>
        </row>
        <row r="46">
          <cell r="B46">
            <v>56800</v>
          </cell>
          <cell r="C46">
            <v>2284</v>
          </cell>
          <cell r="D46">
            <v>0</v>
          </cell>
          <cell r="E46">
            <v>7</v>
          </cell>
          <cell r="F46">
            <v>20</v>
          </cell>
          <cell r="G46">
            <v>54489</v>
          </cell>
          <cell r="H46">
            <v>23</v>
          </cell>
          <cell r="I46">
            <v>11225</v>
          </cell>
          <cell r="J46">
            <v>43241</v>
          </cell>
          <cell r="K46">
            <v>78</v>
          </cell>
          <cell r="L46">
            <v>62</v>
          </cell>
          <cell r="M46">
            <v>5261</v>
          </cell>
          <cell r="N46">
            <v>1583.45</v>
          </cell>
        </row>
        <row r="47">
          <cell r="B47">
            <v>78494</v>
          </cell>
          <cell r="C47">
            <v>3549</v>
          </cell>
          <cell r="D47">
            <v>0</v>
          </cell>
          <cell r="E47">
            <v>65</v>
          </cell>
          <cell r="F47">
            <v>70</v>
          </cell>
          <cell r="G47">
            <v>74810</v>
          </cell>
          <cell r="H47">
            <v>12</v>
          </cell>
          <cell r="I47">
            <v>16086</v>
          </cell>
          <cell r="J47">
            <v>58712</v>
          </cell>
          <cell r="K47">
            <v>290</v>
          </cell>
          <cell r="L47">
            <v>19</v>
          </cell>
          <cell r="M47">
            <v>6560.95</v>
          </cell>
          <cell r="N47">
            <v>1202</v>
          </cell>
        </row>
        <row r="48">
          <cell r="B48">
            <v>54722</v>
          </cell>
          <cell r="C48">
            <v>2162</v>
          </cell>
          <cell r="D48">
            <v>0</v>
          </cell>
          <cell r="E48">
            <v>51</v>
          </cell>
          <cell r="F48">
            <v>70</v>
          </cell>
          <cell r="G48">
            <v>52439</v>
          </cell>
          <cell r="H48">
            <v>75</v>
          </cell>
          <cell r="I48">
            <v>11002</v>
          </cell>
          <cell r="J48">
            <v>41362</v>
          </cell>
          <cell r="K48">
            <v>61</v>
          </cell>
          <cell r="L48">
            <v>73</v>
          </cell>
          <cell r="M48">
            <v>5943</v>
          </cell>
          <cell r="N48">
            <v>1759</v>
          </cell>
        </row>
        <row r="49">
          <cell r="B49">
            <v>42511</v>
          </cell>
          <cell r="C49">
            <v>899</v>
          </cell>
          <cell r="D49">
            <v>0</v>
          </cell>
          <cell r="E49">
            <v>0</v>
          </cell>
          <cell r="F49">
            <v>50</v>
          </cell>
          <cell r="G49">
            <v>41562</v>
          </cell>
          <cell r="H49">
            <v>23</v>
          </cell>
          <cell r="I49">
            <v>6999</v>
          </cell>
          <cell r="J49">
            <v>34540</v>
          </cell>
          <cell r="K49">
            <v>99</v>
          </cell>
          <cell r="L49">
            <v>25</v>
          </cell>
          <cell r="M49">
            <v>3406</v>
          </cell>
          <cell r="N49">
            <v>1338</v>
          </cell>
        </row>
        <row r="50">
          <cell r="B50">
            <v>43623</v>
          </cell>
          <cell r="C50">
            <v>570.5</v>
          </cell>
          <cell r="D50">
            <v>0</v>
          </cell>
          <cell r="E50">
            <v>48</v>
          </cell>
          <cell r="F50">
            <v>10</v>
          </cell>
          <cell r="G50">
            <v>43012</v>
          </cell>
          <cell r="H50">
            <v>3.75</v>
          </cell>
          <cell r="I50">
            <v>7650</v>
          </cell>
          <cell r="J50">
            <v>35358.25</v>
          </cell>
          <cell r="K50">
            <v>23.849999999999998</v>
          </cell>
          <cell r="L50">
            <v>26</v>
          </cell>
          <cell r="M50">
            <v>1161</v>
          </cell>
          <cell r="N50">
            <v>1738</v>
          </cell>
        </row>
      </sheetData>
      <sheetData sheetId="18" refreshError="1"/>
      <sheetData sheetId="19" refreshError="1"/>
      <sheetData sheetId="20" refreshError="1"/>
      <sheetData sheetId="21" refreshError="1"/>
      <sheetData sheetId="22" refreshError="1"/>
      <sheetData sheetId="23" refreshError="1"/>
      <sheetData sheetId="24">
        <row r="4">
          <cell r="B4">
            <v>2490</v>
          </cell>
          <cell r="C4">
            <v>20780</v>
          </cell>
          <cell r="D4">
            <v>52447</v>
          </cell>
          <cell r="E4">
            <v>195751</v>
          </cell>
          <cell r="F4">
            <v>13768</v>
          </cell>
          <cell r="G4">
            <v>98011</v>
          </cell>
          <cell r="H4">
            <v>68705</v>
          </cell>
          <cell r="I4">
            <v>245837</v>
          </cell>
          <cell r="J4">
            <v>314542</v>
          </cell>
        </row>
        <row r="5">
          <cell r="B5">
            <v>3690</v>
          </cell>
          <cell r="C5">
            <v>19990</v>
          </cell>
          <cell r="D5">
            <v>51922</v>
          </cell>
          <cell r="E5">
            <v>281504</v>
          </cell>
          <cell r="F5">
            <v>12986</v>
          </cell>
          <cell r="G5">
            <v>40870</v>
          </cell>
          <cell r="H5">
            <v>68598</v>
          </cell>
          <cell r="I5">
            <v>273766</v>
          </cell>
          <cell r="J5">
            <v>342364</v>
          </cell>
        </row>
        <row r="6">
          <cell r="B6">
            <v>5520</v>
          </cell>
          <cell r="C6">
            <v>24830</v>
          </cell>
          <cell r="D6">
            <v>56570</v>
          </cell>
          <cell r="E6">
            <v>287508</v>
          </cell>
          <cell r="F6">
            <v>9984</v>
          </cell>
          <cell r="G6">
            <v>64016</v>
          </cell>
          <cell r="H6">
            <v>72074</v>
          </cell>
          <cell r="I6">
            <v>304280</v>
          </cell>
          <cell r="J6">
            <v>376354</v>
          </cell>
        </row>
        <row r="7">
          <cell r="B7">
            <v>7380</v>
          </cell>
          <cell r="C7">
            <v>17790</v>
          </cell>
          <cell r="D7">
            <v>106690</v>
          </cell>
          <cell r="E7">
            <v>238283</v>
          </cell>
          <cell r="F7">
            <v>13990</v>
          </cell>
          <cell r="G7">
            <v>44959</v>
          </cell>
          <cell r="H7">
            <v>128060</v>
          </cell>
          <cell r="I7">
            <v>172972</v>
          </cell>
          <cell r="J7">
            <v>301032</v>
          </cell>
        </row>
        <row r="8">
          <cell r="B8">
            <v>4180</v>
          </cell>
          <cell r="C8">
            <v>22360</v>
          </cell>
          <cell r="D8">
            <v>64331</v>
          </cell>
          <cell r="E8">
            <v>173151</v>
          </cell>
          <cell r="F8">
            <v>17742</v>
          </cell>
          <cell r="G8">
            <v>81643</v>
          </cell>
          <cell r="H8">
            <v>86253</v>
          </cell>
          <cell r="I8">
            <v>190901</v>
          </cell>
          <cell r="J8">
            <v>277154</v>
          </cell>
        </row>
        <row r="9">
          <cell r="B9">
            <v>3770</v>
          </cell>
          <cell r="C9">
            <v>15730</v>
          </cell>
          <cell r="D9">
            <v>57513</v>
          </cell>
          <cell r="E9">
            <v>193079</v>
          </cell>
          <cell r="F9">
            <v>12367</v>
          </cell>
          <cell r="G9">
            <v>77604</v>
          </cell>
          <cell r="H9">
            <v>73650</v>
          </cell>
          <cell r="I9">
            <v>212763</v>
          </cell>
          <cell r="J9">
            <v>286413</v>
          </cell>
        </row>
        <row r="10">
          <cell r="B10">
            <v>3690</v>
          </cell>
          <cell r="C10">
            <v>18710</v>
          </cell>
          <cell r="D10">
            <v>27102</v>
          </cell>
          <cell r="E10">
            <v>115628</v>
          </cell>
          <cell r="F10">
            <v>8811</v>
          </cell>
          <cell r="G10">
            <v>47174</v>
          </cell>
          <cell r="H10">
            <v>39603</v>
          </cell>
          <cell r="I10">
            <v>141909</v>
          </cell>
          <cell r="J10">
            <v>181512</v>
          </cell>
        </row>
        <row r="11">
          <cell r="B11">
            <v>1220</v>
          </cell>
          <cell r="C11">
            <v>10880</v>
          </cell>
          <cell r="D11">
            <v>60264</v>
          </cell>
          <cell r="E11">
            <v>234048</v>
          </cell>
          <cell r="F11">
            <v>6207</v>
          </cell>
          <cell r="G11">
            <v>28265</v>
          </cell>
          <cell r="H11">
            <v>67691</v>
          </cell>
          <cell r="I11">
            <v>205502</v>
          </cell>
          <cell r="J11">
            <v>273193</v>
          </cell>
        </row>
        <row r="12">
          <cell r="B12">
            <v>2940</v>
          </cell>
          <cell r="C12">
            <v>14910</v>
          </cell>
          <cell r="D12">
            <v>44294</v>
          </cell>
          <cell r="E12">
            <v>241524</v>
          </cell>
          <cell r="F12">
            <v>12715</v>
          </cell>
          <cell r="G12">
            <v>57438</v>
          </cell>
          <cell r="H12">
            <v>59949</v>
          </cell>
          <cell r="I12">
            <v>253923</v>
          </cell>
          <cell r="J12">
            <v>313872</v>
          </cell>
        </row>
        <row r="13">
          <cell r="B13">
            <v>1250</v>
          </cell>
          <cell r="C13">
            <v>14360</v>
          </cell>
          <cell r="D13">
            <v>28650</v>
          </cell>
          <cell r="E13">
            <v>136701</v>
          </cell>
          <cell r="F13">
            <v>4378</v>
          </cell>
          <cell r="G13">
            <v>36169</v>
          </cell>
          <cell r="H13">
            <v>34278</v>
          </cell>
          <cell r="I13">
            <v>152952</v>
          </cell>
          <cell r="J13">
            <v>187230</v>
          </cell>
        </row>
        <row r="14">
          <cell r="B14">
            <v>1380</v>
          </cell>
          <cell r="C14">
            <v>12330</v>
          </cell>
          <cell r="D14">
            <v>21212</v>
          </cell>
          <cell r="E14">
            <v>120971</v>
          </cell>
          <cell r="F14">
            <v>5152</v>
          </cell>
          <cell r="G14">
            <v>27463</v>
          </cell>
          <cell r="H14">
            <v>27744</v>
          </cell>
          <cell r="I14">
            <v>133020</v>
          </cell>
          <cell r="J14">
            <v>160764</v>
          </cell>
        </row>
        <row r="15">
          <cell r="B15">
            <v>1150</v>
          </cell>
          <cell r="C15">
            <v>8220</v>
          </cell>
          <cell r="D15">
            <v>25997</v>
          </cell>
          <cell r="E15">
            <v>180037</v>
          </cell>
          <cell r="F15">
            <v>1847</v>
          </cell>
          <cell r="G15">
            <v>13221</v>
          </cell>
          <cell r="H15">
            <v>28994</v>
          </cell>
          <cell r="I15">
            <v>172484</v>
          </cell>
          <cell r="J15">
            <v>201478</v>
          </cell>
        </row>
        <row r="16">
          <cell r="B16">
            <v>1310</v>
          </cell>
          <cell r="C16">
            <v>10830</v>
          </cell>
          <cell r="D16">
            <v>25721</v>
          </cell>
          <cell r="E16">
            <v>174464</v>
          </cell>
          <cell r="F16">
            <v>3912</v>
          </cell>
          <cell r="G16">
            <v>18693</v>
          </cell>
          <cell r="H16">
            <v>30943</v>
          </cell>
          <cell r="I16">
            <v>173044</v>
          </cell>
          <cell r="J16">
            <v>203987</v>
          </cell>
        </row>
        <row r="17">
          <cell r="B17">
            <v>930</v>
          </cell>
          <cell r="C17">
            <v>11890</v>
          </cell>
          <cell r="D17">
            <v>30852</v>
          </cell>
          <cell r="E17">
            <v>208209</v>
          </cell>
          <cell r="F17">
            <v>3913</v>
          </cell>
          <cell r="G17">
            <v>36663</v>
          </cell>
          <cell r="H17">
            <v>35695</v>
          </cell>
          <cell r="I17">
            <v>221067</v>
          </cell>
          <cell r="J17">
            <v>256762</v>
          </cell>
        </row>
        <row r="18">
          <cell r="B18">
            <v>1610</v>
          </cell>
          <cell r="C18">
            <v>9440</v>
          </cell>
          <cell r="D18">
            <v>34836</v>
          </cell>
          <cell r="E18">
            <v>134687</v>
          </cell>
          <cell r="F18">
            <v>3415</v>
          </cell>
          <cell r="G18">
            <v>40241</v>
          </cell>
          <cell r="H18">
            <v>39861</v>
          </cell>
          <cell r="I18">
            <v>144507</v>
          </cell>
          <cell r="J18">
            <v>184368</v>
          </cell>
        </row>
        <row r="19">
          <cell r="B19">
            <v>1310</v>
          </cell>
          <cell r="C19">
            <v>7160</v>
          </cell>
          <cell r="D19">
            <v>56626</v>
          </cell>
          <cell r="E19">
            <v>176466</v>
          </cell>
          <cell r="F19">
            <v>3740</v>
          </cell>
          <cell r="G19">
            <v>22137</v>
          </cell>
          <cell r="H19">
            <v>61676</v>
          </cell>
          <cell r="I19">
            <v>144087</v>
          </cell>
          <cell r="J19">
            <v>205763</v>
          </cell>
        </row>
        <row r="20">
          <cell r="B20">
            <v>5728</v>
          </cell>
          <cell r="C20">
            <v>16619</v>
          </cell>
          <cell r="D20">
            <v>63628</v>
          </cell>
          <cell r="E20">
            <v>216723</v>
          </cell>
          <cell r="F20">
            <v>8368</v>
          </cell>
          <cell r="G20">
            <v>40909</v>
          </cell>
          <cell r="H20">
            <v>77724</v>
          </cell>
          <cell r="I20">
            <v>196527</v>
          </cell>
          <cell r="J20">
            <v>274251</v>
          </cell>
        </row>
        <row r="21">
          <cell r="B21">
            <v>7952</v>
          </cell>
          <cell r="C21">
            <v>28725</v>
          </cell>
          <cell r="D21">
            <v>137230</v>
          </cell>
          <cell r="E21">
            <v>515079</v>
          </cell>
          <cell r="F21">
            <v>12047</v>
          </cell>
          <cell r="G21">
            <v>86426</v>
          </cell>
          <cell r="H21">
            <v>157229</v>
          </cell>
          <cell r="I21">
            <v>473001</v>
          </cell>
          <cell r="J21">
            <v>630230</v>
          </cell>
        </row>
        <row r="22">
          <cell r="B22">
            <v>9671</v>
          </cell>
          <cell r="C22">
            <v>24991</v>
          </cell>
          <cell r="D22">
            <v>87276</v>
          </cell>
          <cell r="E22">
            <v>323124</v>
          </cell>
          <cell r="F22">
            <v>32333</v>
          </cell>
          <cell r="G22">
            <v>129882</v>
          </cell>
          <cell r="H22">
            <v>129280</v>
          </cell>
          <cell r="I22">
            <v>348717</v>
          </cell>
          <cell r="J22">
            <v>477997</v>
          </cell>
        </row>
        <row r="23">
          <cell r="B23">
            <v>1801</v>
          </cell>
          <cell r="C23">
            <v>14154</v>
          </cell>
          <cell r="D23">
            <v>67049</v>
          </cell>
          <cell r="E23">
            <v>305795</v>
          </cell>
          <cell r="F23">
            <v>6417</v>
          </cell>
          <cell r="G23">
            <v>37228</v>
          </cell>
          <cell r="H23">
            <v>75267</v>
          </cell>
          <cell r="I23">
            <v>281910</v>
          </cell>
          <cell r="J23">
            <v>357177</v>
          </cell>
        </row>
        <row r="24">
          <cell r="B24">
            <v>3289</v>
          </cell>
          <cell r="C24">
            <v>20148</v>
          </cell>
          <cell r="D24">
            <v>60421</v>
          </cell>
          <cell r="E24">
            <v>250615</v>
          </cell>
          <cell r="F24">
            <v>9202</v>
          </cell>
          <cell r="G24">
            <v>37398</v>
          </cell>
          <cell r="H24">
            <v>72912</v>
          </cell>
          <cell r="I24">
            <v>235249</v>
          </cell>
          <cell r="J24">
            <v>308161</v>
          </cell>
        </row>
        <row r="25">
          <cell r="B25">
            <v>2123</v>
          </cell>
          <cell r="C25">
            <v>11221</v>
          </cell>
          <cell r="D25">
            <v>58917</v>
          </cell>
          <cell r="E25">
            <v>251631</v>
          </cell>
          <cell r="F25">
            <v>9619</v>
          </cell>
          <cell r="G25">
            <v>48968</v>
          </cell>
          <cell r="H25">
            <v>70659</v>
          </cell>
          <cell r="I25">
            <v>241161</v>
          </cell>
          <cell r="J25">
            <v>311820</v>
          </cell>
        </row>
        <row r="26">
          <cell r="B26">
            <v>2181</v>
          </cell>
          <cell r="C26">
            <v>9882</v>
          </cell>
          <cell r="D26">
            <v>63735</v>
          </cell>
          <cell r="E26">
            <v>245168</v>
          </cell>
          <cell r="F26">
            <v>8466</v>
          </cell>
          <cell r="G26">
            <v>74128</v>
          </cell>
          <cell r="H26">
            <v>74382</v>
          </cell>
          <cell r="I26">
            <v>254796</v>
          </cell>
          <cell r="J26">
            <v>329178</v>
          </cell>
        </row>
        <row r="27">
          <cell r="B27">
            <v>1727</v>
          </cell>
          <cell r="C27">
            <v>9475</v>
          </cell>
          <cell r="D27">
            <v>77268</v>
          </cell>
          <cell r="E27">
            <v>258848</v>
          </cell>
          <cell r="F27">
            <v>9015</v>
          </cell>
          <cell r="G27">
            <v>51073</v>
          </cell>
          <cell r="H27">
            <v>88010</v>
          </cell>
          <cell r="I27">
            <v>231386</v>
          </cell>
          <cell r="J27">
            <v>319396</v>
          </cell>
        </row>
        <row r="28">
          <cell r="B28">
            <v>4489</v>
          </cell>
          <cell r="C28">
            <v>15832</v>
          </cell>
          <cell r="D28">
            <v>81648</v>
          </cell>
          <cell r="E28">
            <v>245823</v>
          </cell>
          <cell r="F28">
            <v>18529</v>
          </cell>
          <cell r="G28">
            <v>93429</v>
          </cell>
          <cell r="H28">
            <v>104666</v>
          </cell>
          <cell r="I28">
            <v>250418</v>
          </cell>
          <cell r="J28">
            <v>355084</v>
          </cell>
        </row>
        <row r="29">
          <cell r="B29">
            <v>3528</v>
          </cell>
          <cell r="C29">
            <v>13884</v>
          </cell>
          <cell r="D29">
            <v>154045</v>
          </cell>
          <cell r="E29">
            <v>543195</v>
          </cell>
          <cell r="F29">
            <v>13727</v>
          </cell>
          <cell r="G29">
            <v>44540</v>
          </cell>
          <cell r="H29">
            <v>171300</v>
          </cell>
          <cell r="I29">
            <v>430319</v>
          </cell>
          <cell r="J29">
            <v>601619</v>
          </cell>
        </row>
        <row r="30">
          <cell r="B30">
            <v>10357</v>
          </cell>
          <cell r="C30">
            <v>29270</v>
          </cell>
          <cell r="D30">
            <v>120531</v>
          </cell>
          <cell r="E30">
            <v>304002</v>
          </cell>
          <cell r="F30">
            <v>22364</v>
          </cell>
          <cell r="G30">
            <v>77146</v>
          </cell>
          <cell r="H30">
            <v>153252</v>
          </cell>
          <cell r="I30">
            <v>257166</v>
          </cell>
          <cell r="J30">
            <v>410418</v>
          </cell>
        </row>
        <row r="31">
          <cell r="B31">
            <v>2814</v>
          </cell>
          <cell r="C31">
            <v>9750</v>
          </cell>
          <cell r="D31">
            <v>101263</v>
          </cell>
          <cell r="E31">
            <v>318125</v>
          </cell>
          <cell r="F31">
            <v>7771</v>
          </cell>
          <cell r="G31">
            <v>36996</v>
          </cell>
          <cell r="H31">
            <v>111848</v>
          </cell>
          <cell r="I31">
            <v>253023</v>
          </cell>
          <cell r="J31">
            <v>364871</v>
          </cell>
        </row>
        <row r="32">
          <cell r="B32">
            <v>3023</v>
          </cell>
          <cell r="C32">
            <v>10958</v>
          </cell>
          <cell r="D32">
            <v>55464</v>
          </cell>
          <cell r="E32">
            <v>192134</v>
          </cell>
          <cell r="F32">
            <v>6813</v>
          </cell>
          <cell r="G32">
            <v>27723</v>
          </cell>
          <cell r="H32">
            <v>65300</v>
          </cell>
          <cell r="I32">
            <v>165515</v>
          </cell>
          <cell r="J32">
            <v>230815</v>
          </cell>
        </row>
        <row r="33">
          <cell r="B33">
            <v>1661</v>
          </cell>
          <cell r="C33">
            <v>5738</v>
          </cell>
          <cell r="D33">
            <v>90496</v>
          </cell>
          <cell r="E33">
            <v>214074</v>
          </cell>
          <cell r="F33">
            <v>2907</v>
          </cell>
          <cell r="G33">
            <v>11511</v>
          </cell>
          <cell r="H33">
            <v>95064</v>
          </cell>
          <cell r="I33">
            <v>136259</v>
          </cell>
          <cell r="J33">
            <v>231323</v>
          </cell>
        </row>
        <row r="34">
          <cell r="B34">
            <v>4783</v>
          </cell>
          <cell r="C34">
            <v>13526</v>
          </cell>
          <cell r="D34">
            <v>109279</v>
          </cell>
          <cell r="E34">
            <v>260130</v>
          </cell>
          <cell r="F34">
            <v>13341</v>
          </cell>
          <cell r="G34">
            <v>47057</v>
          </cell>
          <cell r="H34">
            <v>127403</v>
          </cell>
          <cell r="I34">
            <v>193310</v>
          </cell>
          <cell r="J34">
            <v>320713</v>
          </cell>
        </row>
        <row r="35">
          <cell r="B35">
            <v>3664</v>
          </cell>
          <cell r="C35">
            <v>8131</v>
          </cell>
          <cell r="D35">
            <v>84896</v>
          </cell>
          <cell r="E35">
            <v>234382</v>
          </cell>
          <cell r="F35">
            <v>5842</v>
          </cell>
          <cell r="G35">
            <v>18848</v>
          </cell>
          <cell r="H35">
            <v>94402</v>
          </cell>
          <cell r="I35">
            <v>166959</v>
          </cell>
          <cell r="J35">
            <v>261361</v>
          </cell>
        </row>
        <row r="36">
          <cell r="B36">
            <v>4822</v>
          </cell>
          <cell r="C36">
            <v>12238</v>
          </cell>
          <cell r="D36">
            <v>29146</v>
          </cell>
          <cell r="E36">
            <v>128890</v>
          </cell>
          <cell r="F36">
            <v>3469</v>
          </cell>
          <cell r="G36">
            <v>42916</v>
          </cell>
          <cell r="H36">
            <v>37437</v>
          </cell>
          <cell r="I36">
            <v>146607</v>
          </cell>
          <cell r="J36">
            <v>184044</v>
          </cell>
        </row>
        <row r="37">
          <cell r="B37">
            <v>1236</v>
          </cell>
          <cell r="C37">
            <v>3491</v>
          </cell>
          <cell r="D37">
            <v>27909</v>
          </cell>
          <cell r="E37">
            <v>106776</v>
          </cell>
          <cell r="F37">
            <v>751</v>
          </cell>
          <cell r="G37">
            <v>6574</v>
          </cell>
          <cell r="H37">
            <v>29896</v>
          </cell>
          <cell r="I37">
            <v>86945</v>
          </cell>
          <cell r="J37">
            <v>116841</v>
          </cell>
        </row>
        <row r="38">
          <cell r="B38">
            <v>2595</v>
          </cell>
          <cell r="C38">
            <v>6483</v>
          </cell>
          <cell r="D38">
            <v>21725</v>
          </cell>
          <cell r="E38">
            <v>69338</v>
          </cell>
          <cell r="F38">
            <v>2382</v>
          </cell>
          <cell r="G38">
            <v>24662</v>
          </cell>
          <cell r="H38">
            <v>26702</v>
          </cell>
          <cell r="I38">
            <v>73781</v>
          </cell>
          <cell r="J38">
            <v>100483</v>
          </cell>
        </row>
        <row r="39">
          <cell r="B39">
            <v>1522</v>
          </cell>
          <cell r="C39">
            <v>3134</v>
          </cell>
          <cell r="D39">
            <v>30300</v>
          </cell>
          <cell r="E39">
            <v>66174</v>
          </cell>
          <cell r="F39">
            <v>899</v>
          </cell>
          <cell r="G39">
            <v>6292</v>
          </cell>
          <cell r="H39">
            <v>32721</v>
          </cell>
          <cell r="I39">
            <v>42879</v>
          </cell>
          <cell r="J39">
            <v>75600</v>
          </cell>
        </row>
        <row r="40">
          <cell r="B40">
            <v>2054</v>
          </cell>
          <cell r="C40">
            <v>4101</v>
          </cell>
          <cell r="D40">
            <v>28132</v>
          </cell>
          <cell r="E40">
            <v>75392</v>
          </cell>
          <cell r="F40">
            <v>5278</v>
          </cell>
          <cell r="G40">
            <v>32199</v>
          </cell>
          <cell r="H40">
            <v>35464</v>
          </cell>
          <cell r="I40">
            <v>76228</v>
          </cell>
          <cell r="J40">
            <v>111692</v>
          </cell>
        </row>
        <row r="41">
          <cell r="B41">
            <v>1119</v>
          </cell>
          <cell r="C41">
            <v>1917</v>
          </cell>
          <cell r="D41">
            <v>19071</v>
          </cell>
          <cell r="E41">
            <v>56256</v>
          </cell>
          <cell r="F41">
            <v>1690</v>
          </cell>
          <cell r="G41">
            <v>11496</v>
          </cell>
          <cell r="H41">
            <v>21880</v>
          </cell>
          <cell r="I41">
            <v>47789</v>
          </cell>
          <cell r="J41">
            <v>69669</v>
          </cell>
        </row>
        <row r="42">
          <cell r="B42">
            <v>2979</v>
          </cell>
          <cell r="C42">
            <v>6902</v>
          </cell>
          <cell r="D42">
            <v>25550</v>
          </cell>
          <cell r="E42">
            <v>77084</v>
          </cell>
          <cell r="F42">
            <v>4375</v>
          </cell>
          <cell r="G42">
            <v>39885</v>
          </cell>
          <cell r="H42">
            <v>32904</v>
          </cell>
          <cell r="I42">
            <v>90967</v>
          </cell>
          <cell r="J42">
            <v>123871</v>
          </cell>
        </row>
        <row r="43">
          <cell r="B43">
            <v>1391</v>
          </cell>
          <cell r="C43">
            <v>3204</v>
          </cell>
          <cell r="D43">
            <v>30593</v>
          </cell>
          <cell r="E43">
            <v>90900</v>
          </cell>
          <cell r="F43">
            <v>1616</v>
          </cell>
          <cell r="G43">
            <v>19787</v>
          </cell>
          <cell r="H43">
            <v>32209</v>
          </cell>
          <cell r="I43">
            <v>110687</v>
          </cell>
          <cell r="J43">
            <v>113891</v>
          </cell>
        </row>
        <row r="44">
          <cell r="B44">
            <v>3483.7894736842068</v>
          </cell>
          <cell r="C44">
            <v>9408.9999999999982</v>
          </cell>
          <cell r="D44">
            <v>36543.295158213987</v>
          </cell>
          <cell r="E44">
            <v>121578.74197332651</v>
          </cell>
          <cell r="F44">
            <v>4114.6124954774104</v>
          </cell>
          <cell r="G44">
            <v>48166.258026673502</v>
          </cell>
          <cell r="H44">
            <v>44141.697127375606</v>
          </cell>
          <cell r="I44">
            <v>135012.30287262439</v>
          </cell>
          <cell r="J44">
            <v>179154</v>
          </cell>
        </row>
        <row r="45">
          <cell r="B45" t="str">
            <v>-</v>
          </cell>
          <cell r="C45" t="str">
            <v>-</v>
          </cell>
          <cell r="D45" t="str">
            <v>-</v>
          </cell>
          <cell r="E45" t="str">
            <v>-</v>
          </cell>
          <cell r="F45" t="str">
            <v>-</v>
          </cell>
          <cell r="G45" t="str">
            <v>-</v>
          </cell>
          <cell r="H45" t="str">
            <v>-</v>
          </cell>
          <cell r="I45" t="str">
            <v>-</v>
          </cell>
          <cell r="J45">
            <v>155013</v>
          </cell>
        </row>
      </sheetData>
      <sheetData sheetId="25" refreshError="1"/>
      <sheetData sheetId="26">
        <row r="3">
          <cell r="F3">
            <v>79900</v>
          </cell>
          <cell r="G3">
            <v>24500</v>
          </cell>
          <cell r="H3">
            <v>104400</v>
          </cell>
        </row>
        <row r="4">
          <cell r="F4">
            <v>89600</v>
          </cell>
          <cell r="G4">
            <v>26700</v>
          </cell>
          <cell r="H4">
            <v>116300</v>
          </cell>
        </row>
        <row r="5">
          <cell r="B5">
            <v>16613</v>
          </cell>
          <cell r="C5">
            <v>87513</v>
          </cell>
          <cell r="D5">
            <v>5463</v>
          </cell>
          <cell r="E5">
            <v>42432</v>
          </cell>
          <cell r="F5">
            <v>107869</v>
          </cell>
          <cell r="G5">
            <v>22076</v>
          </cell>
          <cell r="H5">
            <v>129945</v>
          </cell>
        </row>
        <row r="6">
          <cell r="B6">
            <v>20164</v>
          </cell>
          <cell r="C6">
            <v>52582</v>
          </cell>
          <cell r="D6">
            <v>5347</v>
          </cell>
          <cell r="E6">
            <v>18820</v>
          </cell>
          <cell r="F6">
            <v>45891</v>
          </cell>
          <cell r="G6">
            <v>25511</v>
          </cell>
          <cell r="H6">
            <v>71402</v>
          </cell>
        </row>
        <row r="7">
          <cell r="B7">
            <v>15700</v>
          </cell>
          <cell r="C7">
            <v>60443</v>
          </cell>
          <cell r="D7">
            <v>4614</v>
          </cell>
          <cell r="E7">
            <v>26620</v>
          </cell>
          <cell r="F7">
            <v>66749</v>
          </cell>
          <cell r="G7">
            <v>20314</v>
          </cell>
          <cell r="H7">
            <v>87063</v>
          </cell>
        </row>
        <row r="8">
          <cell r="B8">
            <v>16937</v>
          </cell>
          <cell r="C8">
            <v>83440</v>
          </cell>
          <cell r="D8">
            <v>8042</v>
          </cell>
          <cell r="E8">
            <v>47908</v>
          </cell>
          <cell r="F8">
            <v>106369</v>
          </cell>
          <cell r="G8">
            <v>24979</v>
          </cell>
          <cell r="H8">
            <v>131348</v>
          </cell>
        </row>
        <row r="9">
          <cell r="B9">
            <v>4806</v>
          </cell>
          <cell r="C9">
            <v>30383</v>
          </cell>
          <cell r="D9">
            <v>4483</v>
          </cell>
          <cell r="E9">
            <v>26498</v>
          </cell>
          <cell r="F9">
            <v>47592</v>
          </cell>
          <cell r="G9">
            <v>9289</v>
          </cell>
          <cell r="H9">
            <v>56881</v>
          </cell>
        </row>
        <row r="10">
          <cell r="B10">
            <v>14135</v>
          </cell>
          <cell r="C10">
            <v>84020</v>
          </cell>
          <cell r="D10">
            <v>3182</v>
          </cell>
          <cell r="E10">
            <v>15065</v>
          </cell>
          <cell r="F10">
            <v>81768</v>
          </cell>
          <cell r="G10">
            <v>17317</v>
          </cell>
          <cell r="H10">
            <v>99085</v>
          </cell>
        </row>
        <row r="11">
          <cell r="B11">
            <v>13617</v>
          </cell>
          <cell r="C11">
            <v>97037</v>
          </cell>
          <cell r="D11">
            <v>5777</v>
          </cell>
          <cell r="E11">
            <v>31343</v>
          </cell>
          <cell r="F11">
            <v>108986</v>
          </cell>
          <cell r="G11">
            <v>19394</v>
          </cell>
          <cell r="H11">
            <v>128380</v>
          </cell>
        </row>
        <row r="12">
          <cell r="B12">
            <v>7332</v>
          </cell>
          <cell r="C12">
            <v>41989</v>
          </cell>
          <cell r="D12">
            <v>1790</v>
          </cell>
          <cell r="E12">
            <v>17685</v>
          </cell>
          <cell r="F12">
            <v>50552</v>
          </cell>
          <cell r="G12">
            <v>9122</v>
          </cell>
          <cell r="H12">
            <v>59674</v>
          </cell>
        </row>
        <row r="13">
          <cell r="B13">
            <v>5873</v>
          </cell>
          <cell r="C13">
            <v>37829</v>
          </cell>
          <cell r="D13">
            <v>2231</v>
          </cell>
          <cell r="E13">
            <v>9409</v>
          </cell>
          <cell r="F13">
            <v>39134</v>
          </cell>
          <cell r="G13">
            <v>8104</v>
          </cell>
          <cell r="H13">
            <v>47238</v>
          </cell>
        </row>
        <row r="14">
          <cell r="B14">
            <v>6721</v>
          </cell>
          <cell r="C14">
            <v>69494</v>
          </cell>
          <cell r="D14">
            <v>1334</v>
          </cell>
          <cell r="E14">
            <v>9651</v>
          </cell>
          <cell r="F14">
            <v>71090</v>
          </cell>
          <cell r="G14">
            <v>8055</v>
          </cell>
          <cell r="H14">
            <v>79145</v>
          </cell>
        </row>
        <row r="15">
          <cell r="B15">
            <v>5980</v>
          </cell>
          <cell r="C15">
            <v>73055</v>
          </cell>
          <cell r="D15">
            <v>1645</v>
          </cell>
          <cell r="E15">
            <v>13856</v>
          </cell>
          <cell r="F15">
            <v>79286</v>
          </cell>
          <cell r="G15">
            <v>7625</v>
          </cell>
          <cell r="H15">
            <v>86911</v>
          </cell>
        </row>
        <row r="16">
          <cell r="B16">
            <v>7424</v>
          </cell>
          <cell r="C16">
            <v>74443</v>
          </cell>
          <cell r="D16">
            <v>1325</v>
          </cell>
          <cell r="E16">
            <v>12203</v>
          </cell>
          <cell r="F16">
            <v>77897</v>
          </cell>
          <cell r="G16">
            <v>8749</v>
          </cell>
          <cell r="H16">
            <v>86646</v>
          </cell>
        </row>
        <row r="17">
          <cell r="B17">
            <v>7074</v>
          </cell>
          <cell r="C17">
            <v>50906</v>
          </cell>
          <cell r="D17">
            <v>2301</v>
          </cell>
          <cell r="E17">
            <v>19756</v>
          </cell>
          <cell r="F17">
            <v>61287</v>
          </cell>
          <cell r="G17">
            <v>9375</v>
          </cell>
          <cell r="H17">
            <v>70662</v>
          </cell>
        </row>
        <row r="18">
          <cell r="B18">
            <v>10184</v>
          </cell>
          <cell r="C18">
            <v>64303</v>
          </cell>
          <cell r="D18">
            <v>914</v>
          </cell>
          <cell r="E18">
            <v>9748</v>
          </cell>
          <cell r="F18">
            <v>62953</v>
          </cell>
          <cell r="G18">
            <v>11098</v>
          </cell>
          <cell r="H18">
            <v>74051</v>
          </cell>
        </row>
        <row r="19">
          <cell r="B19">
            <v>17689</v>
          </cell>
          <cell r="C19">
            <v>97288</v>
          </cell>
          <cell r="D19">
            <v>2886</v>
          </cell>
          <cell r="E19">
            <v>20014</v>
          </cell>
          <cell r="F19">
            <v>96727</v>
          </cell>
          <cell r="G19">
            <v>20575</v>
          </cell>
          <cell r="H19">
            <v>117302</v>
          </cell>
        </row>
        <row r="20">
          <cell r="B20">
            <v>37545</v>
          </cell>
          <cell r="C20">
            <v>234615</v>
          </cell>
          <cell r="D20">
            <v>3174</v>
          </cell>
          <cell r="E20">
            <v>33851</v>
          </cell>
          <cell r="F20">
            <v>227747</v>
          </cell>
          <cell r="G20">
            <v>40719</v>
          </cell>
          <cell r="H20">
            <v>268466</v>
          </cell>
        </row>
        <row r="21">
          <cell r="B21">
            <v>28308</v>
          </cell>
          <cell r="C21">
            <v>150577</v>
          </cell>
          <cell r="D21">
            <v>13623</v>
          </cell>
          <cell r="E21">
            <v>71599</v>
          </cell>
          <cell r="F21">
            <v>180245</v>
          </cell>
          <cell r="G21">
            <v>41931</v>
          </cell>
          <cell r="H21">
            <v>222176</v>
          </cell>
        </row>
        <row r="22">
          <cell r="B22">
            <v>21892</v>
          </cell>
          <cell r="C22">
            <v>140066</v>
          </cell>
          <cell r="D22">
            <v>7254</v>
          </cell>
          <cell r="E22">
            <v>32444</v>
          </cell>
          <cell r="F22">
            <v>143364</v>
          </cell>
          <cell r="G22">
            <v>29146</v>
          </cell>
          <cell r="H22">
            <v>172510</v>
          </cell>
        </row>
        <row r="23">
          <cell r="B23">
            <v>18297</v>
          </cell>
          <cell r="C23">
            <v>121688</v>
          </cell>
          <cell r="D23">
            <v>4774</v>
          </cell>
          <cell r="E23">
            <v>29958</v>
          </cell>
          <cell r="F23">
            <v>128575</v>
          </cell>
          <cell r="G23">
            <v>23071</v>
          </cell>
          <cell r="H23">
            <v>151646</v>
          </cell>
        </row>
        <row r="24">
          <cell r="B24">
            <v>14586</v>
          </cell>
          <cell r="C24">
            <v>125133</v>
          </cell>
          <cell r="D24">
            <v>3544</v>
          </cell>
          <cell r="E24">
            <v>33032</v>
          </cell>
          <cell r="F24">
            <v>140035</v>
          </cell>
          <cell r="G24">
            <v>18130</v>
          </cell>
          <cell r="H24">
            <v>158165</v>
          </cell>
        </row>
        <row r="25">
          <cell r="B25">
            <v>7877</v>
          </cell>
          <cell r="C25">
            <v>108321</v>
          </cell>
          <cell r="D25">
            <v>1633</v>
          </cell>
          <cell r="E25">
            <v>40845</v>
          </cell>
          <cell r="F25">
            <v>139656</v>
          </cell>
          <cell r="G25">
            <v>9510</v>
          </cell>
          <cell r="H25">
            <v>149166</v>
          </cell>
        </row>
        <row r="26">
          <cell r="B26">
            <v>11242</v>
          </cell>
          <cell r="C26">
            <v>128259</v>
          </cell>
          <cell r="D26">
            <v>2924</v>
          </cell>
          <cell r="E26">
            <v>26883</v>
          </cell>
          <cell r="F26">
            <v>140976</v>
          </cell>
          <cell r="G26">
            <v>14166</v>
          </cell>
          <cell r="H26">
            <v>155142</v>
          </cell>
        </row>
        <row r="27">
          <cell r="B27">
            <v>18216</v>
          </cell>
          <cell r="C27">
            <v>125500</v>
          </cell>
          <cell r="D27">
            <v>5659</v>
          </cell>
          <cell r="E27">
            <v>53370</v>
          </cell>
          <cell r="F27">
            <v>154995</v>
          </cell>
          <cell r="G27">
            <v>23875</v>
          </cell>
          <cell r="H27">
            <v>178870</v>
          </cell>
        </row>
        <row r="28">
          <cell r="B28">
            <v>38210</v>
          </cell>
          <cell r="C28">
            <v>299598</v>
          </cell>
          <cell r="D28">
            <v>4529</v>
          </cell>
          <cell r="E28">
            <v>23784</v>
          </cell>
          <cell r="F28">
            <v>280643</v>
          </cell>
          <cell r="G28">
            <v>42739</v>
          </cell>
          <cell r="H28">
            <v>323382</v>
          </cell>
        </row>
        <row r="29">
          <cell r="B29">
            <v>34549</v>
          </cell>
          <cell r="C29">
            <v>163020</v>
          </cell>
          <cell r="D29">
            <v>9584</v>
          </cell>
          <cell r="E29">
            <v>45276</v>
          </cell>
          <cell r="F29">
            <v>164163</v>
          </cell>
          <cell r="G29">
            <v>44133</v>
          </cell>
          <cell r="H29">
            <v>208296</v>
          </cell>
        </row>
        <row r="30">
          <cell r="B30">
            <v>35240</v>
          </cell>
          <cell r="C30">
            <v>156208</v>
          </cell>
          <cell r="D30">
            <v>4198</v>
          </cell>
          <cell r="E30">
            <v>24112</v>
          </cell>
          <cell r="F30">
            <v>140882</v>
          </cell>
          <cell r="G30">
            <v>39438</v>
          </cell>
          <cell r="H30">
            <v>180320</v>
          </cell>
        </row>
        <row r="31">
          <cell r="B31">
            <v>19806</v>
          </cell>
          <cell r="C31">
            <v>88184</v>
          </cell>
          <cell r="D31">
            <v>3337</v>
          </cell>
          <cell r="E31">
            <v>21002</v>
          </cell>
          <cell r="F31">
            <v>86043</v>
          </cell>
          <cell r="G31">
            <v>23143</v>
          </cell>
          <cell r="H31">
            <v>109186</v>
          </cell>
        </row>
        <row r="32">
          <cell r="B32">
            <v>23470</v>
          </cell>
          <cell r="C32">
            <v>99130</v>
          </cell>
          <cell r="D32">
            <v>1885</v>
          </cell>
          <cell r="E32">
            <v>9024</v>
          </cell>
          <cell r="F32">
            <v>82799</v>
          </cell>
          <cell r="G32">
            <v>25355</v>
          </cell>
          <cell r="H32">
            <v>108154</v>
          </cell>
        </row>
        <row r="33">
          <cell r="B33">
            <v>38861</v>
          </cell>
          <cell r="C33">
            <v>133957</v>
          </cell>
          <cell r="D33">
            <v>6928</v>
          </cell>
          <cell r="E33">
            <v>31634</v>
          </cell>
          <cell r="F33">
            <v>119802</v>
          </cell>
          <cell r="G33">
            <v>45789</v>
          </cell>
          <cell r="H33">
            <v>165591</v>
          </cell>
        </row>
        <row r="34">
          <cell r="B34">
            <v>30806</v>
          </cell>
          <cell r="C34">
            <v>123147</v>
          </cell>
          <cell r="D34">
            <v>3130</v>
          </cell>
          <cell r="E34">
            <v>13003</v>
          </cell>
          <cell r="F34">
            <v>102214</v>
          </cell>
          <cell r="G34">
            <v>33936</v>
          </cell>
          <cell r="H34">
            <v>136150</v>
          </cell>
        </row>
        <row r="35">
          <cell r="B35">
            <v>12575</v>
          </cell>
          <cell r="C35">
            <v>68956</v>
          </cell>
          <cell r="D35">
            <v>3001</v>
          </cell>
          <cell r="E35">
            <v>32870</v>
          </cell>
          <cell r="F35">
            <v>86250</v>
          </cell>
          <cell r="G35">
            <v>15576</v>
          </cell>
          <cell r="H35">
            <v>101826</v>
          </cell>
        </row>
        <row r="36">
          <cell r="B36">
            <v>10454</v>
          </cell>
          <cell r="C36">
            <v>69450</v>
          </cell>
          <cell r="D36">
            <v>263</v>
          </cell>
          <cell r="E36">
            <v>4647</v>
          </cell>
          <cell r="F36">
            <v>63380</v>
          </cell>
          <cell r="G36">
            <v>10717</v>
          </cell>
          <cell r="H36">
            <v>74097</v>
          </cell>
        </row>
        <row r="37">
          <cell r="B37">
            <v>7055</v>
          </cell>
          <cell r="C37">
            <v>35253</v>
          </cell>
          <cell r="D37">
            <v>1229</v>
          </cell>
          <cell r="E37">
            <v>16565</v>
          </cell>
          <cell r="F37">
            <v>43534</v>
          </cell>
          <cell r="G37">
            <v>8284</v>
          </cell>
          <cell r="H37">
            <v>51818</v>
          </cell>
        </row>
        <row r="38">
          <cell r="B38">
            <v>9234</v>
          </cell>
          <cell r="C38">
            <v>30945</v>
          </cell>
          <cell r="D38">
            <v>400</v>
          </cell>
          <cell r="E38">
            <v>3465</v>
          </cell>
          <cell r="F38">
            <v>24776</v>
          </cell>
          <cell r="G38">
            <v>9634</v>
          </cell>
          <cell r="H38">
            <v>34410</v>
          </cell>
        </row>
        <row r="39">
          <cell r="B39">
            <v>12213</v>
          </cell>
          <cell r="C39">
            <v>39989</v>
          </cell>
          <cell r="D39">
            <v>3265</v>
          </cell>
          <cell r="E39">
            <v>21326</v>
          </cell>
          <cell r="F39">
            <v>45837</v>
          </cell>
          <cell r="G39">
            <v>15478</v>
          </cell>
          <cell r="H39">
            <v>61315</v>
          </cell>
        </row>
        <row r="40">
          <cell r="B40">
            <v>8335</v>
          </cell>
          <cell r="C40">
            <v>34964</v>
          </cell>
          <cell r="D40">
            <v>1268</v>
          </cell>
          <cell r="E40">
            <v>7622</v>
          </cell>
          <cell r="F40">
            <v>32983</v>
          </cell>
          <cell r="G40">
            <v>9603</v>
          </cell>
          <cell r="H40">
            <v>42586</v>
          </cell>
        </row>
        <row r="41">
          <cell r="B41">
            <v>10907</v>
          </cell>
          <cell r="C41">
            <v>46351</v>
          </cell>
          <cell r="D41">
            <v>2934</v>
          </cell>
          <cell r="E41">
            <v>28664</v>
          </cell>
          <cell r="F41">
            <v>61174</v>
          </cell>
          <cell r="G41">
            <v>13841</v>
          </cell>
          <cell r="H41">
            <v>75015</v>
          </cell>
        </row>
        <row r="42">
          <cell r="B42">
            <v>13985</v>
          </cell>
          <cell r="C42">
            <v>55519</v>
          </cell>
          <cell r="D42">
            <v>2072</v>
          </cell>
          <cell r="E42">
            <v>11640</v>
          </cell>
          <cell r="F42">
            <v>51102</v>
          </cell>
          <cell r="G42">
            <v>16057</v>
          </cell>
          <cell r="H42">
            <v>67159</v>
          </cell>
        </row>
        <row r="43">
          <cell r="B43" t="str">
            <v>-</v>
          </cell>
          <cell r="C43" t="str">
            <v>-</v>
          </cell>
          <cell r="D43" t="str">
            <v>-</v>
          </cell>
          <cell r="E43" t="str">
            <v>-</v>
          </cell>
          <cell r="F43" t="str">
            <v>-</v>
          </cell>
          <cell r="G43" t="str">
            <v>-</v>
          </cell>
          <cell r="H43">
            <v>102684</v>
          </cell>
        </row>
      </sheetData>
      <sheetData sheetId="27" refreshError="1"/>
      <sheetData sheetId="28">
        <row r="5">
          <cell r="B5">
            <v>0.3</v>
          </cell>
          <cell r="C5">
            <v>3.8</v>
          </cell>
          <cell r="D5">
            <v>18.100000000000001</v>
          </cell>
          <cell r="E5">
            <v>20.5</v>
          </cell>
          <cell r="G5">
            <v>5.0999999999999996</v>
          </cell>
          <cell r="H5">
            <v>47.8</v>
          </cell>
        </row>
        <row r="6">
          <cell r="B6">
            <v>1.9</v>
          </cell>
          <cell r="C6">
            <v>2.5</v>
          </cell>
          <cell r="D6">
            <v>22.9</v>
          </cell>
          <cell r="E6">
            <v>23</v>
          </cell>
          <cell r="G6">
            <v>6.3</v>
          </cell>
          <cell r="H6">
            <v>56.6</v>
          </cell>
        </row>
        <row r="7">
          <cell r="B7">
            <v>1.8</v>
          </cell>
          <cell r="C7">
            <v>3.6</v>
          </cell>
          <cell r="D7">
            <v>18.7</v>
          </cell>
          <cell r="E7">
            <v>19.2</v>
          </cell>
          <cell r="G7">
            <v>5.8</v>
          </cell>
          <cell r="H7">
            <v>49.1</v>
          </cell>
        </row>
        <row r="8">
          <cell r="B8">
            <v>0.8</v>
          </cell>
          <cell r="C8">
            <v>1.5</v>
          </cell>
          <cell r="D8">
            <v>6.8</v>
          </cell>
          <cell r="E8">
            <v>8.6</v>
          </cell>
          <cell r="G8">
            <v>2</v>
          </cell>
          <cell r="H8">
            <v>19.7</v>
          </cell>
        </row>
        <row r="9">
          <cell r="B9">
            <v>2.7</v>
          </cell>
          <cell r="C9">
            <v>6.2</v>
          </cell>
          <cell r="D9">
            <v>11.3</v>
          </cell>
          <cell r="E9">
            <v>43.7</v>
          </cell>
          <cell r="F9">
            <v>0.2</v>
          </cell>
          <cell r="G9">
            <v>4.5999999999999996</v>
          </cell>
          <cell r="H9">
            <v>68.7</v>
          </cell>
        </row>
        <row r="10">
          <cell r="B10">
            <v>1.8</v>
          </cell>
          <cell r="C10">
            <v>3.9</v>
          </cell>
          <cell r="D10">
            <v>15.9</v>
          </cell>
          <cell r="E10">
            <v>32.299999999999997</v>
          </cell>
          <cell r="F10">
            <v>0.2</v>
          </cell>
          <cell r="G10">
            <v>3</v>
          </cell>
          <cell r="H10">
            <v>57.1</v>
          </cell>
        </row>
        <row r="11">
          <cell r="B11">
            <v>3</v>
          </cell>
          <cell r="C11">
            <v>4.4000000000000004</v>
          </cell>
          <cell r="D11">
            <v>26.9</v>
          </cell>
          <cell r="E11">
            <v>53.3</v>
          </cell>
          <cell r="G11">
            <v>2.2999999999999998</v>
          </cell>
          <cell r="H11">
            <v>89.9</v>
          </cell>
        </row>
        <row r="12">
          <cell r="B12">
            <v>1.6</v>
          </cell>
          <cell r="C12">
            <v>4.2</v>
          </cell>
          <cell r="D12">
            <v>17.399999999999999</v>
          </cell>
          <cell r="E12">
            <v>33.6</v>
          </cell>
          <cell r="G12">
            <v>1.6</v>
          </cell>
          <cell r="H12">
            <v>58.4</v>
          </cell>
        </row>
        <row r="13">
          <cell r="B13">
            <v>2.7</v>
          </cell>
          <cell r="C13">
            <v>7</v>
          </cell>
          <cell r="D13">
            <v>14.2</v>
          </cell>
          <cell r="E13">
            <v>50.7</v>
          </cell>
          <cell r="G13">
            <v>3.3</v>
          </cell>
          <cell r="H13">
            <v>77.900000000000006</v>
          </cell>
        </row>
        <row r="14">
          <cell r="B14">
            <v>1.7</v>
          </cell>
          <cell r="C14">
            <v>3.5</v>
          </cell>
          <cell r="D14">
            <v>12.6</v>
          </cell>
          <cell r="E14">
            <v>13.4</v>
          </cell>
          <cell r="G14">
            <v>3.8</v>
          </cell>
          <cell r="H14">
            <v>35</v>
          </cell>
        </row>
        <row r="15">
          <cell r="B15">
            <v>2.2000000000000002</v>
          </cell>
          <cell r="C15">
            <v>5.0999999999999996</v>
          </cell>
          <cell r="D15">
            <v>17.2</v>
          </cell>
          <cell r="E15">
            <v>31.8</v>
          </cell>
          <cell r="G15">
            <v>5.6</v>
          </cell>
          <cell r="H15">
            <v>61.9</v>
          </cell>
        </row>
        <row r="16">
          <cell r="B16">
            <v>1.2</v>
          </cell>
          <cell r="C16">
            <v>3</v>
          </cell>
          <cell r="D16">
            <v>15</v>
          </cell>
          <cell r="E16">
            <v>10.4</v>
          </cell>
          <cell r="G16">
            <v>2.2000000000000002</v>
          </cell>
          <cell r="H16">
            <v>31.8</v>
          </cell>
        </row>
        <row r="17">
          <cell r="B17">
            <v>1.2</v>
          </cell>
          <cell r="C17">
            <v>3</v>
          </cell>
          <cell r="D17">
            <v>17.600000000000001</v>
          </cell>
          <cell r="E17">
            <v>23.1</v>
          </cell>
          <cell r="G17">
            <v>3.1</v>
          </cell>
          <cell r="H17">
            <v>48</v>
          </cell>
        </row>
        <row r="18">
          <cell r="B18">
            <v>1.8</v>
          </cell>
          <cell r="C18">
            <v>3.2</v>
          </cell>
          <cell r="D18">
            <v>20</v>
          </cell>
          <cell r="E18">
            <v>17.3</v>
          </cell>
          <cell r="G18">
            <v>4.7</v>
          </cell>
          <cell r="H18">
            <v>47</v>
          </cell>
        </row>
        <row r="19">
          <cell r="B19">
            <v>1.2</v>
          </cell>
          <cell r="C19">
            <v>2.1</v>
          </cell>
          <cell r="D19">
            <v>23</v>
          </cell>
          <cell r="E19">
            <v>15.4</v>
          </cell>
          <cell r="G19">
            <v>5.6</v>
          </cell>
          <cell r="H19">
            <v>47.3</v>
          </cell>
        </row>
        <row r="20">
          <cell r="B20">
            <v>1.4</v>
          </cell>
          <cell r="C20">
            <v>1.5</v>
          </cell>
          <cell r="D20">
            <v>13</v>
          </cell>
          <cell r="E20">
            <v>15.1</v>
          </cell>
          <cell r="F20">
            <v>0.1</v>
          </cell>
          <cell r="G20">
            <v>7.8</v>
          </cell>
          <cell r="H20">
            <v>38.9</v>
          </cell>
        </row>
        <row r="21">
          <cell r="B21">
            <v>1.2</v>
          </cell>
          <cell r="C21">
            <v>1</v>
          </cell>
          <cell r="D21">
            <v>15.1</v>
          </cell>
          <cell r="E21">
            <v>7.8</v>
          </cell>
          <cell r="F21">
            <v>0.2</v>
          </cell>
          <cell r="G21">
            <v>9.9</v>
          </cell>
          <cell r="H21">
            <v>35.200000000000003</v>
          </cell>
        </row>
        <row r="22">
          <cell r="B22">
            <v>1.9</v>
          </cell>
          <cell r="C22">
            <v>1.4</v>
          </cell>
          <cell r="D22">
            <v>6</v>
          </cell>
          <cell r="E22">
            <v>17.5</v>
          </cell>
          <cell r="F22">
            <v>0.1</v>
          </cell>
          <cell r="G22">
            <v>3.7</v>
          </cell>
          <cell r="H22">
            <v>30.6</v>
          </cell>
        </row>
        <row r="23">
          <cell r="B23">
            <v>1.2</v>
          </cell>
          <cell r="C23">
            <v>1.4</v>
          </cell>
          <cell r="D23">
            <v>5</v>
          </cell>
          <cell r="E23">
            <v>15.3</v>
          </cell>
          <cell r="G23">
            <v>5.4</v>
          </cell>
          <cell r="H23">
            <v>28.3</v>
          </cell>
        </row>
        <row r="24">
          <cell r="B24">
            <v>1282</v>
          </cell>
          <cell r="C24">
            <v>1500</v>
          </cell>
          <cell r="D24">
            <v>6300</v>
          </cell>
          <cell r="E24">
            <v>12400</v>
          </cell>
          <cell r="G24">
            <v>4600</v>
          </cell>
          <cell r="H24">
            <v>26082</v>
          </cell>
        </row>
        <row r="25">
          <cell r="B25">
            <v>1619</v>
          </cell>
          <cell r="C25">
            <v>1700</v>
          </cell>
          <cell r="D25">
            <v>14805</v>
          </cell>
          <cell r="E25">
            <v>13100</v>
          </cell>
          <cell r="F25">
            <v>400</v>
          </cell>
          <cell r="G25">
            <v>9600</v>
          </cell>
          <cell r="H25">
            <v>41224</v>
          </cell>
        </row>
        <row r="26">
          <cell r="B26">
            <v>1966</v>
          </cell>
          <cell r="C26">
            <v>3100</v>
          </cell>
          <cell r="D26">
            <v>19787</v>
          </cell>
          <cell r="E26">
            <v>28400</v>
          </cell>
          <cell r="F26">
            <v>1900</v>
          </cell>
          <cell r="G26">
            <v>16400</v>
          </cell>
          <cell r="H26">
            <v>71553</v>
          </cell>
        </row>
        <row r="27">
          <cell r="B27">
            <v>4404</v>
          </cell>
          <cell r="C27">
            <v>6000</v>
          </cell>
          <cell r="D27">
            <v>34915</v>
          </cell>
          <cell r="E27">
            <v>35200</v>
          </cell>
          <cell r="F27">
            <v>2800</v>
          </cell>
          <cell r="G27">
            <v>33800</v>
          </cell>
          <cell r="H27">
            <v>117119</v>
          </cell>
        </row>
        <row r="28">
          <cell r="B28">
            <v>2691</v>
          </cell>
          <cell r="C28">
            <v>2700</v>
          </cell>
          <cell r="D28">
            <v>26858</v>
          </cell>
          <cell r="E28">
            <v>17500</v>
          </cell>
          <cell r="F28">
            <v>4500</v>
          </cell>
          <cell r="G28">
            <v>23000</v>
          </cell>
          <cell r="H28">
            <v>77249</v>
          </cell>
        </row>
        <row r="29">
          <cell r="B29">
            <v>2954</v>
          </cell>
          <cell r="C29">
            <v>5600</v>
          </cell>
          <cell r="D29">
            <v>44470</v>
          </cell>
          <cell r="E29">
            <v>36400</v>
          </cell>
          <cell r="F29">
            <v>2400</v>
          </cell>
          <cell r="G29">
            <v>23100</v>
          </cell>
          <cell r="H29">
            <v>114924</v>
          </cell>
        </row>
        <row r="30">
          <cell r="B30">
            <v>2055</v>
          </cell>
          <cell r="C30">
            <v>2000</v>
          </cell>
          <cell r="D30">
            <v>15204</v>
          </cell>
          <cell r="E30">
            <v>14600</v>
          </cell>
          <cell r="F30">
            <v>4100</v>
          </cell>
          <cell r="G30">
            <v>18800</v>
          </cell>
          <cell r="H30">
            <v>56759</v>
          </cell>
        </row>
        <row r="31">
          <cell r="B31">
            <v>3021</v>
          </cell>
          <cell r="C31">
            <v>4300</v>
          </cell>
          <cell r="D31">
            <v>29384</v>
          </cell>
          <cell r="E31">
            <v>17000</v>
          </cell>
          <cell r="F31">
            <v>1300</v>
          </cell>
          <cell r="G31">
            <v>24800</v>
          </cell>
          <cell r="H31">
            <v>79805</v>
          </cell>
        </row>
        <row r="32">
          <cell r="B32">
            <v>2695</v>
          </cell>
          <cell r="C32">
            <v>3500</v>
          </cell>
          <cell r="D32">
            <v>12406</v>
          </cell>
          <cell r="E32">
            <v>13100</v>
          </cell>
          <cell r="F32">
            <v>1200</v>
          </cell>
          <cell r="G32">
            <v>9200</v>
          </cell>
          <cell r="H32">
            <v>42101</v>
          </cell>
        </row>
        <row r="33">
          <cell r="B33">
            <v>2035</v>
          </cell>
          <cell r="C33">
            <v>5140</v>
          </cell>
          <cell r="D33">
            <v>22540</v>
          </cell>
          <cell r="E33">
            <v>13917</v>
          </cell>
          <cell r="F33">
            <v>900</v>
          </cell>
          <cell r="G33">
            <v>20600</v>
          </cell>
          <cell r="H33">
            <v>65132</v>
          </cell>
        </row>
        <row r="34">
          <cell r="B34">
            <v>1381</v>
          </cell>
          <cell r="C34">
            <v>4291</v>
          </cell>
          <cell r="D34">
            <v>18013</v>
          </cell>
          <cell r="E34">
            <v>14198</v>
          </cell>
          <cell r="F34">
            <v>700</v>
          </cell>
          <cell r="G34">
            <v>19100</v>
          </cell>
          <cell r="H34">
            <v>57683</v>
          </cell>
        </row>
        <row r="35">
          <cell r="B35">
            <v>4220</v>
          </cell>
          <cell r="C35">
            <v>3636</v>
          </cell>
          <cell r="D35">
            <v>23450</v>
          </cell>
          <cell r="E35">
            <v>23980</v>
          </cell>
          <cell r="F35">
            <v>1000</v>
          </cell>
          <cell r="G35">
            <v>26300</v>
          </cell>
          <cell r="H35">
            <v>82586</v>
          </cell>
        </row>
        <row r="36">
          <cell r="B36">
            <v>4371</v>
          </cell>
          <cell r="C36">
            <v>2654</v>
          </cell>
          <cell r="D36">
            <v>17461</v>
          </cell>
          <cell r="E36">
            <v>20522</v>
          </cell>
          <cell r="F36">
            <v>600</v>
          </cell>
          <cell r="G36">
            <v>17100</v>
          </cell>
          <cell r="H36">
            <v>62708</v>
          </cell>
        </row>
        <row r="37">
          <cell r="B37">
            <v>4049</v>
          </cell>
          <cell r="C37">
            <v>4808</v>
          </cell>
          <cell r="D37">
            <v>17210</v>
          </cell>
          <cell r="E37">
            <v>24072</v>
          </cell>
          <cell r="F37">
            <v>1200</v>
          </cell>
          <cell r="G37">
            <v>18500</v>
          </cell>
          <cell r="H37">
            <v>69839</v>
          </cell>
        </row>
        <row r="38">
          <cell r="B38">
            <v>2391</v>
          </cell>
          <cell r="C38">
            <v>3130</v>
          </cell>
          <cell r="D38">
            <v>9574</v>
          </cell>
          <cell r="E38">
            <v>13621</v>
          </cell>
          <cell r="F38">
            <v>1600</v>
          </cell>
          <cell r="G38">
            <v>7000</v>
          </cell>
          <cell r="H38">
            <v>37316</v>
          </cell>
        </row>
        <row r="39">
          <cell r="B39">
            <v>3816</v>
          </cell>
          <cell r="C39">
            <v>4027</v>
          </cell>
          <cell r="D39">
            <v>25139</v>
          </cell>
          <cell r="E39">
            <v>21997</v>
          </cell>
          <cell r="F39">
            <v>1530</v>
          </cell>
          <cell r="G39">
            <v>24000</v>
          </cell>
          <cell r="H39">
            <v>80509</v>
          </cell>
        </row>
        <row r="40">
          <cell r="B40">
            <v>1708</v>
          </cell>
          <cell r="C40">
            <v>2289</v>
          </cell>
          <cell r="D40">
            <v>36325</v>
          </cell>
          <cell r="E40">
            <v>4327</v>
          </cell>
          <cell r="F40">
            <v>636</v>
          </cell>
          <cell r="G40">
            <v>21300</v>
          </cell>
          <cell r="H40">
            <v>66585</v>
          </cell>
        </row>
        <row r="41">
          <cell r="B41">
            <v>3332</v>
          </cell>
          <cell r="C41">
            <v>6009</v>
          </cell>
          <cell r="D41">
            <v>28826</v>
          </cell>
          <cell r="E41">
            <v>24226</v>
          </cell>
          <cell r="F41">
            <v>1187</v>
          </cell>
          <cell r="G41">
            <v>24600</v>
          </cell>
          <cell r="H41">
            <v>88180</v>
          </cell>
        </row>
        <row r="42">
          <cell r="B42">
            <v>401</v>
          </cell>
          <cell r="C42">
            <v>1470</v>
          </cell>
          <cell r="D42">
            <v>7018</v>
          </cell>
          <cell r="E42">
            <v>2552</v>
          </cell>
          <cell r="F42">
            <v>406</v>
          </cell>
          <cell r="G42">
            <v>5030</v>
          </cell>
          <cell r="H42">
            <v>16877</v>
          </cell>
        </row>
        <row r="43">
          <cell r="B43">
            <v>2387</v>
          </cell>
          <cell r="C43">
            <v>2566</v>
          </cell>
          <cell r="D43">
            <v>9324</v>
          </cell>
          <cell r="E43">
            <v>10284</v>
          </cell>
          <cell r="F43">
            <v>553</v>
          </cell>
          <cell r="G43">
            <v>7107</v>
          </cell>
          <cell r="H43">
            <v>32221</v>
          </cell>
        </row>
        <row r="44">
          <cell r="B44">
            <v>1424</v>
          </cell>
          <cell r="C44">
            <v>1101.0135147695796</v>
          </cell>
          <cell r="D44">
            <v>5964</v>
          </cell>
          <cell r="E44">
            <v>5176</v>
          </cell>
          <cell r="F44">
            <v>233</v>
          </cell>
          <cell r="G44">
            <v>4027</v>
          </cell>
          <cell r="H44">
            <v>17925.01351476958</v>
          </cell>
        </row>
        <row r="45">
          <cell r="B45">
            <v>1505</v>
          </cell>
          <cell r="C45">
            <v>1190.9397567217543</v>
          </cell>
          <cell r="D45">
            <v>10117</v>
          </cell>
          <cell r="E45">
            <v>3149</v>
          </cell>
          <cell r="F45">
            <v>555</v>
          </cell>
          <cell r="G45">
            <v>6538</v>
          </cell>
          <cell r="H45">
            <v>23054.939756721753</v>
          </cell>
        </row>
        <row r="46">
          <cell r="B46">
            <v>580</v>
          </cell>
          <cell r="C46">
            <v>562.57127011569037</v>
          </cell>
          <cell r="D46">
            <v>5739</v>
          </cell>
          <cell r="E46">
            <v>1771</v>
          </cell>
          <cell r="F46">
            <v>560</v>
          </cell>
          <cell r="G46">
            <v>2638</v>
          </cell>
          <cell r="H46">
            <v>11850.57127011569</v>
          </cell>
        </row>
        <row r="47">
          <cell r="B47">
            <v>1566</v>
          </cell>
          <cell r="C47">
            <v>1585.2161433643782</v>
          </cell>
          <cell r="D47">
            <v>13540</v>
          </cell>
          <cell r="E47">
            <v>6090</v>
          </cell>
          <cell r="F47">
            <v>560</v>
          </cell>
          <cell r="G47">
            <v>7420</v>
          </cell>
          <cell r="H47">
            <v>30761.216143364378</v>
          </cell>
        </row>
        <row r="48">
          <cell r="B48">
            <v>653</v>
          </cell>
          <cell r="C48">
            <v>1062.7923273784072</v>
          </cell>
          <cell r="D48">
            <v>9899</v>
          </cell>
          <cell r="E48">
            <v>1274</v>
          </cell>
          <cell r="F48">
            <v>560</v>
          </cell>
          <cell r="G48">
            <v>7996</v>
          </cell>
          <cell r="H48">
            <v>21444.792327378407</v>
          </cell>
        </row>
        <row r="49">
          <cell r="B49">
            <v>3989</v>
          </cell>
          <cell r="C49">
            <v>3907.5841528327724</v>
          </cell>
          <cell r="D49">
            <v>14564</v>
          </cell>
          <cell r="E49">
            <v>19012</v>
          </cell>
          <cell r="F49">
            <v>560</v>
          </cell>
          <cell r="G49">
            <v>14982</v>
          </cell>
          <cell r="H49">
            <v>57014.584152832773</v>
          </cell>
        </row>
        <row r="50">
          <cell r="B50">
            <v>872</v>
          </cell>
          <cell r="C50">
            <v>1681.8336276715063</v>
          </cell>
          <cell r="D50">
            <v>10771.8</v>
          </cell>
          <cell r="E50">
            <v>5487</v>
          </cell>
          <cell r="F50">
            <v>560</v>
          </cell>
          <cell r="G50">
            <v>9670</v>
          </cell>
          <cell r="H50">
            <v>29042.633627671505</v>
          </cell>
        </row>
      </sheetData>
      <sheetData sheetId="29" refreshError="1"/>
      <sheetData sheetId="30">
        <row r="7">
          <cell r="B7">
            <v>58886</v>
          </cell>
          <cell r="C7">
            <v>4</v>
          </cell>
          <cell r="D7">
            <v>58882</v>
          </cell>
          <cell r="E7">
            <v>636</v>
          </cell>
          <cell r="F7">
            <v>107</v>
          </cell>
          <cell r="G7">
            <v>7.2792068697514834E-3</v>
          </cell>
          <cell r="H7">
            <v>1.1573938922904858</v>
          </cell>
          <cell r="I7">
            <v>96</v>
          </cell>
          <cell r="K7">
            <v>26573</v>
          </cell>
        </row>
        <row r="8">
          <cell r="B8">
            <v>56037</v>
          </cell>
          <cell r="C8">
            <v>0</v>
          </cell>
          <cell r="D8">
            <v>56037</v>
          </cell>
          <cell r="E8">
            <v>1507</v>
          </cell>
          <cell r="F8">
            <v>236</v>
          </cell>
          <cell r="G8">
            <v>0</v>
          </cell>
          <cell r="H8">
            <v>6.3571732652192416</v>
          </cell>
          <cell r="I8">
            <v>218</v>
          </cell>
          <cell r="K8">
            <v>28234</v>
          </cell>
        </row>
        <row r="9">
          <cell r="B9">
            <v>50319</v>
          </cell>
          <cell r="C9">
            <v>100</v>
          </cell>
          <cell r="D9">
            <v>50219</v>
          </cell>
          <cell r="E9">
            <v>775</v>
          </cell>
          <cell r="F9">
            <v>257</v>
          </cell>
          <cell r="G9">
            <v>0.51062388074149356</v>
          </cell>
          <cell r="H9">
            <v>3.9573350757465753</v>
          </cell>
          <cell r="I9">
            <v>211</v>
          </cell>
          <cell r="K9">
            <v>19005</v>
          </cell>
        </row>
        <row r="10">
          <cell r="B10">
            <v>100610</v>
          </cell>
          <cell r="C10">
            <v>83</v>
          </cell>
          <cell r="D10">
            <v>100527</v>
          </cell>
          <cell r="E10">
            <v>3349</v>
          </cell>
          <cell r="F10">
            <v>241</v>
          </cell>
          <cell r="G10">
            <v>0.19870544422769992</v>
          </cell>
          <cell r="H10">
            <v>8.0176449725128567</v>
          </cell>
          <cell r="I10">
            <v>216</v>
          </cell>
          <cell r="K10">
            <v>27925</v>
          </cell>
        </row>
        <row r="11">
          <cell r="B11">
            <v>161890</v>
          </cell>
          <cell r="C11">
            <v>9345</v>
          </cell>
          <cell r="D11">
            <v>152545</v>
          </cell>
          <cell r="E11">
            <v>24616</v>
          </cell>
          <cell r="F11">
            <v>149</v>
          </cell>
          <cell r="G11">
            <v>8.617366026733178</v>
          </cell>
          <cell r="H11">
            <v>22.699313227829201</v>
          </cell>
          <cell r="I11">
            <v>105</v>
          </cell>
          <cell r="K11">
            <v>81054</v>
          </cell>
        </row>
        <row r="12">
          <cell r="B12">
            <v>200758</v>
          </cell>
          <cell r="C12">
            <v>32213</v>
          </cell>
          <cell r="D12">
            <v>166340</v>
          </cell>
          <cell r="E12">
            <v>49969</v>
          </cell>
          <cell r="F12">
            <v>59</v>
          </cell>
          <cell r="G12">
            <v>9.5082900418297118</v>
          </cell>
          <cell r="H12">
            <v>14.749316893806503</v>
          </cell>
          <cell r="I12">
            <v>35</v>
          </cell>
          <cell r="K12">
            <v>52989</v>
          </cell>
        </row>
        <row r="13">
          <cell r="B13">
            <v>59963</v>
          </cell>
          <cell r="C13">
            <v>1840</v>
          </cell>
          <cell r="D13">
            <v>58123</v>
          </cell>
          <cell r="E13">
            <v>6672</v>
          </cell>
          <cell r="F13">
            <v>24</v>
          </cell>
          <cell r="G13">
            <v>0.73883713459685185</v>
          </cell>
          <cell r="H13">
            <v>2.6790876967555413</v>
          </cell>
          <cell r="I13">
            <v>20</v>
          </cell>
          <cell r="K13">
            <v>34788</v>
          </cell>
        </row>
        <row r="14">
          <cell r="B14">
            <v>145546</v>
          </cell>
          <cell r="C14">
            <v>28553</v>
          </cell>
          <cell r="D14">
            <v>116993</v>
          </cell>
          <cell r="E14">
            <v>39560</v>
          </cell>
          <cell r="F14">
            <v>55</v>
          </cell>
          <cell r="G14">
            <v>10.809035845756208</v>
          </cell>
          <cell r="H14">
            <v>14.975850455577893</v>
          </cell>
          <cell r="I14">
            <v>29</v>
          </cell>
          <cell r="K14">
            <v>40120</v>
          </cell>
        </row>
        <row r="15">
          <cell r="B15">
            <v>99780</v>
          </cell>
          <cell r="C15">
            <v>17632</v>
          </cell>
          <cell r="D15">
            <v>79714</v>
          </cell>
          <cell r="E15">
            <v>30990</v>
          </cell>
          <cell r="F15">
            <v>45</v>
          </cell>
          <cell r="G15">
            <v>7.9271277219594189</v>
          </cell>
          <cell r="H15">
            <v>13.932718245435709</v>
          </cell>
          <cell r="I15">
            <v>23</v>
          </cell>
          <cell r="K15">
            <v>33978</v>
          </cell>
        </row>
        <row r="16">
          <cell r="B16">
            <v>47478</v>
          </cell>
          <cell r="C16">
            <v>36</v>
          </cell>
          <cell r="D16">
            <v>41884</v>
          </cell>
          <cell r="E16">
            <v>2138</v>
          </cell>
          <cell r="F16">
            <v>4</v>
          </cell>
          <cell r="G16">
            <v>3.1785272823591738E-3</v>
          </cell>
          <cell r="H16">
            <v>0.18876920360233093</v>
          </cell>
          <cell r="I16">
            <v>4</v>
          </cell>
          <cell r="K16">
            <v>15976</v>
          </cell>
        </row>
        <row r="17">
          <cell r="B17">
            <v>49754</v>
          </cell>
          <cell r="C17">
            <v>173</v>
          </cell>
          <cell r="D17">
            <v>49581</v>
          </cell>
          <cell r="E17">
            <v>2716</v>
          </cell>
          <cell r="F17">
            <v>1</v>
          </cell>
          <cell r="G17">
            <v>3.7339204005870669E-3</v>
          </cell>
          <cell r="H17">
            <v>5.8620391953725287E-2</v>
          </cell>
          <cell r="I17">
            <v>1</v>
          </cell>
          <cell r="K17">
            <v>7609</v>
          </cell>
        </row>
        <row r="18">
          <cell r="B18">
            <v>76484</v>
          </cell>
          <cell r="C18">
            <v>3</v>
          </cell>
          <cell r="D18">
            <v>76481</v>
          </cell>
          <cell r="E18">
            <v>3271</v>
          </cell>
          <cell r="F18">
            <v>10</v>
          </cell>
          <cell r="G18">
            <v>3.7892609537710164E-4</v>
          </cell>
          <cell r="H18">
            <v>0.41315575265949983</v>
          </cell>
          <cell r="I18">
            <v>9</v>
          </cell>
          <cell r="K18">
            <v>27490</v>
          </cell>
        </row>
        <row r="19">
          <cell r="B19">
            <v>85000</v>
          </cell>
          <cell r="C19">
            <v>8</v>
          </cell>
          <cell r="D19">
            <v>84992</v>
          </cell>
          <cell r="E19">
            <v>2185</v>
          </cell>
          <cell r="F19">
            <v>35</v>
          </cell>
          <cell r="G19">
            <v>1.483826293401919E-3</v>
          </cell>
          <cell r="H19">
            <v>0.40527005638539915</v>
          </cell>
          <cell r="I19">
            <v>15</v>
          </cell>
          <cell r="K19">
            <v>41951</v>
          </cell>
        </row>
        <row r="20">
          <cell r="B20">
            <v>88025</v>
          </cell>
          <cell r="C20">
            <v>64</v>
          </cell>
          <cell r="D20">
            <v>80178</v>
          </cell>
          <cell r="E20">
            <v>5020</v>
          </cell>
          <cell r="F20">
            <v>18</v>
          </cell>
          <cell r="G20">
            <v>1.3117758406578171E-2</v>
          </cell>
          <cell r="H20">
            <v>1.0289241750159752</v>
          </cell>
          <cell r="I20">
            <v>17</v>
          </cell>
          <cell r="K20">
            <v>27849</v>
          </cell>
        </row>
        <row r="21">
          <cell r="B21">
            <v>12873</v>
          </cell>
          <cell r="C21">
            <v>1</v>
          </cell>
          <cell r="D21">
            <v>12678</v>
          </cell>
          <cell r="E21">
            <v>472</v>
          </cell>
          <cell r="F21">
            <v>5</v>
          </cell>
          <cell r="G21">
            <v>4.032258064516129E-4</v>
          </cell>
          <cell r="H21">
            <v>0.19032258064516128</v>
          </cell>
          <cell r="I21">
            <v>5</v>
          </cell>
          <cell r="K21">
            <v>1666</v>
          </cell>
        </row>
        <row r="22">
          <cell r="B22">
            <v>9913</v>
          </cell>
          <cell r="C22">
            <v>1</v>
          </cell>
          <cell r="D22">
            <v>8774</v>
          </cell>
          <cell r="E22">
            <v>445</v>
          </cell>
          <cell r="F22">
            <v>5</v>
          </cell>
          <cell r="G22">
            <v>5.2815041723882966E-4</v>
          </cell>
          <cell r="H22">
            <v>0.23502693567127919</v>
          </cell>
          <cell r="I22">
            <v>5</v>
          </cell>
          <cell r="K22">
            <v>4892</v>
          </cell>
        </row>
        <row r="23">
          <cell r="B23">
            <v>30942</v>
          </cell>
          <cell r="C23">
            <v>25</v>
          </cell>
          <cell r="D23">
            <v>30232</v>
          </cell>
          <cell r="E23">
            <v>1414</v>
          </cell>
          <cell r="F23">
            <v>3</v>
          </cell>
          <cell r="G23">
            <v>2.542114361251398E-3</v>
          </cell>
          <cell r="H23">
            <v>0.14378198827237906</v>
          </cell>
          <cell r="I23">
            <v>3</v>
          </cell>
          <cell r="K23">
            <v>17701</v>
          </cell>
        </row>
        <row r="24">
          <cell r="B24">
            <v>49978.7</v>
          </cell>
          <cell r="C24">
            <v>11.7</v>
          </cell>
          <cell r="D24">
            <v>47008</v>
          </cell>
          <cell r="E24">
            <v>2046</v>
          </cell>
          <cell r="F24">
            <v>16</v>
          </cell>
          <cell r="G24">
            <v>4.1505811648337885E-3</v>
          </cell>
          <cell r="H24">
            <v>0.72581957805554975</v>
          </cell>
          <cell r="I24">
            <v>17</v>
          </cell>
          <cell r="K24">
            <v>24621</v>
          </cell>
        </row>
        <row r="25">
          <cell r="B25">
            <v>13220.2</v>
          </cell>
          <cell r="C25">
            <v>2.2000000000000002</v>
          </cell>
          <cell r="D25">
            <v>13218</v>
          </cell>
          <cell r="E25">
            <v>425</v>
          </cell>
          <cell r="F25">
            <v>4</v>
          </cell>
          <cell r="G25">
            <v>6.126995915336056E-4</v>
          </cell>
          <cell r="H25">
            <v>0.11836242109171927</v>
          </cell>
          <cell r="I25">
            <v>3</v>
          </cell>
          <cell r="K25">
            <v>4664</v>
          </cell>
        </row>
        <row r="26">
          <cell r="B26">
            <v>19093.900000000001</v>
          </cell>
          <cell r="C26">
            <v>0.9</v>
          </cell>
          <cell r="D26">
            <v>17877</v>
          </cell>
          <cell r="E26">
            <v>704</v>
          </cell>
          <cell r="F26">
            <v>15</v>
          </cell>
          <cell r="G26">
            <v>8.8096144434172605E-4</v>
          </cell>
          <cell r="H26">
            <v>0.68910761868508341</v>
          </cell>
          <cell r="I26">
            <v>18</v>
          </cell>
          <cell r="J26">
            <v>1172</v>
          </cell>
          <cell r="K26">
            <v>12388</v>
          </cell>
        </row>
        <row r="27">
          <cell r="B27">
            <v>93763.8</v>
          </cell>
          <cell r="C27">
            <v>365.8</v>
          </cell>
          <cell r="D27">
            <v>93398</v>
          </cell>
          <cell r="E27">
            <v>2910</v>
          </cell>
          <cell r="F27">
            <v>365</v>
          </cell>
          <cell r="G27">
            <v>1.6041145623235176</v>
          </cell>
          <cell r="H27">
            <v>12.760998841884735</v>
          </cell>
          <cell r="I27">
            <v>337</v>
          </cell>
          <cell r="J27">
            <v>20979</v>
          </cell>
          <cell r="K27">
            <v>59944</v>
          </cell>
        </row>
        <row r="28">
          <cell r="B28">
            <v>117878.878</v>
          </cell>
          <cell r="C28">
            <v>1690.8780000000002</v>
          </cell>
          <cell r="D28">
            <v>114934</v>
          </cell>
          <cell r="E28">
            <v>7300</v>
          </cell>
          <cell r="F28">
            <v>41</v>
          </cell>
          <cell r="G28">
            <v>0.69878691866872389</v>
          </cell>
          <cell r="H28">
            <v>3.0168613621335685</v>
          </cell>
          <cell r="I28">
            <v>45</v>
          </cell>
          <cell r="J28">
            <v>32633</v>
          </cell>
          <cell r="K28">
            <v>74486</v>
          </cell>
        </row>
        <row r="29">
          <cell r="B29">
            <v>50556.7</v>
          </cell>
          <cell r="C29">
            <v>23.7</v>
          </cell>
          <cell r="D29">
            <v>49610</v>
          </cell>
          <cell r="E29">
            <v>2564</v>
          </cell>
          <cell r="F29">
            <v>64</v>
          </cell>
          <cell r="G29">
            <v>3.6063284278984448E-2</v>
          </cell>
          <cell r="H29">
            <v>3.9015299954141822</v>
          </cell>
          <cell r="I29">
            <v>73</v>
          </cell>
          <cell r="J29">
            <v>27821</v>
          </cell>
          <cell r="K29">
            <v>10586</v>
          </cell>
        </row>
        <row r="30">
          <cell r="B30">
            <v>39291</v>
          </cell>
          <cell r="C30">
            <v>0</v>
          </cell>
          <cell r="D30">
            <v>39291</v>
          </cell>
          <cell r="E30">
            <v>1090</v>
          </cell>
          <cell r="F30">
            <v>40</v>
          </cell>
          <cell r="G30">
            <v>0</v>
          </cell>
          <cell r="H30">
            <v>1.1020932393288516</v>
          </cell>
          <cell r="I30">
            <v>37</v>
          </cell>
          <cell r="J30">
            <v>5074</v>
          </cell>
          <cell r="K30">
            <v>28977</v>
          </cell>
        </row>
        <row r="31">
          <cell r="B31">
            <v>130231</v>
          </cell>
          <cell r="C31">
            <v>682</v>
          </cell>
          <cell r="D31">
            <v>123291</v>
          </cell>
          <cell r="E31">
            <v>4317</v>
          </cell>
          <cell r="F31">
            <v>118</v>
          </cell>
          <cell r="G31">
            <v>0.61533670813305441</v>
          </cell>
          <cell r="H31">
            <v>3.8950272272879709</v>
          </cell>
          <cell r="I31">
            <v>113</v>
          </cell>
          <cell r="J31">
            <v>33167</v>
          </cell>
          <cell r="K31">
            <v>78053</v>
          </cell>
        </row>
        <row r="32">
          <cell r="B32">
            <v>77399.399999999994</v>
          </cell>
          <cell r="C32">
            <v>4.4000000000000004</v>
          </cell>
          <cell r="D32">
            <v>72971</v>
          </cell>
          <cell r="E32">
            <v>2766</v>
          </cell>
          <cell r="F32">
            <v>19</v>
          </cell>
          <cell r="G32">
            <v>1.0612496482600598E-3</v>
          </cell>
          <cell r="H32">
            <v>0.66714011979257393</v>
          </cell>
          <cell r="I32">
            <v>18</v>
          </cell>
          <cell r="J32">
            <v>14218</v>
          </cell>
          <cell r="K32">
            <v>55559</v>
          </cell>
        </row>
        <row r="33">
          <cell r="B33">
            <v>37067.32</v>
          </cell>
          <cell r="C33">
            <v>1.32</v>
          </cell>
          <cell r="D33">
            <v>37066</v>
          </cell>
          <cell r="E33">
            <v>1596</v>
          </cell>
          <cell r="F33">
            <v>51</v>
          </cell>
          <cell r="G33">
            <v>1.800716193940772E-3</v>
          </cell>
          <cell r="H33">
            <v>2.1772295799465695</v>
          </cell>
          <cell r="I33">
            <v>17</v>
          </cell>
          <cell r="J33">
            <v>9657</v>
          </cell>
          <cell r="K33">
            <v>22075</v>
          </cell>
        </row>
        <row r="34">
          <cell r="B34">
            <v>26604</v>
          </cell>
          <cell r="C34">
            <v>0</v>
          </cell>
          <cell r="D34">
            <v>24376</v>
          </cell>
          <cell r="E34">
            <v>1414</v>
          </cell>
          <cell r="F34">
            <v>58</v>
          </cell>
          <cell r="G34">
            <v>0</v>
          </cell>
          <cell r="H34">
            <v>3.0873362445414845</v>
          </cell>
          <cell r="I34">
            <v>55</v>
          </cell>
          <cell r="J34">
            <v>2607</v>
          </cell>
          <cell r="K34">
            <v>22273</v>
          </cell>
        </row>
        <row r="35">
          <cell r="B35">
            <v>214465</v>
          </cell>
          <cell r="C35">
            <v>974</v>
          </cell>
          <cell r="D35">
            <v>213607</v>
          </cell>
          <cell r="E35">
            <v>9017</v>
          </cell>
          <cell r="F35">
            <v>890</v>
          </cell>
          <cell r="G35">
            <v>4.4525434383565088</v>
          </cell>
          <cell r="H35">
            <v>41.220312303553023</v>
          </cell>
          <cell r="I35">
            <v>909</v>
          </cell>
          <cell r="J35">
            <v>28340</v>
          </cell>
          <cell r="K35">
            <v>165334</v>
          </cell>
        </row>
        <row r="36">
          <cell r="B36">
            <v>179731.5</v>
          </cell>
          <cell r="C36">
            <v>1187.5</v>
          </cell>
          <cell r="D36">
            <v>177823</v>
          </cell>
          <cell r="E36">
            <v>9731</v>
          </cell>
          <cell r="F36">
            <v>1414</v>
          </cell>
          <cell r="G36">
            <v>9.8900301506347059</v>
          </cell>
          <cell r="H36">
            <v>81.044112333327419</v>
          </cell>
          <cell r="I36">
            <v>1406</v>
          </cell>
          <cell r="J36">
            <v>16034</v>
          </cell>
          <cell r="K36">
            <v>134937</v>
          </cell>
        </row>
        <row r="37">
          <cell r="B37">
            <v>392192.8</v>
          </cell>
          <cell r="C37">
            <v>467.8</v>
          </cell>
          <cell r="D37">
            <v>386525</v>
          </cell>
          <cell r="E37">
            <v>26125</v>
          </cell>
          <cell r="F37">
            <v>1861</v>
          </cell>
          <cell r="G37">
            <v>3.0785407161847247</v>
          </cell>
          <cell r="H37">
            <v>171.92577214691306</v>
          </cell>
          <cell r="I37">
            <v>2406</v>
          </cell>
          <cell r="J37">
            <v>35821</v>
          </cell>
          <cell r="K37">
            <v>291764</v>
          </cell>
        </row>
        <row r="38">
          <cell r="B38">
            <v>187365.2</v>
          </cell>
          <cell r="C38">
            <v>1873.2</v>
          </cell>
          <cell r="D38">
            <v>185796</v>
          </cell>
          <cell r="E38">
            <v>12853</v>
          </cell>
          <cell r="F38">
            <v>1561</v>
          </cell>
          <cell r="G38">
            <v>17.993338705345153</v>
          </cell>
          <cell r="H38">
            <v>123.46166046327207</v>
          </cell>
          <cell r="I38">
            <v>1502</v>
          </cell>
          <cell r="J38">
            <v>18634</v>
          </cell>
          <cell r="K38">
            <v>111508</v>
          </cell>
        </row>
        <row r="39">
          <cell r="B39">
            <v>521158.8</v>
          </cell>
          <cell r="C39">
            <v>5490.8</v>
          </cell>
          <cell r="D39">
            <v>515673</v>
          </cell>
          <cell r="E39">
            <v>45352</v>
          </cell>
          <cell r="F39">
            <v>512</v>
          </cell>
          <cell r="G39">
            <v>5.5961262398244411</v>
          </cell>
          <cell r="H39">
            <v>46.221956222866986</v>
          </cell>
          <cell r="I39">
            <v>470</v>
          </cell>
          <cell r="J39">
            <v>43411</v>
          </cell>
          <cell r="K39">
            <v>326107</v>
          </cell>
        </row>
        <row r="40">
          <cell r="B40">
            <v>186191.45</v>
          </cell>
          <cell r="C40">
            <v>718.45</v>
          </cell>
          <cell r="D40">
            <v>185505</v>
          </cell>
          <cell r="E40">
            <v>8046</v>
          </cell>
          <cell r="F40">
            <v>1011</v>
          </cell>
          <cell r="G40">
            <v>4.3935535814441575</v>
          </cell>
          <cell r="H40">
            <v>49.203886305657576</v>
          </cell>
          <cell r="I40">
            <v>757</v>
          </cell>
          <cell r="J40">
            <v>29229</v>
          </cell>
          <cell r="K40">
            <v>129993</v>
          </cell>
        </row>
        <row r="41">
          <cell r="B41">
            <v>651145.55000000005</v>
          </cell>
          <cell r="C41">
            <v>1737.55</v>
          </cell>
          <cell r="D41">
            <v>614179</v>
          </cell>
          <cell r="E41">
            <v>30702</v>
          </cell>
          <cell r="F41">
            <v>2523</v>
          </cell>
          <cell r="G41">
            <v>7.838359888597429</v>
          </cell>
          <cell r="H41">
            <v>138.50152530846205</v>
          </cell>
          <cell r="I41">
            <v>2786</v>
          </cell>
          <cell r="J41">
            <v>99888</v>
          </cell>
          <cell r="K41">
            <v>490804</v>
          </cell>
        </row>
        <row r="42">
          <cell r="B42">
            <v>512454.8</v>
          </cell>
          <cell r="C42">
            <v>1546.8</v>
          </cell>
          <cell r="D42">
            <v>510706</v>
          </cell>
          <cell r="E42">
            <v>30095</v>
          </cell>
          <cell r="F42">
            <v>1749</v>
          </cell>
          <cell r="G42">
            <v>5.2611904684923543</v>
          </cell>
          <cell r="H42">
            <v>102.3632836496492</v>
          </cell>
          <cell r="I42">
            <v>440</v>
          </cell>
          <cell r="J42">
            <v>51533</v>
          </cell>
          <cell r="K42">
            <v>187055</v>
          </cell>
        </row>
        <row r="43">
          <cell r="B43">
            <v>356605.8</v>
          </cell>
          <cell r="C43">
            <v>1196.8</v>
          </cell>
          <cell r="D43">
            <v>342498</v>
          </cell>
          <cell r="E43">
            <v>16683</v>
          </cell>
          <cell r="F43">
            <v>946</v>
          </cell>
          <cell r="G43">
            <v>3.172755183978083</v>
          </cell>
          <cell r="H43">
            <v>44.227168060082185</v>
          </cell>
          <cell r="I43">
            <v>816</v>
          </cell>
          <cell r="J43">
            <v>73748</v>
          </cell>
          <cell r="K43">
            <v>216036</v>
          </cell>
        </row>
        <row r="44">
          <cell r="B44">
            <v>88263</v>
          </cell>
          <cell r="C44">
            <v>429</v>
          </cell>
          <cell r="D44">
            <v>87693</v>
          </cell>
          <cell r="E44">
            <v>4480</v>
          </cell>
          <cell r="F44">
            <v>444</v>
          </cell>
          <cell r="G44">
            <v>2.1343825358548041</v>
          </cell>
          <cell r="H44">
            <v>22.289122985150403</v>
          </cell>
          <cell r="I44">
            <v>228</v>
          </cell>
          <cell r="J44">
            <v>23854</v>
          </cell>
          <cell r="K44">
            <v>42299</v>
          </cell>
        </row>
        <row r="45">
          <cell r="B45">
            <v>210914.89347826087</v>
          </cell>
          <cell r="C45">
            <v>112.35</v>
          </cell>
          <cell r="D45">
            <v>193816</v>
          </cell>
          <cell r="E45">
            <v>7724</v>
          </cell>
          <cell r="F45">
            <v>297</v>
          </cell>
          <cell r="G45">
            <v>0.15797242403426479</v>
          </cell>
          <cell r="H45">
            <v>10.860516272725064</v>
          </cell>
          <cell r="I45">
            <v>213</v>
          </cell>
          <cell r="J45">
            <v>13962</v>
          </cell>
          <cell r="K45">
            <v>153637</v>
          </cell>
        </row>
        <row r="46">
          <cell r="B46">
            <v>63221.794000000002</v>
          </cell>
          <cell r="C46">
            <v>41.45</v>
          </cell>
          <cell r="D46">
            <v>63046</v>
          </cell>
          <cell r="E46">
            <v>1118</v>
          </cell>
          <cell r="F46">
            <v>335</v>
          </cell>
          <cell r="G46">
            <v>0.22430032975395284</v>
          </cell>
          <cell r="H46">
            <v>6.0498858544009471</v>
          </cell>
          <cell r="I46">
            <v>81</v>
          </cell>
          <cell r="J46">
            <v>8878</v>
          </cell>
          <cell r="K46">
            <v>49862</v>
          </cell>
        </row>
        <row r="47">
          <cell r="B47">
            <v>345018</v>
          </cell>
          <cell r="C47">
            <v>3357</v>
          </cell>
          <cell r="D47">
            <v>341739</v>
          </cell>
          <cell r="E47">
            <v>15258</v>
          </cell>
          <cell r="F47">
            <v>750</v>
          </cell>
          <cell r="G47">
            <v>7.1179773347909583</v>
          </cell>
          <cell r="H47">
            <v>32.462853095676479</v>
          </cell>
          <cell r="I47">
            <v>640</v>
          </cell>
          <cell r="J47">
            <v>43391</v>
          </cell>
          <cell r="K47">
            <v>226107</v>
          </cell>
        </row>
        <row r="48">
          <cell r="B48">
            <v>152322</v>
          </cell>
          <cell r="C48">
            <v>563</v>
          </cell>
          <cell r="D48">
            <v>151765</v>
          </cell>
          <cell r="E48">
            <v>9528</v>
          </cell>
          <cell r="F48">
            <v>952</v>
          </cell>
          <cell r="G48">
            <v>4</v>
          </cell>
          <cell r="H48">
            <v>60</v>
          </cell>
          <cell r="I48">
            <v>645</v>
          </cell>
          <cell r="J48">
            <v>30826</v>
          </cell>
          <cell r="K48">
            <v>76255</v>
          </cell>
        </row>
        <row r="49">
          <cell r="B49">
            <v>664935</v>
          </cell>
          <cell r="C49">
            <v>1448</v>
          </cell>
          <cell r="D49">
            <v>663253</v>
          </cell>
          <cell r="E49">
            <v>28520</v>
          </cell>
          <cell r="F49">
            <v>2329</v>
          </cell>
          <cell r="G49">
            <v>5</v>
          </cell>
          <cell r="H49">
            <v>99</v>
          </cell>
          <cell r="I49">
            <v>2087</v>
          </cell>
          <cell r="J49">
            <v>135837</v>
          </cell>
          <cell r="K49">
            <v>478413</v>
          </cell>
        </row>
        <row r="50">
          <cell r="B50">
            <v>329040</v>
          </cell>
          <cell r="C50">
            <v>1434</v>
          </cell>
          <cell r="D50">
            <v>327600</v>
          </cell>
          <cell r="E50">
            <v>22061</v>
          </cell>
          <cell r="F50">
            <v>1999</v>
          </cell>
          <cell r="G50">
            <v>9</v>
          </cell>
          <cell r="H50">
            <v>134</v>
          </cell>
          <cell r="I50">
            <v>1564</v>
          </cell>
          <cell r="J50">
            <v>84473</v>
          </cell>
          <cell r="K50">
            <v>136941</v>
          </cell>
        </row>
        <row r="51">
          <cell r="B51">
            <v>761682</v>
          </cell>
          <cell r="C51">
            <v>4838.95</v>
          </cell>
          <cell r="D51">
            <v>755909</v>
          </cell>
          <cell r="E51">
            <v>37162</v>
          </cell>
          <cell r="F51">
            <v>1179</v>
          </cell>
          <cell r="G51">
            <v>22</v>
          </cell>
          <cell r="H51">
            <v>168</v>
          </cell>
          <cell r="I51">
            <v>2947</v>
          </cell>
          <cell r="J51">
            <v>190117</v>
          </cell>
          <cell r="K51">
            <v>491039</v>
          </cell>
        </row>
        <row r="52">
          <cell r="B52">
            <v>167636</v>
          </cell>
          <cell r="C52">
            <v>929</v>
          </cell>
          <cell r="D52">
            <v>166711</v>
          </cell>
          <cell r="E52">
            <v>7870</v>
          </cell>
          <cell r="F52">
            <v>1268</v>
          </cell>
          <cell r="G52">
            <v>7</v>
          </cell>
          <cell r="H52">
            <v>60</v>
          </cell>
          <cell r="I52">
            <v>1106</v>
          </cell>
          <cell r="J52">
            <v>50828</v>
          </cell>
          <cell r="K52">
            <v>72708</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3">
          <cell r="B3">
            <v>1609</v>
          </cell>
          <cell r="C3">
            <v>1072.666666666667</v>
          </cell>
          <cell r="D3" t="str">
            <v>Mar 16–May 15</v>
          </cell>
          <cell r="E3" t="str">
            <v xml:space="preserve">The Dalles Dam–McNary Dam </v>
          </cell>
        </row>
        <row r="4">
          <cell r="B4">
            <v>1744</v>
          </cell>
          <cell r="C4">
            <v>1162.666666666667</v>
          </cell>
          <cell r="D4" t="str">
            <v>Feb 15–May 16 (4d/wk in May)</v>
          </cell>
          <cell r="E4" t="str">
            <v>Bonneville Dam (BON)–McNary</v>
          </cell>
        </row>
        <row r="5">
          <cell r="B5">
            <v>1539</v>
          </cell>
          <cell r="C5">
            <v>569.21917808219177</v>
          </cell>
          <cell r="D5" t="str">
            <v>Mar 16–May 6</v>
          </cell>
          <cell r="E5" t="str">
            <v>BON–McNary</v>
          </cell>
        </row>
        <row r="6">
          <cell r="B6">
            <v>438</v>
          </cell>
          <cell r="C6">
            <v>262.87173100871729</v>
          </cell>
          <cell r="D6" t="str">
            <v>Mar 16–Apr 21, June 4–15</v>
          </cell>
          <cell r="E6" t="str">
            <v>BON–McNary, BON–Hwy 395</v>
          </cell>
        </row>
        <row r="7">
          <cell r="B7">
            <v>1290.2</v>
          </cell>
          <cell r="C7">
            <v>716</v>
          </cell>
          <cell r="D7" t="str">
            <v>Mar 16–Apr 30, May 12–Jun 15</v>
          </cell>
          <cell r="E7" t="str">
            <v>BON–McNary, BON–Hwy 395</v>
          </cell>
        </row>
        <row r="8">
          <cell r="B8">
            <v>1401.4</v>
          </cell>
          <cell r="C8">
            <v>439</v>
          </cell>
          <cell r="D8" t="str">
            <v>Mar 16–May 3, June 6–15</v>
          </cell>
          <cell r="E8" t="str">
            <v>BON–McNary</v>
          </cell>
        </row>
        <row r="9">
          <cell r="B9">
            <v>2014</v>
          </cell>
          <cell r="C9">
            <v>535.36708860759472</v>
          </cell>
          <cell r="D9" t="str">
            <v>Mar 16–May 10</v>
          </cell>
          <cell r="E9" t="str">
            <v>BON–McNary</v>
          </cell>
        </row>
        <row r="10">
          <cell r="B10">
            <v>647</v>
          </cell>
          <cell r="C10">
            <v>129.24096385542168</v>
          </cell>
          <cell r="D10" t="str">
            <v>Mar 16–April 30</v>
          </cell>
          <cell r="E10" t="str">
            <v>BON–McNary</v>
          </cell>
        </row>
        <row r="11">
          <cell r="B11">
            <v>3646</v>
          </cell>
          <cell r="C11">
            <v>741.03614457831372</v>
          </cell>
          <cell r="D11" t="str">
            <v>Mar 16–May 10</v>
          </cell>
          <cell r="E11" t="str">
            <v>BON–McNary</v>
          </cell>
        </row>
        <row r="12">
          <cell r="B12">
            <v>2508</v>
          </cell>
          <cell r="C12">
            <v>773</v>
          </cell>
          <cell r="D12" t="str">
            <v>Mar 16–May 1, May 7–10, May 28–Jun 15</v>
          </cell>
          <cell r="E12" t="str">
            <v>BON–Oregon/Washington border</v>
          </cell>
        </row>
        <row r="13">
          <cell r="B13">
            <v>1310</v>
          </cell>
          <cell r="C13">
            <v>467</v>
          </cell>
          <cell r="D13" t="str">
            <v>Mar 16–May 6, May 19–20</v>
          </cell>
          <cell r="E13" t="str">
            <v>BON–Oregon/Washington border</v>
          </cell>
        </row>
        <row r="14">
          <cell r="B14">
            <v>1078</v>
          </cell>
          <cell r="C14">
            <v>420</v>
          </cell>
          <cell r="D14" t="str">
            <v>Mar 16–May 5, Jun 8–15</v>
          </cell>
          <cell r="E14" t="str">
            <v>BON–Oregon/Washington border</v>
          </cell>
        </row>
        <row r="15">
          <cell r="B15">
            <v>4199</v>
          </cell>
          <cell r="C15">
            <v>1352</v>
          </cell>
          <cell r="D15" t="str">
            <v>Mar 16–May 9, May 31–Jun 15</v>
          </cell>
          <cell r="E15" t="str">
            <v>BON–Oregon/Washington border</v>
          </cell>
        </row>
        <row r="16">
          <cell r="B16">
            <v>1705</v>
          </cell>
          <cell r="C16">
            <v>499.55</v>
          </cell>
          <cell r="D16" t="str">
            <v>Mar 16–May 10, May 28–Jun 15</v>
          </cell>
          <cell r="E16" t="str">
            <v>BON–Oregon/Washington border</v>
          </cell>
        </row>
        <row r="17">
          <cell r="B17">
            <v>1446</v>
          </cell>
          <cell r="C17">
            <v>335</v>
          </cell>
          <cell r="D17" t="str">
            <v>Mar 16–May 8, May 13–15</v>
          </cell>
          <cell r="E17" t="str">
            <v>BON–Oregon/Washington border</v>
          </cell>
        </row>
        <row r="18">
          <cell r="B18">
            <v>15</v>
          </cell>
          <cell r="C18">
            <v>27</v>
          </cell>
          <cell r="D18" t="str">
            <v>Mar 16–May 5</v>
          </cell>
          <cell r="E18" t="str">
            <v>BON–Oregon/Washington border</v>
          </cell>
        </row>
        <row r="19">
          <cell r="B19">
            <v>613</v>
          </cell>
          <cell r="C19">
            <v>100</v>
          </cell>
          <cell r="D19" t="str">
            <v xml:space="preserve">Mar 16–May 7, May 25–June 15 </v>
          </cell>
          <cell r="E19" t="str">
            <v>BON–Oregon/Washington border</v>
          </cell>
        </row>
        <row r="20">
          <cell r="B20">
            <v>279</v>
          </cell>
          <cell r="C20">
            <v>83</v>
          </cell>
          <cell r="D20" t="str">
            <v>Apr 1–May 5, May 11–12</v>
          </cell>
          <cell r="E20" t="str">
            <v>BON–Oregon/Washington border</v>
          </cell>
        </row>
        <row r="21">
          <cell r="B21">
            <v>529</v>
          </cell>
          <cell r="C21">
            <v>162</v>
          </cell>
          <cell r="D21" t="str">
            <v>May 5, 7, 9, 13, 15–17, 20</v>
          </cell>
          <cell r="E21" t="str">
            <v>BON–Oregon/Washington border</v>
          </cell>
        </row>
        <row r="22">
          <cell r="B22">
            <v>761</v>
          </cell>
          <cell r="C22">
            <v>348</v>
          </cell>
          <cell r="D22" t="str">
            <v>Mar 16 – May 5, 22, 23, 29, 30; Jun 5-6, 12-15</v>
          </cell>
          <cell r="E22" t="str">
            <v>BON–Oregon/Washington border</v>
          </cell>
        </row>
        <row r="23">
          <cell r="B23">
            <v>1223</v>
          </cell>
          <cell r="C23">
            <v>485</v>
          </cell>
          <cell r="D23" t="str">
            <v>Apr 1 – May 5, 26, 28; Jun 4-15</v>
          </cell>
          <cell r="E23" t="str">
            <v>BON–Oregon/Washington border</v>
          </cell>
        </row>
        <row r="24">
          <cell r="B24">
            <v>1059</v>
          </cell>
          <cell r="C24">
            <v>514</v>
          </cell>
          <cell r="D24" t="str">
            <v>April 1– May 6, May 19-24</v>
          </cell>
          <cell r="E24" t="str">
            <v>BON–Oregon/Washington border</v>
          </cell>
        </row>
        <row r="25">
          <cell r="B25">
            <v>1463</v>
          </cell>
          <cell r="C25">
            <v>218</v>
          </cell>
          <cell r="D25" t="str">
            <v>April 1-29, June 8-15</v>
          </cell>
          <cell r="E25" t="str">
            <v>BON–Oregon/Washington border</v>
          </cell>
        </row>
        <row r="26">
          <cell r="B26">
            <v>913</v>
          </cell>
          <cell r="C26">
            <v>403</v>
          </cell>
          <cell r="D26" t="str">
            <v>April 1-26, May 10, May 13, May 22 – June 15</v>
          </cell>
          <cell r="E26" t="str">
            <v>BON–Oregon/Washington border</v>
          </cell>
        </row>
        <row r="31">
          <cell r="B31">
            <v>866</v>
          </cell>
          <cell r="C31">
            <v>351</v>
          </cell>
          <cell r="D31" t="str">
            <v>Apr 25–Jun 2 (4d/wk)</v>
          </cell>
          <cell r="E31" t="str">
            <v>Little Goose Dam (LGO)/Clarkston</v>
          </cell>
        </row>
        <row r="32">
          <cell r="B32">
            <v>513</v>
          </cell>
          <cell r="C32">
            <v>405</v>
          </cell>
          <cell r="D32" t="str">
            <v>Apr 26–Jun 15</v>
          </cell>
          <cell r="E32" t="str">
            <v>LGO</v>
          </cell>
        </row>
        <row r="33">
          <cell r="B33">
            <v>1224</v>
          </cell>
          <cell r="C33">
            <v>337</v>
          </cell>
          <cell r="D33" t="str">
            <v>April 16–May 7</v>
          </cell>
          <cell r="E33" t="str">
            <v>LGO</v>
          </cell>
        </row>
        <row r="34">
          <cell r="B34">
            <v>77</v>
          </cell>
          <cell r="C34">
            <v>83</v>
          </cell>
          <cell r="D34" t="str">
            <v>June 11–30</v>
          </cell>
          <cell r="E34" t="str">
            <v>LGO</v>
          </cell>
        </row>
        <row r="35">
          <cell r="B35">
            <v>192</v>
          </cell>
          <cell r="C35">
            <v>100</v>
          </cell>
          <cell r="D35" t="str">
            <v>May 17– Jun 30</v>
          </cell>
          <cell r="E35" t="str">
            <v>LGO</v>
          </cell>
        </row>
        <row r="36">
          <cell r="B36">
            <v>284</v>
          </cell>
          <cell r="C36">
            <v>67</v>
          </cell>
          <cell r="D36" t="str">
            <v>May 9–Jun 30</v>
          </cell>
          <cell r="E36" t="str">
            <v>LGO</v>
          </cell>
        </row>
        <row r="37">
          <cell r="B37">
            <v>515</v>
          </cell>
          <cell r="C37">
            <v>128</v>
          </cell>
          <cell r="D37" t="str">
            <v>Apr 22/Apr 24–May 11</v>
          </cell>
          <cell r="E37" t="str">
            <v>Ice Harbor Dam (IHD)/LGO</v>
          </cell>
        </row>
        <row r="38">
          <cell r="B38">
            <v>498</v>
          </cell>
          <cell r="C38">
            <v>100</v>
          </cell>
          <cell r="D38" t="str">
            <v>April 24–May 17</v>
          </cell>
          <cell r="E38" t="str">
            <v>LGO</v>
          </cell>
        </row>
        <row r="39">
          <cell r="B39">
            <v>1663</v>
          </cell>
          <cell r="C39">
            <v>199</v>
          </cell>
          <cell r="D39" t="str">
            <v>April 20/24–May 21</v>
          </cell>
          <cell r="E39" t="str">
            <v>IHD/ LGO/Lower Granite Dam (LRG)/Clarkston</v>
          </cell>
        </row>
        <row r="40">
          <cell r="B40">
            <v>1913</v>
          </cell>
          <cell r="C40">
            <v>357</v>
          </cell>
          <cell r="D40" t="str">
            <v>April 20/25–May 13/15,  May 28–Jun 2</v>
          </cell>
          <cell r="E40" t="str">
            <v>IHD/ LGO/Clarkston</v>
          </cell>
        </row>
        <row r="41">
          <cell r="B41">
            <v>2338</v>
          </cell>
          <cell r="C41">
            <v>448</v>
          </cell>
          <cell r="D41" t="str">
            <v>April 20/25–May 18/20/22</v>
          </cell>
          <cell r="E41" t="str">
            <v>IHD/ LGO/LRG/Clarkston</v>
          </cell>
        </row>
        <row r="42">
          <cell r="B42">
            <v>353</v>
          </cell>
          <cell r="C42">
            <v>125</v>
          </cell>
          <cell r="D42" t="str">
            <v>Apr 26/28–May 11/13/27, ~Jun 14–28 (days/wk)</v>
          </cell>
          <cell r="E42" t="str">
            <v>IHD/ LGO/Clarkston</v>
          </cell>
        </row>
        <row r="43">
          <cell r="B43">
            <v>1454</v>
          </cell>
          <cell r="C43">
            <v>553</v>
          </cell>
          <cell r="D43" t="str">
            <v>Apr 24/27–May 14/25/27, ~Jun 4–28 (days/wk)</v>
          </cell>
          <cell r="E43" t="str">
            <v>IHD/ LGO/LRG/Clarkston</v>
          </cell>
        </row>
        <row r="44">
          <cell r="B44">
            <v>1900</v>
          </cell>
          <cell r="C44">
            <v>383</v>
          </cell>
          <cell r="D44" t="str">
            <v>Apr 19/23–May 5/9/12, Jun 4–30 (days/wk)</v>
          </cell>
          <cell r="E44" t="str">
            <v>IHD/ LGO/LRG/Clarkston</v>
          </cell>
        </row>
        <row r="45">
          <cell r="B45">
            <v>1328</v>
          </cell>
          <cell r="C45">
            <v>343</v>
          </cell>
          <cell r="D45" t="str">
            <v>Apr 29/May 1, May 25/30 closure, Reopen June 12–13 (days/wk)</v>
          </cell>
          <cell r="E45" t="str">
            <v>IHD/ LGO/LRG/Clarkston</v>
          </cell>
        </row>
        <row r="46">
          <cell r="B46">
            <v>65</v>
          </cell>
          <cell r="C46">
            <v>8</v>
          </cell>
          <cell r="D46" t="str">
            <v>Apr 28–May 1, May 5–8, May 12–15</v>
          </cell>
          <cell r="E46" t="str">
            <v>IHD/ LGO/Clarkston</v>
          </cell>
        </row>
        <row r="47">
          <cell r="B47">
            <v>742</v>
          </cell>
          <cell r="C47">
            <v>308</v>
          </cell>
          <cell r="D47" t="str">
            <v>Apr 20–June 11</v>
          </cell>
          <cell r="E47" t="str">
            <v>IHD/ LGO/Clarkston</v>
          </cell>
        </row>
        <row r="48">
          <cell r="B48">
            <v>326</v>
          </cell>
          <cell r="C48">
            <v>49</v>
          </cell>
          <cell r="D48" t="str">
            <v>May 11–27</v>
          </cell>
          <cell r="E48" t="str">
            <v>LGO/Clarkston</v>
          </cell>
        </row>
        <row r="49">
          <cell r="B49">
            <v>326</v>
          </cell>
          <cell r="C49">
            <v>59</v>
          </cell>
          <cell r="D49" t="str">
            <v>May 5–22</v>
          </cell>
          <cell r="E49" t="str">
            <v>LGO/Clarkston</v>
          </cell>
        </row>
        <row r="50">
          <cell r="B50">
            <v>443</v>
          </cell>
          <cell r="C50">
            <v>123</v>
          </cell>
          <cell r="D50" t="str">
            <v>May 4, 7, 11, 25, 28; Jun 4, 6</v>
          </cell>
          <cell r="E50" t="str">
            <v>LGO</v>
          </cell>
        </row>
        <row r="51">
          <cell r="B51">
            <v>1388</v>
          </cell>
          <cell r="C51">
            <v>327</v>
          </cell>
          <cell r="D51" t="str">
            <v>May 3–6, 10–13, 17–20, 24, 25 ,27, June 10</v>
          </cell>
          <cell r="E51" t="str">
            <v>LGO/IHD</v>
          </cell>
        </row>
        <row r="52">
          <cell r="B52">
            <v>411</v>
          </cell>
          <cell r="C52">
            <v>71</v>
          </cell>
          <cell r="D52" t="str">
            <v>May 2– 5, 9–12, 23–26 (2 days/wk in each pool)</v>
          </cell>
          <cell r="E52" t="str">
            <v>IHR/LGO</v>
          </cell>
        </row>
        <row r="53">
          <cell r="B53">
            <v>784</v>
          </cell>
          <cell r="C53">
            <v>77</v>
          </cell>
          <cell r="D53" t="str">
            <v>May 7–10 (2 days/wk in each pool)</v>
          </cell>
          <cell r="E53" t="str">
            <v>IHR/LGO</v>
          </cell>
        </row>
        <row r="54">
          <cell r="B54">
            <v>768</v>
          </cell>
          <cell r="C54">
            <v>167</v>
          </cell>
          <cell r="D54" t="str">
            <v>May 6–June 6 (2 days/wk in each pool)</v>
          </cell>
          <cell r="E54" t="str">
            <v>IHR/LGO</v>
          </cell>
        </row>
        <row r="57">
          <cell r="B57">
            <v>129</v>
          </cell>
          <cell r="C57">
            <v>193.5</v>
          </cell>
          <cell r="D57" t="str">
            <v>July 9–July 31</v>
          </cell>
          <cell r="E57" t="str">
            <v>BON–Hwy 395</v>
          </cell>
        </row>
        <row r="58">
          <cell r="B58">
            <v>396</v>
          </cell>
          <cell r="C58">
            <v>594</v>
          </cell>
          <cell r="D58" t="str">
            <v>June 16–July 31</v>
          </cell>
          <cell r="E58" t="str">
            <v>BON–Hwy 395</v>
          </cell>
        </row>
        <row r="59">
          <cell r="B59">
            <v>257</v>
          </cell>
          <cell r="C59">
            <v>385.5</v>
          </cell>
          <cell r="D59" t="str">
            <v>June 16–July 31</v>
          </cell>
          <cell r="E59" t="str">
            <v>BON–Hwy 395</v>
          </cell>
        </row>
        <row r="60">
          <cell r="B60">
            <v>377</v>
          </cell>
          <cell r="C60">
            <v>479.81818181818181</v>
          </cell>
          <cell r="D60" t="str">
            <v>June 16–July 31</v>
          </cell>
          <cell r="E60" t="str">
            <v>BON–Hwy 395</v>
          </cell>
        </row>
        <row r="61">
          <cell r="B61">
            <v>295</v>
          </cell>
          <cell r="C61">
            <v>0</v>
          </cell>
          <cell r="D61" t="str">
            <v>June 16–July 31</v>
          </cell>
          <cell r="E61" t="str">
            <v>BON–Priest Rapids Dam (PRD)</v>
          </cell>
        </row>
        <row r="62">
          <cell r="B62">
            <v>148</v>
          </cell>
          <cell r="C62">
            <v>0</v>
          </cell>
          <cell r="D62" t="str">
            <v>June 16–July 3</v>
          </cell>
          <cell r="E62" t="str">
            <v>BON–PRD</v>
          </cell>
        </row>
        <row r="63">
          <cell r="B63">
            <v>997</v>
          </cell>
          <cell r="C63">
            <v>0</v>
          </cell>
          <cell r="D63" t="str">
            <v>June 16–July 1</v>
          </cell>
          <cell r="E63" t="str">
            <v>BON–PRD</v>
          </cell>
        </row>
        <row r="64">
          <cell r="B64">
            <v>265</v>
          </cell>
          <cell r="C64">
            <v>0</v>
          </cell>
          <cell r="D64" t="str">
            <v>July 1–31</v>
          </cell>
          <cell r="E64" t="str">
            <v>BON–PRD</v>
          </cell>
        </row>
        <row r="65">
          <cell r="B65">
            <v>811</v>
          </cell>
          <cell r="C65">
            <v>497.06451612903231</v>
          </cell>
          <cell r="D65" t="str">
            <v>June 16–July 31</v>
          </cell>
          <cell r="E65" t="str">
            <v>BON–PRD</v>
          </cell>
        </row>
        <row r="66">
          <cell r="B66">
            <v>343</v>
          </cell>
          <cell r="C66">
            <v>304.16981132075466</v>
          </cell>
          <cell r="D66" t="str">
            <v>June 16–July 31</v>
          </cell>
          <cell r="E66" t="str">
            <v>BON–PRD</v>
          </cell>
        </row>
        <row r="67">
          <cell r="B67">
            <v>268</v>
          </cell>
          <cell r="C67">
            <v>186.23728813559325</v>
          </cell>
          <cell r="D67" t="str">
            <v>June 16–July 31</v>
          </cell>
          <cell r="E67" t="str">
            <v>BON–PRD</v>
          </cell>
        </row>
        <row r="68">
          <cell r="B68">
            <v>281</v>
          </cell>
          <cell r="C68">
            <v>289.34693877551024</v>
          </cell>
          <cell r="D68" t="str">
            <v>June 16–July 31</v>
          </cell>
          <cell r="E68" t="str">
            <v>BON–PRD</v>
          </cell>
        </row>
        <row r="69">
          <cell r="B69">
            <v>361</v>
          </cell>
          <cell r="C69">
            <v>614.67567567567573</v>
          </cell>
          <cell r="D69" t="str">
            <v>June 16–July 31</v>
          </cell>
          <cell r="E69" t="str">
            <v>BON–PRD</v>
          </cell>
        </row>
        <row r="70">
          <cell r="B70">
            <v>741</v>
          </cell>
          <cell r="C70">
            <v>297</v>
          </cell>
          <cell r="D70" t="str">
            <v>June 16–July 31</v>
          </cell>
          <cell r="E70" t="str">
            <v>BON–PRD</v>
          </cell>
        </row>
        <row r="71">
          <cell r="B71">
            <v>470</v>
          </cell>
          <cell r="C71">
            <v>636</v>
          </cell>
          <cell r="D71" t="str">
            <v>June 16–July 31</v>
          </cell>
          <cell r="E71" t="str">
            <v>BON–PRD</v>
          </cell>
        </row>
        <row r="72">
          <cell r="B72">
            <v>258</v>
          </cell>
          <cell r="C72">
            <v>216</v>
          </cell>
          <cell r="D72" t="str">
            <v>June 16–July 31 (BON-McN), June 16–August 15 (McN-PRD)</v>
          </cell>
          <cell r="E72" t="str">
            <v>BON–PRD</v>
          </cell>
        </row>
        <row r="73">
          <cell r="B73">
            <v>120</v>
          </cell>
          <cell r="C73">
            <v>92</v>
          </cell>
          <cell r="D73" t="str">
            <v>June 16–July 6 (BON-McN), June 16–July 16 (McN-PRD)</v>
          </cell>
          <cell r="E73" t="str">
            <v>BON–PRD</v>
          </cell>
        </row>
        <row r="74">
          <cell r="B74">
            <v>0</v>
          </cell>
          <cell r="C74">
            <v>38</v>
          </cell>
          <cell r="D74" t="str">
            <v>No target fishery</v>
          </cell>
          <cell r="E74" t="str">
            <v>BON–PRD</v>
          </cell>
        </row>
        <row r="75">
          <cell r="B75">
            <v>140</v>
          </cell>
          <cell r="C75">
            <v>215</v>
          </cell>
          <cell r="D75" t="str">
            <v>July 4–31</v>
          </cell>
          <cell r="E75" t="str">
            <v>BON–PRD</v>
          </cell>
        </row>
        <row r="76">
          <cell r="B76">
            <v>94</v>
          </cell>
          <cell r="C76">
            <v>51</v>
          </cell>
          <cell r="D76" t="str">
            <v>June 16–July 31</v>
          </cell>
          <cell r="E76" t="str">
            <v>BON–PRD</v>
          </cell>
        </row>
        <row r="77">
          <cell r="B77">
            <v>284</v>
          </cell>
          <cell r="C77">
            <v>120</v>
          </cell>
          <cell r="D77" t="str">
            <v>June 16–July 31</v>
          </cell>
          <cell r="E77" t="str">
            <v>BON–PRD</v>
          </cell>
        </row>
        <row r="78">
          <cell r="B78">
            <v>120</v>
          </cell>
          <cell r="C78">
            <v>103</v>
          </cell>
          <cell r="D78" t="str">
            <v>June 16–July 31</v>
          </cell>
          <cell r="E78" t="str">
            <v>BON–PRD</v>
          </cell>
        </row>
        <row r="79">
          <cell r="B79">
            <v>114</v>
          </cell>
          <cell r="C79">
            <v>52</v>
          </cell>
          <cell r="D79" t="str">
            <v>June 16–June 30 (BON-Hwy.395), June 16-July 2 (Hwy.395-PRD)</v>
          </cell>
          <cell r="E79" t="str">
            <v>BON–PRD</v>
          </cell>
        </row>
        <row r="80">
          <cell r="B80">
            <v>0</v>
          </cell>
          <cell r="C80">
            <v>184</v>
          </cell>
          <cell r="D80" t="str">
            <v>No target fishery</v>
          </cell>
        </row>
      </sheetData>
      <sheetData sheetId="43" refreshError="1"/>
      <sheetData sheetId="44" refreshError="1"/>
      <sheetData sheetId="45" refreshError="1"/>
      <sheetData sheetId="46" refreshError="1"/>
      <sheetData sheetId="47" refreshError="1"/>
      <sheetData sheetId="48">
        <row r="6">
          <cell r="B6">
            <v>7094</v>
          </cell>
          <cell r="C6">
            <v>0.32</v>
          </cell>
          <cell r="D6">
            <v>1292</v>
          </cell>
          <cell r="E6">
            <v>0.32</v>
          </cell>
          <cell r="F6">
            <v>2554</v>
          </cell>
          <cell r="G6">
            <v>0.65</v>
          </cell>
          <cell r="H6">
            <v>1269</v>
          </cell>
          <cell r="I6">
            <v>0.62</v>
          </cell>
          <cell r="J6">
            <v>12215</v>
          </cell>
          <cell r="K6">
            <v>0.32</v>
          </cell>
        </row>
        <row r="8">
          <cell r="B8">
            <v>2888</v>
          </cell>
          <cell r="C8">
            <v>0.26</v>
          </cell>
          <cell r="D8">
            <v>568</v>
          </cell>
          <cell r="E8">
            <v>0.43</v>
          </cell>
          <cell r="F8">
            <v>6262</v>
          </cell>
          <cell r="G8">
            <v>0.64</v>
          </cell>
          <cell r="H8">
            <v>815</v>
          </cell>
          <cell r="I8">
            <v>0.43</v>
          </cell>
          <cell r="J8">
            <v>10549</v>
          </cell>
          <cell r="K8">
            <v>0.42</v>
          </cell>
        </row>
        <row r="10">
          <cell r="B10">
            <v>2636</v>
          </cell>
          <cell r="C10">
            <v>0.34890800794176041</v>
          </cell>
          <cell r="D10">
            <v>887</v>
          </cell>
          <cell r="E10">
            <v>0.44640161046804228</v>
          </cell>
          <cell r="F10">
            <v>7143</v>
          </cell>
          <cell r="G10">
            <v>0.76814711259275192</v>
          </cell>
          <cell r="H10">
            <v>2058</v>
          </cell>
          <cell r="I10">
            <v>0.58349872412815429</v>
          </cell>
          <cell r="J10">
            <v>12724</v>
          </cell>
          <cell r="K10">
            <v>0.5688483547925608</v>
          </cell>
        </row>
        <row r="11">
          <cell r="B11">
            <v>3417</v>
          </cell>
          <cell r="C11">
            <v>0.38200111794298491</v>
          </cell>
          <cell r="D11">
            <v>1404</v>
          </cell>
          <cell r="E11">
            <v>0.53731343283582089</v>
          </cell>
          <cell r="F11">
            <v>6201</v>
          </cell>
          <cell r="G11">
            <v>0.74406047516198703</v>
          </cell>
          <cell r="H11">
            <v>1950</v>
          </cell>
          <cell r="I11">
            <v>0.53395399780941954</v>
          </cell>
          <cell r="J11">
            <v>12972</v>
          </cell>
          <cell r="K11">
            <v>0.55096839959225286</v>
          </cell>
        </row>
        <row r="12">
          <cell r="B12">
            <v>2134</v>
          </cell>
          <cell r="C12">
            <v>0.20612382884188157</v>
          </cell>
          <cell r="D12">
            <v>749</v>
          </cell>
          <cell r="E12">
            <v>0.30823045267489713</v>
          </cell>
          <cell r="F12">
            <v>4385</v>
          </cell>
          <cell r="G12">
            <v>0.72780082987551864</v>
          </cell>
          <cell r="H12">
            <v>2223</v>
          </cell>
          <cell r="I12">
            <v>0.25996959419950882</v>
          </cell>
          <cell r="J12">
            <v>9491</v>
          </cell>
          <cell r="K12">
            <v>0.34690595416499143</v>
          </cell>
        </row>
        <row r="13">
          <cell r="B13">
            <v>2897</v>
          </cell>
          <cell r="C13">
            <v>0.30630154366673717</v>
          </cell>
          <cell r="D13">
            <v>1472</v>
          </cell>
          <cell r="E13">
            <v>0.51217814892136393</v>
          </cell>
          <cell r="F13">
            <v>6102</v>
          </cell>
          <cell r="G13">
            <v>0.74460036607687619</v>
          </cell>
          <cell r="H13">
            <v>2416</v>
          </cell>
          <cell r="I13">
            <v>0.37933741560684564</v>
          </cell>
          <cell r="J13">
            <v>12887</v>
          </cell>
          <cell r="K13">
            <v>0.47914187983343248</v>
          </cell>
        </row>
        <row r="14">
          <cell r="B14">
            <v>1076</v>
          </cell>
          <cell r="C14">
            <v>0.34169577643696414</v>
          </cell>
          <cell r="D14">
            <v>229</v>
          </cell>
          <cell r="E14">
            <v>0.18102766798418973</v>
          </cell>
          <cell r="F14">
            <v>1942</v>
          </cell>
          <cell r="G14">
            <v>0.63298565840938725</v>
          </cell>
          <cell r="H14">
            <v>1322</v>
          </cell>
          <cell r="I14">
            <v>0.37793024585477414</v>
          </cell>
          <cell r="J14">
            <v>4569</v>
          </cell>
          <cell r="K14">
            <v>0.41612021857923498</v>
          </cell>
        </row>
        <row r="15">
          <cell r="B15">
            <v>2432</v>
          </cell>
          <cell r="C15">
            <v>0.31700605496606565</v>
          </cell>
          <cell r="D15">
            <v>948.2</v>
          </cell>
          <cell r="E15">
            <v>0.3970302625768628</v>
          </cell>
          <cell r="F15">
            <v>5154.6000000000004</v>
          </cell>
          <cell r="G15">
            <v>0.72351888842330414</v>
          </cell>
          <cell r="H15">
            <v>1993.8</v>
          </cell>
          <cell r="I15">
            <v>0.42693799551974043</v>
          </cell>
          <cell r="J15">
            <v>10528.6</v>
          </cell>
          <cell r="K15">
            <v>0.47239696139249449</v>
          </cell>
        </row>
        <row r="17">
          <cell r="B17">
            <v>33</v>
          </cell>
          <cell r="C17">
            <v>1.5699333967649859E-2</v>
          </cell>
          <cell r="D17">
            <v>3</v>
          </cell>
          <cell r="E17">
            <v>4.30416068866571E-3</v>
          </cell>
          <cell r="F17">
            <v>2437</v>
          </cell>
          <cell r="G17">
            <v>0.65405260332796566</v>
          </cell>
          <cell r="H17">
            <v>1134</v>
          </cell>
          <cell r="I17">
            <v>0.44839857651245552</v>
          </cell>
          <cell r="J17">
            <v>3607</v>
          </cell>
          <cell r="K17">
            <v>0.39838745305942125</v>
          </cell>
        </row>
        <row r="18">
          <cell r="B18">
            <v>29</v>
          </cell>
          <cell r="C18">
            <v>1.6228315612758813E-2</v>
          </cell>
          <cell r="D18">
            <v>190</v>
          </cell>
          <cell r="E18">
            <v>0.30303030303030304</v>
          </cell>
          <cell r="F18">
            <v>351</v>
          </cell>
          <cell r="G18">
            <v>0.20289017341040463</v>
          </cell>
          <cell r="H18">
            <v>1290</v>
          </cell>
          <cell r="I18">
            <v>0.33938437253354381</v>
          </cell>
          <cell r="J18">
            <v>1860</v>
          </cell>
          <cell r="K18">
            <v>0.2341095028319698</v>
          </cell>
        </row>
        <row r="19">
          <cell r="B19">
            <v>144</v>
          </cell>
          <cell r="C19">
            <v>7.6718167288225891E-2</v>
          </cell>
          <cell r="D19">
            <v>5</v>
          </cell>
          <cell r="E19">
            <v>9.9009900990099011E-3</v>
          </cell>
          <cell r="F19">
            <v>781</v>
          </cell>
          <cell r="G19">
            <v>0.35564663023679416</v>
          </cell>
          <cell r="H19">
            <v>1186</v>
          </cell>
          <cell r="I19">
            <v>0.26893424036281177</v>
          </cell>
          <cell r="J19">
            <v>2116</v>
          </cell>
          <cell r="K19">
            <v>0.23542501112594572</v>
          </cell>
        </row>
        <row r="20">
          <cell r="B20">
            <v>0</v>
          </cell>
          <cell r="C20">
            <v>0</v>
          </cell>
          <cell r="D20">
            <v>0</v>
          </cell>
          <cell r="E20">
            <v>0</v>
          </cell>
          <cell r="F20">
            <v>228</v>
          </cell>
          <cell r="G20">
            <v>0.14152700186219738</v>
          </cell>
          <cell r="H20">
            <v>998</v>
          </cell>
          <cell r="I20">
            <v>0.27900475258596591</v>
          </cell>
          <cell r="J20">
            <v>1226</v>
          </cell>
          <cell r="K20">
            <v>0.18436090225563909</v>
          </cell>
        </row>
        <row r="21">
          <cell r="B21">
            <v>491</v>
          </cell>
          <cell r="C21">
            <v>0.23731271145480909</v>
          </cell>
          <cell r="D21">
            <v>8</v>
          </cell>
          <cell r="E21">
            <v>8.1883316274309111E-3</v>
          </cell>
          <cell r="F21">
            <v>692</v>
          </cell>
          <cell r="G21">
            <v>0.39475185396463208</v>
          </cell>
          <cell r="H21">
            <v>1481</v>
          </cell>
          <cell r="I21">
            <v>0.41311018131101812</v>
          </cell>
          <cell r="J21">
            <v>2672</v>
          </cell>
          <cell r="K21">
            <v>0.31870229007633588</v>
          </cell>
        </row>
        <row r="22">
          <cell r="B22">
            <v>139.4</v>
          </cell>
          <cell r="C22">
            <v>6.9191705664688727E-2</v>
          </cell>
          <cell r="D22">
            <v>41.2</v>
          </cell>
          <cell r="E22">
            <v>6.5084757089081929E-2</v>
          </cell>
          <cell r="F22">
            <v>897.8</v>
          </cell>
          <cell r="G22">
            <v>0.34977365256039877</v>
          </cell>
          <cell r="H22">
            <v>1217.8</v>
          </cell>
          <cell r="I22">
            <v>0.34976642466115904</v>
          </cell>
          <cell r="J22">
            <v>2296.1999999999998</v>
          </cell>
          <cell r="K22">
            <v>0.27419703186986238</v>
          </cell>
        </row>
        <row r="24">
          <cell r="B24">
            <v>538</v>
          </cell>
          <cell r="C24">
            <v>0.24465666211914508</v>
          </cell>
          <cell r="D24">
            <v>397</v>
          </cell>
          <cell r="E24">
            <v>0.27997179125528915</v>
          </cell>
          <cell r="F24">
            <v>1260</v>
          </cell>
          <cell r="G24">
            <v>0.50099403578528823</v>
          </cell>
          <cell r="H24">
            <v>1268</v>
          </cell>
          <cell r="I24">
            <v>0.34825597363361716</v>
          </cell>
          <cell r="J24">
            <v>3463</v>
          </cell>
          <cell r="K24">
            <v>0.35434359971349638</v>
          </cell>
        </row>
        <row r="25">
          <cell r="B25">
            <v>54</v>
          </cell>
          <cell r="C25">
            <v>3.3561218147917959E-2</v>
          </cell>
          <cell r="D25">
            <v>407</v>
          </cell>
          <cell r="E25">
            <v>0.22661469933184855</v>
          </cell>
          <cell r="F25">
            <v>2020</v>
          </cell>
          <cell r="G25">
            <v>0.53481599152766746</v>
          </cell>
          <cell r="H25">
            <v>1580</v>
          </cell>
          <cell r="I25">
            <v>0.29649089885531993</v>
          </cell>
          <cell r="J25">
            <v>4061</v>
          </cell>
          <cell r="K25">
            <v>0.32459435696587002</v>
          </cell>
        </row>
        <row r="26">
          <cell r="B26">
            <v>1575</v>
          </cell>
          <cell r="C26">
            <v>0.30707740300253461</v>
          </cell>
          <cell r="D26">
            <v>539</v>
          </cell>
          <cell r="E26">
            <v>0.18509615384615385</v>
          </cell>
          <cell r="F26">
            <v>1363</v>
          </cell>
          <cell r="G26">
            <v>0.38787706317586795</v>
          </cell>
          <cell r="H26">
            <v>1588</v>
          </cell>
          <cell r="I26">
            <v>0.2689246401354784</v>
          </cell>
          <cell r="J26">
            <v>5065</v>
          </cell>
          <cell r="K26">
            <v>0.29009163802978238</v>
          </cell>
        </row>
        <row r="27">
          <cell r="B27">
            <v>2996</v>
          </cell>
          <cell r="C27">
            <v>0.18778989595085871</v>
          </cell>
          <cell r="D27">
            <v>833</v>
          </cell>
          <cell r="E27">
            <v>0.18283582089552239</v>
          </cell>
          <cell r="F27">
            <v>1903</v>
          </cell>
          <cell r="G27">
            <v>0.37757936507936507</v>
          </cell>
          <cell r="H27">
            <v>1595</v>
          </cell>
          <cell r="I27">
            <v>0.29148391812865498</v>
          </cell>
          <cell r="J27">
            <v>7327</v>
          </cell>
          <cell r="K27">
            <v>0.2361872219715041</v>
          </cell>
        </row>
        <row r="28">
          <cell r="B28">
            <v>1945</v>
          </cell>
          <cell r="C28">
            <v>0.117664851784634</v>
          </cell>
          <cell r="D28">
            <v>921</v>
          </cell>
          <cell r="E28">
            <v>0.21488567428838076</v>
          </cell>
          <cell r="F28">
            <v>3015</v>
          </cell>
          <cell r="G28">
            <v>0.40334448160535119</v>
          </cell>
          <cell r="H28">
            <v>4452</v>
          </cell>
          <cell r="I28">
            <v>0.35110410094637223</v>
          </cell>
          <cell r="J28">
            <v>10333</v>
          </cell>
          <cell r="K28">
            <v>0.25220277757438186</v>
          </cell>
        </row>
        <row r="29">
          <cell r="B29">
            <v>1421.6</v>
          </cell>
          <cell r="C29">
            <v>0.17815000620101809</v>
          </cell>
          <cell r="D29">
            <v>619.4</v>
          </cell>
          <cell r="E29">
            <v>0.21788082792343894</v>
          </cell>
          <cell r="F29">
            <v>1912.2</v>
          </cell>
          <cell r="G29">
            <v>0.44092218743470796</v>
          </cell>
          <cell r="H29">
            <v>2096.6</v>
          </cell>
          <cell r="I29">
            <v>0.31125190633988853</v>
          </cell>
          <cell r="J29">
            <v>6049.8</v>
          </cell>
          <cell r="K29">
            <v>0.29148391885100694</v>
          </cell>
        </row>
        <row r="31">
          <cell r="B31">
            <v>1346</v>
          </cell>
          <cell r="C31">
            <v>0.14322196211959992</v>
          </cell>
          <cell r="D31">
            <v>1044</v>
          </cell>
          <cell r="E31">
            <v>0.31006831006831009</v>
          </cell>
          <cell r="F31">
            <v>1558</v>
          </cell>
          <cell r="G31">
            <v>0.44362186788154895</v>
          </cell>
          <cell r="H31">
            <v>1845</v>
          </cell>
          <cell r="I31">
            <v>0.24070450097847357</v>
          </cell>
          <cell r="J31">
            <v>5793</v>
          </cell>
          <cell r="K31">
            <v>0.24195973602873611</v>
          </cell>
        </row>
        <row r="32">
          <cell r="B32">
            <v>876</v>
          </cell>
          <cell r="C32">
            <v>0.12512498214540779</v>
          </cell>
          <cell r="D32">
            <v>1385</v>
          </cell>
          <cell r="E32">
            <v>0.25375595456211064</v>
          </cell>
          <cell r="F32">
            <v>2707</v>
          </cell>
          <cell r="G32">
            <v>0.37077112724284345</v>
          </cell>
          <cell r="H32">
            <v>925</v>
          </cell>
          <cell r="I32">
            <v>0.21109082610680055</v>
          </cell>
          <cell r="J32">
            <v>5893</v>
          </cell>
          <cell r="K32">
            <v>0.24409742357716843</v>
          </cell>
        </row>
        <row r="33">
          <cell r="B33">
            <v>733</v>
          </cell>
          <cell r="C33">
            <v>0.18505427922241857</v>
          </cell>
          <cell r="D33">
            <v>2050</v>
          </cell>
          <cell r="E33">
            <v>0.25529265255292655</v>
          </cell>
          <cell r="F33">
            <v>3521</v>
          </cell>
          <cell r="G33">
            <v>0.46353343865192209</v>
          </cell>
          <cell r="H33">
            <v>393</v>
          </cell>
          <cell r="I33">
            <v>0.13833157338965152</v>
          </cell>
          <cell r="J33">
            <v>6697</v>
          </cell>
          <cell r="K33">
            <v>0.29859996433030139</v>
          </cell>
        </row>
        <row r="34">
          <cell r="B34">
            <v>599</v>
          </cell>
          <cell r="C34">
            <v>0.20114170584284755</v>
          </cell>
          <cell r="D34">
            <v>249</v>
          </cell>
          <cell r="E34">
            <v>0.15341959334565619</v>
          </cell>
          <cell r="F34">
            <v>813</v>
          </cell>
          <cell r="G34">
            <v>0.36704288939051921</v>
          </cell>
          <cell r="H34">
            <v>724</v>
          </cell>
          <cell r="I34">
            <v>0.1238030095759234</v>
          </cell>
          <cell r="J34">
            <v>2385</v>
          </cell>
          <cell r="K34">
            <v>0.1883291219204043</v>
          </cell>
        </row>
        <row r="35">
          <cell r="B35">
            <v>1900</v>
          </cell>
          <cell r="C35">
            <v>0.3138420878757846</v>
          </cell>
          <cell r="D35">
            <v>115</v>
          </cell>
          <cell r="E35">
            <v>0.28465346534653463</v>
          </cell>
          <cell r="F35">
            <v>402</v>
          </cell>
          <cell r="G35">
            <v>0.26925653047555259</v>
          </cell>
          <cell r="H35">
            <v>292</v>
          </cell>
          <cell r="I35">
            <v>0.1244141457179378</v>
          </cell>
          <cell r="J35">
            <v>2709</v>
          </cell>
          <cell r="K35">
            <v>0.26306078850262188</v>
          </cell>
        </row>
        <row r="36">
          <cell r="B36">
            <v>1090.8</v>
          </cell>
          <cell r="C36">
            <v>0.19367700344121169</v>
          </cell>
          <cell r="D36">
            <v>968.6</v>
          </cell>
          <cell r="E36">
            <v>0.25143799517510768</v>
          </cell>
          <cell r="F36">
            <v>1800.2</v>
          </cell>
          <cell r="G36">
            <v>0.38284517072847729</v>
          </cell>
          <cell r="H36">
            <v>835.8</v>
          </cell>
          <cell r="I36">
            <v>0.16766881115375737</v>
          </cell>
          <cell r="J36">
            <v>4695.3999999999996</v>
          </cell>
          <cell r="K36">
            <v>0.24720940687184639</v>
          </cell>
        </row>
        <row r="38">
          <cell r="B38">
            <v>2184</v>
          </cell>
          <cell r="C38">
            <v>0.25351131746952987</v>
          </cell>
          <cell r="D38">
            <v>417</v>
          </cell>
          <cell r="E38">
            <v>0.42681678607983625</v>
          </cell>
          <cell r="F38">
            <v>520</v>
          </cell>
          <cell r="G38">
            <v>0.22155943757988922</v>
          </cell>
          <cell r="H38">
            <v>788</v>
          </cell>
          <cell r="I38">
            <v>0.10731308729402152</v>
          </cell>
          <cell r="J38">
            <v>3909</v>
          </cell>
          <cell r="K38">
            <v>0.20272793278705528</v>
          </cell>
        </row>
        <row r="39">
          <cell r="B39">
            <v>2629</v>
          </cell>
          <cell r="C39">
            <v>0.4887525562372188</v>
          </cell>
          <cell r="D39">
            <v>222</v>
          </cell>
          <cell r="E39">
            <v>0.28608247422680411</v>
          </cell>
          <cell r="F39">
            <v>253</v>
          </cell>
          <cell r="G39">
            <v>0.19312977099236642</v>
          </cell>
          <cell r="H39">
            <v>1352</v>
          </cell>
          <cell r="I39">
            <v>0.28753721820501915</v>
          </cell>
          <cell r="J39">
            <v>4456</v>
          </cell>
          <cell r="K39">
            <v>0.36623654146461743</v>
          </cell>
        </row>
        <row r="40">
          <cell r="B40">
            <v>5534</v>
          </cell>
          <cell r="C40">
            <v>0.45312921175168591</v>
          </cell>
          <cell r="D40">
            <v>521</v>
          </cell>
          <cell r="E40">
            <v>0.58603440640619964</v>
          </cell>
          <cell r="F40">
            <v>381</v>
          </cell>
          <cell r="G40">
            <v>0.20105540897097626</v>
          </cell>
          <cell r="H40">
            <v>1159</v>
          </cell>
          <cell r="I40">
            <v>0.25372154115586693</v>
          </cell>
          <cell r="J40">
            <v>7595</v>
          </cell>
          <cell r="K40">
            <v>0.38819561683652287</v>
          </cell>
        </row>
        <row r="41">
          <cell r="B41">
            <v>3352</v>
          </cell>
          <cell r="C41">
            <v>0.41219872110181999</v>
          </cell>
          <cell r="D41">
            <v>0</v>
          </cell>
          <cell r="E41">
            <v>0</v>
          </cell>
          <cell r="F41">
            <v>103</v>
          </cell>
          <cell r="G41">
            <v>6.5605095541401273E-2</v>
          </cell>
          <cell r="H41">
            <v>506</v>
          </cell>
          <cell r="I41">
            <v>0.13591189900617781</v>
          </cell>
          <cell r="J41">
            <v>3961</v>
          </cell>
          <cell r="K41">
            <v>0.27432647690283263</v>
          </cell>
        </row>
        <row r="42">
          <cell r="B42">
            <v>2801</v>
          </cell>
          <cell r="C42">
            <v>0.33771401012780322</v>
          </cell>
          <cell r="D42">
            <v>0</v>
          </cell>
          <cell r="E42">
            <v>0</v>
          </cell>
          <cell r="F42">
            <v>14</v>
          </cell>
          <cell r="G42">
            <v>1.0028653295128941E-2</v>
          </cell>
          <cell r="H42">
            <v>380</v>
          </cell>
          <cell r="I42">
            <v>0.12234385061171925</v>
          </cell>
          <cell r="J42">
            <v>3195</v>
          </cell>
          <cell r="K42">
            <v>0.23137084510102107</v>
          </cell>
        </row>
        <row r="43">
          <cell r="B43">
            <v>3300</v>
          </cell>
          <cell r="C43">
            <v>0.38906116333761148</v>
          </cell>
          <cell r="D43">
            <v>232</v>
          </cell>
          <cell r="E43">
            <v>0.25978673334256797</v>
          </cell>
          <cell r="F43">
            <v>254.2</v>
          </cell>
          <cell r="G43">
            <v>0.13827567327595242</v>
          </cell>
          <cell r="H43">
            <v>837</v>
          </cell>
          <cell r="I43">
            <v>0.18136551925456093</v>
          </cell>
          <cell r="J43">
            <v>4623.2</v>
          </cell>
          <cell r="K43">
            <v>0.29257148261840987</v>
          </cell>
        </row>
        <row r="45">
          <cell r="B45">
            <v>8410</v>
          </cell>
          <cell r="C45">
            <v>0.31731059462722611</v>
          </cell>
          <cell r="D45">
            <v>1088</v>
          </cell>
          <cell r="E45">
            <v>0.33611368551127585</v>
          </cell>
          <cell r="F45">
            <v>104</v>
          </cell>
          <cell r="G45">
            <v>9.3862815884476536E-2</v>
          </cell>
          <cell r="H45">
            <v>160</v>
          </cell>
          <cell r="I45">
            <v>4.6056419113413932E-2</v>
          </cell>
          <cell r="J45">
            <v>9762</v>
          </cell>
          <cell r="K45">
            <v>0.28441569792850274</v>
          </cell>
        </row>
        <row r="46">
          <cell r="B46">
            <v>9386</v>
          </cell>
          <cell r="C46">
            <v>0.38225950965219518</v>
          </cell>
          <cell r="D46">
            <v>1588</v>
          </cell>
          <cell r="E46">
            <v>0.35589421783953384</v>
          </cell>
          <cell r="F46">
            <v>124</v>
          </cell>
          <cell r="G46">
            <v>0.20770519262981574</v>
          </cell>
          <cell r="H46">
            <v>227</v>
          </cell>
          <cell r="I46">
            <v>5.7265388496468214E-2</v>
          </cell>
          <cell r="J46">
            <v>11325</v>
          </cell>
          <cell r="K46">
            <v>0.33728445066563423</v>
          </cell>
        </row>
        <row r="47">
          <cell r="B47">
            <v>5594</v>
          </cell>
          <cell r="C47">
            <v>0.38267888904090847</v>
          </cell>
          <cell r="D47">
            <v>1615</v>
          </cell>
          <cell r="E47">
            <v>0.4607703281027104</v>
          </cell>
          <cell r="F47">
            <v>244</v>
          </cell>
          <cell r="G47">
            <v>0.10436270316509838</v>
          </cell>
          <cell r="H47">
            <v>461</v>
          </cell>
          <cell r="I47">
            <v>6.0602077034310503E-2</v>
          </cell>
          <cell r="J47">
            <v>7914</v>
          </cell>
          <cell r="K47">
            <v>0.28195810175288583</v>
          </cell>
        </row>
        <row r="48">
          <cell r="B48">
            <v>1073</v>
          </cell>
          <cell r="C48">
            <v>0.25571973307912299</v>
          </cell>
          <cell r="D48">
            <v>595</v>
          </cell>
          <cell r="E48">
            <v>0.31498147167813656</v>
          </cell>
          <cell r="F48">
            <v>536</v>
          </cell>
          <cell r="G48">
            <v>0.17080943275971958</v>
          </cell>
          <cell r="H48">
            <v>408</v>
          </cell>
          <cell r="I48">
            <v>8.4332368747416286E-2</v>
          </cell>
          <cell r="J48">
            <v>2612</v>
          </cell>
          <cell r="K48">
            <v>0.18576203683948511</v>
          </cell>
        </row>
        <row r="49">
          <cell r="B49">
            <v>3</v>
          </cell>
          <cell r="C49">
            <v>1.9071837253655435E-3</v>
          </cell>
          <cell r="D49">
            <v>97</v>
          </cell>
          <cell r="E49">
            <v>0.11990111248454882</v>
          </cell>
          <cell r="F49">
            <v>17</v>
          </cell>
          <cell r="G49">
            <v>1.7051153460381142E-2</v>
          </cell>
          <cell r="H49">
            <v>383</v>
          </cell>
          <cell r="I49">
            <v>0.11185747663551401</v>
          </cell>
          <cell r="J49">
            <v>500</v>
          </cell>
          <cell r="K49">
            <v>7.3496986623548435E-2</v>
          </cell>
        </row>
        <row r="50">
          <cell r="B50">
            <v>4893.2</v>
          </cell>
          <cell r="C50">
            <v>0.26797518202496368</v>
          </cell>
          <cell r="D50">
            <v>996.6</v>
          </cell>
          <cell r="E50">
            <v>0.31753216312324112</v>
          </cell>
          <cell r="F50">
            <v>205</v>
          </cell>
          <cell r="G50">
            <v>0.11875825957989827</v>
          </cell>
          <cell r="H50">
            <v>327.8</v>
          </cell>
          <cell r="I50">
            <v>7.2022746005424604E-2</v>
          </cell>
          <cell r="J50">
            <v>6422.6</v>
          </cell>
          <cell r="K50">
            <v>0.23258345476201128</v>
          </cell>
        </row>
        <row r="52">
          <cell r="B52">
            <v>0</v>
          </cell>
          <cell r="C52">
            <v>0</v>
          </cell>
          <cell r="D52">
            <v>246</v>
          </cell>
          <cell r="E52">
            <v>0.21243523316062177</v>
          </cell>
          <cell r="F52">
            <v>82</v>
          </cell>
          <cell r="G52">
            <v>4.3157894736842103E-2</v>
          </cell>
          <cell r="H52">
            <v>906</v>
          </cell>
          <cell r="I52">
            <v>0.11642251349267541</v>
          </cell>
          <cell r="J52">
            <v>1234</v>
          </cell>
          <cell r="K52">
            <v>0.10503915560095335</v>
          </cell>
        </row>
        <row r="53">
          <cell r="B53">
            <v>345</v>
          </cell>
          <cell r="C53">
            <v>9.3243243243243248E-2</v>
          </cell>
          <cell r="D53">
            <v>641</v>
          </cell>
          <cell r="E53">
            <v>0.34518039849219173</v>
          </cell>
          <cell r="F53">
            <v>269</v>
          </cell>
          <cell r="G53">
            <v>9.1558883594281826E-2</v>
          </cell>
          <cell r="H53">
            <v>594</v>
          </cell>
          <cell r="I53">
            <v>0.10465116279069768</v>
          </cell>
          <cell r="J53">
            <v>1849</v>
          </cell>
          <cell r="K53">
            <v>0.13047773622186154</v>
          </cell>
        </row>
        <row r="54">
          <cell r="B54">
            <v>924</v>
          </cell>
          <cell r="C54">
            <v>0.12930310663308145</v>
          </cell>
          <cell r="D54">
            <v>692</v>
          </cell>
          <cell r="E54">
            <v>0.21982210927573062</v>
          </cell>
          <cell r="F54">
            <v>960</v>
          </cell>
          <cell r="G54">
            <v>0.13963636363636364</v>
          </cell>
          <cell r="H54">
            <v>1148</v>
          </cell>
          <cell r="I54">
            <v>0.11157546894741957</v>
          </cell>
          <cell r="J54">
            <v>3724</v>
          </cell>
          <cell r="K54">
            <v>0.13562531866851191</v>
          </cell>
        </row>
        <row r="55">
          <cell r="B55">
            <v>1364</v>
          </cell>
          <cell r="C55">
            <v>0.21939842367701465</v>
          </cell>
          <cell r="D55">
            <v>1135</v>
          </cell>
          <cell r="E55">
            <v>0.44950495049504952</v>
          </cell>
          <cell r="F55">
            <v>1319</v>
          </cell>
          <cell r="G55">
            <v>0.41335004700720779</v>
          </cell>
          <cell r="H55">
            <v>1005</v>
          </cell>
          <cell r="I55">
            <v>0.15922053231939162</v>
          </cell>
          <cell r="J55">
            <v>4823</v>
          </cell>
          <cell r="K55">
            <v>0.26434639627295148</v>
          </cell>
        </row>
        <row r="56">
          <cell r="B56">
            <v>549</v>
          </cell>
          <cell r="C56">
            <v>6.1115440276077036E-2</v>
          </cell>
          <cell r="D56">
            <v>1738</v>
          </cell>
          <cell r="E56">
            <v>0.70250606305578012</v>
          </cell>
          <cell r="F56">
            <v>1590</v>
          </cell>
          <cell r="G56">
            <v>0.58412931667891255</v>
          </cell>
          <cell r="H56">
            <v>443</v>
          </cell>
          <cell r="I56">
            <v>8.2680104516610675E-2</v>
          </cell>
          <cell r="J56">
            <v>4320</v>
          </cell>
          <cell r="K56">
            <v>0.22111890259507602</v>
          </cell>
        </row>
        <row r="57">
          <cell r="B57">
            <v>636.4</v>
          </cell>
          <cell r="C57">
            <v>0.10061204276588329</v>
          </cell>
          <cell r="D57">
            <v>890.4</v>
          </cell>
          <cell r="E57">
            <v>0.38588975089587479</v>
          </cell>
          <cell r="F57">
            <v>844</v>
          </cell>
          <cell r="G57">
            <v>0.25436650113072157</v>
          </cell>
          <cell r="H57">
            <v>819.2</v>
          </cell>
          <cell r="I57">
            <v>0.11490995641335899</v>
          </cell>
          <cell r="J57">
            <v>3190</v>
          </cell>
          <cell r="K57">
            <v>0.17132150187187084</v>
          </cell>
        </row>
        <row r="59">
          <cell r="B59">
            <v>2236</v>
          </cell>
          <cell r="C59" t="e">
            <v>#DIV/0!</v>
          </cell>
          <cell r="D59">
            <v>1145</v>
          </cell>
          <cell r="E59" t="e">
            <v>#DIV/0!</v>
          </cell>
          <cell r="F59">
            <v>1675</v>
          </cell>
          <cell r="G59" t="e">
            <v>#DIV/0!</v>
          </cell>
          <cell r="I59" t="e">
            <v>#DIV/0!</v>
          </cell>
          <cell r="J59">
            <v>5056</v>
          </cell>
          <cell r="K59" t="e">
            <v>#DIV/0!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ue Dates"/>
      <sheetName val="New Figures"/>
      <sheetName val="T1Manip"/>
      <sheetName val="T1Static"/>
      <sheetName val="T2Manip"/>
      <sheetName val="T2Static"/>
      <sheetName val="T3Manip"/>
      <sheetName val="T3Static"/>
      <sheetName val="T4Manip"/>
      <sheetName val="T4Static"/>
      <sheetName val="T5Manip"/>
      <sheetName val="T5Static"/>
      <sheetName val="T5addnl"/>
      <sheetName val="T6_UCCHSpManip"/>
      <sheetName val="T6_UCCHSpStatic"/>
      <sheetName val="T7_SRManip"/>
      <sheetName val="T7_SRStatic"/>
      <sheetName val="T9WWSManip"/>
      <sheetName val="T9WWSStatic"/>
      <sheetName val="T10"/>
      <sheetName val="T11a"/>
      <sheetName val="T11b"/>
      <sheetName val="T16"/>
      <sheetName val="T17"/>
      <sheetName val="T18"/>
      <sheetName val="T19"/>
      <sheetName val="T20"/>
      <sheetName val="T21CondManip"/>
      <sheetName val="T21CondStatic"/>
      <sheetName val="T22"/>
      <sheetName val="T23"/>
      <sheetName val="T24"/>
      <sheetName val="T26Manip"/>
      <sheetName val="T26Static"/>
      <sheetName val="T27CompManip"/>
      <sheetName val="T27CompStatic"/>
      <sheetName val="T27Static"/>
      <sheetName val="T29Manip"/>
      <sheetName val="T29Static"/>
      <sheetName val="T30Manip"/>
      <sheetName val="T30Static"/>
      <sheetName val="T31 SAFE Comp Manip"/>
      <sheetName val="T31 SAFE Comp Static"/>
      <sheetName val="T32"/>
      <sheetName val="T33"/>
      <sheetName val="T34"/>
      <sheetName val="T35"/>
      <sheetName val="T36"/>
      <sheetName val="T37"/>
      <sheetName val="Impact Sum for Mgmt expectation"/>
      <sheetName val="Sheet7"/>
      <sheetName val="Sheet8"/>
    </sheetNames>
    <sheetDataSet>
      <sheetData sheetId="0" refreshError="1"/>
      <sheetData sheetId="1" refreshError="1"/>
      <sheetData sheetId="2">
        <row r="16">
          <cell r="C16">
            <v>7555</v>
          </cell>
          <cell r="D16">
            <v>1987</v>
          </cell>
          <cell r="E16">
            <v>9299</v>
          </cell>
          <cell r="F16">
            <v>3527</v>
          </cell>
        </row>
        <row r="17">
          <cell r="C17">
            <v>8945</v>
          </cell>
          <cell r="D17">
            <v>2613</v>
          </cell>
          <cell r="E17">
            <v>8334</v>
          </cell>
          <cell r="F17">
            <v>3652</v>
          </cell>
        </row>
        <row r="18">
          <cell r="C18">
            <v>10353</v>
          </cell>
          <cell r="D18">
            <v>2430</v>
          </cell>
          <cell r="E18">
            <v>6025</v>
          </cell>
          <cell r="F18">
            <v>8551</v>
          </cell>
        </row>
        <row r="19">
          <cell r="C19">
            <v>9458</v>
          </cell>
          <cell r="D19">
            <v>2874</v>
          </cell>
          <cell r="E19">
            <v>8195</v>
          </cell>
          <cell r="F19">
            <v>6369</v>
          </cell>
        </row>
        <row r="20">
          <cell r="C20">
            <v>3149</v>
          </cell>
          <cell r="D20">
            <v>1265</v>
          </cell>
          <cell r="E20">
            <v>3068</v>
          </cell>
          <cell r="F20">
            <v>3498</v>
          </cell>
        </row>
        <row r="21">
          <cell r="C21">
            <v>2102</v>
          </cell>
          <cell r="D21">
            <v>697</v>
          </cell>
          <cell r="E21">
            <v>3726</v>
          </cell>
          <cell r="F21">
            <v>2529</v>
          </cell>
        </row>
        <row r="22">
          <cell r="C22">
            <v>1787</v>
          </cell>
          <cell r="D22">
            <v>627</v>
          </cell>
          <cell r="E22">
            <v>1730</v>
          </cell>
          <cell r="F22">
            <v>3801</v>
          </cell>
        </row>
        <row r="23">
          <cell r="C23">
            <v>1877</v>
          </cell>
          <cell r="D23">
            <v>505</v>
          </cell>
          <cell r="E23">
            <v>2196</v>
          </cell>
          <cell r="F23">
            <v>4410</v>
          </cell>
        </row>
        <row r="24">
          <cell r="C24">
            <v>1055</v>
          </cell>
          <cell r="D24">
            <v>407</v>
          </cell>
          <cell r="E24">
            <v>1611</v>
          </cell>
          <cell r="F24">
            <v>3577</v>
          </cell>
        </row>
        <row r="25">
          <cell r="C25">
            <v>2069</v>
          </cell>
          <cell r="D25">
            <v>977</v>
          </cell>
          <cell r="E25">
            <v>1753</v>
          </cell>
          <cell r="F25">
            <v>3585</v>
          </cell>
        </row>
        <row r="26">
          <cell r="C26">
            <v>2199</v>
          </cell>
          <cell r="D26">
            <v>1418</v>
          </cell>
          <cell r="E26">
            <v>2515</v>
          </cell>
          <cell r="F26">
            <v>3641</v>
          </cell>
        </row>
        <row r="27">
          <cell r="C27">
            <v>1609</v>
          </cell>
          <cell r="D27">
            <v>1796</v>
          </cell>
          <cell r="E27">
            <v>3777</v>
          </cell>
          <cell r="F27">
            <v>5329</v>
          </cell>
        </row>
        <row r="28">
          <cell r="C28">
            <v>5129</v>
          </cell>
          <cell r="D28">
            <v>2912</v>
          </cell>
          <cell r="E28">
            <v>3514</v>
          </cell>
          <cell r="F28">
            <v>5905</v>
          </cell>
        </row>
        <row r="29">
          <cell r="C29">
            <v>15954</v>
          </cell>
          <cell r="D29">
            <v>4556</v>
          </cell>
          <cell r="E29">
            <v>5040</v>
          </cell>
          <cell r="F29">
            <v>5472</v>
          </cell>
        </row>
        <row r="30">
          <cell r="C30">
            <v>16530</v>
          </cell>
          <cell r="D30">
            <v>4286</v>
          </cell>
          <cell r="E30">
            <v>7475</v>
          </cell>
          <cell r="F30">
            <v>12680</v>
          </cell>
        </row>
        <row r="31">
          <cell r="C31">
            <v>9398</v>
          </cell>
          <cell r="D31">
            <v>3367</v>
          </cell>
          <cell r="E31">
            <v>3512</v>
          </cell>
          <cell r="F31">
            <v>7665</v>
          </cell>
        </row>
        <row r="32">
          <cell r="C32">
            <v>7001</v>
          </cell>
          <cell r="D32">
            <v>5458</v>
          </cell>
          <cell r="E32">
            <v>7301</v>
          </cell>
          <cell r="F32">
            <v>4382</v>
          </cell>
        </row>
        <row r="33">
          <cell r="C33">
            <v>3961</v>
          </cell>
          <cell r="D33">
            <v>8030</v>
          </cell>
          <cell r="E33">
            <v>7596</v>
          </cell>
          <cell r="F33">
            <v>2841</v>
          </cell>
        </row>
        <row r="34">
          <cell r="C34">
            <v>2978</v>
          </cell>
          <cell r="D34">
            <v>1623</v>
          </cell>
          <cell r="E34">
            <v>2215</v>
          </cell>
          <cell r="F34">
            <v>5848</v>
          </cell>
        </row>
        <row r="35">
          <cell r="C35">
            <v>6054</v>
          </cell>
          <cell r="D35">
            <v>404</v>
          </cell>
          <cell r="E35">
            <v>1493</v>
          </cell>
          <cell r="F35">
            <v>2347</v>
          </cell>
        </row>
        <row r="36">
          <cell r="C36">
            <v>8615</v>
          </cell>
          <cell r="D36">
            <v>977</v>
          </cell>
          <cell r="E36">
            <v>2347</v>
          </cell>
          <cell r="F36">
            <v>7343</v>
          </cell>
        </row>
        <row r="37">
          <cell r="C37">
            <v>5379</v>
          </cell>
          <cell r="D37">
            <v>776</v>
          </cell>
          <cell r="E37">
            <v>1310</v>
          </cell>
          <cell r="F37">
            <v>4702</v>
          </cell>
        </row>
        <row r="38">
          <cell r="C38">
            <v>12212.851999999999</v>
          </cell>
          <cell r="D38">
            <v>889.02629999999999</v>
          </cell>
          <cell r="E38">
            <v>1895</v>
          </cell>
          <cell r="F38">
            <v>4568</v>
          </cell>
        </row>
        <row r="39">
          <cell r="C39">
            <v>8132</v>
          </cell>
          <cell r="D39">
            <v>1014</v>
          </cell>
          <cell r="E39">
            <v>1570</v>
          </cell>
          <cell r="F39">
            <v>3723</v>
          </cell>
        </row>
        <row r="40">
          <cell r="C40">
            <v>8294</v>
          </cell>
          <cell r="D40">
            <v>1013</v>
          </cell>
          <cell r="E40">
            <v>1396</v>
          </cell>
          <cell r="F40">
            <v>3106</v>
          </cell>
        </row>
        <row r="41">
          <cell r="C41">
            <v>26504</v>
          </cell>
          <cell r="D41">
            <v>3237</v>
          </cell>
          <cell r="E41">
            <v>1108</v>
          </cell>
          <cell r="F41">
            <v>3474</v>
          </cell>
        </row>
        <row r="42">
          <cell r="C42">
            <v>24554</v>
          </cell>
          <cell r="D42">
            <v>4462</v>
          </cell>
          <cell r="E42">
            <v>597</v>
          </cell>
          <cell r="F42">
            <v>3964</v>
          </cell>
        </row>
        <row r="43">
          <cell r="C43">
            <v>14618</v>
          </cell>
          <cell r="D43">
            <v>3505</v>
          </cell>
          <cell r="E43">
            <v>2338</v>
          </cell>
          <cell r="F43">
            <v>7607</v>
          </cell>
        </row>
        <row r="44">
          <cell r="C44">
            <v>4196</v>
          </cell>
          <cell r="D44">
            <v>1889</v>
          </cell>
          <cell r="E44">
            <v>3138</v>
          </cell>
          <cell r="F44">
            <v>4838</v>
          </cell>
        </row>
        <row r="45">
          <cell r="C45">
            <v>1573</v>
          </cell>
          <cell r="D45">
            <v>809</v>
          </cell>
          <cell r="E45">
            <v>997</v>
          </cell>
          <cell r="F45">
            <v>3424</v>
          </cell>
        </row>
        <row r="46">
          <cell r="C46">
            <v>908</v>
          </cell>
          <cell r="D46">
            <v>1158</v>
          </cell>
          <cell r="E46">
            <v>1900</v>
          </cell>
          <cell r="F46">
            <v>7782</v>
          </cell>
        </row>
        <row r="47">
          <cell r="C47">
            <v>3700</v>
          </cell>
          <cell r="D47">
            <v>1857</v>
          </cell>
          <cell r="E47">
            <v>2938</v>
          </cell>
          <cell r="F47">
            <v>5676</v>
          </cell>
        </row>
        <row r="48">
          <cell r="C48">
            <v>7146</v>
          </cell>
          <cell r="D48">
            <v>3148</v>
          </cell>
          <cell r="E48">
            <v>6875</v>
          </cell>
          <cell r="F48">
            <v>10289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7">
          <cell r="D7">
            <v>1282</v>
          </cell>
        </row>
        <row r="8">
          <cell r="D8">
            <v>1619</v>
          </cell>
        </row>
        <row r="9">
          <cell r="D9">
            <v>1966</v>
          </cell>
        </row>
        <row r="10">
          <cell r="D10">
            <v>4404</v>
          </cell>
        </row>
        <row r="11">
          <cell r="D11">
            <v>2691</v>
          </cell>
        </row>
        <row r="12">
          <cell r="D12">
            <v>2954</v>
          </cell>
        </row>
        <row r="13">
          <cell r="D13">
            <v>2055</v>
          </cell>
        </row>
        <row r="14">
          <cell r="D14">
            <v>3021</v>
          </cell>
        </row>
        <row r="15">
          <cell r="D15">
            <v>2695</v>
          </cell>
        </row>
        <row r="16">
          <cell r="D16">
            <v>2035</v>
          </cell>
        </row>
        <row r="17">
          <cell r="D17">
            <v>1381</v>
          </cell>
        </row>
        <row r="18">
          <cell r="D18">
            <v>4220</v>
          </cell>
        </row>
        <row r="19">
          <cell r="D19">
            <v>4371</v>
          </cell>
        </row>
        <row r="20">
          <cell r="D20">
            <v>4049</v>
          </cell>
        </row>
        <row r="21">
          <cell r="D21">
            <v>2391</v>
          </cell>
        </row>
        <row r="22">
          <cell r="D22">
            <v>3816</v>
          </cell>
        </row>
        <row r="23">
          <cell r="D23">
            <v>1708</v>
          </cell>
        </row>
        <row r="24">
          <cell r="D24">
            <v>3332</v>
          </cell>
        </row>
        <row r="25">
          <cell r="D25">
            <v>401</v>
          </cell>
        </row>
        <row r="26">
          <cell r="D26">
            <v>2387</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ue Dates"/>
      <sheetName val="New Figures"/>
      <sheetName val="T1Manip"/>
      <sheetName val="T1Static"/>
      <sheetName val="T2Manip"/>
      <sheetName val="T2Static"/>
      <sheetName val="T3Manip"/>
      <sheetName val="T3Static"/>
      <sheetName val="T4Manip"/>
      <sheetName val="T4Static"/>
      <sheetName val="T5Manip"/>
      <sheetName val="T5Static"/>
      <sheetName val="T5addnl"/>
      <sheetName val="T6_UCCHSpManip"/>
      <sheetName val="T6_UCCHSpStatic"/>
      <sheetName val="T7_SRManip"/>
      <sheetName val="T7_SRStatic"/>
      <sheetName val="T8UCCHSuManip"/>
      <sheetName val="T8UCCHSuStatic"/>
      <sheetName val="T9WWSManip"/>
      <sheetName val="T9WWSStatic"/>
      <sheetName val="T10"/>
      <sheetName val="T11a"/>
      <sheetName val="T11b"/>
      <sheetName val="T12SthdManip"/>
      <sheetName val="T12SthdStatic"/>
      <sheetName val="T13LWGSthdManip"/>
      <sheetName val="T13LWGSthdStatic"/>
      <sheetName val="T14Manip"/>
      <sheetName val="T14Static"/>
      <sheetName val="T15SOKManip"/>
      <sheetName val="T15SOKStatic"/>
      <sheetName val="T16"/>
      <sheetName val="T17"/>
      <sheetName val="T18"/>
      <sheetName val="T19"/>
      <sheetName val="T20"/>
      <sheetName val="T21CondManip"/>
      <sheetName val="T21CondStatic"/>
      <sheetName val="T22"/>
      <sheetName val="T23"/>
      <sheetName val="T24"/>
      <sheetName val="T25Manip"/>
      <sheetName val="T25Static"/>
      <sheetName val="T26Manip"/>
      <sheetName val="T26Static"/>
      <sheetName val="T27CompManip"/>
      <sheetName val="T27CompStatic"/>
      <sheetName val="T28Manip"/>
      <sheetName val="T28Static"/>
      <sheetName val="T27Static"/>
      <sheetName val="T29Manip"/>
      <sheetName val="T29Static"/>
      <sheetName val="T30Manip"/>
      <sheetName val="T30Static"/>
      <sheetName val="T31 SAFE Comp Manip"/>
      <sheetName val="T31 SAFE Comp Static"/>
      <sheetName val="T32_NULL"/>
      <sheetName val="T32"/>
      <sheetName val="T33"/>
      <sheetName val="T34"/>
      <sheetName val="T35"/>
      <sheetName val="T36"/>
      <sheetName val="Impact Sum for Mgmt expecta "/>
      <sheetName val="Sheet7"/>
      <sheetName val="Sheet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5">
          <cell r="B5">
            <v>1096</v>
          </cell>
        </row>
        <row r="6">
          <cell r="B6">
            <v>651</v>
          </cell>
        </row>
        <row r="7">
          <cell r="B7">
            <v>1289</v>
          </cell>
        </row>
        <row r="8">
          <cell r="B8">
            <v>645</v>
          </cell>
        </row>
        <row r="9">
          <cell r="B9">
            <v>909</v>
          </cell>
        </row>
        <row r="10">
          <cell r="B10">
            <v>516</v>
          </cell>
        </row>
        <row r="11">
          <cell r="B11">
            <v>1099</v>
          </cell>
        </row>
        <row r="12">
          <cell r="B12">
            <v>363</v>
          </cell>
        </row>
        <row r="13">
          <cell r="B13">
            <v>976</v>
          </cell>
        </row>
        <row r="14">
          <cell r="B14">
            <v>602</v>
          </cell>
        </row>
        <row r="15">
          <cell r="B15">
            <v>629</v>
          </cell>
        </row>
        <row r="16">
          <cell r="B16">
            <v>182</v>
          </cell>
        </row>
        <row r="25">
          <cell r="B25">
            <v>56</v>
          </cell>
        </row>
        <row r="26">
          <cell r="B26">
            <v>65</v>
          </cell>
        </row>
        <row r="27">
          <cell r="B27">
            <v>229</v>
          </cell>
        </row>
        <row r="28">
          <cell r="B28">
            <v>17</v>
          </cell>
        </row>
        <row r="29">
          <cell r="B29">
            <v>55</v>
          </cell>
        </row>
        <row r="30">
          <cell r="B30">
            <v>22</v>
          </cell>
        </row>
        <row r="31">
          <cell r="B31">
            <v>51</v>
          </cell>
        </row>
        <row r="32">
          <cell r="B32">
            <v>65</v>
          </cell>
        </row>
        <row r="33">
          <cell r="B33">
            <v>56</v>
          </cell>
        </row>
        <row r="34">
          <cell r="B34">
            <v>88</v>
          </cell>
        </row>
        <row r="35">
          <cell r="B35">
            <v>28</v>
          </cell>
        </row>
        <row r="36">
          <cell r="B36">
            <v>24</v>
          </cell>
        </row>
      </sheetData>
      <sheetData sheetId="62">
        <row r="14">
          <cell r="H14">
            <v>3203</v>
          </cell>
        </row>
        <row r="15">
          <cell r="H15">
            <v>3535</v>
          </cell>
        </row>
        <row r="16">
          <cell r="H16">
            <v>10957</v>
          </cell>
        </row>
        <row r="17">
          <cell r="H17">
            <v>3994</v>
          </cell>
        </row>
        <row r="18">
          <cell r="H18">
            <v>1512</v>
          </cell>
        </row>
        <row r="19">
          <cell r="H19">
            <v>5373</v>
          </cell>
        </row>
        <row r="20">
          <cell r="H20">
            <v>8788</v>
          </cell>
        </row>
        <row r="21">
          <cell r="H21">
            <v>2866</v>
          </cell>
        </row>
        <row r="22">
          <cell r="H22">
            <v>3162</v>
          </cell>
        </row>
        <row r="23">
          <cell r="H23">
            <v>665</v>
          </cell>
        </row>
        <row r="24">
          <cell r="H24">
            <v>314</v>
          </cell>
        </row>
        <row r="25">
          <cell r="H25">
            <v>861</v>
          </cell>
        </row>
      </sheetData>
      <sheetData sheetId="63" refreshError="1"/>
      <sheetData sheetId="64" refreshError="1"/>
      <sheetData sheetId="6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1 "/>
      <sheetName val="T2"/>
      <sheetName val="T3"/>
      <sheetName val="T4"/>
      <sheetName val="T5"/>
      <sheetName val="T6"/>
      <sheetName val="T7"/>
      <sheetName val="T8"/>
      <sheetName val="T9"/>
      <sheetName val="T10"/>
      <sheetName val="T11"/>
      <sheetName val="T12"/>
      <sheetName val="T13"/>
      <sheetName val="T14"/>
      <sheetName val="T15 "/>
      <sheetName val="T16"/>
      <sheetName val="T17"/>
      <sheetName val="T18 "/>
      <sheetName val="T19 "/>
      <sheetName val="T20"/>
      <sheetName val="T21"/>
      <sheetName val="T22"/>
      <sheetName val="T23"/>
      <sheetName val="T 24"/>
      <sheetName val="T 25"/>
      <sheetName val="T26"/>
      <sheetName val="T 27 "/>
      <sheetName val="T 28"/>
      <sheetName val="T 29"/>
      <sheetName val="T 30"/>
      <sheetName val="T 31"/>
      <sheetName val="T 32"/>
      <sheetName val="T 33"/>
      <sheetName val="T34"/>
      <sheetName val="T35"/>
      <sheetName val="T36"/>
      <sheetName val="T37"/>
      <sheetName val="T38"/>
      <sheetName val="T39"/>
      <sheetName val="T40"/>
      <sheetName val="T41"/>
      <sheetName val="T42"/>
      <sheetName val="T43"/>
      <sheetName val="T44"/>
      <sheetName val="T45"/>
      <sheetName val="T46"/>
      <sheetName val="T47"/>
      <sheetName val="T48"/>
      <sheetName val="T49"/>
      <sheetName val="T50"/>
      <sheetName val="Figures"/>
      <sheetName val="New Figures"/>
      <sheetName val="A1 2019 ESA Impacts"/>
      <sheetName val="A2 Treaty Trib ESA Impacts"/>
      <sheetName val="A3 RME ESA Impact"/>
      <sheetName val="A2 fall model"/>
      <sheetName val="Abundance data"/>
      <sheetName val="ESA Impact 2014"/>
      <sheetName val="ESA Impact 2013"/>
      <sheetName val=" ESA Impact 2012"/>
      <sheetName val="ESA Impact 2011"/>
      <sheetName val="ESA Impact 2010"/>
      <sheetName val="ESA Impact 2009"/>
      <sheetName val="ESA Impact 2008"/>
      <sheetName val="OR_ID Spring Detail"/>
      <sheetName val="AppendixA ESA 2017"/>
      <sheetName val="LGR Sthd"/>
      <sheetName val="BonSTh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9">
          <cell r="S19">
            <v>2088</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ue Dates"/>
      <sheetName val="New Figures"/>
      <sheetName val="T1Manip"/>
      <sheetName val="T1Static"/>
      <sheetName val="T2Manip"/>
      <sheetName val="T2Static"/>
      <sheetName val="T3Manip"/>
      <sheetName val="T3Static"/>
      <sheetName val="T4Manip"/>
      <sheetName val="T4Static"/>
      <sheetName val="T5Manip"/>
      <sheetName val="T5Static"/>
      <sheetName val="T5addnl"/>
      <sheetName val="T6_UCCHSpManip"/>
      <sheetName val="T6_UCCHSpStatic"/>
      <sheetName val="T7_SRManip"/>
      <sheetName val="T7_SRStatic"/>
      <sheetName val="T8UCCHSuManip"/>
      <sheetName val="T8UCCHSuStatic"/>
      <sheetName val="T9WWSManip"/>
      <sheetName val="T9WWSStatic"/>
      <sheetName val="T10"/>
      <sheetName val="T11a"/>
      <sheetName val="T11b"/>
      <sheetName val="T12SthdManip"/>
      <sheetName val="T12SthdStatic"/>
      <sheetName val="T13LWGSthdManip"/>
      <sheetName val="T13LWGSthdStatic"/>
      <sheetName val="T14Manip"/>
      <sheetName val="T14Static"/>
      <sheetName val="T15SOKManip"/>
      <sheetName val="T15SOKStatic"/>
      <sheetName val="T16"/>
      <sheetName val="T17"/>
      <sheetName val="T18"/>
      <sheetName val="T19"/>
      <sheetName val="T20"/>
      <sheetName val="T21CondManip"/>
      <sheetName val="T21CondStatic"/>
      <sheetName val="T22"/>
      <sheetName val="T23"/>
      <sheetName val="T24"/>
      <sheetName val="T25Manip"/>
      <sheetName val="T25Static"/>
      <sheetName val="T26Manip"/>
      <sheetName val="T26Static"/>
      <sheetName val="T27CompManip"/>
      <sheetName val="T27CompStatic"/>
      <sheetName val="T28Manip"/>
      <sheetName val="T28Static"/>
      <sheetName val="T27Static"/>
      <sheetName val="T29Manip"/>
      <sheetName val="T29Static"/>
      <sheetName val="T30Manip"/>
      <sheetName val="T30Static"/>
      <sheetName val="T31 SAFE Comp Manip"/>
      <sheetName val="T31 SAFE Comp Static"/>
      <sheetName val="T32_NULL"/>
      <sheetName val="T32"/>
      <sheetName val="T33"/>
      <sheetName val="T34"/>
      <sheetName val="T35"/>
      <sheetName val="T36"/>
      <sheetName val="Impact Sum for Mgmt expecta "/>
      <sheetName val="Sheet1"/>
      <sheetName val="Sheet7"/>
      <sheetName val="Sheet8"/>
    </sheetNames>
    <sheetDataSet>
      <sheetData sheetId="0"/>
      <sheetData sheetId="1"/>
      <sheetData sheetId="2">
        <row r="40">
          <cell r="H40">
            <v>242634.83499999999</v>
          </cell>
        </row>
        <row r="41">
          <cell r="G41">
            <v>84532</v>
          </cell>
        </row>
        <row r="42">
          <cell r="G42">
            <v>47225</v>
          </cell>
        </row>
        <row r="43">
          <cell r="G43">
            <v>50774</v>
          </cell>
        </row>
        <row r="44">
          <cell r="G44">
            <v>37441</v>
          </cell>
        </row>
        <row r="45">
          <cell r="G45">
            <v>27292</v>
          </cell>
        </row>
        <row r="46">
          <cell r="G46">
            <v>45965</v>
          </cell>
        </row>
        <row r="47">
          <cell r="G47">
            <v>41308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0">
          <cell r="N20">
            <v>2.6326366559485536E-3</v>
          </cell>
          <cell r="O20">
            <v>1.8764091407857887E-4</v>
          </cell>
        </row>
        <row r="21">
          <cell r="N21">
            <v>3.8325794104488746E-3</v>
          </cell>
          <cell r="O21">
            <v>4.5456701248515854E-4</v>
          </cell>
        </row>
        <row r="22">
          <cell r="N22">
            <v>3.0519683631976403E-3</v>
          </cell>
          <cell r="O22">
            <v>1.3229011577189855E-4</v>
          </cell>
        </row>
        <row r="23">
          <cell r="N23">
            <v>1.9587337222640847E-3</v>
          </cell>
          <cell r="O23">
            <v>4.3839837315988624E-5</v>
          </cell>
        </row>
        <row r="24">
          <cell r="N24">
            <v>1.7517462308328021E-3</v>
          </cell>
          <cell r="O24">
            <v>8.6098934566127897E-5</v>
          </cell>
        </row>
        <row r="25">
          <cell r="N25">
            <v>1.2012711864406781E-3</v>
          </cell>
          <cell r="O25">
            <v>1.7592169042116081E-4</v>
          </cell>
        </row>
        <row r="26">
          <cell r="N26">
            <v>2.4703718838454125E-3</v>
          </cell>
        </row>
        <row r="27">
          <cell r="N27">
            <v>2.0567524389246829E-3</v>
          </cell>
        </row>
        <row r="28">
          <cell r="N28">
            <v>1.9892210393922314E-3</v>
          </cell>
        </row>
        <row r="29">
          <cell r="N29">
            <v>1.2245731002108987E-3</v>
          </cell>
        </row>
      </sheetData>
      <sheetData sheetId="20"/>
      <sheetData sheetId="21"/>
      <sheetData sheetId="22">
        <row r="23">
          <cell r="F23">
            <v>511.45410895268668</v>
          </cell>
          <cell r="I23">
            <v>73.621910600422098</v>
          </cell>
          <cell r="L23">
            <v>37.348946998073004</v>
          </cell>
        </row>
        <row r="24">
          <cell r="F24">
            <v>248.12162162162164</v>
          </cell>
          <cell r="I24">
            <v>49.346903834975414</v>
          </cell>
          <cell r="L24">
            <v>32.734155397249488</v>
          </cell>
        </row>
        <row r="25">
          <cell r="F25">
            <v>135.90003843992116</v>
          </cell>
          <cell r="I25">
            <v>16.542658780102524</v>
          </cell>
          <cell r="L25">
            <v>7.4752154193341456</v>
          </cell>
        </row>
        <row r="26">
          <cell r="F26">
            <v>93.044882568594844</v>
          </cell>
          <cell r="I26">
            <v>15.749753737972647</v>
          </cell>
          <cell r="L26">
            <v>0.88292540334277803</v>
          </cell>
        </row>
        <row r="27">
          <cell r="F27">
            <v>143.26275872945894</v>
          </cell>
          <cell r="I27">
            <v>0.54823779685580343</v>
          </cell>
          <cell r="L27">
            <v>8.70451745619315</v>
          </cell>
        </row>
        <row r="28">
          <cell r="F28">
            <v>176.69229627091542</v>
          </cell>
          <cell r="I28">
            <v>5.798229894396826</v>
          </cell>
          <cell r="L28">
            <v>11.25936732764648</v>
          </cell>
        </row>
        <row r="29">
          <cell r="F29">
            <v>176.69504319429626</v>
          </cell>
          <cell r="I29">
            <v>4.5607573832457362</v>
          </cell>
          <cell r="L29">
            <v>6.7505636366169517</v>
          </cell>
        </row>
        <row r="30">
          <cell r="F30">
            <v>78.041269841269852</v>
          </cell>
          <cell r="I30">
            <v>0.12062980663637485</v>
          </cell>
          <cell r="L30">
            <v>2.1928525080680675E-2</v>
          </cell>
        </row>
        <row r="31">
          <cell r="F31">
            <v>140.24959544236893</v>
          </cell>
          <cell r="I31">
            <v>0.54405228610597722</v>
          </cell>
          <cell r="L31">
            <v>0</v>
          </cell>
        </row>
        <row r="32">
          <cell r="L32">
            <v>0</v>
          </cell>
        </row>
      </sheetData>
      <sheetData sheetId="23">
        <row r="23">
          <cell r="F23">
            <v>4.2521003383056071</v>
          </cell>
          <cell r="I23">
            <v>0.61207397788199058</v>
          </cell>
          <cell r="L23">
            <v>2.1198126778020927</v>
          </cell>
        </row>
        <row r="24">
          <cell r="F24">
            <v>2.3630630630630627</v>
          </cell>
          <cell r="I24">
            <v>0.46997051271405144</v>
          </cell>
        </row>
        <row r="25">
          <cell r="F25">
            <v>4.1665073907862844</v>
          </cell>
          <cell r="I25">
            <v>0.50717505941709706</v>
          </cell>
          <cell r="L25">
            <v>0.83930684115562448</v>
          </cell>
        </row>
        <row r="26">
          <cell r="F26">
            <v>0.54688584324251366</v>
          </cell>
          <cell r="I26">
            <v>9.2571639794409633E-2</v>
          </cell>
          <cell r="L26">
            <v>2.2475792234367867E-2</v>
          </cell>
        </row>
        <row r="27">
          <cell r="F27">
            <v>1.5067616902074856</v>
          </cell>
          <cell r="I27">
            <v>5.7660742872196E-3</v>
          </cell>
          <cell r="L27">
            <v>0.91237805934083127</v>
          </cell>
        </row>
        <row r="28">
          <cell r="F28">
            <v>3.3022826794586271</v>
          </cell>
          <cell r="I28">
            <v>0.10836575536053879</v>
          </cell>
          <cell r="L28">
            <v>0.33110435364474095</v>
          </cell>
        </row>
        <row r="29">
          <cell r="F29">
            <v>8.487747507552811</v>
          </cell>
          <cell r="I29">
            <v>0.21908117178833592</v>
          </cell>
          <cell r="L29">
            <v>1.2219602440603314</v>
          </cell>
        </row>
        <row r="30">
          <cell r="F30">
            <v>1.2587301587301649</v>
          </cell>
          <cell r="I30">
            <v>1.9456420425221844E-3</v>
          </cell>
          <cell r="L30">
            <v>1.8211202663194759E-3</v>
          </cell>
        </row>
        <row r="31">
          <cell r="F31">
            <v>4.384776602939839</v>
          </cell>
          <cell r="I31">
            <v>1.7009302075838676E-2</v>
          </cell>
          <cell r="L31">
            <v>0</v>
          </cell>
        </row>
      </sheetData>
      <sheetData sheetId="24">
        <row r="34">
          <cell r="D34">
            <v>109279</v>
          </cell>
          <cell r="F34">
            <v>13341</v>
          </cell>
        </row>
        <row r="35">
          <cell r="D35">
            <v>84896</v>
          </cell>
          <cell r="F35">
            <v>5842</v>
          </cell>
        </row>
        <row r="36">
          <cell r="D36">
            <v>29146</v>
          </cell>
          <cell r="F36">
            <v>3469</v>
          </cell>
        </row>
        <row r="37">
          <cell r="D37">
            <v>27909</v>
          </cell>
          <cell r="F37">
            <v>751</v>
          </cell>
        </row>
        <row r="38">
          <cell r="D38">
            <v>21725</v>
          </cell>
          <cell r="F38">
            <v>2382</v>
          </cell>
        </row>
        <row r="39">
          <cell r="D39">
            <v>30300</v>
          </cell>
          <cell r="F39">
            <v>899</v>
          </cell>
        </row>
        <row r="40">
          <cell r="D40">
            <v>28132</v>
          </cell>
          <cell r="F40">
            <v>5278</v>
          </cell>
        </row>
        <row r="41">
          <cell r="D41">
            <v>19071</v>
          </cell>
          <cell r="F41">
            <v>1690</v>
          </cell>
        </row>
        <row r="42">
          <cell r="D42">
            <v>25550</v>
          </cell>
          <cell r="F42">
            <v>4375</v>
          </cell>
        </row>
        <row r="43">
          <cell r="D43">
            <v>30593</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32">
          <cell r="D32">
            <v>262</v>
          </cell>
        </row>
      </sheetData>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ue Dates"/>
      <sheetName val="New Figures"/>
      <sheetName val="T1Manip"/>
      <sheetName val="T1Static"/>
      <sheetName val="T2Manip"/>
      <sheetName val="T2Static"/>
      <sheetName val="T3Manip"/>
      <sheetName val="T3Static"/>
      <sheetName val="T4Manip"/>
      <sheetName val="T4Static"/>
      <sheetName val="T5Manip"/>
      <sheetName val="T5Static"/>
      <sheetName val="T5addnl"/>
      <sheetName val="T6_UCCHSpManip"/>
      <sheetName val="T6_UCCHSpStatic"/>
      <sheetName val="T7_SRManip"/>
      <sheetName val="T7_SRStatic"/>
      <sheetName val="T8UCCHSuManip"/>
      <sheetName val="T8UCCHSuStatic"/>
      <sheetName val="T9WWSManip"/>
      <sheetName val="T9WWSStatic"/>
      <sheetName val="T10"/>
      <sheetName val="T11a"/>
      <sheetName val="T11b"/>
      <sheetName val="T12SthdManip"/>
      <sheetName val="T12SthdStatic"/>
      <sheetName val="T13LWGSthdManip"/>
      <sheetName val="T13LWGSthdStatic"/>
      <sheetName val="T14Manip"/>
      <sheetName val="T14Static"/>
      <sheetName val="T15SOKManip"/>
      <sheetName val="T15SOKStatic"/>
      <sheetName val="T16"/>
      <sheetName val="T17"/>
      <sheetName val="T18"/>
      <sheetName val="T19"/>
      <sheetName val="T20"/>
      <sheetName val="T21CondManip"/>
      <sheetName val="T21CondStatic"/>
      <sheetName val="T22"/>
      <sheetName val="T23"/>
      <sheetName val="T24"/>
      <sheetName val="T25Manip"/>
      <sheetName val="T25Static"/>
      <sheetName val="T26Manip"/>
      <sheetName val="T26Static"/>
      <sheetName val="T27CompManip"/>
      <sheetName val="T27CompStatic"/>
      <sheetName val="T28Manip"/>
      <sheetName val="T28Static"/>
      <sheetName val="T27Static"/>
      <sheetName val="T29Manip"/>
      <sheetName val="T29Static"/>
      <sheetName val="T30Manip"/>
      <sheetName val="T30Static"/>
      <sheetName val="T31 SAFE Comp Manip"/>
      <sheetName val="T31 SAFE Comp Static"/>
      <sheetName val="T32"/>
      <sheetName val="T33"/>
      <sheetName val="T34"/>
      <sheetName val="T35"/>
      <sheetName val="T36"/>
      <sheetName val="T37"/>
      <sheetName val="Impact Sum for Mgmt expectation"/>
      <sheetName val="Sheet7"/>
      <sheetName val="Sheet8"/>
    </sheetNames>
    <sheetDataSet>
      <sheetData sheetId="0"/>
      <sheetData sheetId="1"/>
      <sheetData sheetId="2">
        <row r="40">
          <cell r="G40">
            <v>49765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4">
          <cell r="L24">
            <v>1.3762833927357474</v>
          </cell>
        </row>
      </sheetData>
      <sheetData sheetId="24">
        <row r="35">
          <cell r="F35">
            <v>5842</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nweighted Comparison"/>
      <sheetName val="Weighted Average"/>
      <sheetName val="One Pager"/>
    </sheetNames>
    <sheetDataSet>
      <sheetData sheetId="0"/>
      <sheetData sheetId="1"/>
      <sheetData sheetId="2">
        <row r="10">
          <cell r="J10">
            <v>3.2416387535088139E-4</v>
          </cell>
        </row>
        <row r="11">
          <cell r="L11">
            <v>2.7717651859408056E-4</v>
          </cell>
        </row>
        <row r="13">
          <cell r="J13">
            <v>7.2732564638642612E-5</v>
          </cell>
        </row>
      </sheetData>
    </sheetDataSet>
  </externalBook>
</externalLink>
</file>

<file path=xl/persons/person.xml><?xml version="1.0" encoding="utf-8"?>
<personList xmlns="http://schemas.microsoft.com/office/spreadsheetml/2018/threadedcomments" xmlns:x="http://schemas.openxmlformats.org/spreadsheetml/2006/main">
  <person displayName="Daugherty, Quinten L (DFW)" id="{493D6019-1CC9-4891-8EEB-B67C42AE1876}" userId="S::Quinten.Daugherty@dfw.wa.gov::e06ffe15-e54c-4c83-a89f-2c8f1a7701f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B73" dT="2023-12-08T20:22:19.73" personId="{493D6019-1CC9-4891-8EEB-B67C42AE1876}" id="{233DD867-95A5-447F-8225-CFA43284FF47}">
    <text>53,000 is '24 TAC CR mouth forecast; pre- NOF</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8DA8-7C4C-4459-825E-8BFE80B7ED62}">
  <sheetPr>
    <tabColor rgb="FFFBEF97"/>
  </sheetPr>
  <dimension ref="A1:E41"/>
  <sheetViews>
    <sheetView zoomScale="85" zoomScaleNormal="85" workbookViewId="0">
      <selection activeCell="B19" sqref="B19"/>
    </sheetView>
  </sheetViews>
  <sheetFormatPr defaultColWidth="8.83203125" defaultRowHeight="15.75"/>
  <cols>
    <col min="1" max="1" width="8.83203125" style="295"/>
    <col min="2" max="2" width="26" style="295" bestFit="1" customWidth="1"/>
    <col min="3" max="3" width="8.83203125" style="295" customWidth="1"/>
    <col min="4" max="4" width="8.83203125" style="295"/>
    <col min="5" max="5" width="8.83203125" style="295" customWidth="1"/>
    <col min="6" max="16384" width="8.83203125" style="295"/>
  </cols>
  <sheetData>
    <row r="1" spans="1:4">
      <c r="A1" s="295" t="s">
        <v>0</v>
      </c>
      <c r="C1" s="2076">
        <v>45975</v>
      </c>
      <c r="D1" s="2076"/>
    </row>
    <row r="2" spans="1:4">
      <c r="A2" s="295" t="s">
        <v>1</v>
      </c>
      <c r="C2" s="2076">
        <v>46003</v>
      </c>
      <c r="D2" s="2076"/>
    </row>
    <row r="4" spans="1:4" ht="16.5" thickBot="1">
      <c r="A4" s="831" t="s">
        <v>2</v>
      </c>
      <c r="B4" s="831" t="s">
        <v>3</v>
      </c>
      <c r="C4" s="830" t="s">
        <v>4</v>
      </c>
      <c r="D4" s="830" t="s">
        <v>5</v>
      </c>
    </row>
    <row r="5" spans="1:4">
      <c r="A5" s="295">
        <v>1</v>
      </c>
      <c r="B5" s="295" t="s">
        <v>6</v>
      </c>
      <c r="C5" s="829"/>
      <c r="D5" s="829" t="s">
        <v>7</v>
      </c>
    </row>
    <row r="6" spans="1:4">
      <c r="A6" s="295">
        <v>2</v>
      </c>
      <c r="B6" s="295" t="s">
        <v>6</v>
      </c>
      <c r="C6" s="829"/>
      <c r="D6" s="829" t="s">
        <v>7</v>
      </c>
    </row>
    <row r="7" spans="1:4">
      <c r="A7" s="295">
        <v>3</v>
      </c>
      <c r="B7" s="295" t="s">
        <v>8</v>
      </c>
      <c r="C7" s="829"/>
      <c r="D7" s="829" t="s">
        <v>7</v>
      </c>
    </row>
    <row r="8" spans="1:4">
      <c r="A8" s="295">
        <v>4</v>
      </c>
      <c r="B8" s="295" t="s">
        <v>8</v>
      </c>
      <c r="C8" s="829" t="s">
        <v>7</v>
      </c>
      <c r="D8" s="829"/>
    </row>
    <row r="9" spans="1:4">
      <c r="A9" s="295">
        <v>5</v>
      </c>
      <c r="B9" s="295" t="s">
        <v>6</v>
      </c>
      <c r="C9" s="829"/>
      <c r="D9" s="829" t="s">
        <v>7</v>
      </c>
    </row>
    <row r="10" spans="1:4">
      <c r="A10" s="1463" t="s">
        <v>9</v>
      </c>
      <c r="B10" s="295" t="s">
        <v>6</v>
      </c>
      <c r="C10" s="829"/>
      <c r="D10" s="829" t="s">
        <v>7</v>
      </c>
    </row>
    <row r="11" spans="1:4">
      <c r="A11" s="295">
        <v>6</v>
      </c>
      <c r="B11" s="295" t="s">
        <v>6</v>
      </c>
      <c r="C11" s="829"/>
      <c r="D11" s="829" t="s">
        <v>7</v>
      </c>
    </row>
    <row r="12" spans="1:4">
      <c r="A12" s="295">
        <v>7</v>
      </c>
      <c r="B12" s="295" t="s">
        <v>6</v>
      </c>
      <c r="C12" s="829"/>
      <c r="D12" s="829" t="s">
        <v>7</v>
      </c>
    </row>
    <row r="13" spans="1:4">
      <c r="A13" s="295">
        <v>8</v>
      </c>
      <c r="B13" s="295" t="s">
        <v>10</v>
      </c>
      <c r="C13" s="829"/>
      <c r="D13" s="829" t="s">
        <v>7</v>
      </c>
    </row>
    <row r="14" spans="1:4">
      <c r="A14" s="295">
        <v>9</v>
      </c>
      <c r="B14" s="295" t="s">
        <v>6</v>
      </c>
      <c r="C14" s="829"/>
      <c r="D14" s="829" t="s">
        <v>7</v>
      </c>
    </row>
    <row r="15" spans="1:4">
      <c r="A15" s="295">
        <v>10</v>
      </c>
      <c r="B15" s="295" t="s">
        <v>6</v>
      </c>
      <c r="C15" s="829"/>
      <c r="D15" s="829" t="s">
        <v>7</v>
      </c>
    </row>
    <row r="16" spans="1:4">
      <c r="A16" s="1463" t="s">
        <v>11</v>
      </c>
      <c r="B16" s="295" t="s">
        <v>6</v>
      </c>
      <c r="C16" s="829"/>
      <c r="D16" s="829" t="s">
        <v>7</v>
      </c>
    </row>
    <row r="17" spans="1:5">
      <c r="A17" s="295">
        <v>12</v>
      </c>
      <c r="B17" s="295" t="s">
        <v>12</v>
      </c>
      <c r="C17" s="829"/>
      <c r="D17" s="829" t="s">
        <v>7</v>
      </c>
    </row>
    <row r="18" spans="1:5">
      <c r="A18" s="295">
        <v>13</v>
      </c>
      <c r="B18" s="295" t="s">
        <v>12</v>
      </c>
      <c r="C18" s="829"/>
      <c r="D18" s="829" t="s">
        <v>7</v>
      </c>
      <c r="E18" s="295" t="s">
        <v>13</v>
      </c>
    </row>
    <row r="19" spans="1:5">
      <c r="A19" s="295">
        <v>14</v>
      </c>
      <c r="B19" s="295" t="s">
        <v>14</v>
      </c>
      <c r="C19" s="829" t="s">
        <v>7</v>
      </c>
      <c r="D19" s="829"/>
    </row>
    <row r="20" spans="1:5">
      <c r="A20" s="295">
        <v>15</v>
      </c>
      <c r="B20" s="295" t="s">
        <v>12</v>
      </c>
      <c r="C20" s="829"/>
      <c r="D20" s="829" t="s">
        <v>7</v>
      </c>
    </row>
    <row r="21" spans="1:5">
      <c r="A21" s="295">
        <v>16</v>
      </c>
      <c r="B21" s="295" t="s">
        <v>15</v>
      </c>
      <c r="C21" s="829" t="s">
        <v>7</v>
      </c>
      <c r="D21" s="829"/>
    </row>
    <row r="22" spans="1:5">
      <c r="A22" s="295">
        <v>17</v>
      </c>
      <c r="B22" s="295" t="s">
        <v>16</v>
      </c>
      <c r="C22" s="829" t="s">
        <v>7</v>
      </c>
      <c r="D22" s="829"/>
      <c r="E22" s="295" t="s">
        <v>17</v>
      </c>
    </row>
    <row r="23" spans="1:5">
      <c r="A23" s="295">
        <v>18</v>
      </c>
      <c r="B23" s="295" t="s">
        <v>16</v>
      </c>
      <c r="C23" s="829" t="s">
        <v>7</v>
      </c>
      <c r="D23" s="829"/>
    </row>
    <row r="24" spans="1:5">
      <c r="A24" s="295">
        <v>19</v>
      </c>
      <c r="B24" s="295" t="s">
        <v>16</v>
      </c>
      <c r="D24" s="829" t="s">
        <v>7</v>
      </c>
    </row>
    <row r="25" spans="1:5">
      <c r="A25" s="295">
        <v>20</v>
      </c>
      <c r="B25" s="295" t="s">
        <v>16</v>
      </c>
      <c r="D25" s="829" t="s">
        <v>7</v>
      </c>
    </row>
    <row r="26" spans="1:5">
      <c r="A26" s="295">
        <v>21</v>
      </c>
      <c r="B26" s="295" t="s">
        <v>6</v>
      </c>
      <c r="C26" s="829"/>
      <c r="D26" s="829" t="s">
        <v>7</v>
      </c>
    </row>
    <row r="27" spans="1:5">
      <c r="A27" s="295">
        <v>22</v>
      </c>
      <c r="B27" s="295" t="s">
        <v>18</v>
      </c>
      <c r="C27" s="829" t="s">
        <v>7</v>
      </c>
      <c r="D27" s="829"/>
    </row>
    <row r="28" spans="1:5">
      <c r="A28" s="295">
        <v>23</v>
      </c>
      <c r="B28" s="295" t="s">
        <v>18</v>
      </c>
      <c r="C28" s="829" t="s">
        <v>7</v>
      </c>
      <c r="D28" s="829"/>
    </row>
    <row r="29" spans="1:5">
      <c r="A29" s="295">
        <v>24</v>
      </c>
      <c r="B29" s="295" t="s">
        <v>18</v>
      </c>
      <c r="C29" s="829" t="s">
        <v>7</v>
      </c>
      <c r="D29" s="829"/>
    </row>
    <row r="30" spans="1:5">
      <c r="A30" s="295">
        <v>25</v>
      </c>
      <c r="B30" s="295" t="s">
        <v>19</v>
      </c>
      <c r="C30" s="829" t="s">
        <v>7</v>
      </c>
      <c r="D30" s="829"/>
    </row>
    <row r="31" spans="1:5">
      <c r="A31" s="295">
        <v>26</v>
      </c>
      <c r="B31" s="295" t="s">
        <v>18</v>
      </c>
      <c r="C31" s="829" t="s">
        <v>7</v>
      </c>
      <c r="D31" s="829"/>
    </row>
    <row r="32" spans="1:5">
      <c r="A32" s="295">
        <v>27</v>
      </c>
      <c r="B32" s="295" t="s">
        <v>15</v>
      </c>
      <c r="C32" s="829"/>
      <c r="D32" s="829" t="s">
        <v>7</v>
      </c>
    </row>
    <row r="33" spans="1:5">
      <c r="A33" s="295">
        <v>28</v>
      </c>
      <c r="B33" s="295" t="s">
        <v>20</v>
      </c>
      <c r="C33" s="829" t="s">
        <v>7</v>
      </c>
      <c r="D33" s="829"/>
    </row>
    <row r="34" spans="1:5">
      <c r="A34" s="295">
        <v>29</v>
      </c>
      <c r="B34" s="295" t="s">
        <v>21</v>
      </c>
      <c r="C34" s="829" t="s">
        <v>7</v>
      </c>
      <c r="D34" s="829"/>
    </row>
    <row r="35" spans="1:5">
      <c r="A35" s="295">
        <v>30</v>
      </c>
      <c r="B35" s="295" t="s">
        <v>21</v>
      </c>
      <c r="C35" s="829"/>
      <c r="D35" s="829" t="s">
        <v>7</v>
      </c>
    </row>
    <row r="36" spans="1:5">
      <c r="A36" s="295">
        <v>31</v>
      </c>
      <c r="B36" s="295" t="s">
        <v>21</v>
      </c>
      <c r="C36" s="829"/>
      <c r="D36" s="829" t="s">
        <v>7</v>
      </c>
    </row>
    <row r="37" spans="1:5">
      <c r="A37" s="295">
        <v>32</v>
      </c>
      <c r="B37" s="295" t="s">
        <v>22</v>
      </c>
      <c r="C37" s="829" t="s">
        <v>7</v>
      </c>
      <c r="D37" s="829"/>
      <c r="E37" s="295" t="s">
        <v>23</v>
      </c>
    </row>
    <row r="38" spans="1:5">
      <c r="A38" s="295">
        <v>33</v>
      </c>
      <c r="B38" s="295" t="s">
        <v>22</v>
      </c>
      <c r="C38" s="829" t="s">
        <v>7</v>
      </c>
      <c r="D38" s="829"/>
    </row>
    <row r="39" spans="1:5">
      <c r="A39" s="295">
        <v>34</v>
      </c>
      <c r="B39" s="295" t="s">
        <v>22</v>
      </c>
      <c r="C39" s="829" t="s">
        <v>7</v>
      </c>
      <c r="D39" s="829"/>
    </row>
    <row r="40" spans="1:5">
      <c r="A40" s="295">
        <v>35</v>
      </c>
      <c r="B40" s="295" t="s">
        <v>22</v>
      </c>
      <c r="C40" s="829" t="s">
        <v>7</v>
      </c>
      <c r="D40" s="829"/>
    </row>
    <row r="41" spans="1:5">
      <c r="A41" s="295">
        <v>36</v>
      </c>
      <c r="B41" s="295" t="s">
        <v>22</v>
      </c>
      <c r="C41" s="829" t="s">
        <v>7</v>
      </c>
      <c r="D41" s="829"/>
      <c r="E41" s="84" t="s">
        <v>24</v>
      </c>
    </row>
  </sheetData>
  <mergeCells count="2">
    <mergeCell ref="C1:D1"/>
    <mergeCell ref="C2:D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9389A-4C01-40E9-B27C-E1775B3EC365}">
  <sheetPr>
    <tabColor rgb="FFFBEF97"/>
  </sheetPr>
  <dimension ref="A1"/>
  <sheetViews>
    <sheetView topLeftCell="A19" zoomScale="120" zoomScaleNormal="120" workbookViewId="0">
      <selection activeCell="J33" sqref="J33"/>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DB1-885D-4809-9BF8-8FF65E8BB585}">
  <sheetPr>
    <tabColor theme="9" tint="0.59999389629810485"/>
  </sheetPr>
  <dimension ref="A1:AJ75"/>
  <sheetViews>
    <sheetView zoomScale="90" zoomScaleNormal="90" workbookViewId="0">
      <pane xSplit="1" ySplit="2" topLeftCell="B32" activePane="bottomRight" state="frozen"/>
      <selection pane="bottomRight" activeCell="I51" sqref="I51"/>
      <selection pane="bottomLeft" activeCell="J33" sqref="J33"/>
      <selection pane="topRight" activeCell="J33" sqref="J33"/>
    </sheetView>
  </sheetViews>
  <sheetFormatPr defaultRowHeight="12.75"/>
  <cols>
    <col min="1" max="1" width="14" bestFit="1" customWidth="1"/>
    <col min="2" max="2" width="9.33203125" customWidth="1"/>
    <col min="3" max="6" width="10.83203125" bestFit="1" customWidth="1"/>
    <col min="7" max="7" width="10.6640625" customWidth="1"/>
    <col min="8" max="8" width="13.33203125" customWidth="1"/>
    <col min="9" max="9" width="13.1640625" bestFit="1" customWidth="1"/>
    <col min="10" max="15" width="4.33203125" customWidth="1"/>
    <col min="18" max="18" width="0" hidden="1" customWidth="1"/>
    <col min="19" max="19" width="3.33203125" hidden="1" customWidth="1"/>
    <col min="20" max="20" width="10.33203125" customWidth="1"/>
    <col min="22" max="22" width="4" customWidth="1"/>
    <col min="24" max="24" width="14.1640625" customWidth="1"/>
    <col min="25" max="25" width="10.33203125" bestFit="1" customWidth="1"/>
    <col min="28" max="28" width="14.1640625" customWidth="1"/>
    <col min="32" max="32" width="12.33203125" customWidth="1"/>
    <col min="33" max="33" width="13" customWidth="1"/>
  </cols>
  <sheetData>
    <row r="1" spans="1:36" ht="15" thickTop="1" thickBot="1">
      <c r="A1" s="1720" t="s">
        <v>25</v>
      </c>
      <c r="B1" s="1721"/>
      <c r="C1" s="1721"/>
      <c r="D1" s="1721"/>
      <c r="E1" s="1721"/>
      <c r="F1" s="1721"/>
      <c r="G1" s="1721"/>
      <c r="H1" s="1721"/>
      <c r="I1" s="1722"/>
      <c r="K1" s="1723" t="s">
        <v>26</v>
      </c>
      <c r="L1" s="1723"/>
      <c r="M1" s="1723"/>
      <c r="N1" s="1723"/>
      <c r="AA1" s="1627" t="s">
        <v>27</v>
      </c>
      <c r="AB1" s="134"/>
      <c r="AC1" s="135"/>
    </row>
    <row r="2" spans="1:36" ht="92.25" customHeight="1" thickTop="1" thickBot="1">
      <c r="A2" s="123" t="s">
        <v>28</v>
      </c>
      <c r="B2" s="1620" t="s">
        <v>29</v>
      </c>
      <c r="C2" s="1620" t="s">
        <v>30</v>
      </c>
      <c r="D2" s="1620" t="s">
        <v>31</v>
      </c>
      <c r="E2" s="1620" t="s">
        <v>32</v>
      </c>
      <c r="F2" s="1620" t="s">
        <v>33</v>
      </c>
      <c r="G2" s="1620" t="s">
        <v>34</v>
      </c>
      <c r="H2" s="1620" t="s">
        <v>35</v>
      </c>
      <c r="I2" s="122" t="s">
        <v>36</v>
      </c>
      <c r="K2" s="512" t="s">
        <v>37</v>
      </c>
      <c r="L2" s="512" t="s">
        <v>38</v>
      </c>
      <c r="M2" s="512" t="s">
        <v>39</v>
      </c>
      <c r="N2" s="512" t="s">
        <v>40</v>
      </c>
      <c r="P2" s="1618" t="s">
        <v>41</v>
      </c>
      <c r="Q2" s="1618" t="s">
        <v>42</v>
      </c>
      <c r="R2" s="1618" t="s">
        <v>42</v>
      </c>
      <c r="S2" s="1618" t="s">
        <v>42</v>
      </c>
      <c r="T2" s="1618" t="s">
        <v>43</v>
      </c>
      <c r="U2" s="1618" t="s">
        <v>44</v>
      </c>
      <c r="V2" s="1618"/>
      <c r="AA2" s="1641" t="s">
        <v>45</v>
      </c>
      <c r="AB2" s="1619" t="s">
        <v>46</v>
      </c>
      <c r="AC2" s="1628" t="s">
        <v>47</v>
      </c>
    </row>
    <row r="3" spans="1:36" ht="13.5" customHeight="1">
      <c r="A3" s="124"/>
      <c r="B3" s="1618"/>
      <c r="C3" s="1618"/>
      <c r="D3" s="1618"/>
      <c r="E3" s="1618"/>
      <c r="F3" s="1618"/>
      <c r="G3" s="1618"/>
      <c r="H3" s="1618"/>
      <c r="I3" s="511"/>
      <c r="P3" s="1618"/>
      <c r="Q3" s="1618"/>
      <c r="R3" s="1618"/>
      <c r="S3" s="1618"/>
      <c r="T3" s="1618"/>
      <c r="U3" s="1618"/>
      <c r="V3" s="1618"/>
      <c r="AA3" s="1641"/>
      <c r="AB3" s="1619"/>
      <c r="AC3" s="1628"/>
    </row>
    <row r="4" spans="1:36">
      <c r="A4" s="124">
        <v>1980</v>
      </c>
      <c r="B4" s="125" t="s">
        <v>48</v>
      </c>
      <c r="C4" s="1618">
        <v>23749</v>
      </c>
      <c r="D4" s="1618">
        <v>2477</v>
      </c>
      <c r="E4" s="1618">
        <v>2265</v>
      </c>
      <c r="F4" s="126">
        <v>1822</v>
      </c>
      <c r="G4" s="126">
        <v>42378</v>
      </c>
      <c r="H4" s="126">
        <v>57691.63791172221</v>
      </c>
      <c r="I4" s="805">
        <f t="shared" ref="I4:I50" si="0">SUM(B4:H4)</f>
        <v>130382.63791172221</v>
      </c>
      <c r="K4" t="s">
        <v>49</v>
      </c>
      <c r="L4" t="s">
        <v>49</v>
      </c>
      <c r="M4" t="s">
        <v>49</v>
      </c>
      <c r="P4" s="1618"/>
      <c r="Q4" s="1618"/>
      <c r="R4" s="1618"/>
      <c r="S4" s="1618"/>
      <c r="T4" s="1618"/>
      <c r="U4" s="1618"/>
      <c r="V4" s="1618"/>
      <c r="AA4" s="1621">
        <v>1980</v>
      </c>
      <c r="AB4" s="147">
        <f>VLOOKUP(AA4,$A$4:$I$48,8,FALSE)</f>
        <v>57691.63791172221</v>
      </c>
      <c r="AC4" s="148">
        <f>RANK(AB4,$AB$4:$AB$48,0)</f>
        <v>37</v>
      </c>
    </row>
    <row r="5" spans="1:36">
      <c r="A5" s="124">
        <v>1981</v>
      </c>
      <c r="B5" s="125" t="s">
        <v>48</v>
      </c>
      <c r="C5" s="1618">
        <v>27921</v>
      </c>
      <c r="D5" s="1618">
        <v>3265</v>
      </c>
      <c r="E5" s="1618">
        <v>2964</v>
      </c>
      <c r="F5" s="126">
        <v>2841</v>
      </c>
      <c r="G5" s="126">
        <v>54338</v>
      </c>
      <c r="H5" s="126">
        <v>67400.661533241757</v>
      </c>
      <c r="I5" s="805">
        <f t="shared" si="0"/>
        <v>158729.66153324174</v>
      </c>
      <c r="K5" t="s">
        <v>49</v>
      </c>
      <c r="L5" t="s">
        <v>49</v>
      </c>
      <c r="M5" t="s">
        <v>49</v>
      </c>
      <c r="P5" s="1618"/>
      <c r="Q5" s="1618"/>
      <c r="R5" s="1618"/>
      <c r="S5" s="1618"/>
      <c r="T5" s="1618"/>
      <c r="U5" s="1618"/>
      <c r="V5" s="1618"/>
      <c r="AA5" s="1621">
        <v>1981</v>
      </c>
      <c r="AB5" s="147">
        <f>VLOOKUP(AA5,$A$4:$I$48,8,FALSE)</f>
        <v>67400.661533241757</v>
      </c>
      <c r="AC5" s="148">
        <f>RANK(AB5,$AB$4:$AB$48,0)</f>
        <v>34</v>
      </c>
    </row>
    <row r="6" spans="1:36">
      <c r="A6" s="124">
        <v>1982</v>
      </c>
      <c r="B6" s="125" t="s">
        <v>48</v>
      </c>
      <c r="C6" s="1618">
        <v>19337</v>
      </c>
      <c r="D6" s="1618">
        <v>8420</v>
      </c>
      <c r="E6" s="1618">
        <v>3889</v>
      </c>
      <c r="F6" s="126">
        <v>1382</v>
      </c>
      <c r="G6" s="126">
        <v>75941</v>
      </c>
      <c r="H6" s="126">
        <v>77246.321318817834</v>
      </c>
      <c r="I6" s="805">
        <f t="shared" si="0"/>
        <v>186215.32131881785</v>
      </c>
      <c r="K6" t="s">
        <v>49</v>
      </c>
      <c r="L6" t="s">
        <v>49</v>
      </c>
      <c r="M6" t="s">
        <v>49</v>
      </c>
      <c r="P6" s="1618"/>
      <c r="Q6" s="1618"/>
      <c r="R6" s="1618"/>
      <c r="S6" s="1618"/>
      <c r="T6" s="1618"/>
      <c r="U6" s="1618"/>
      <c r="V6" s="1618"/>
      <c r="AA6" s="1621">
        <v>1982</v>
      </c>
      <c r="AB6" s="147">
        <f>VLOOKUP(AA6,$A$4:$I$48,8,FALSE)</f>
        <v>77246.321318817834</v>
      </c>
      <c r="AC6" s="148">
        <f>RANK(AB6,$AB$4:$AB$48,0)</f>
        <v>32</v>
      </c>
    </row>
    <row r="7" spans="1:36">
      <c r="A7" s="124">
        <v>1983</v>
      </c>
      <c r="B7" s="125" t="s">
        <v>48</v>
      </c>
      <c r="C7" s="1618">
        <v>21350</v>
      </c>
      <c r="D7" s="1618">
        <v>4857</v>
      </c>
      <c r="E7" s="1618">
        <v>3669</v>
      </c>
      <c r="F7" s="126">
        <v>1864</v>
      </c>
      <c r="G7" s="126">
        <v>59395</v>
      </c>
      <c r="H7" s="126">
        <v>62911.566168194164</v>
      </c>
      <c r="I7" s="805">
        <f t="shared" si="0"/>
        <v>154046.56616819417</v>
      </c>
      <c r="K7" t="s">
        <v>49</v>
      </c>
      <c r="L7" t="s">
        <v>49</v>
      </c>
      <c r="M7" t="s">
        <v>49</v>
      </c>
      <c r="P7" s="1618"/>
      <c r="Q7" s="1618"/>
      <c r="R7" s="1618"/>
      <c r="S7" s="1618"/>
      <c r="T7" s="1618"/>
      <c r="U7" s="1618"/>
      <c r="V7" s="1618"/>
      <c r="AA7" s="1621">
        <v>1983</v>
      </c>
      <c r="AB7" s="147">
        <f>VLOOKUP(AA7,$A$4:$I$48,8,FALSE)</f>
        <v>62911.566168194164</v>
      </c>
      <c r="AC7" s="148">
        <f>RANK(AB7,$AB$4:$AB$48,0)</f>
        <v>36</v>
      </c>
    </row>
    <row r="8" spans="1:36">
      <c r="A8" s="124">
        <v>1984</v>
      </c>
      <c r="B8" s="125" t="s">
        <v>48</v>
      </c>
      <c r="C8" s="1618">
        <v>21327</v>
      </c>
      <c r="D8" s="1618">
        <v>1807</v>
      </c>
      <c r="E8" s="1618">
        <v>6381</v>
      </c>
      <c r="F8" s="126">
        <v>2374</v>
      </c>
      <c r="G8" s="126">
        <v>82621</v>
      </c>
      <c r="H8" s="126">
        <v>52357.285239117911</v>
      </c>
      <c r="I8" s="805">
        <f t="shared" si="0"/>
        <v>166867.28523911792</v>
      </c>
      <c r="K8" t="s">
        <v>49</v>
      </c>
      <c r="L8" t="s">
        <v>49</v>
      </c>
      <c r="M8" t="s">
        <v>49</v>
      </c>
      <c r="P8" s="1618"/>
      <c r="Q8" s="1618"/>
      <c r="R8" s="1618"/>
      <c r="S8" s="1618"/>
      <c r="T8" s="1618"/>
      <c r="U8" s="1618"/>
      <c r="V8" s="1618"/>
      <c r="AA8" s="1621">
        <v>1984</v>
      </c>
      <c r="AB8" s="147">
        <f>VLOOKUP(AA8,$A$4:$I$48,8,FALSE)</f>
        <v>52357.285239117911</v>
      </c>
      <c r="AC8" s="148">
        <f>RANK(AB8,$AB$4:$AB$48,0)</f>
        <v>39</v>
      </c>
    </row>
    <row r="9" spans="1:36" ht="56.1" customHeight="1">
      <c r="A9" s="127" t="s">
        <v>50</v>
      </c>
      <c r="B9" s="125" t="s">
        <v>48</v>
      </c>
      <c r="C9" s="405">
        <f t="shared" ref="C9:H9" si="1">AVERAGE(C4:C8)</f>
        <v>22736.799999999999</v>
      </c>
      <c r="D9" s="405">
        <f t="shared" si="1"/>
        <v>4165.2</v>
      </c>
      <c r="E9" s="405">
        <f t="shared" si="1"/>
        <v>3833.6</v>
      </c>
      <c r="F9" s="128">
        <f t="shared" si="1"/>
        <v>2056.6</v>
      </c>
      <c r="G9" s="128">
        <f t="shared" si="1"/>
        <v>62934.6</v>
      </c>
      <c r="H9" s="128">
        <f t="shared" si="1"/>
        <v>63521.494434218774</v>
      </c>
      <c r="I9" s="129">
        <f t="shared" si="0"/>
        <v>159248.29443421875</v>
      </c>
      <c r="P9" s="130">
        <f>H9/I9</f>
        <v>0.39888335796561902</v>
      </c>
      <c r="Q9" s="131">
        <f>SUM(C9:F9)</f>
        <v>32792.199999999997</v>
      </c>
      <c r="R9" s="132">
        <f>(C9+D9+E9)/1000</f>
        <v>30.735599999999998</v>
      </c>
      <c r="S9" s="133"/>
      <c r="T9" s="131">
        <f>Q9</f>
        <v>32792.199999999997</v>
      </c>
      <c r="U9" s="131">
        <f>Q9-F9</f>
        <v>30735.599999999999</v>
      </c>
      <c r="W9" s="1627" t="s">
        <v>27</v>
      </c>
      <c r="X9" s="134"/>
      <c r="Y9" s="135"/>
      <c r="AD9" t="s">
        <v>28</v>
      </c>
      <c r="AF9" s="136" t="s">
        <v>51</v>
      </c>
      <c r="AG9" s="136" t="s">
        <v>52</v>
      </c>
      <c r="AJ9" s="47" t="s">
        <v>53</v>
      </c>
    </row>
    <row r="10" spans="1:36" ht="12.75" customHeight="1">
      <c r="A10" s="124">
        <v>1985</v>
      </c>
      <c r="B10" s="125" t="s">
        <v>48</v>
      </c>
      <c r="C10" s="804">
        <v>9911</v>
      </c>
      <c r="D10" s="804">
        <v>338</v>
      </c>
      <c r="E10" s="804">
        <v>4116</v>
      </c>
      <c r="F10" s="126">
        <v>1449</v>
      </c>
      <c r="G10" s="126">
        <v>65994</v>
      </c>
      <c r="H10" s="126">
        <v>92284</v>
      </c>
      <c r="I10" s="805">
        <f t="shared" si="0"/>
        <v>174092</v>
      </c>
      <c r="K10" t="s">
        <v>49</v>
      </c>
      <c r="L10" t="s">
        <v>49</v>
      </c>
      <c r="M10" t="s">
        <v>49</v>
      </c>
      <c r="P10" s="130"/>
      <c r="Q10" s="131"/>
      <c r="R10" s="132"/>
      <c r="S10" s="133"/>
      <c r="T10" s="131"/>
      <c r="U10" s="131"/>
      <c r="W10" s="1621"/>
      <c r="Y10" s="137"/>
      <c r="AA10" s="1621">
        <v>1985</v>
      </c>
      <c r="AB10" s="147">
        <f>VLOOKUP(AA10,$A$4:$I$48,8,FALSE)</f>
        <v>92284</v>
      </c>
      <c r="AC10" s="148">
        <f>RANK(AB10,$AB$4:$AB$48,0)</f>
        <v>27</v>
      </c>
      <c r="AF10" s="136"/>
      <c r="AG10" s="136"/>
    </row>
    <row r="11" spans="1:36" ht="12.75" customHeight="1">
      <c r="A11" s="124">
        <v>1986</v>
      </c>
      <c r="B11" s="125" t="s">
        <v>48</v>
      </c>
      <c r="C11" s="804">
        <v>7325</v>
      </c>
      <c r="D11" s="804">
        <v>1077</v>
      </c>
      <c r="E11" s="804">
        <v>8259</v>
      </c>
      <c r="F11" s="126">
        <v>1286</v>
      </c>
      <c r="G11" s="126">
        <v>70498</v>
      </c>
      <c r="H11" s="126">
        <v>128413.05047545682</v>
      </c>
      <c r="I11" s="805">
        <f t="shared" si="0"/>
        <v>216858.05047545681</v>
      </c>
      <c r="K11" t="s">
        <v>49</v>
      </c>
      <c r="L11" t="s">
        <v>49</v>
      </c>
      <c r="M11" t="s">
        <v>49</v>
      </c>
      <c r="P11" s="130"/>
      <c r="Q11" s="131"/>
      <c r="R11" s="132"/>
      <c r="S11" s="133"/>
      <c r="T11" s="131"/>
      <c r="U11" s="131"/>
      <c r="W11" s="1621"/>
      <c r="Y11" s="137"/>
      <c r="AA11" s="1621">
        <v>1986</v>
      </c>
      <c r="AB11" s="147">
        <f>VLOOKUP(AA11,$A$4:$I$48,8,FALSE)</f>
        <v>128413.05047545682</v>
      </c>
      <c r="AC11" s="148">
        <f>RANK(AB11,$AB$4:$AB$48,0)</f>
        <v>16</v>
      </c>
      <c r="AF11" s="136"/>
      <c r="AG11" s="136"/>
    </row>
    <row r="12" spans="1:36" ht="12.75" customHeight="1">
      <c r="A12" s="124">
        <v>1987</v>
      </c>
      <c r="B12" s="125" t="s">
        <v>48</v>
      </c>
      <c r="C12" s="804">
        <v>17983</v>
      </c>
      <c r="D12" s="804">
        <v>2421</v>
      </c>
      <c r="E12" s="804">
        <v>16547</v>
      </c>
      <c r="F12" s="126">
        <v>2353</v>
      </c>
      <c r="G12" s="126">
        <v>90917</v>
      </c>
      <c r="H12" s="126">
        <v>110771.71076093169</v>
      </c>
      <c r="I12" s="805">
        <f t="shared" si="0"/>
        <v>240992.71076093169</v>
      </c>
      <c r="K12" t="s">
        <v>49</v>
      </c>
      <c r="L12" t="s">
        <v>49</v>
      </c>
      <c r="M12" t="s">
        <v>49</v>
      </c>
      <c r="P12" s="130"/>
      <c r="Q12" s="131"/>
      <c r="R12" s="132"/>
      <c r="S12" s="133"/>
      <c r="T12" s="131"/>
      <c r="U12" s="131"/>
      <c r="W12" s="1621"/>
      <c r="Y12" s="137"/>
      <c r="AA12" s="1621">
        <v>1987</v>
      </c>
      <c r="AB12" s="147">
        <f>VLOOKUP(AA12,$A$4:$I$48,8,FALSE)</f>
        <v>110771.71076093169</v>
      </c>
      <c r="AC12" s="148">
        <f>RANK(AB12,$AB$4:$AB$48,0)</f>
        <v>22</v>
      </c>
      <c r="AF12" s="136"/>
      <c r="AG12" s="136"/>
    </row>
    <row r="13" spans="1:36" ht="12.75" customHeight="1">
      <c r="A13" s="124">
        <v>1988</v>
      </c>
      <c r="B13" s="125" t="s">
        <v>48</v>
      </c>
      <c r="C13" s="804">
        <v>12337</v>
      </c>
      <c r="D13" s="804">
        <v>1937</v>
      </c>
      <c r="E13" s="804">
        <v>10618</v>
      </c>
      <c r="F13" s="126">
        <v>2931</v>
      </c>
      <c r="G13" s="126">
        <v>115994</v>
      </c>
      <c r="H13" s="126">
        <v>106003.11528755868</v>
      </c>
      <c r="I13" s="805">
        <f t="shared" si="0"/>
        <v>249820.1152875587</v>
      </c>
      <c r="K13" t="s">
        <v>49</v>
      </c>
      <c r="L13" t="s">
        <v>49</v>
      </c>
      <c r="M13" t="s">
        <v>49</v>
      </c>
      <c r="P13" s="130"/>
      <c r="Q13" s="131"/>
      <c r="R13" s="132"/>
      <c r="S13" s="133"/>
      <c r="T13" s="131"/>
      <c r="U13" s="131"/>
      <c r="W13" s="1621"/>
      <c r="Y13" s="137"/>
      <c r="AA13" s="1621">
        <v>1988</v>
      </c>
      <c r="AB13" s="147">
        <f>VLOOKUP(AA13,$A$4:$I$48,8,FALSE)</f>
        <v>106003.11528755868</v>
      </c>
      <c r="AC13" s="148">
        <f>RANK(AB13,$AB$4:$AB$48,0)</f>
        <v>24</v>
      </c>
      <c r="AF13" s="136"/>
      <c r="AG13" s="136"/>
    </row>
    <row r="14" spans="1:36" ht="12.75" customHeight="1">
      <c r="A14" s="124">
        <v>1989</v>
      </c>
      <c r="B14" s="125" t="s">
        <v>48</v>
      </c>
      <c r="C14" s="804">
        <v>8324</v>
      </c>
      <c r="D14" s="804">
        <v>1986</v>
      </c>
      <c r="E14" s="804">
        <v>12019</v>
      </c>
      <c r="F14" s="126">
        <v>2004</v>
      </c>
      <c r="G14" s="126">
        <v>110613</v>
      </c>
      <c r="H14" s="126">
        <v>90031.088587530816</v>
      </c>
      <c r="I14" s="805">
        <f t="shared" si="0"/>
        <v>224977.08858753083</v>
      </c>
      <c r="K14" t="s">
        <v>49</v>
      </c>
      <c r="L14" t="s">
        <v>49</v>
      </c>
      <c r="M14" t="s">
        <v>49</v>
      </c>
      <c r="P14" s="130"/>
      <c r="Q14" s="131"/>
      <c r="R14" s="132"/>
      <c r="S14" s="133"/>
      <c r="T14" s="131"/>
      <c r="U14" s="131"/>
      <c r="W14" s="1621"/>
      <c r="Y14" s="137"/>
      <c r="AA14" s="1621">
        <v>1989</v>
      </c>
      <c r="AB14" s="147">
        <f>VLOOKUP(AA14,$A$4:$I$48,8,FALSE)</f>
        <v>90031.088587530816</v>
      </c>
      <c r="AC14" s="148">
        <f>RANK(AB14,$AB$4:$AB$48,0)</f>
        <v>29</v>
      </c>
      <c r="AF14" s="136"/>
      <c r="AG14" s="136"/>
    </row>
    <row r="15" spans="1:36">
      <c r="A15" s="138" t="s">
        <v>54</v>
      </c>
      <c r="B15" s="125" t="s">
        <v>48</v>
      </c>
      <c r="C15" s="406">
        <f t="shared" ref="C15:H15" si="2">AVERAGE(C10:C14)</f>
        <v>11176</v>
      </c>
      <c r="D15" s="406">
        <f t="shared" si="2"/>
        <v>1551.8</v>
      </c>
      <c r="E15" s="406">
        <f t="shared" si="2"/>
        <v>10311.799999999999</v>
      </c>
      <c r="F15" s="139">
        <f t="shared" si="2"/>
        <v>2004.6</v>
      </c>
      <c r="G15" s="139">
        <f t="shared" si="2"/>
        <v>90803.199999999997</v>
      </c>
      <c r="H15" s="139">
        <f t="shared" si="2"/>
        <v>105500.59302229559</v>
      </c>
      <c r="I15" s="140">
        <f t="shared" si="0"/>
        <v>221347.99302229559</v>
      </c>
      <c r="P15" s="130">
        <f t="shared" ref="P15:P50" si="3">H15/I15</f>
        <v>0.4766277370839721</v>
      </c>
      <c r="Q15" s="131">
        <f t="shared" ref="Q15:Q48" si="4">SUM(C15:F15)</f>
        <v>25044.199999999997</v>
      </c>
      <c r="R15" s="132">
        <f t="shared" ref="R15:R46" si="5">(C15+D15+E15)/1000</f>
        <v>23.0396</v>
      </c>
      <c r="S15" s="133"/>
      <c r="T15" s="131">
        <f>Q15</f>
        <v>25044.199999999997</v>
      </c>
      <c r="U15" s="131">
        <f t="shared" ref="U15:U50" si="6">Q15-F15</f>
        <v>23039.599999999999</v>
      </c>
      <c r="W15" s="1641" t="s">
        <v>45</v>
      </c>
      <c r="X15" s="1619" t="s">
        <v>46</v>
      </c>
      <c r="Y15" s="1628" t="s">
        <v>47</v>
      </c>
    </row>
    <row r="16" spans="1:36">
      <c r="A16" s="141">
        <v>1990</v>
      </c>
      <c r="B16" s="125" t="s">
        <v>48</v>
      </c>
      <c r="C16" s="126">
        <v>7555</v>
      </c>
      <c r="D16" s="142">
        <v>1987</v>
      </c>
      <c r="E16" s="126">
        <v>9299</v>
      </c>
      <c r="F16" s="126">
        <v>3527</v>
      </c>
      <c r="G16" s="126">
        <v>127900</v>
      </c>
      <c r="H16" s="143">
        <v>105715.28177347367</v>
      </c>
      <c r="I16" s="805">
        <f t="shared" si="0"/>
        <v>255983.28177347366</v>
      </c>
      <c r="K16" t="s">
        <v>49</v>
      </c>
      <c r="L16" t="s">
        <v>49</v>
      </c>
      <c r="M16" t="s">
        <v>49</v>
      </c>
      <c r="P16" s="144">
        <f t="shared" si="3"/>
        <v>0.41297728914587439</v>
      </c>
      <c r="Q16" s="59">
        <f t="shared" si="4"/>
        <v>22368</v>
      </c>
      <c r="R16" s="145">
        <f t="shared" si="5"/>
        <v>18.841000000000001</v>
      </c>
      <c r="T16" s="59">
        <f>Q16</f>
        <v>22368</v>
      </c>
      <c r="U16" s="59">
        <f t="shared" si="6"/>
        <v>18841</v>
      </c>
      <c r="W16" s="146">
        <v>1990</v>
      </c>
      <c r="X16" s="147">
        <f t="shared" ref="X16:X48" si="7">VLOOKUP(W16,$A$16:$I$48,9,FALSE)</f>
        <v>255983.28177347366</v>
      </c>
      <c r="Y16" s="148">
        <f t="shared" ref="Y16:Y48" si="8">RANK(X16,$X$16:$X$48,0)</f>
        <v>13</v>
      </c>
      <c r="AA16" s="146">
        <v>1990</v>
      </c>
      <c r="AB16" s="147">
        <f t="shared" ref="AB16:AB48" si="9">VLOOKUP(AA16,$A$4:$I$48,8,FALSE)</f>
        <v>105715.28177347367</v>
      </c>
      <c r="AC16" s="148">
        <f t="shared" ref="AC16:AC48" si="10">RANK(AB16,$AB$4:$AB$48,0)</f>
        <v>25</v>
      </c>
      <c r="AD16" s="47">
        <v>1990</v>
      </c>
      <c r="AE16" s="47"/>
      <c r="AF16" s="47"/>
      <c r="AG16" s="47"/>
    </row>
    <row r="17" spans="1:36">
      <c r="A17" s="141">
        <v>1991</v>
      </c>
      <c r="B17" s="125" t="s">
        <v>48</v>
      </c>
      <c r="C17" s="126">
        <v>8945</v>
      </c>
      <c r="D17" s="142">
        <v>2613</v>
      </c>
      <c r="E17" s="126">
        <v>8334</v>
      </c>
      <c r="F17" s="126">
        <v>3652</v>
      </c>
      <c r="G17" s="126">
        <v>105530</v>
      </c>
      <c r="H17" s="143">
        <v>64478.651819107508</v>
      </c>
      <c r="I17" s="805">
        <f t="shared" si="0"/>
        <v>193552.6518191075</v>
      </c>
      <c r="K17" t="s">
        <v>49</v>
      </c>
      <c r="L17" t="s">
        <v>49</v>
      </c>
      <c r="M17" t="s">
        <v>49</v>
      </c>
      <c r="P17" s="144">
        <f t="shared" si="3"/>
        <v>0.33313236069412605</v>
      </c>
      <c r="Q17" s="59">
        <f t="shared" si="4"/>
        <v>23544</v>
      </c>
      <c r="R17" s="145">
        <f t="shared" si="5"/>
        <v>19.891999999999999</v>
      </c>
      <c r="T17" s="59">
        <f>Q17</f>
        <v>23544</v>
      </c>
      <c r="U17" s="59">
        <f t="shared" si="6"/>
        <v>19892</v>
      </c>
      <c r="W17" s="146">
        <v>1991</v>
      </c>
      <c r="X17" s="147">
        <f t="shared" si="7"/>
        <v>193552.6518191075</v>
      </c>
      <c r="Y17" s="148">
        <f t="shared" si="8"/>
        <v>20</v>
      </c>
      <c r="AA17" s="146">
        <v>1991</v>
      </c>
      <c r="AB17" s="147">
        <f t="shared" si="9"/>
        <v>64478.651819107508</v>
      </c>
      <c r="AC17" s="148">
        <f t="shared" si="10"/>
        <v>35</v>
      </c>
      <c r="AD17" s="47">
        <v>1991</v>
      </c>
      <c r="AE17" s="47"/>
      <c r="AF17" s="47"/>
      <c r="AG17" s="47"/>
    </row>
    <row r="18" spans="1:36">
      <c r="A18" s="141">
        <v>1992</v>
      </c>
      <c r="B18" s="142">
        <f t="shared" ref="B18:B50" si="11">AF18+AG18</f>
        <v>211</v>
      </c>
      <c r="C18" s="126">
        <v>10353</v>
      </c>
      <c r="D18" s="142">
        <v>2430</v>
      </c>
      <c r="E18" s="126">
        <v>6025</v>
      </c>
      <c r="F18" s="126">
        <v>8551</v>
      </c>
      <c r="G18" s="126">
        <v>72197</v>
      </c>
      <c r="H18" s="143">
        <v>95691.438848632926</v>
      </c>
      <c r="I18" s="805">
        <f t="shared" si="0"/>
        <v>195458.43884863291</v>
      </c>
      <c r="K18" t="s">
        <v>49</v>
      </c>
      <c r="L18" t="s">
        <v>49</v>
      </c>
      <c r="M18" t="s">
        <v>49</v>
      </c>
      <c r="P18" s="144">
        <f t="shared" si="3"/>
        <v>0.48957435356750378</v>
      </c>
      <c r="Q18" s="59">
        <f t="shared" si="4"/>
        <v>27359</v>
      </c>
      <c r="R18" s="145">
        <f t="shared" si="5"/>
        <v>18.808</v>
      </c>
      <c r="T18" s="59">
        <f t="shared" ref="T18:T50" si="12">Q18+B18</f>
        <v>27570</v>
      </c>
      <c r="U18" s="59">
        <f t="shared" si="6"/>
        <v>18808</v>
      </c>
      <c r="W18" s="146">
        <v>1992</v>
      </c>
      <c r="X18" s="147">
        <f t="shared" si="7"/>
        <v>195458.43884863291</v>
      </c>
      <c r="Y18" s="148">
        <f t="shared" si="8"/>
        <v>19</v>
      </c>
      <c r="AA18" s="146">
        <v>1992</v>
      </c>
      <c r="AB18" s="147">
        <f t="shared" si="9"/>
        <v>95691.438848632926</v>
      </c>
      <c r="AC18" s="148">
        <f t="shared" si="10"/>
        <v>26</v>
      </c>
      <c r="AD18" s="47">
        <v>1992</v>
      </c>
      <c r="AE18" s="47"/>
      <c r="AF18" s="149">
        <f>'T31 SAFE Comp Manip'!B3</f>
        <v>211</v>
      </c>
      <c r="AG18" s="47"/>
    </row>
    <row r="19" spans="1:36">
      <c r="A19" s="141">
        <v>1993</v>
      </c>
      <c r="B19" s="142">
        <f t="shared" si="11"/>
        <v>629</v>
      </c>
      <c r="C19" s="126">
        <v>9458</v>
      </c>
      <c r="D19" s="142">
        <v>2874</v>
      </c>
      <c r="E19" s="126">
        <v>8195</v>
      </c>
      <c r="F19" s="126">
        <v>6369</v>
      </c>
      <c r="G19" s="126">
        <v>62778</v>
      </c>
      <c r="H19" s="143">
        <v>119962.96327890742</v>
      </c>
      <c r="I19" s="805">
        <f t="shared" si="0"/>
        <v>210265.96327890741</v>
      </c>
      <c r="K19" t="s">
        <v>49</v>
      </c>
      <c r="L19" t="s">
        <v>49</v>
      </c>
      <c r="M19" t="s">
        <v>49</v>
      </c>
      <c r="P19" s="144">
        <f t="shared" si="3"/>
        <v>0.57052963498320686</v>
      </c>
      <c r="Q19" s="59">
        <f t="shared" si="4"/>
        <v>26896</v>
      </c>
      <c r="R19" s="145">
        <f t="shared" si="5"/>
        <v>20.527000000000001</v>
      </c>
      <c r="T19" s="59">
        <f t="shared" si="12"/>
        <v>27525</v>
      </c>
      <c r="U19" s="59">
        <f t="shared" si="6"/>
        <v>20527</v>
      </c>
      <c r="W19" s="146">
        <v>1993</v>
      </c>
      <c r="X19" s="147">
        <f t="shared" si="7"/>
        <v>210265.96327890741</v>
      </c>
      <c r="Y19" s="148">
        <f t="shared" si="8"/>
        <v>18</v>
      </c>
      <c r="AA19" s="146">
        <v>1993</v>
      </c>
      <c r="AB19" s="147">
        <f t="shared" si="9"/>
        <v>119962.96327890742</v>
      </c>
      <c r="AC19" s="148">
        <f t="shared" si="10"/>
        <v>19</v>
      </c>
      <c r="AD19" s="47">
        <v>1993</v>
      </c>
      <c r="AE19" s="47"/>
      <c r="AF19" s="149">
        <f>'T31 SAFE Comp Manip'!B4</f>
        <v>629</v>
      </c>
      <c r="AG19" s="149">
        <f>T30Manip!H5</f>
        <v>0</v>
      </c>
    </row>
    <row r="20" spans="1:36">
      <c r="A20" s="141">
        <v>1994</v>
      </c>
      <c r="B20" s="142">
        <f t="shared" si="11"/>
        <v>126</v>
      </c>
      <c r="C20" s="126">
        <v>3149</v>
      </c>
      <c r="D20" s="142">
        <v>1265</v>
      </c>
      <c r="E20" s="126">
        <v>3068</v>
      </c>
      <c r="F20" s="126">
        <v>3498</v>
      </c>
      <c r="G20" s="126">
        <v>48804</v>
      </c>
      <c r="H20" s="143">
        <v>24095.182175867772</v>
      </c>
      <c r="I20" s="805">
        <f t="shared" si="0"/>
        <v>84005.182175867769</v>
      </c>
      <c r="K20" t="s">
        <v>49</v>
      </c>
      <c r="L20" t="s">
        <v>49</v>
      </c>
      <c r="M20" t="s">
        <v>49</v>
      </c>
      <c r="P20" s="144">
        <f t="shared" si="3"/>
        <v>0.28682971159354992</v>
      </c>
      <c r="Q20" s="59">
        <f t="shared" si="4"/>
        <v>10980</v>
      </c>
      <c r="R20" s="145">
        <f t="shared" si="5"/>
        <v>7.4820000000000002</v>
      </c>
      <c r="T20" s="59">
        <f t="shared" si="12"/>
        <v>11106</v>
      </c>
      <c r="U20" s="59">
        <f t="shared" si="6"/>
        <v>7482</v>
      </c>
      <c r="W20" s="146">
        <v>1994</v>
      </c>
      <c r="X20" s="147">
        <f t="shared" si="7"/>
        <v>84005.182175867769</v>
      </c>
      <c r="Y20" s="148">
        <f t="shared" si="8"/>
        <v>32</v>
      </c>
      <c r="AA20" s="146">
        <v>1994</v>
      </c>
      <c r="AB20" s="147">
        <f t="shared" si="9"/>
        <v>24095.182175867772</v>
      </c>
      <c r="AC20" s="148">
        <f t="shared" si="10"/>
        <v>42</v>
      </c>
      <c r="AD20" s="47">
        <v>1994</v>
      </c>
      <c r="AE20" s="47"/>
      <c r="AF20" s="149">
        <f>'T31 SAFE Comp Manip'!B5</f>
        <v>126</v>
      </c>
      <c r="AG20" s="149">
        <f>T30Manip!H6</f>
        <v>0</v>
      </c>
    </row>
    <row r="21" spans="1:36">
      <c r="A21" s="141">
        <v>1995</v>
      </c>
      <c r="B21" s="142">
        <f t="shared" si="11"/>
        <v>169</v>
      </c>
      <c r="C21" s="126">
        <v>2102</v>
      </c>
      <c r="D21" s="126">
        <v>697</v>
      </c>
      <c r="E21" s="126">
        <v>3726</v>
      </c>
      <c r="F21" s="142">
        <v>2529</v>
      </c>
      <c r="G21" s="142">
        <v>40854</v>
      </c>
      <c r="H21" s="143">
        <v>12792</v>
      </c>
      <c r="I21" s="805">
        <f t="shared" si="0"/>
        <v>62869</v>
      </c>
      <c r="K21" t="s">
        <v>49</v>
      </c>
      <c r="L21" t="s">
        <v>49</v>
      </c>
      <c r="M21" t="s">
        <v>49</v>
      </c>
      <c r="N21" t="s">
        <v>49</v>
      </c>
      <c r="P21" s="144">
        <f t="shared" si="3"/>
        <v>0.20347070893445099</v>
      </c>
      <c r="Q21" s="59">
        <f t="shared" si="4"/>
        <v>9054</v>
      </c>
      <c r="R21" s="145">
        <f t="shared" si="5"/>
        <v>6.5250000000000004</v>
      </c>
      <c r="T21" s="59">
        <f t="shared" si="12"/>
        <v>9223</v>
      </c>
      <c r="U21" s="59">
        <f t="shared" si="6"/>
        <v>6525</v>
      </c>
      <c r="W21" s="146">
        <v>1995</v>
      </c>
      <c r="X21" s="147">
        <f t="shared" si="7"/>
        <v>62869</v>
      </c>
      <c r="Y21" s="148">
        <f t="shared" si="8"/>
        <v>33</v>
      </c>
      <c r="AA21" s="146">
        <v>1995</v>
      </c>
      <c r="AB21" s="147">
        <f t="shared" si="9"/>
        <v>12792</v>
      </c>
      <c r="AC21" s="148">
        <f t="shared" si="10"/>
        <v>43</v>
      </c>
      <c r="AD21" s="47">
        <v>1995</v>
      </c>
      <c r="AE21" s="47"/>
      <c r="AF21" s="149">
        <f>'T31 SAFE Comp Manip'!B6</f>
        <v>169</v>
      </c>
      <c r="AG21" s="149">
        <f>T30Manip!H7</f>
        <v>0</v>
      </c>
    </row>
    <row r="22" spans="1:36">
      <c r="A22" s="141">
        <v>1996</v>
      </c>
      <c r="B22" s="142">
        <f t="shared" si="11"/>
        <v>689</v>
      </c>
      <c r="C22" s="126">
        <v>1787</v>
      </c>
      <c r="D22" s="126">
        <v>627</v>
      </c>
      <c r="E22" s="126">
        <v>1730</v>
      </c>
      <c r="F22" s="142">
        <v>3801</v>
      </c>
      <c r="G22" s="142">
        <v>33358</v>
      </c>
      <c r="H22" s="143">
        <v>55551</v>
      </c>
      <c r="I22" s="805">
        <f t="shared" si="0"/>
        <v>97543</v>
      </c>
      <c r="K22" t="s">
        <v>49</v>
      </c>
      <c r="L22" t="s">
        <v>49</v>
      </c>
      <c r="M22" t="s">
        <v>49</v>
      </c>
      <c r="N22" t="s">
        <v>49</v>
      </c>
      <c r="P22" s="144">
        <f t="shared" si="3"/>
        <v>0.56950268086895006</v>
      </c>
      <c r="Q22" s="59">
        <f t="shared" si="4"/>
        <v>7945</v>
      </c>
      <c r="R22" s="145">
        <f t="shared" si="5"/>
        <v>4.1440000000000001</v>
      </c>
      <c r="T22" s="59">
        <f t="shared" si="12"/>
        <v>8634</v>
      </c>
      <c r="U22" s="59">
        <f t="shared" si="6"/>
        <v>4144</v>
      </c>
      <c r="W22" s="146">
        <v>1996</v>
      </c>
      <c r="X22" s="147">
        <f t="shared" si="7"/>
        <v>97543</v>
      </c>
      <c r="Y22" s="148">
        <f t="shared" si="8"/>
        <v>30</v>
      </c>
      <c r="AA22" s="146">
        <v>1996</v>
      </c>
      <c r="AB22" s="147">
        <f t="shared" si="9"/>
        <v>55551</v>
      </c>
      <c r="AC22" s="148">
        <f t="shared" si="10"/>
        <v>38</v>
      </c>
      <c r="AD22" s="47">
        <v>1996</v>
      </c>
      <c r="AE22" s="47"/>
      <c r="AF22" s="149">
        <f>'T31 SAFE Comp Manip'!B7</f>
        <v>689</v>
      </c>
      <c r="AG22" s="149">
        <f>T30Manip!H8</f>
        <v>0</v>
      </c>
    </row>
    <row r="23" spans="1:36">
      <c r="A23" s="141">
        <v>1997</v>
      </c>
      <c r="B23" s="142">
        <f t="shared" si="11"/>
        <v>1583</v>
      </c>
      <c r="C23" s="126">
        <v>1877</v>
      </c>
      <c r="D23" s="126">
        <v>505</v>
      </c>
      <c r="E23" s="126">
        <v>2196</v>
      </c>
      <c r="F23" s="142">
        <v>4410</v>
      </c>
      <c r="G23" s="142">
        <v>34540</v>
      </c>
      <c r="H23" s="143">
        <v>124321</v>
      </c>
      <c r="I23" s="805">
        <f t="shared" si="0"/>
        <v>169432</v>
      </c>
      <c r="K23" t="s">
        <v>49</v>
      </c>
      <c r="L23" t="s">
        <v>49</v>
      </c>
      <c r="M23" t="s">
        <v>49</v>
      </c>
      <c r="N23" t="s">
        <v>49</v>
      </c>
      <c r="P23" s="144">
        <f t="shared" si="3"/>
        <v>0.73375159355965813</v>
      </c>
      <c r="Q23" s="59">
        <f t="shared" si="4"/>
        <v>8988</v>
      </c>
      <c r="R23" s="145">
        <f t="shared" si="5"/>
        <v>4.5780000000000003</v>
      </c>
      <c r="T23" s="59">
        <f t="shared" si="12"/>
        <v>10571</v>
      </c>
      <c r="U23" s="59">
        <f t="shared" si="6"/>
        <v>4578</v>
      </c>
      <c r="W23" s="146">
        <v>1997</v>
      </c>
      <c r="X23" s="147">
        <f t="shared" si="7"/>
        <v>169432</v>
      </c>
      <c r="Y23" s="148">
        <f t="shared" si="8"/>
        <v>24</v>
      </c>
      <c r="AA23" s="146">
        <v>1997</v>
      </c>
      <c r="AB23" s="147">
        <f t="shared" si="9"/>
        <v>124321</v>
      </c>
      <c r="AC23" s="148">
        <f t="shared" si="10"/>
        <v>17</v>
      </c>
      <c r="AD23" s="47">
        <v>1997</v>
      </c>
      <c r="AE23" s="47"/>
      <c r="AF23" s="149">
        <f>'T31 SAFE Comp Manip'!B8</f>
        <v>1583</v>
      </c>
      <c r="AG23" s="149">
        <f>T30Manip!H9</f>
        <v>0</v>
      </c>
    </row>
    <row r="24" spans="1:36">
      <c r="A24" s="141">
        <v>1998</v>
      </c>
      <c r="B24" s="142">
        <f t="shared" si="11"/>
        <v>2034</v>
      </c>
      <c r="C24" s="126">
        <v>1055</v>
      </c>
      <c r="D24" s="126">
        <v>407</v>
      </c>
      <c r="E24" s="126">
        <v>1611</v>
      </c>
      <c r="F24" s="142">
        <v>3577</v>
      </c>
      <c r="G24" s="142">
        <v>43497</v>
      </c>
      <c r="H24" s="143">
        <v>44308</v>
      </c>
      <c r="I24" s="805">
        <f t="shared" si="0"/>
        <v>96489</v>
      </c>
      <c r="K24" t="s">
        <v>49</v>
      </c>
      <c r="L24" t="s">
        <v>49</v>
      </c>
      <c r="M24" t="s">
        <v>49</v>
      </c>
      <c r="N24" t="s">
        <v>49</v>
      </c>
      <c r="P24" s="144">
        <f t="shared" si="3"/>
        <v>0.45920260340556956</v>
      </c>
      <c r="Q24" s="59">
        <f t="shared" si="4"/>
        <v>6650</v>
      </c>
      <c r="R24" s="145">
        <f t="shared" si="5"/>
        <v>3.073</v>
      </c>
      <c r="T24" s="59">
        <f t="shared" si="12"/>
        <v>8684</v>
      </c>
      <c r="U24" s="59">
        <f t="shared" si="6"/>
        <v>3073</v>
      </c>
      <c r="W24" s="146">
        <v>1998</v>
      </c>
      <c r="X24" s="147">
        <f t="shared" si="7"/>
        <v>96489</v>
      </c>
      <c r="Y24" s="148">
        <f t="shared" si="8"/>
        <v>31</v>
      </c>
      <c r="AA24" s="146">
        <v>1998</v>
      </c>
      <c r="AB24" s="147">
        <f t="shared" si="9"/>
        <v>44308</v>
      </c>
      <c r="AC24" s="148">
        <f t="shared" si="10"/>
        <v>40</v>
      </c>
      <c r="AD24" s="47">
        <v>1998</v>
      </c>
      <c r="AE24" s="47"/>
      <c r="AF24" s="149">
        <f>'T31 SAFE Comp Manip'!B9</f>
        <v>1979</v>
      </c>
      <c r="AG24" s="149">
        <f>T30Manip!H10</f>
        <v>55</v>
      </c>
    </row>
    <row r="25" spans="1:36">
      <c r="A25" s="141">
        <v>1999</v>
      </c>
      <c r="B25" s="142">
        <f t="shared" si="11"/>
        <v>1337</v>
      </c>
      <c r="C25" s="126">
        <v>2069</v>
      </c>
      <c r="D25" s="126">
        <v>977</v>
      </c>
      <c r="E25" s="126">
        <v>1753</v>
      </c>
      <c r="F25" s="142">
        <v>3585</v>
      </c>
      <c r="G25" s="142">
        <v>52584</v>
      </c>
      <c r="H25" s="143">
        <v>43067.18</v>
      </c>
      <c r="I25" s="805">
        <f t="shared" si="0"/>
        <v>105372.18</v>
      </c>
      <c r="K25" t="s">
        <v>49</v>
      </c>
      <c r="L25" t="s">
        <v>49</v>
      </c>
      <c r="M25" t="s">
        <v>49</v>
      </c>
      <c r="N25" t="s">
        <v>49</v>
      </c>
      <c r="P25" s="144">
        <f t="shared" si="3"/>
        <v>0.40871489989103388</v>
      </c>
      <c r="Q25" s="59">
        <f t="shared" si="4"/>
        <v>8384</v>
      </c>
      <c r="R25" s="145">
        <f t="shared" si="5"/>
        <v>4.7990000000000004</v>
      </c>
      <c r="T25" s="59">
        <f t="shared" si="12"/>
        <v>9721</v>
      </c>
      <c r="U25" s="59">
        <f t="shared" si="6"/>
        <v>4799</v>
      </c>
      <c r="W25" s="146">
        <v>1999</v>
      </c>
      <c r="X25" s="147">
        <f t="shared" si="7"/>
        <v>105372.18</v>
      </c>
      <c r="Y25" s="148">
        <f t="shared" si="8"/>
        <v>29</v>
      </c>
      <c r="AA25" s="146">
        <v>1999</v>
      </c>
      <c r="AB25" s="147">
        <f t="shared" si="9"/>
        <v>43067.18</v>
      </c>
      <c r="AC25" s="148">
        <f t="shared" si="10"/>
        <v>41</v>
      </c>
      <c r="AD25" s="47">
        <v>1999</v>
      </c>
      <c r="AE25" s="47"/>
      <c r="AF25" s="149">
        <f>'T31 SAFE Comp Manip'!B10</f>
        <v>1312</v>
      </c>
      <c r="AG25" s="149">
        <f>T30Manip!H11</f>
        <v>25</v>
      </c>
    </row>
    <row r="26" spans="1:36">
      <c r="A26" s="141">
        <v>2000</v>
      </c>
      <c r="B26" s="142">
        <f t="shared" si="11"/>
        <v>5585</v>
      </c>
      <c r="C26" s="126">
        <v>2199</v>
      </c>
      <c r="D26" s="126">
        <v>1418</v>
      </c>
      <c r="E26" s="126">
        <v>2515</v>
      </c>
      <c r="F26" s="142">
        <v>3641</v>
      </c>
      <c r="G26" s="142">
        <v>55740</v>
      </c>
      <c r="H26" s="143">
        <v>186715.2</v>
      </c>
      <c r="I26" s="805">
        <f t="shared" si="0"/>
        <v>257813.2</v>
      </c>
      <c r="K26" t="s">
        <v>49</v>
      </c>
      <c r="L26" t="s">
        <v>49</v>
      </c>
      <c r="M26" t="s">
        <v>49</v>
      </c>
      <c r="N26" t="s">
        <v>49</v>
      </c>
      <c r="P26" s="144">
        <f t="shared" si="3"/>
        <v>0.72422668816026492</v>
      </c>
      <c r="Q26" s="59">
        <f t="shared" si="4"/>
        <v>9773</v>
      </c>
      <c r="R26" s="145">
        <f t="shared" si="5"/>
        <v>6.1319999999999997</v>
      </c>
      <c r="T26" s="59">
        <f t="shared" si="12"/>
        <v>15358</v>
      </c>
      <c r="U26" s="59">
        <f t="shared" si="6"/>
        <v>6132</v>
      </c>
      <c r="V26" s="59"/>
      <c r="W26" s="146">
        <v>2000</v>
      </c>
      <c r="X26" s="147">
        <f t="shared" si="7"/>
        <v>257813.2</v>
      </c>
      <c r="Y26" s="148">
        <f t="shared" si="8"/>
        <v>12</v>
      </c>
      <c r="AA26" s="146">
        <v>2000</v>
      </c>
      <c r="AB26" s="147">
        <f t="shared" si="9"/>
        <v>186715.2</v>
      </c>
      <c r="AC26" s="148">
        <f t="shared" si="10"/>
        <v>11</v>
      </c>
      <c r="AD26" s="47">
        <v>2000</v>
      </c>
      <c r="AE26" s="47"/>
      <c r="AF26" s="149">
        <f>'T31 SAFE Comp Manip'!B11</f>
        <v>5330</v>
      </c>
      <c r="AG26" s="149">
        <f>T30Manip!H12</f>
        <v>255</v>
      </c>
    </row>
    <row r="27" spans="1:36">
      <c r="A27" s="141">
        <v>2001</v>
      </c>
      <c r="B27" s="142">
        <f t="shared" si="11"/>
        <v>8089</v>
      </c>
      <c r="C27" s="126">
        <v>1609</v>
      </c>
      <c r="D27" s="126">
        <v>1796</v>
      </c>
      <c r="E27" s="126">
        <v>3777</v>
      </c>
      <c r="F27" s="142">
        <v>5329</v>
      </c>
      <c r="G27" s="142">
        <v>78502</v>
      </c>
      <c r="H27" s="143">
        <v>439885</v>
      </c>
      <c r="I27" s="805">
        <f t="shared" si="0"/>
        <v>538987</v>
      </c>
      <c r="K27" t="s">
        <v>49</v>
      </c>
      <c r="L27" t="s">
        <v>49</v>
      </c>
      <c r="M27" t="s">
        <v>49</v>
      </c>
      <c r="N27" t="s">
        <v>49</v>
      </c>
      <c r="P27" s="144">
        <f t="shared" si="3"/>
        <v>0.8161328566366165</v>
      </c>
      <c r="Q27" s="59">
        <f t="shared" si="4"/>
        <v>12511</v>
      </c>
      <c r="R27" s="145">
        <f t="shared" si="5"/>
        <v>7.1820000000000004</v>
      </c>
      <c r="T27" s="59">
        <f t="shared" si="12"/>
        <v>20600</v>
      </c>
      <c r="U27" s="59">
        <f t="shared" si="6"/>
        <v>7182</v>
      </c>
      <c r="V27" s="59"/>
      <c r="W27" s="146">
        <v>2001</v>
      </c>
      <c r="X27" s="147">
        <f t="shared" si="7"/>
        <v>538987</v>
      </c>
      <c r="Y27" s="148">
        <f t="shared" si="8"/>
        <v>1</v>
      </c>
      <c r="AA27" s="146">
        <v>2001</v>
      </c>
      <c r="AB27" s="147">
        <f t="shared" si="9"/>
        <v>439885</v>
      </c>
      <c r="AC27" s="148">
        <f t="shared" si="10"/>
        <v>1</v>
      </c>
      <c r="AD27" s="47">
        <v>2001</v>
      </c>
      <c r="AE27" s="47"/>
      <c r="AF27" s="149">
        <f>'T31 SAFE Comp Manip'!B12</f>
        <v>7589</v>
      </c>
      <c r="AG27" s="149">
        <f>T30Manip!H13</f>
        <v>500</v>
      </c>
      <c r="AJ27" s="59">
        <f t="shared" ref="AJ27:AJ50" si="13">I27-H27-B27</f>
        <v>91013</v>
      </c>
    </row>
    <row r="28" spans="1:36">
      <c r="A28" s="141">
        <v>2002</v>
      </c>
      <c r="B28" s="142">
        <f t="shared" si="11"/>
        <v>8661</v>
      </c>
      <c r="C28" s="126">
        <v>5129</v>
      </c>
      <c r="D28" s="126">
        <v>2912</v>
      </c>
      <c r="E28" s="126">
        <v>3514</v>
      </c>
      <c r="F28" s="142">
        <v>5905</v>
      </c>
      <c r="G28" s="142">
        <v>120161</v>
      </c>
      <c r="H28" s="143">
        <v>335306</v>
      </c>
      <c r="I28" s="805">
        <f t="shared" si="0"/>
        <v>481588</v>
      </c>
      <c r="K28" t="s">
        <v>49</v>
      </c>
      <c r="L28" t="s">
        <v>49</v>
      </c>
      <c r="M28" t="s">
        <v>49</v>
      </c>
      <c r="N28" t="s">
        <v>49</v>
      </c>
      <c r="P28" s="144">
        <f t="shared" si="3"/>
        <v>0.69625073714461327</v>
      </c>
      <c r="Q28" s="59">
        <f t="shared" si="4"/>
        <v>17460</v>
      </c>
      <c r="R28" s="145">
        <f t="shared" si="5"/>
        <v>11.555</v>
      </c>
      <c r="T28" s="59">
        <f t="shared" si="12"/>
        <v>26121</v>
      </c>
      <c r="U28" s="59">
        <f t="shared" si="6"/>
        <v>11555</v>
      </c>
      <c r="V28" s="59"/>
      <c r="W28" s="146">
        <v>2002</v>
      </c>
      <c r="X28" s="147">
        <f t="shared" si="7"/>
        <v>481588</v>
      </c>
      <c r="Y28" s="148">
        <f t="shared" si="8"/>
        <v>2</v>
      </c>
      <c r="AA28" s="146">
        <v>2002</v>
      </c>
      <c r="AB28" s="147">
        <f t="shared" si="9"/>
        <v>335306</v>
      </c>
      <c r="AC28" s="148">
        <f t="shared" si="10"/>
        <v>2</v>
      </c>
      <c r="AD28" s="47">
        <v>2002</v>
      </c>
      <c r="AE28" s="47"/>
      <c r="AF28" s="149">
        <f>'T31 SAFE Comp Manip'!B13</f>
        <v>8109</v>
      </c>
      <c r="AG28" s="149">
        <f>T30Manip!H14</f>
        <v>552</v>
      </c>
      <c r="AJ28" s="59">
        <f t="shared" si="13"/>
        <v>137621</v>
      </c>
    </row>
    <row r="29" spans="1:36">
      <c r="A29" s="141">
        <v>2003</v>
      </c>
      <c r="B29" s="142">
        <f t="shared" si="11"/>
        <v>6827</v>
      </c>
      <c r="C29" s="126">
        <v>15954</v>
      </c>
      <c r="D29" s="126">
        <v>4556</v>
      </c>
      <c r="E29" s="126">
        <v>5040</v>
      </c>
      <c r="F29" s="142">
        <v>5472</v>
      </c>
      <c r="G29" s="142">
        <v>123355</v>
      </c>
      <c r="H29" s="143">
        <v>242605.3</v>
      </c>
      <c r="I29" s="805">
        <f t="shared" si="0"/>
        <v>403809.3</v>
      </c>
      <c r="K29" t="s">
        <v>49</v>
      </c>
      <c r="L29" t="s">
        <v>49</v>
      </c>
      <c r="M29" t="s">
        <v>49</v>
      </c>
      <c r="N29" t="s">
        <v>49</v>
      </c>
      <c r="P29" s="144">
        <f t="shared" si="3"/>
        <v>0.60079175987279143</v>
      </c>
      <c r="Q29" s="59">
        <f t="shared" si="4"/>
        <v>31022</v>
      </c>
      <c r="R29" s="145">
        <f t="shared" si="5"/>
        <v>25.55</v>
      </c>
      <c r="T29" s="59">
        <f t="shared" si="12"/>
        <v>37849</v>
      </c>
      <c r="U29" s="59">
        <f t="shared" si="6"/>
        <v>25550</v>
      </c>
      <c r="V29" s="59"/>
      <c r="W29" s="146">
        <v>2003</v>
      </c>
      <c r="X29" s="147">
        <f t="shared" si="7"/>
        <v>403809.3</v>
      </c>
      <c r="Y29" s="148">
        <f t="shared" si="8"/>
        <v>6</v>
      </c>
      <c r="AA29" s="146">
        <v>2003</v>
      </c>
      <c r="AB29" s="147">
        <f t="shared" si="9"/>
        <v>242605.3</v>
      </c>
      <c r="AC29" s="148">
        <f t="shared" si="10"/>
        <v>6</v>
      </c>
      <c r="AD29" s="47">
        <v>2003</v>
      </c>
      <c r="AE29" s="47"/>
      <c r="AF29" s="149">
        <f>'T31 SAFE Comp Manip'!B14</f>
        <v>5833</v>
      </c>
      <c r="AG29" s="149">
        <f>T30Manip!H15</f>
        <v>994</v>
      </c>
      <c r="AJ29" s="59">
        <f t="shared" si="13"/>
        <v>154377</v>
      </c>
    </row>
    <row r="30" spans="1:36">
      <c r="A30" s="141">
        <v>2004</v>
      </c>
      <c r="B30" s="142">
        <f t="shared" si="11"/>
        <v>10162</v>
      </c>
      <c r="C30" s="126">
        <v>16530</v>
      </c>
      <c r="D30" s="126">
        <v>4286</v>
      </c>
      <c r="E30" s="126">
        <v>7475</v>
      </c>
      <c r="F30" s="142">
        <v>12680</v>
      </c>
      <c r="G30" s="142">
        <v>143240</v>
      </c>
      <c r="H30" s="143">
        <v>221675.28</v>
      </c>
      <c r="I30" s="805">
        <f t="shared" si="0"/>
        <v>416048.28</v>
      </c>
      <c r="K30" t="s">
        <v>49</v>
      </c>
      <c r="L30" t="s">
        <v>49</v>
      </c>
      <c r="M30" t="s">
        <v>49</v>
      </c>
      <c r="N30" t="s">
        <v>49</v>
      </c>
      <c r="P30" s="144">
        <f t="shared" si="3"/>
        <v>0.53281143236549366</v>
      </c>
      <c r="Q30" s="59">
        <f t="shared" si="4"/>
        <v>40971</v>
      </c>
      <c r="R30" s="145">
        <f t="shared" si="5"/>
        <v>28.291</v>
      </c>
      <c r="T30" s="59">
        <f t="shared" si="12"/>
        <v>51133</v>
      </c>
      <c r="U30" s="59">
        <f t="shared" si="6"/>
        <v>28291</v>
      </c>
      <c r="V30" s="59"/>
      <c r="W30" s="146">
        <v>2004</v>
      </c>
      <c r="X30" s="147">
        <f t="shared" si="7"/>
        <v>416048.28</v>
      </c>
      <c r="Y30" s="148">
        <f t="shared" si="8"/>
        <v>5</v>
      </c>
      <c r="AA30" s="146">
        <v>2004</v>
      </c>
      <c r="AB30" s="147">
        <f t="shared" si="9"/>
        <v>221675.28</v>
      </c>
      <c r="AC30" s="148">
        <f t="shared" si="10"/>
        <v>7</v>
      </c>
      <c r="AD30" s="47">
        <v>2004</v>
      </c>
      <c r="AE30" s="47"/>
      <c r="AF30" s="149">
        <f>'T31 SAFE Comp Manip'!B15</f>
        <v>9081</v>
      </c>
      <c r="AG30" s="149">
        <f>T30Manip!H16</f>
        <v>1081</v>
      </c>
      <c r="AJ30" s="59">
        <f t="shared" si="13"/>
        <v>184211.00000000003</v>
      </c>
    </row>
    <row r="31" spans="1:36">
      <c r="A31" s="141">
        <v>2005</v>
      </c>
      <c r="B31" s="142">
        <f t="shared" si="11"/>
        <v>2366</v>
      </c>
      <c r="C31" s="142">
        <v>9398</v>
      </c>
      <c r="D31" s="142">
        <v>3367</v>
      </c>
      <c r="E31" s="126">
        <v>3512</v>
      </c>
      <c r="F31" s="142">
        <v>7665</v>
      </c>
      <c r="G31" s="142">
        <v>59471</v>
      </c>
      <c r="H31" s="142">
        <v>106909.655</v>
      </c>
      <c r="I31" s="805">
        <f t="shared" si="0"/>
        <v>192688.655</v>
      </c>
      <c r="K31" t="s">
        <v>49</v>
      </c>
      <c r="L31" t="s">
        <v>49</v>
      </c>
      <c r="M31" t="s">
        <v>49</v>
      </c>
      <c r="N31" t="s">
        <v>49</v>
      </c>
      <c r="P31" s="144">
        <f t="shared" si="3"/>
        <v>0.55483108229698319</v>
      </c>
      <c r="Q31" s="59">
        <f t="shared" si="4"/>
        <v>23942</v>
      </c>
      <c r="R31" s="145">
        <f t="shared" si="5"/>
        <v>16.277000000000001</v>
      </c>
      <c r="T31" s="59">
        <f t="shared" si="12"/>
        <v>26308</v>
      </c>
      <c r="U31" s="59">
        <f t="shared" si="6"/>
        <v>16277</v>
      </c>
      <c r="V31" s="59"/>
      <c r="W31" s="146">
        <v>2005</v>
      </c>
      <c r="X31" s="147">
        <f t="shared" si="7"/>
        <v>192688.655</v>
      </c>
      <c r="Y31" s="148">
        <f t="shared" si="8"/>
        <v>21</v>
      </c>
      <c r="AA31" s="146">
        <v>2005</v>
      </c>
      <c r="AB31" s="147">
        <f t="shared" si="9"/>
        <v>106909.655</v>
      </c>
      <c r="AC31" s="148">
        <f t="shared" si="10"/>
        <v>23</v>
      </c>
      <c r="AD31" s="47">
        <v>2005</v>
      </c>
      <c r="AE31" s="47"/>
      <c r="AF31" s="149">
        <f>'T31 SAFE Comp Manip'!B16</f>
        <v>2209</v>
      </c>
      <c r="AG31" s="149">
        <f>T30Manip!H17</f>
        <v>157</v>
      </c>
      <c r="AJ31" s="59">
        <f t="shared" si="13"/>
        <v>83413</v>
      </c>
    </row>
    <row r="32" spans="1:36">
      <c r="A32" s="141">
        <v>2006</v>
      </c>
      <c r="B32" s="142">
        <f t="shared" si="11"/>
        <v>6998</v>
      </c>
      <c r="C32" s="142">
        <v>7001</v>
      </c>
      <c r="D32" s="142">
        <v>5458</v>
      </c>
      <c r="E32" s="126">
        <v>7301</v>
      </c>
      <c r="F32" s="142">
        <v>4382</v>
      </c>
      <c r="G32" s="142">
        <v>59311</v>
      </c>
      <c r="H32" s="142">
        <v>132583.34</v>
      </c>
      <c r="I32" s="805">
        <f t="shared" si="0"/>
        <v>223034.34</v>
      </c>
      <c r="K32" t="s">
        <v>49</v>
      </c>
      <c r="L32" t="s">
        <v>49</v>
      </c>
      <c r="M32" t="s">
        <v>49</v>
      </c>
      <c r="N32" t="s">
        <v>49</v>
      </c>
      <c r="P32" s="144">
        <f t="shared" si="3"/>
        <v>0.5944525851938316</v>
      </c>
      <c r="Q32" s="59">
        <f t="shared" si="4"/>
        <v>24142</v>
      </c>
      <c r="R32" s="145">
        <f t="shared" si="5"/>
        <v>19.760000000000002</v>
      </c>
      <c r="T32" s="59">
        <f t="shared" si="12"/>
        <v>31140</v>
      </c>
      <c r="U32" s="59">
        <f t="shared" si="6"/>
        <v>19760</v>
      </c>
      <c r="V32" s="59"/>
      <c r="W32" s="146">
        <v>2006</v>
      </c>
      <c r="X32" s="147">
        <f t="shared" si="7"/>
        <v>223034.34</v>
      </c>
      <c r="Y32" s="148">
        <f t="shared" si="8"/>
        <v>14</v>
      </c>
      <c r="AA32" s="146">
        <v>2006</v>
      </c>
      <c r="AB32" s="147">
        <f t="shared" si="9"/>
        <v>132583.34</v>
      </c>
      <c r="AC32" s="148">
        <f t="shared" si="10"/>
        <v>15</v>
      </c>
      <c r="AD32" s="47">
        <v>2006</v>
      </c>
      <c r="AE32" s="47"/>
      <c r="AF32" s="149">
        <f>'T31 SAFE Comp Manip'!B17</f>
        <v>6662</v>
      </c>
      <c r="AG32" s="149">
        <f>T30Manip!H18</f>
        <v>336</v>
      </c>
      <c r="AJ32" s="59">
        <f t="shared" si="13"/>
        <v>83453</v>
      </c>
    </row>
    <row r="33" spans="1:36">
      <c r="A33" s="141">
        <v>2007</v>
      </c>
      <c r="B33" s="142">
        <f t="shared" si="11"/>
        <v>6356</v>
      </c>
      <c r="C33" s="142">
        <v>3961</v>
      </c>
      <c r="D33" s="142">
        <v>8030</v>
      </c>
      <c r="E33" s="126">
        <v>7596</v>
      </c>
      <c r="F33" s="142">
        <v>2841</v>
      </c>
      <c r="G33" s="142">
        <v>39963</v>
      </c>
      <c r="H33" s="142">
        <v>86246.565000000002</v>
      </c>
      <c r="I33" s="805">
        <f t="shared" si="0"/>
        <v>154993.565</v>
      </c>
      <c r="K33" t="s">
        <v>49</v>
      </c>
      <c r="L33" t="s">
        <v>49</v>
      </c>
      <c r="M33" t="s">
        <v>49</v>
      </c>
      <c r="N33" t="s">
        <v>49</v>
      </c>
      <c r="P33" s="144">
        <f t="shared" si="3"/>
        <v>0.5564525533689092</v>
      </c>
      <c r="Q33" s="59">
        <f t="shared" si="4"/>
        <v>22428</v>
      </c>
      <c r="R33" s="145">
        <f t="shared" si="5"/>
        <v>19.587</v>
      </c>
      <c r="T33" s="59">
        <f t="shared" si="12"/>
        <v>28784</v>
      </c>
      <c r="U33" s="59">
        <f t="shared" si="6"/>
        <v>19587</v>
      </c>
      <c r="V33" s="59"/>
      <c r="W33" s="146">
        <v>2007</v>
      </c>
      <c r="X33" s="147">
        <f t="shared" si="7"/>
        <v>154993.565</v>
      </c>
      <c r="Y33" s="148">
        <f t="shared" si="8"/>
        <v>25</v>
      </c>
      <c r="AA33" s="146">
        <v>2007</v>
      </c>
      <c r="AB33" s="147">
        <f t="shared" si="9"/>
        <v>86246.565000000002</v>
      </c>
      <c r="AC33" s="148">
        <f t="shared" si="10"/>
        <v>30</v>
      </c>
      <c r="AD33" s="47">
        <v>2007</v>
      </c>
      <c r="AE33" s="47"/>
      <c r="AF33" s="149">
        <f>'T31 SAFE Comp Manip'!B18</f>
        <v>6162</v>
      </c>
      <c r="AG33" s="149">
        <f>T30Manip!H19</f>
        <v>194</v>
      </c>
      <c r="AJ33" s="59">
        <f t="shared" si="13"/>
        <v>62391</v>
      </c>
    </row>
    <row r="34" spans="1:36">
      <c r="A34" s="141">
        <v>2008</v>
      </c>
      <c r="B34" s="142">
        <f t="shared" si="11"/>
        <v>3289</v>
      </c>
      <c r="C34" s="142">
        <v>2978</v>
      </c>
      <c r="D34" s="142">
        <v>1623</v>
      </c>
      <c r="E34" s="126">
        <v>2215</v>
      </c>
      <c r="F34" s="142">
        <v>5848</v>
      </c>
      <c r="G34" s="142">
        <v>26615</v>
      </c>
      <c r="H34" s="142">
        <v>178626.95699999999</v>
      </c>
      <c r="I34" s="805">
        <f t="shared" si="0"/>
        <v>221194.95699999999</v>
      </c>
      <c r="K34" t="s">
        <v>49</v>
      </c>
      <c r="L34" t="s">
        <v>49</v>
      </c>
      <c r="M34" t="s">
        <v>49</v>
      </c>
      <c r="N34" t="s">
        <v>49</v>
      </c>
      <c r="P34" s="144">
        <f t="shared" si="3"/>
        <v>0.80755438289671311</v>
      </c>
      <c r="Q34" s="59">
        <f t="shared" si="4"/>
        <v>12664</v>
      </c>
      <c r="R34" s="145">
        <f t="shared" si="5"/>
        <v>6.8159999999999998</v>
      </c>
      <c r="T34" s="59">
        <f t="shared" si="12"/>
        <v>15953</v>
      </c>
      <c r="U34" s="59">
        <f t="shared" si="6"/>
        <v>6816</v>
      </c>
      <c r="V34" s="59"/>
      <c r="W34" s="146">
        <v>2008</v>
      </c>
      <c r="X34" s="147">
        <f t="shared" si="7"/>
        <v>221194.95699999999</v>
      </c>
      <c r="Y34" s="148">
        <f t="shared" si="8"/>
        <v>15</v>
      </c>
      <c r="AA34" s="146">
        <v>2008</v>
      </c>
      <c r="AB34" s="147">
        <f t="shared" si="9"/>
        <v>178626.95699999999</v>
      </c>
      <c r="AC34" s="148">
        <f t="shared" si="10"/>
        <v>13</v>
      </c>
      <c r="AD34" s="47">
        <v>2008</v>
      </c>
      <c r="AE34" s="47"/>
      <c r="AF34" s="149">
        <f>'T31 SAFE Comp Manip'!B19</f>
        <v>3057</v>
      </c>
      <c r="AG34" s="149">
        <f>T30Manip!H20</f>
        <v>232</v>
      </c>
      <c r="AJ34" s="59">
        <f t="shared" si="13"/>
        <v>39279</v>
      </c>
    </row>
    <row r="35" spans="1:36">
      <c r="A35" s="141">
        <v>2009</v>
      </c>
      <c r="B35" s="142">
        <f t="shared" si="11"/>
        <v>2830</v>
      </c>
      <c r="C35" s="142">
        <v>6054</v>
      </c>
      <c r="D35" s="142">
        <v>404</v>
      </c>
      <c r="E35" s="126">
        <v>1493</v>
      </c>
      <c r="F35" s="142">
        <v>2347</v>
      </c>
      <c r="G35" s="142">
        <v>35432</v>
      </c>
      <c r="H35" s="142">
        <v>169295.899</v>
      </c>
      <c r="I35" s="805">
        <f t="shared" si="0"/>
        <v>217855.899</v>
      </c>
      <c r="K35" t="s">
        <v>49</v>
      </c>
      <c r="L35" t="s">
        <v>49</v>
      </c>
      <c r="M35" t="s">
        <v>49</v>
      </c>
      <c r="N35" t="s">
        <v>49</v>
      </c>
      <c r="P35" s="144">
        <f t="shared" si="3"/>
        <v>0.77710036669697891</v>
      </c>
      <c r="Q35" s="59">
        <f t="shared" si="4"/>
        <v>10298</v>
      </c>
      <c r="R35" s="145">
        <f t="shared" si="5"/>
        <v>7.9509999999999996</v>
      </c>
      <c r="T35" s="59">
        <f t="shared" si="12"/>
        <v>13128</v>
      </c>
      <c r="U35" s="59">
        <f t="shared" si="6"/>
        <v>7951</v>
      </c>
      <c r="V35" s="59"/>
      <c r="W35" s="146">
        <v>2009</v>
      </c>
      <c r="X35" s="147">
        <f t="shared" si="7"/>
        <v>217855.899</v>
      </c>
      <c r="Y35" s="148">
        <f t="shared" si="8"/>
        <v>16</v>
      </c>
      <c r="AA35" s="146">
        <v>2009</v>
      </c>
      <c r="AB35" s="147">
        <f t="shared" si="9"/>
        <v>169295.899</v>
      </c>
      <c r="AC35" s="148">
        <f t="shared" si="10"/>
        <v>14</v>
      </c>
      <c r="AD35" s="47">
        <v>2009</v>
      </c>
      <c r="AE35" s="47"/>
      <c r="AF35" s="149">
        <f>'T31 SAFE Comp Manip'!B20</f>
        <v>2556</v>
      </c>
      <c r="AG35" s="149">
        <f>T30Manip!H21</f>
        <v>274</v>
      </c>
      <c r="AJ35" s="59">
        <f t="shared" si="13"/>
        <v>45730</v>
      </c>
    </row>
    <row r="36" spans="1:36">
      <c r="A36" s="141">
        <v>2010</v>
      </c>
      <c r="B36" s="142">
        <f t="shared" si="11"/>
        <v>22955</v>
      </c>
      <c r="C36" s="142">
        <v>8615</v>
      </c>
      <c r="D36" s="142">
        <v>977</v>
      </c>
      <c r="E36" s="126">
        <v>2347</v>
      </c>
      <c r="F36" s="142">
        <v>7343</v>
      </c>
      <c r="G36" s="142">
        <v>107675</v>
      </c>
      <c r="H36" s="142">
        <v>315345.82300000003</v>
      </c>
      <c r="I36" s="805">
        <f t="shared" si="0"/>
        <v>465257.82300000003</v>
      </c>
      <c r="K36" t="s">
        <v>49</v>
      </c>
      <c r="L36" t="s">
        <v>49</v>
      </c>
      <c r="M36" t="s">
        <v>49</v>
      </c>
      <c r="N36" t="s">
        <v>49</v>
      </c>
      <c r="P36" s="144">
        <f t="shared" si="3"/>
        <v>0.67778725560515729</v>
      </c>
      <c r="Q36" s="59">
        <f t="shared" si="4"/>
        <v>19282</v>
      </c>
      <c r="R36" s="145">
        <f t="shared" si="5"/>
        <v>11.939</v>
      </c>
      <c r="T36" s="59">
        <f t="shared" si="12"/>
        <v>42237</v>
      </c>
      <c r="U36" s="59">
        <f t="shared" si="6"/>
        <v>11939</v>
      </c>
      <c r="V36" s="59"/>
      <c r="W36" s="146">
        <v>2010</v>
      </c>
      <c r="X36" s="147">
        <f t="shared" si="7"/>
        <v>465257.82300000003</v>
      </c>
      <c r="Y36" s="148">
        <f t="shared" si="8"/>
        <v>3</v>
      </c>
      <c r="AA36" s="146">
        <v>2010</v>
      </c>
      <c r="AB36" s="147">
        <f t="shared" si="9"/>
        <v>315345.82300000003</v>
      </c>
      <c r="AC36" s="148">
        <f t="shared" si="10"/>
        <v>3</v>
      </c>
      <c r="AD36" s="47">
        <v>2010</v>
      </c>
      <c r="AE36" s="47"/>
      <c r="AF36" s="149">
        <f>'T31 SAFE Comp Manip'!B21</f>
        <v>20956</v>
      </c>
      <c r="AG36" s="149">
        <f>T30Manip!H22</f>
        <v>1999</v>
      </c>
      <c r="AJ36" s="59">
        <f t="shared" si="13"/>
        <v>126957</v>
      </c>
    </row>
    <row r="37" spans="1:36">
      <c r="A37" s="141">
        <v>2011</v>
      </c>
      <c r="B37" s="142">
        <f t="shared" si="11"/>
        <v>8850</v>
      </c>
      <c r="C37" s="126">
        <v>5379</v>
      </c>
      <c r="D37" s="126">
        <v>776</v>
      </c>
      <c r="E37" s="126">
        <v>1310</v>
      </c>
      <c r="F37" s="142">
        <v>4702</v>
      </c>
      <c r="G37" s="142">
        <v>76549</v>
      </c>
      <c r="H37" s="142">
        <v>221157.83300000001</v>
      </c>
      <c r="I37" s="805">
        <f t="shared" si="0"/>
        <v>318723.83299999998</v>
      </c>
      <c r="K37" t="s">
        <v>49</v>
      </c>
      <c r="L37" t="s">
        <v>49</v>
      </c>
      <c r="M37" t="s">
        <v>49</v>
      </c>
      <c r="N37" t="s">
        <v>49</v>
      </c>
      <c r="P37" s="144">
        <f t="shared" si="3"/>
        <v>0.69388545851229155</v>
      </c>
      <c r="Q37" s="59">
        <f t="shared" si="4"/>
        <v>12167</v>
      </c>
      <c r="R37" s="145">
        <f t="shared" si="5"/>
        <v>7.4649999999999999</v>
      </c>
      <c r="T37" s="59">
        <f t="shared" si="12"/>
        <v>21017</v>
      </c>
      <c r="U37" s="59">
        <f t="shared" si="6"/>
        <v>7465</v>
      </c>
      <c r="V37" s="59"/>
      <c r="W37" s="146">
        <v>2011</v>
      </c>
      <c r="X37" s="147">
        <f t="shared" si="7"/>
        <v>318723.83299999998</v>
      </c>
      <c r="Y37" s="148">
        <f t="shared" si="8"/>
        <v>7</v>
      </c>
      <c r="AA37" s="146">
        <v>2011</v>
      </c>
      <c r="AB37" s="147">
        <f t="shared" si="9"/>
        <v>221157.83300000001</v>
      </c>
      <c r="AC37" s="148">
        <f t="shared" si="10"/>
        <v>8</v>
      </c>
      <c r="AD37" s="47">
        <v>2011</v>
      </c>
      <c r="AE37" s="47"/>
      <c r="AF37" s="149">
        <f>'T31 SAFE Comp Manip'!B22</f>
        <v>8432</v>
      </c>
      <c r="AG37" s="149">
        <f>T30Manip!H23</f>
        <v>418</v>
      </c>
      <c r="AJ37" s="59">
        <f t="shared" si="13"/>
        <v>88715.999999999971</v>
      </c>
    </row>
    <row r="38" spans="1:36">
      <c r="A38" s="141">
        <v>2012</v>
      </c>
      <c r="B38" s="142">
        <f t="shared" si="11"/>
        <v>8984</v>
      </c>
      <c r="C38" s="126">
        <v>12212.851999999999</v>
      </c>
      <c r="D38" s="126">
        <v>889.02629999999999</v>
      </c>
      <c r="E38" s="126">
        <v>1895</v>
      </c>
      <c r="F38" s="142">
        <v>4568</v>
      </c>
      <c r="G38" s="142">
        <v>63037</v>
      </c>
      <c r="H38" s="142">
        <v>203089.6</v>
      </c>
      <c r="I38" s="805">
        <f t="shared" si="0"/>
        <v>294675.47830000002</v>
      </c>
      <c r="K38" t="s">
        <v>49</v>
      </c>
      <c r="L38" t="s">
        <v>49</v>
      </c>
      <c r="M38" t="s">
        <v>49</v>
      </c>
      <c r="N38" t="s">
        <v>49</v>
      </c>
      <c r="P38" s="144">
        <f t="shared" si="3"/>
        <v>0.68919748996976515</v>
      </c>
      <c r="Q38" s="59">
        <f t="shared" si="4"/>
        <v>19564.878299999997</v>
      </c>
      <c r="R38" s="145">
        <f t="shared" si="5"/>
        <v>14.996878299999999</v>
      </c>
      <c r="T38" s="59">
        <f t="shared" si="12"/>
        <v>28548.878299999997</v>
      </c>
      <c r="U38" s="59">
        <f t="shared" si="6"/>
        <v>14996.878299999997</v>
      </c>
      <c r="V38" s="59"/>
      <c r="W38" s="146">
        <v>2012</v>
      </c>
      <c r="X38" s="147">
        <f t="shared" si="7"/>
        <v>294675.47830000002</v>
      </c>
      <c r="Y38" s="148">
        <f t="shared" si="8"/>
        <v>9</v>
      </c>
      <c r="AA38" s="146">
        <v>2012</v>
      </c>
      <c r="AB38" s="147">
        <f t="shared" si="9"/>
        <v>203089.6</v>
      </c>
      <c r="AC38" s="148">
        <f t="shared" si="10"/>
        <v>9</v>
      </c>
      <c r="AD38" s="47">
        <v>2012</v>
      </c>
      <c r="AE38" s="47"/>
      <c r="AF38" s="149">
        <f>'T31 SAFE Comp Manip'!B23</f>
        <v>8338</v>
      </c>
      <c r="AG38" s="149">
        <f>T30Manip!H24</f>
        <v>646</v>
      </c>
      <c r="AJ38" s="59">
        <f t="shared" si="13"/>
        <v>82601.878300000011</v>
      </c>
    </row>
    <row r="39" spans="1:36">
      <c r="A39" s="141">
        <v>2013</v>
      </c>
      <c r="B39" s="142">
        <f t="shared" si="11"/>
        <v>5383</v>
      </c>
      <c r="C39" s="142">
        <v>8132</v>
      </c>
      <c r="D39" s="142">
        <v>1014</v>
      </c>
      <c r="E39" s="142">
        <v>1570</v>
      </c>
      <c r="F39" s="142">
        <v>3723</v>
      </c>
      <c r="G39" s="142">
        <v>44880</v>
      </c>
      <c r="H39" s="142">
        <v>123136.14599999999</v>
      </c>
      <c r="I39" s="805">
        <f t="shared" si="0"/>
        <v>187838.14600000001</v>
      </c>
      <c r="K39" t="s">
        <v>49</v>
      </c>
      <c r="L39" t="s">
        <v>49</v>
      </c>
      <c r="M39" t="s">
        <v>49</v>
      </c>
      <c r="N39" t="s">
        <v>49</v>
      </c>
      <c r="P39" s="144">
        <f t="shared" si="3"/>
        <v>0.6555438744588119</v>
      </c>
      <c r="Q39" s="59">
        <f t="shared" si="4"/>
        <v>14439</v>
      </c>
      <c r="R39" s="145">
        <f t="shared" si="5"/>
        <v>10.715999999999999</v>
      </c>
      <c r="T39" s="59">
        <f t="shared" si="12"/>
        <v>19822</v>
      </c>
      <c r="U39" s="59">
        <f t="shared" si="6"/>
        <v>10716</v>
      </c>
      <c r="V39" s="59"/>
      <c r="W39" s="146">
        <v>2013</v>
      </c>
      <c r="X39" s="147">
        <f t="shared" si="7"/>
        <v>187838.14600000001</v>
      </c>
      <c r="Y39" s="148">
        <f t="shared" si="8"/>
        <v>22</v>
      </c>
      <c r="AA39" s="146">
        <v>2013</v>
      </c>
      <c r="AB39" s="147">
        <f t="shared" si="9"/>
        <v>123136.14599999999</v>
      </c>
      <c r="AC39" s="148">
        <f t="shared" si="10"/>
        <v>18</v>
      </c>
      <c r="AD39" s="47">
        <v>2013</v>
      </c>
      <c r="AE39" s="47"/>
      <c r="AF39" s="149">
        <f>'T31 SAFE Comp Manip'!B24</f>
        <v>5042</v>
      </c>
      <c r="AG39" s="149">
        <f>T30Manip!H25</f>
        <v>341</v>
      </c>
      <c r="AJ39" s="59">
        <f t="shared" si="13"/>
        <v>59319.000000000015</v>
      </c>
    </row>
    <row r="40" spans="1:36">
      <c r="A40" s="141">
        <v>2014</v>
      </c>
      <c r="B40" s="142">
        <f t="shared" si="11"/>
        <v>2479</v>
      </c>
      <c r="C40" s="142">
        <v>8294</v>
      </c>
      <c r="D40" s="142">
        <v>1013</v>
      </c>
      <c r="E40" s="142">
        <v>1396</v>
      </c>
      <c r="F40" s="142">
        <v>3106</v>
      </c>
      <c r="G40" s="142">
        <v>49765</v>
      </c>
      <c r="H40" s="142">
        <v>242634.83499999999</v>
      </c>
      <c r="I40" s="805">
        <f t="shared" si="0"/>
        <v>308687.83499999996</v>
      </c>
      <c r="K40" t="s">
        <v>49</v>
      </c>
      <c r="L40" t="s">
        <v>49</v>
      </c>
      <c r="M40" t="s">
        <v>49</v>
      </c>
      <c r="N40" t="s">
        <v>49</v>
      </c>
      <c r="P40" s="144">
        <f t="shared" si="3"/>
        <v>0.78602007429285325</v>
      </c>
      <c r="Q40" s="59">
        <f t="shared" si="4"/>
        <v>13809</v>
      </c>
      <c r="R40" s="145">
        <f t="shared" si="5"/>
        <v>10.702999999999999</v>
      </c>
      <c r="T40" s="59">
        <f t="shared" si="12"/>
        <v>16288</v>
      </c>
      <c r="U40" s="59">
        <f t="shared" si="6"/>
        <v>10703</v>
      </c>
      <c r="V40" s="59"/>
      <c r="W40" s="146">
        <v>2014</v>
      </c>
      <c r="X40" s="147">
        <f t="shared" si="7"/>
        <v>308687.83499999996</v>
      </c>
      <c r="Y40" s="148">
        <f t="shared" si="8"/>
        <v>8</v>
      </c>
      <c r="AA40" s="146">
        <v>2014</v>
      </c>
      <c r="AB40" s="147">
        <f t="shared" si="9"/>
        <v>242634.83499999999</v>
      </c>
      <c r="AC40" s="148">
        <f t="shared" si="10"/>
        <v>5</v>
      </c>
      <c r="AD40" s="47">
        <v>2014</v>
      </c>
      <c r="AE40" s="47"/>
      <c r="AF40" s="149">
        <f>'T31 SAFE Comp Manip'!B25</f>
        <v>2164</v>
      </c>
      <c r="AG40" s="149">
        <f>T30Manip!H26</f>
        <v>315</v>
      </c>
      <c r="AJ40" s="59">
        <f t="shared" si="13"/>
        <v>63573.999999999971</v>
      </c>
    </row>
    <row r="41" spans="1:36">
      <c r="A41" s="141">
        <v>2015</v>
      </c>
      <c r="B41" s="142">
        <f t="shared" si="11"/>
        <v>13562</v>
      </c>
      <c r="C41" s="142">
        <v>26504</v>
      </c>
      <c r="D41" s="142">
        <v>3237</v>
      </c>
      <c r="E41" s="142">
        <v>1108</v>
      </c>
      <c r="F41" s="142">
        <v>3474</v>
      </c>
      <c r="G41" s="142">
        <v>84532</v>
      </c>
      <c r="H41" s="142">
        <v>288993</v>
      </c>
      <c r="I41" s="805">
        <f t="shared" si="0"/>
        <v>421410</v>
      </c>
      <c r="K41" t="s">
        <v>49</v>
      </c>
      <c r="L41" t="s">
        <v>49</v>
      </c>
      <c r="M41" t="s">
        <v>49</v>
      </c>
      <c r="N41" t="s">
        <v>49</v>
      </c>
      <c r="P41" s="144">
        <f t="shared" si="3"/>
        <v>0.68577632234640851</v>
      </c>
      <c r="Q41" s="59">
        <f t="shared" si="4"/>
        <v>34323</v>
      </c>
      <c r="R41" s="145">
        <f t="shared" si="5"/>
        <v>30.849</v>
      </c>
      <c r="T41" s="59">
        <f t="shared" si="12"/>
        <v>47885</v>
      </c>
      <c r="U41" s="59">
        <f t="shared" si="6"/>
        <v>30849</v>
      </c>
      <c r="V41" s="59"/>
      <c r="W41" s="146">
        <v>2015</v>
      </c>
      <c r="X41" s="147">
        <f t="shared" si="7"/>
        <v>421410</v>
      </c>
      <c r="Y41" s="148">
        <f t="shared" si="8"/>
        <v>4</v>
      </c>
      <c r="AA41" s="146">
        <v>2015</v>
      </c>
      <c r="AB41" s="147">
        <f t="shared" si="9"/>
        <v>288993</v>
      </c>
      <c r="AC41" s="148">
        <f t="shared" si="10"/>
        <v>4</v>
      </c>
      <c r="AD41" s="47">
        <v>2015</v>
      </c>
      <c r="AE41" s="47"/>
      <c r="AF41" s="149">
        <f>'T31 SAFE Comp Manip'!B26</f>
        <v>11055</v>
      </c>
      <c r="AG41" s="149">
        <f>T30Manip!H27</f>
        <v>2507</v>
      </c>
      <c r="AJ41" s="59">
        <f t="shared" si="13"/>
        <v>118855</v>
      </c>
    </row>
    <row r="42" spans="1:36">
      <c r="A42" s="141">
        <v>2016</v>
      </c>
      <c r="B42" s="142">
        <f t="shared" si="11"/>
        <v>9920</v>
      </c>
      <c r="C42" s="142">
        <v>24554</v>
      </c>
      <c r="D42" s="142">
        <v>4462</v>
      </c>
      <c r="E42" s="142">
        <v>597</v>
      </c>
      <c r="F42" s="142">
        <v>3964</v>
      </c>
      <c r="G42" s="142">
        <v>47225</v>
      </c>
      <c r="H42" s="126">
        <v>187815.79699999999</v>
      </c>
      <c r="I42" s="805">
        <f t="shared" si="0"/>
        <v>278537.79700000002</v>
      </c>
      <c r="K42" t="s">
        <v>49</v>
      </c>
      <c r="L42" t="s">
        <v>49</v>
      </c>
      <c r="M42" t="s">
        <v>49</v>
      </c>
      <c r="N42" t="s">
        <v>49</v>
      </c>
      <c r="P42" s="144">
        <f t="shared" si="3"/>
        <v>0.6742919597371555</v>
      </c>
      <c r="Q42" s="59">
        <f t="shared" si="4"/>
        <v>33577</v>
      </c>
      <c r="R42" s="145">
        <f t="shared" si="5"/>
        <v>29.613</v>
      </c>
      <c r="T42" s="59">
        <f t="shared" si="12"/>
        <v>43497</v>
      </c>
      <c r="U42" s="59">
        <f t="shared" si="6"/>
        <v>29613</v>
      </c>
      <c r="V42" s="59"/>
      <c r="W42" s="146">
        <v>2016</v>
      </c>
      <c r="X42" s="147">
        <f t="shared" si="7"/>
        <v>278537.79700000002</v>
      </c>
      <c r="Y42" s="148">
        <f t="shared" si="8"/>
        <v>11</v>
      </c>
      <c r="AA42" s="146">
        <v>2016</v>
      </c>
      <c r="AB42" s="147">
        <f t="shared" si="9"/>
        <v>187815.79699999999</v>
      </c>
      <c r="AC42" s="148">
        <f t="shared" si="10"/>
        <v>10</v>
      </c>
      <c r="AD42" s="47">
        <v>2016</v>
      </c>
      <c r="AE42" s="47"/>
      <c r="AF42" s="149">
        <f>'T31 SAFE Comp Manip'!B27</f>
        <v>8605</v>
      </c>
      <c r="AG42" s="149">
        <f>T30Manip!H28</f>
        <v>1315</v>
      </c>
      <c r="AJ42" s="59">
        <f t="shared" si="13"/>
        <v>80802.000000000029</v>
      </c>
    </row>
    <row r="43" spans="1:36">
      <c r="A43" s="150">
        <v>2017</v>
      </c>
      <c r="B43" s="151">
        <f t="shared" si="11"/>
        <v>16818</v>
      </c>
      <c r="C43" s="142">
        <v>14618</v>
      </c>
      <c r="D43" s="142">
        <v>3505</v>
      </c>
      <c r="E43" s="142">
        <v>2338</v>
      </c>
      <c r="F43" s="142">
        <v>7607</v>
      </c>
      <c r="G43" s="142">
        <v>50774</v>
      </c>
      <c r="H43" s="126">
        <v>115820.9</v>
      </c>
      <c r="I43" s="805">
        <f t="shared" si="0"/>
        <v>211480.9</v>
      </c>
      <c r="K43" t="s">
        <v>49</v>
      </c>
      <c r="L43" t="s">
        <v>49</v>
      </c>
      <c r="M43" t="s">
        <v>49</v>
      </c>
      <c r="N43" t="s">
        <v>49</v>
      </c>
      <c r="P43" s="144">
        <f t="shared" si="3"/>
        <v>0.54766600671739152</v>
      </c>
      <c r="Q43" s="59">
        <f t="shared" si="4"/>
        <v>28068</v>
      </c>
      <c r="R43" s="145">
        <f t="shared" si="5"/>
        <v>20.460999999999999</v>
      </c>
      <c r="T43" s="59">
        <f t="shared" si="12"/>
        <v>44886</v>
      </c>
      <c r="U43" s="59">
        <f t="shared" si="6"/>
        <v>20461</v>
      </c>
      <c r="V43" s="59"/>
      <c r="W43" s="146">
        <v>2017</v>
      </c>
      <c r="X43" s="147">
        <f t="shared" si="7"/>
        <v>211480.9</v>
      </c>
      <c r="Y43" s="148">
        <f t="shared" si="8"/>
        <v>17</v>
      </c>
      <c r="AA43" s="146">
        <v>2017</v>
      </c>
      <c r="AB43" s="147">
        <f t="shared" si="9"/>
        <v>115820.9</v>
      </c>
      <c r="AC43" s="148">
        <f t="shared" si="10"/>
        <v>20</v>
      </c>
      <c r="AD43" s="47">
        <v>2017</v>
      </c>
      <c r="AE43" s="47"/>
      <c r="AF43" s="149">
        <f>'T31 SAFE Comp Manip'!B28</f>
        <v>15210</v>
      </c>
      <c r="AG43" s="149">
        <f>T30Manip!H29</f>
        <v>1608</v>
      </c>
      <c r="AJ43" s="59">
        <f t="shared" si="13"/>
        <v>78842</v>
      </c>
    </row>
    <row r="44" spans="1:36">
      <c r="A44" s="150">
        <v>2018</v>
      </c>
      <c r="B44" s="151">
        <f t="shared" si="11"/>
        <v>10569</v>
      </c>
      <c r="C44" s="142">
        <v>4196</v>
      </c>
      <c r="D44" s="142">
        <v>1889</v>
      </c>
      <c r="E44" s="142">
        <v>3138</v>
      </c>
      <c r="F44" s="142">
        <v>4838</v>
      </c>
      <c r="G44" s="142">
        <v>37441</v>
      </c>
      <c r="H44" s="126">
        <v>115080.8</v>
      </c>
      <c r="I44" s="805">
        <f t="shared" si="0"/>
        <v>177151.8</v>
      </c>
      <c r="K44" t="s">
        <v>49</v>
      </c>
      <c r="L44" t="s">
        <v>49</v>
      </c>
      <c r="M44" t="s">
        <v>49</v>
      </c>
      <c r="N44" t="s">
        <v>49</v>
      </c>
      <c r="P44" s="144">
        <f t="shared" si="3"/>
        <v>0.64961688224449321</v>
      </c>
      <c r="Q44" s="59">
        <f t="shared" si="4"/>
        <v>14061</v>
      </c>
      <c r="R44" s="145">
        <f t="shared" si="5"/>
        <v>9.2230000000000008</v>
      </c>
      <c r="T44" s="59">
        <f t="shared" si="12"/>
        <v>24630</v>
      </c>
      <c r="U44" s="59">
        <f t="shared" si="6"/>
        <v>9223</v>
      </c>
      <c r="V44" s="59"/>
      <c r="W44" s="146">
        <v>2018</v>
      </c>
      <c r="X44" s="147">
        <f t="shared" si="7"/>
        <v>177151.8</v>
      </c>
      <c r="Y44" s="148">
        <f t="shared" si="8"/>
        <v>23</v>
      </c>
      <c r="AA44" s="146">
        <v>2018</v>
      </c>
      <c r="AB44" s="147">
        <f t="shared" si="9"/>
        <v>115080.8</v>
      </c>
      <c r="AC44" s="148">
        <f t="shared" si="10"/>
        <v>21</v>
      </c>
      <c r="AD44" s="47">
        <v>2018</v>
      </c>
      <c r="AE44" s="47"/>
      <c r="AF44" s="149">
        <f>'T31 SAFE Comp Manip'!B29</f>
        <v>9887</v>
      </c>
      <c r="AG44" s="149">
        <f>T30Manip!H30</f>
        <v>682</v>
      </c>
      <c r="AJ44" s="59">
        <f t="shared" si="13"/>
        <v>51501.999999999985</v>
      </c>
    </row>
    <row r="45" spans="1:36">
      <c r="A45" s="150">
        <v>2019</v>
      </c>
      <c r="B45" s="151">
        <f t="shared" si="11"/>
        <v>2717</v>
      </c>
      <c r="C45" s="142">
        <v>1573</v>
      </c>
      <c r="D45" s="142">
        <v>809</v>
      </c>
      <c r="E45" s="142">
        <v>997</v>
      </c>
      <c r="F45" s="142">
        <v>3424</v>
      </c>
      <c r="G45" s="142">
        <v>27292</v>
      </c>
      <c r="H45" s="126">
        <v>73105</v>
      </c>
      <c r="I45" s="805">
        <f t="shared" si="0"/>
        <v>109917</v>
      </c>
      <c r="K45" t="s">
        <v>55</v>
      </c>
      <c r="L45" t="s">
        <v>55</v>
      </c>
      <c r="M45" t="s">
        <v>55</v>
      </c>
      <c r="N45" t="s">
        <v>55</v>
      </c>
      <c r="P45" s="144">
        <f t="shared" si="3"/>
        <v>0.6650927518036337</v>
      </c>
      <c r="Q45" s="59">
        <f t="shared" si="4"/>
        <v>6803</v>
      </c>
      <c r="R45" s="145">
        <f t="shared" si="5"/>
        <v>3.379</v>
      </c>
      <c r="T45" s="59">
        <f t="shared" si="12"/>
        <v>9520</v>
      </c>
      <c r="U45" s="59">
        <f t="shared" si="6"/>
        <v>3379</v>
      </c>
      <c r="V45" s="59"/>
      <c r="W45" s="146">
        <v>2019</v>
      </c>
      <c r="X45" s="147">
        <f t="shared" si="7"/>
        <v>109917</v>
      </c>
      <c r="Y45" s="452">
        <f t="shared" si="8"/>
        <v>28</v>
      </c>
      <c r="AA45" s="146">
        <v>2019</v>
      </c>
      <c r="AB45" s="147">
        <f t="shared" si="9"/>
        <v>73105</v>
      </c>
      <c r="AC45" s="148">
        <f t="shared" si="10"/>
        <v>33</v>
      </c>
      <c r="AD45" s="47">
        <v>2019</v>
      </c>
      <c r="AE45" s="47"/>
      <c r="AF45" s="149">
        <f>'T31 SAFE Comp Manip'!B30</f>
        <v>2548</v>
      </c>
      <c r="AG45" s="149">
        <f>T30Manip!H31</f>
        <v>169</v>
      </c>
      <c r="AJ45" s="59">
        <f t="shared" si="13"/>
        <v>34095</v>
      </c>
    </row>
    <row r="46" spans="1:36">
      <c r="A46" s="150">
        <v>2020</v>
      </c>
      <c r="B46" s="151">
        <f t="shared" si="11"/>
        <v>4003</v>
      </c>
      <c r="C46" s="142">
        <v>908</v>
      </c>
      <c r="D46" s="142">
        <v>1158</v>
      </c>
      <c r="E46" s="142">
        <v>1900</v>
      </c>
      <c r="F46" s="142">
        <v>7782</v>
      </c>
      <c r="G46" s="142">
        <v>45965</v>
      </c>
      <c r="H46" s="126">
        <v>81301</v>
      </c>
      <c r="I46" s="805">
        <f t="shared" si="0"/>
        <v>143017</v>
      </c>
      <c r="K46" t="s">
        <v>56</v>
      </c>
      <c r="L46" t="s">
        <v>56</v>
      </c>
      <c r="M46" t="s">
        <v>56</v>
      </c>
      <c r="N46" t="s">
        <v>56</v>
      </c>
      <c r="P46" s="144">
        <f t="shared" si="3"/>
        <v>0.56847088108406696</v>
      </c>
      <c r="Q46" s="59">
        <f t="shared" si="4"/>
        <v>11748</v>
      </c>
      <c r="R46" s="145">
        <f t="shared" si="5"/>
        <v>3.9660000000000002</v>
      </c>
      <c r="T46" s="59">
        <f t="shared" si="12"/>
        <v>15751</v>
      </c>
      <c r="U46" s="59">
        <f t="shared" si="6"/>
        <v>3966</v>
      </c>
      <c r="V46" s="59"/>
      <c r="W46" s="146">
        <v>2020</v>
      </c>
      <c r="X46" s="147">
        <f t="shared" si="7"/>
        <v>143017</v>
      </c>
      <c r="Y46" s="452">
        <f t="shared" si="8"/>
        <v>27</v>
      </c>
      <c r="AA46" s="146">
        <v>2020</v>
      </c>
      <c r="AB46" s="147">
        <f t="shared" si="9"/>
        <v>81301</v>
      </c>
      <c r="AC46" s="148">
        <f t="shared" si="10"/>
        <v>31</v>
      </c>
      <c r="AD46" s="47">
        <v>2020</v>
      </c>
      <c r="AE46" s="47"/>
      <c r="AF46" s="149">
        <f>'T31 SAFE Comp Manip'!B31</f>
        <v>3714</v>
      </c>
      <c r="AG46" s="149">
        <f>T30Manip!H32</f>
        <v>289</v>
      </c>
      <c r="AJ46" s="59">
        <f t="shared" si="13"/>
        <v>57713</v>
      </c>
    </row>
    <row r="47" spans="1:36">
      <c r="A47" s="150">
        <v>2021</v>
      </c>
      <c r="B47" s="151">
        <f t="shared" si="11"/>
        <v>6897</v>
      </c>
      <c r="C47" s="142">
        <v>3700</v>
      </c>
      <c r="D47" s="142">
        <v>1857</v>
      </c>
      <c r="E47" s="142">
        <v>2938</v>
      </c>
      <c r="F47" s="142">
        <v>5676</v>
      </c>
      <c r="G47" s="142">
        <v>41308</v>
      </c>
      <c r="H47" s="126">
        <v>91756</v>
      </c>
      <c r="I47" s="806">
        <f t="shared" si="0"/>
        <v>154132</v>
      </c>
      <c r="K47" t="s">
        <v>56</v>
      </c>
      <c r="L47" t="s">
        <v>56</v>
      </c>
      <c r="M47" t="s">
        <v>56</v>
      </c>
      <c r="N47" t="s">
        <v>56</v>
      </c>
      <c r="P47" s="144">
        <f t="shared" si="3"/>
        <v>0.59530791788856308</v>
      </c>
      <c r="Q47" s="59">
        <f t="shared" si="4"/>
        <v>14171</v>
      </c>
      <c r="R47" s="145"/>
      <c r="T47" s="59">
        <f t="shared" si="12"/>
        <v>21068</v>
      </c>
      <c r="U47" s="59">
        <f t="shared" si="6"/>
        <v>8495</v>
      </c>
      <c r="V47" s="59"/>
      <c r="W47" s="146">
        <v>2021</v>
      </c>
      <c r="X47" s="147">
        <f t="shared" si="7"/>
        <v>154132</v>
      </c>
      <c r="Y47" s="452">
        <f t="shared" si="8"/>
        <v>26</v>
      </c>
      <c r="AA47" s="146">
        <v>2021</v>
      </c>
      <c r="AB47" s="147">
        <f t="shared" si="9"/>
        <v>91756</v>
      </c>
      <c r="AC47" s="148">
        <f t="shared" si="10"/>
        <v>28</v>
      </c>
      <c r="AD47" s="47">
        <v>2021</v>
      </c>
      <c r="AE47" s="47"/>
      <c r="AF47" s="149">
        <f>'T31 SAFE Comp Manip'!B32</f>
        <v>5754</v>
      </c>
      <c r="AG47" s="149">
        <f>T30Manip!H33</f>
        <v>1143</v>
      </c>
      <c r="AJ47" s="59">
        <f t="shared" si="13"/>
        <v>55479</v>
      </c>
    </row>
    <row r="48" spans="1:36">
      <c r="A48" s="150">
        <v>2022</v>
      </c>
      <c r="B48" s="151">
        <f t="shared" si="11"/>
        <v>19186</v>
      </c>
      <c r="C48" s="142">
        <v>7146</v>
      </c>
      <c r="D48" s="142">
        <v>3148</v>
      </c>
      <c r="E48" s="142">
        <v>6875</v>
      </c>
      <c r="F48" s="142">
        <v>10289</v>
      </c>
      <c r="G48" s="142">
        <v>55391</v>
      </c>
      <c r="H48" s="126">
        <v>185379</v>
      </c>
      <c r="I48" s="806">
        <f t="shared" si="0"/>
        <v>287414</v>
      </c>
      <c r="K48" t="s">
        <v>56</v>
      </c>
      <c r="L48" t="s">
        <v>56</v>
      </c>
      <c r="M48" t="s">
        <v>56</v>
      </c>
      <c r="N48" t="s">
        <v>56</v>
      </c>
      <c r="P48" s="144">
        <f t="shared" si="3"/>
        <v>0.64498945771604721</v>
      </c>
      <c r="Q48" s="59">
        <f t="shared" si="4"/>
        <v>27458</v>
      </c>
      <c r="R48" s="145"/>
      <c r="T48" s="59">
        <f t="shared" si="12"/>
        <v>46644</v>
      </c>
      <c r="U48" s="59">
        <f t="shared" si="6"/>
        <v>17169</v>
      </c>
      <c r="V48" s="59"/>
      <c r="W48" s="146">
        <v>2022</v>
      </c>
      <c r="X48" s="147">
        <f t="shared" si="7"/>
        <v>287414</v>
      </c>
      <c r="Y48" s="452">
        <f t="shared" si="8"/>
        <v>10</v>
      </c>
      <c r="AA48" s="146">
        <v>2022</v>
      </c>
      <c r="AB48" s="147">
        <f t="shared" si="9"/>
        <v>185379</v>
      </c>
      <c r="AC48" s="148">
        <f t="shared" si="10"/>
        <v>12</v>
      </c>
      <c r="AD48" s="47">
        <v>2022</v>
      </c>
      <c r="AE48" s="47"/>
      <c r="AF48" s="149">
        <f>'T31 SAFE Comp Manip'!B33</f>
        <v>16726</v>
      </c>
      <c r="AG48" s="149">
        <f>T30Manip!H34</f>
        <v>2460</v>
      </c>
      <c r="AJ48" s="59">
        <f t="shared" si="13"/>
        <v>82849</v>
      </c>
    </row>
    <row r="49" spans="1:36">
      <c r="A49" s="150">
        <v>2023</v>
      </c>
      <c r="B49" s="1137">
        <f t="shared" si="11"/>
        <v>21468</v>
      </c>
      <c r="C49" s="388">
        <v>6217</v>
      </c>
      <c r="D49" s="388">
        <v>2525</v>
      </c>
      <c r="E49" s="388">
        <v>3191</v>
      </c>
      <c r="F49" s="388">
        <v>6312</v>
      </c>
      <c r="G49" s="388">
        <v>38373</v>
      </c>
      <c r="H49" s="389">
        <v>141179</v>
      </c>
      <c r="I49" s="806">
        <f t="shared" si="0"/>
        <v>219265</v>
      </c>
      <c r="P49" s="144">
        <f t="shared" si="3"/>
        <v>0.64387385127585339</v>
      </c>
      <c r="Q49" s="59">
        <f>SUM(C49:F49)</f>
        <v>18245</v>
      </c>
      <c r="R49" s="145"/>
      <c r="T49" s="59">
        <f t="shared" si="12"/>
        <v>39713</v>
      </c>
      <c r="U49" s="59">
        <f t="shared" si="6"/>
        <v>11933</v>
      </c>
      <c r="V49" s="59"/>
      <c r="W49" s="1136">
        <v>2023</v>
      </c>
      <c r="X49" s="147">
        <f>VLOOKUP(W49,$A$16:$I$49,9,FALSE)</f>
        <v>219265</v>
      </c>
      <c r="Y49" s="452">
        <f>RANK(X49,$X$16:$X$49,0)</f>
        <v>16</v>
      </c>
      <c r="AA49" s="1136">
        <v>2023</v>
      </c>
      <c r="AB49" s="147">
        <f>VLOOKUP(AA49,$A$4:$I$49,8,FALSE)</f>
        <v>141179</v>
      </c>
      <c r="AC49" s="452">
        <f>RANK(AB49,$AB$4:$AB$49,0)</f>
        <v>15</v>
      </c>
      <c r="AD49" s="47">
        <v>2023</v>
      </c>
      <c r="AE49" s="47"/>
      <c r="AF49" s="149">
        <f>'T31 SAFE Comp Manip'!B34</f>
        <v>18789</v>
      </c>
      <c r="AG49" s="149">
        <f>T30Manip!H35</f>
        <v>2679</v>
      </c>
      <c r="AJ49" s="59">
        <f t="shared" si="13"/>
        <v>56618</v>
      </c>
    </row>
    <row r="50" spans="1:36">
      <c r="A50" s="150">
        <v>2024</v>
      </c>
      <c r="B50" s="1137">
        <f t="shared" si="11"/>
        <v>17424</v>
      </c>
      <c r="C50" s="388">
        <v>8983</v>
      </c>
      <c r="D50" s="388">
        <v>2474</v>
      </c>
      <c r="E50" s="388">
        <v>2722</v>
      </c>
      <c r="F50" s="388">
        <v>5358</v>
      </c>
      <c r="G50" s="388">
        <v>37737</v>
      </c>
      <c r="H50" s="389">
        <v>116332</v>
      </c>
      <c r="I50" s="806">
        <f t="shared" si="0"/>
        <v>191030</v>
      </c>
      <c r="P50" s="144">
        <f t="shared" si="3"/>
        <v>0.60897241271004554</v>
      </c>
      <c r="Q50" s="59">
        <f>SUM(C50:F50)</f>
        <v>19537</v>
      </c>
      <c r="R50" s="145"/>
      <c r="T50" s="59">
        <f t="shared" si="12"/>
        <v>36961</v>
      </c>
      <c r="U50" s="59">
        <f t="shared" si="6"/>
        <v>14179</v>
      </c>
      <c r="V50" s="59"/>
      <c r="W50" s="1136">
        <v>2024</v>
      </c>
      <c r="X50" s="147">
        <f>VLOOKUP(W50,$A$16:$I$50,9,FALSE)</f>
        <v>191030</v>
      </c>
      <c r="Y50" s="452">
        <f>RANK(X50,$X$16:$X$50,0)</f>
        <v>23</v>
      </c>
      <c r="AA50" s="1136">
        <v>2024</v>
      </c>
      <c r="AB50" s="147">
        <f>VLOOKUP(AA50,$A$4:$I$50,8,FALSE)</f>
        <v>116332</v>
      </c>
      <c r="AC50" s="452">
        <f>RANK(AB50,$AB$4:$AB$50,0)</f>
        <v>21</v>
      </c>
      <c r="AD50" s="47">
        <v>2024</v>
      </c>
      <c r="AE50" s="47"/>
      <c r="AF50" s="149">
        <f>'T31 SAFE Comp Manip'!B35</f>
        <v>15953</v>
      </c>
      <c r="AG50" s="149">
        <f>T30Manip!H36</f>
        <v>1471</v>
      </c>
      <c r="AJ50" s="59">
        <f t="shared" si="13"/>
        <v>57274</v>
      </c>
    </row>
    <row r="51" spans="1:36">
      <c r="A51" s="150">
        <v>2025</v>
      </c>
      <c r="B51" s="1540">
        <v>19818</v>
      </c>
      <c r="C51" s="388">
        <v>11377</v>
      </c>
      <c r="D51" s="388">
        <v>4235</v>
      </c>
      <c r="E51" s="388">
        <v>4719</v>
      </c>
      <c r="F51" s="388">
        <v>7123</v>
      </c>
      <c r="G51" s="388">
        <v>50527</v>
      </c>
      <c r="H51" s="389">
        <v>154703</v>
      </c>
      <c r="I51" s="806">
        <f>SUM(B51:H51)</f>
        <v>252502</v>
      </c>
      <c r="P51" s="144">
        <f t="shared" ref="P51" si="14">H51/I51</f>
        <v>0.61268029560161896</v>
      </c>
      <c r="Q51" s="59">
        <f>SUM(C51:F51)</f>
        <v>27454</v>
      </c>
      <c r="R51" s="145"/>
      <c r="T51" s="59">
        <f t="shared" ref="T51" si="15">Q51+B51</f>
        <v>47272</v>
      </c>
      <c r="U51" s="59">
        <f t="shared" ref="U51" si="16">Q51-F51</f>
        <v>20331</v>
      </c>
      <c r="V51" s="59"/>
      <c r="W51" s="1136">
        <v>2025</v>
      </c>
      <c r="X51" s="147">
        <f>VLOOKUP(W51,$A$16:$I$51,9,FALSE)</f>
        <v>252502</v>
      </c>
      <c r="Y51" s="452">
        <f>RANK(X51,$X$16:$X$51,0)</f>
        <v>14</v>
      </c>
      <c r="AA51" s="1136">
        <v>2025</v>
      </c>
      <c r="AB51" s="147">
        <f>VLOOKUP(AA51,$A$4:$I$51,8,FALSE)</f>
        <v>154703</v>
      </c>
      <c r="AC51" s="452">
        <f>RANK(AB51,$AB$4:$AB$51,0)</f>
        <v>15</v>
      </c>
      <c r="AD51" s="47">
        <v>2025</v>
      </c>
      <c r="AE51" s="47"/>
      <c r="AF51" s="149">
        <f>'T31 SAFE Comp Manip'!B36</f>
        <v>17726</v>
      </c>
      <c r="AG51" s="149">
        <f>T30Manip!H37</f>
        <v>2055</v>
      </c>
      <c r="AJ51" s="59">
        <f t="shared" ref="AJ51" si="17">I51-H51-B51</f>
        <v>77981</v>
      </c>
    </row>
    <row r="52" spans="1:36" ht="15.75">
      <c r="A52" s="152"/>
      <c r="B52" s="153"/>
      <c r="C52" s="153"/>
      <c r="D52" s="153"/>
      <c r="E52" s="153"/>
      <c r="F52" s="153"/>
      <c r="G52" s="154"/>
      <c r="H52" s="153"/>
      <c r="I52" s="807"/>
      <c r="K52" s="157"/>
      <c r="L52" s="157"/>
      <c r="M52" s="157"/>
      <c r="N52" s="157"/>
      <c r="P52" s="144"/>
      <c r="AB52" s="59"/>
      <c r="AC52" s="452"/>
    </row>
    <row r="53" spans="1:36">
      <c r="A53" s="155" t="s">
        <v>57</v>
      </c>
      <c r="B53" s="156"/>
      <c r="C53" s="156">
        <f>AVERAGE(C4:C8,C10:C15)</f>
        <v>16430.909090909092</v>
      </c>
      <c r="D53" s="156">
        <f>AVERAGE(D4:D8,D10:D15)</f>
        <v>2739.7090909090907</v>
      </c>
      <c r="E53" s="156">
        <f>AVERAGE(E4:E8,E10:E15)</f>
        <v>7367.1636363636362</v>
      </c>
      <c r="F53" s="156">
        <f>AVERAGE(F4:F8, F10:F14)</f>
        <v>2030.6</v>
      </c>
      <c r="G53" s="156">
        <f>AVERAGE(G4:G8, G10:G14)</f>
        <v>76868.899999999994</v>
      </c>
      <c r="H53" s="156">
        <f>AVERAGE(H4:H8, H10:H14)</f>
        <v>84511.04372825718</v>
      </c>
      <c r="I53" s="156">
        <f>AVERAGE(I4:I8,I10:I15)</f>
        <v>193120.85730044247</v>
      </c>
      <c r="J53" s="157"/>
      <c r="K53" s="742"/>
      <c r="L53" s="157"/>
      <c r="M53" s="157"/>
      <c r="N53" s="157"/>
      <c r="O53" s="157"/>
      <c r="P53" s="158">
        <f>AVERAGE(P9:P15)</f>
        <v>0.43775554752479556</v>
      </c>
      <c r="Q53" s="156">
        <f>AVERAGE(Q9:Q15)</f>
        <v>28918.199999999997</v>
      </c>
      <c r="R53" s="156">
        <f>AVERAGE(R9:R15)</f>
        <v>26.887599999999999</v>
      </c>
      <c r="S53" s="156" t="e">
        <f>AVERAGE(S9:S15)</f>
        <v>#DIV/0!</v>
      </c>
      <c r="T53" s="156">
        <f>AVERAGE(T9:T15)</f>
        <v>28918.199999999997</v>
      </c>
    </row>
    <row r="54" spans="1:36">
      <c r="A54" t="s">
        <v>58</v>
      </c>
      <c r="B54" s="59"/>
      <c r="C54" s="59"/>
      <c r="D54" s="59"/>
      <c r="E54" s="59"/>
      <c r="F54" s="59"/>
      <c r="G54" s="59"/>
      <c r="H54" s="59">
        <v>52357</v>
      </c>
      <c r="I54" s="59"/>
      <c r="J54" s="157"/>
      <c r="K54" s="157"/>
      <c r="L54" s="157"/>
      <c r="M54" s="157"/>
      <c r="N54" s="157"/>
      <c r="O54" s="157"/>
      <c r="P54" s="159"/>
      <c r="Q54" s="59"/>
      <c r="R54" s="59"/>
      <c r="S54" s="59"/>
      <c r="T54" s="59"/>
    </row>
    <row r="55" spans="1:36">
      <c r="A55" t="s">
        <v>59</v>
      </c>
      <c r="B55" s="59"/>
      <c r="C55" s="59"/>
      <c r="D55" s="59"/>
      <c r="E55" s="59"/>
      <c r="F55" s="59"/>
      <c r="G55" s="59"/>
      <c r="H55" s="59">
        <v>128314</v>
      </c>
      <c r="I55" s="59"/>
      <c r="J55" s="157"/>
      <c r="K55" s="157"/>
      <c r="L55" s="157"/>
      <c r="M55" s="157"/>
      <c r="N55" s="157"/>
      <c r="O55" s="157"/>
      <c r="P55" s="159"/>
      <c r="Q55" s="59"/>
      <c r="R55" s="59"/>
      <c r="S55" s="59"/>
      <c r="T55" s="59"/>
    </row>
    <row r="56" spans="1:36">
      <c r="A56" s="155" t="s">
        <v>60</v>
      </c>
      <c r="B56" s="156">
        <f t="shared" ref="B56:I56" si="18">AVERAGE(B16:B25)</f>
        <v>847.25</v>
      </c>
      <c r="C56" s="156">
        <f t="shared" si="18"/>
        <v>4835</v>
      </c>
      <c r="D56" s="156">
        <f t="shared" si="18"/>
        <v>1438.2</v>
      </c>
      <c r="E56" s="156">
        <f t="shared" si="18"/>
        <v>4593.7</v>
      </c>
      <c r="F56" s="156">
        <f t="shared" si="18"/>
        <v>4349.8999999999996</v>
      </c>
      <c r="G56" s="156">
        <f t="shared" si="18"/>
        <v>62204.2</v>
      </c>
      <c r="H56" s="156">
        <f t="shared" si="18"/>
        <v>68998.26978959894</v>
      </c>
      <c r="I56" s="156">
        <f t="shared" si="18"/>
        <v>147097.0697895989</v>
      </c>
      <c r="J56" s="157"/>
      <c r="K56" s="157"/>
      <c r="L56" s="157"/>
      <c r="M56" s="157"/>
      <c r="N56" s="157"/>
      <c r="O56" s="157"/>
      <c r="P56" s="158">
        <f>AVERAGE(P16:P25)</f>
        <v>0.44676858366439232</v>
      </c>
      <c r="Q56" s="156">
        <f>AVERAGE(Q16:Q25)</f>
        <v>15216.8</v>
      </c>
      <c r="R56" s="156">
        <f>AVERAGE(R16:R25)</f>
        <v>10.866900000000003</v>
      </c>
      <c r="S56" s="156" t="e">
        <f>AVERAGE(S16:S25)</f>
        <v>#DIV/0!</v>
      </c>
      <c r="T56" s="156">
        <f>AVERAGE(T16:T25)</f>
        <v>15894.6</v>
      </c>
    </row>
    <row r="57" spans="1:36">
      <c r="A57" t="s">
        <v>58</v>
      </c>
      <c r="B57" s="59">
        <f t="shared" ref="B57:I57" si="19">MIN(B16:B25)</f>
        <v>126</v>
      </c>
      <c r="C57" s="59">
        <f t="shared" si="19"/>
        <v>1055</v>
      </c>
      <c r="D57" s="59">
        <f t="shared" si="19"/>
        <v>407</v>
      </c>
      <c r="E57" s="59">
        <f t="shared" si="19"/>
        <v>1611</v>
      </c>
      <c r="F57" s="59">
        <f t="shared" si="19"/>
        <v>2529</v>
      </c>
      <c r="G57" s="59">
        <f t="shared" si="19"/>
        <v>33358</v>
      </c>
      <c r="H57" s="59">
        <f t="shared" si="19"/>
        <v>12792</v>
      </c>
      <c r="I57" s="59">
        <f t="shared" si="19"/>
        <v>62869</v>
      </c>
      <c r="J57" s="157"/>
      <c r="K57" s="157"/>
      <c r="L57" s="157"/>
      <c r="M57" s="157"/>
      <c r="N57" s="157"/>
      <c r="O57" s="157"/>
      <c r="P57" s="159">
        <f>MIN(P16:P25)</f>
        <v>0.20347070893445099</v>
      </c>
      <c r="Q57" s="59">
        <f>MIN(Q16:Q25)</f>
        <v>6650</v>
      </c>
      <c r="R57" s="59">
        <f>MIN(R16:R25)</f>
        <v>3.073</v>
      </c>
      <c r="S57" s="59">
        <f>MIN(S16:S25)</f>
        <v>0</v>
      </c>
      <c r="T57" s="59">
        <f>MIN(T16:T25)</f>
        <v>8634</v>
      </c>
    </row>
    <row r="58" spans="1:36">
      <c r="A58" t="s">
        <v>59</v>
      </c>
      <c r="B58" s="59">
        <f t="shared" ref="B58:I58" si="20">MAX(B16:B25)</f>
        <v>2034</v>
      </c>
      <c r="C58" s="59">
        <f t="shared" si="20"/>
        <v>10353</v>
      </c>
      <c r="D58" s="59">
        <f t="shared" si="20"/>
        <v>2874</v>
      </c>
      <c r="E58" s="59">
        <f t="shared" si="20"/>
        <v>9299</v>
      </c>
      <c r="F58" s="59">
        <f t="shared" si="20"/>
        <v>8551</v>
      </c>
      <c r="G58" s="59">
        <f t="shared" si="20"/>
        <v>127900</v>
      </c>
      <c r="H58" s="59">
        <f t="shared" si="20"/>
        <v>124321</v>
      </c>
      <c r="I58" s="59">
        <f t="shared" si="20"/>
        <v>255983.28177347366</v>
      </c>
      <c r="J58" s="157"/>
      <c r="K58" s="157"/>
      <c r="L58" s="157"/>
      <c r="M58" s="157"/>
      <c r="N58" s="157"/>
      <c r="O58" s="157"/>
      <c r="P58" s="159">
        <f>MAX(P16:P25)</f>
        <v>0.73375159355965813</v>
      </c>
      <c r="Q58" s="59">
        <f>MAX(Q16:Q25)</f>
        <v>27359</v>
      </c>
      <c r="R58" s="59">
        <f>MAX(R16:R25)</f>
        <v>20.527000000000001</v>
      </c>
      <c r="S58" s="59">
        <f>MAX(S16:S25)</f>
        <v>0</v>
      </c>
      <c r="T58" s="59">
        <f>MAX(T16:T25)</f>
        <v>27570</v>
      </c>
    </row>
    <row r="59" spans="1:36">
      <c r="A59" s="160" t="s">
        <v>61</v>
      </c>
      <c r="B59" s="156">
        <f t="shared" ref="B59:I59" si="21">AVERAGE(B26:B35)</f>
        <v>6116.3</v>
      </c>
      <c r="C59" s="156">
        <f t="shared" si="21"/>
        <v>7081.3</v>
      </c>
      <c r="D59" s="156">
        <f t="shared" si="21"/>
        <v>3385</v>
      </c>
      <c r="E59" s="156">
        <f t="shared" si="21"/>
        <v>4443.8</v>
      </c>
      <c r="F59" s="156">
        <f t="shared" si="21"/>
        <v>5611</v>
      </c>
      <c r="G59" s="156">
        <f t="shared" si="21"/>
        <v>74179</v>
      </c>
      <c r="H59" s="156">
        <f t="shared" si="21"/>
        <v>209984.91959999999</v>
      </c>
      <c r="I59" s="156">
        <f t="shared" si="21"/>
        <v>310801.31959999999</v>
      </c>
      <c r="J59" s="157"/>
      <c r="K59" s="157"/>
      <c r="L59" s="157"/>
      <c r="M59" s="157"/>
      <c r="N59" s="157"/>
      <c r="O59" s="157"/>
      <c r="P59" s="158">
        <f>AVERAGE(P26:P35)</f>
        <v>0.66606044446331958</v>
      </c>
      <c r="Q59" s="156">
        <f>AVERAGE(Q26:Q35)</f>
        <v>20521.099999999999</v>
      </c>
      <c r="R59" s="156">
        <f>AVERAGE(R26:R35)</f>
        <v>14.9101</v>
      </c>
      <c r="S59" s="156" t="e">
        <f>AVERAGE(S26:S35)</f>
        <v>#DIV/0!</v>
      </c>
      <c r="T59" s="156">
        <f>AVERAGE(T26:T35)</f>
        <v>26637.4</v>
      </c>
    </row>
    <row r="60" spans="1:36">
      <c r="A60" t="s">
        <v>58</v>
      </c>
      <c r="B60" s="59">
        <f t="shared" ref="B60:I60" si="22">MIN(B26:B35)</f>
        <v>2366</v>
      </c>
      <c r="C60" s="59">
        <f t="shared" si="22"/>
        <v>1609</v>
      </c>
      <c r="D60" s="59">
        <f t="shared" si="22"/>
        <v>404</v>
      </c>
      <c r="E60" s="59">
        <f t="shared" si="22"/>
        <v>1493</v>
      </c>
      <c r="F60" s="59">
        <f t="shared" si="22"/>
        <v>2347</v>
      </c>
      <c r="G60" s="59">
        <f t="shared" si="22"/>
        <v>26615</v>
      </c>
      <c r="H60" s="59">
        <f t="shared" si="22"/>
        <v>86246.565000000002</v>
      </c>
      <c r="I60" s="59">
        <f t="shared" si="22"/>
        <v>154993.565</v>
      </c>
      <c r="J60" s="157"/>
      <c r="K60" s="157"/>
      <c r="L60" s="157"/>
      <c r="M60" s="157"/>
      <c r="N60" s="157"/>
      <c r="O60" s="157"/>
      <c r="P60" s="159">
        <f>MIN(P26:P35)</f>
        <v>0.53281143236549366</v>
      </c>
      <c r="Q60" s="59">
        <f>MIN(Q26:Q35)</f>
        <v>9773</v>
      </c>
      <c r="R60" s="59">
        <f>MIN(R26:R35)</f>
        <v>6.1319999999999997</v>
      </c>
      <c r="S60" s="59">
        <f>MIN(S26:S35)</f>
        <v>0</v>
      </c>
      <c r="T60" s="59">
        <f>MIN(T26:T35)</f>
        <v>13128</v>
      </c>
    </row>
    <row r="61" spans="1:36">
      <c r="A61" t="s">
        <v>59</v>
      </c>
      <c r="B61" s="59">
        <f t="shared" ref="B61:I61" si="23">MAX(B26:B35)</f>
        <v>10162</v>
      </c>
      <c r="C61" s="59">
        <f t="shared" si="23"/>
        <v>16530</v>
      </c>
      <c r="D61" s="59">
        <f t="shared" si="23"/>
        <v>8030</v>
      </c>
      <c r="E61" s="59">
        <f t="shared" si="23"/>
        <v>7596</v>
      </c>
      <c r="F61" s="59">
        <f t="shared" si="23"/>
        <v>12680</v>
      </c>
      <c r="G61" s="59">
        <f t="shared" si="23"/>
        <v>143240</v>
      </c>
      <c r="H61" s="59">
        <f t="shared" si="23"/>
        <v>439885</v>
      </c>
      <c r="I61" s="59">
        <f t="shared" si="23"/>
        <v>538987</v>
      </c>
      <c r="J61" s="157"/>
      <c r="K61" s="157"/>
      <c r="L61" s="157"/>
      <c r="M61" s="157"/>
      <c r="N61" s="157"/>
      <c r="O61" s="157"/>
      <c r="P61" s="159">
        <f>MAX(P26:P35)</f>
        <v>0.8161328566366165</v>
      </c>
      <c r="Q61" s="59">
        <f>MAX(Q26:Q35)</f>
        <v>40971</v>
      </c>
      <c r="R61" s="59">
        <f>MAX(R26:R35)</f>
        <v>28.291</v>
      </c>
      <c r="S61" s="59">
        <f>MAX(S26:S35)</f>
        <v>0</v>
      </c>
      <c r="T61" s="59">
        <f>MAX(T26:T35)</f>
        <v>51133</v>
      </c>
    </row>
    <row r="62" spans="1:36">
      <c r="A62" s="160" t="s">
        <v>62</v>
      </c>
      <c r="B62" s="156">
        <f t="shared" ref="B62:I62" si="24">AVERAGE(B36:B45)</f>
        <v>10223.700000000001</v>
      </c>
      <c r="C62" s="156">
        <f t="shared" si="24"/>
        <v>11407.7852</v>
      </c>
      <c r="D62" s="156">
        <f t="shared" si="24"/>
        <v>1857.1026299999999</v>
      </c>
      <c r="E62" s="156">
        <f t="shared" si="24"/>
        <v>1669.6</v>
      </c>
      <c r="F62" s="156">
        <f t="shared" si="24"/>
        <v>4674.8999999999996</v>
      </c>
      <c r="G62" s="156">
        <f t="shared" si="24"/>
        <v>58917</v>
      </c>
      <c r="H62" s="156">
        <f t="shared" si="24"/>
        <v>188617.97339999999</v>
      </c>
      <c r="I62" s="156">
        <f t="shared" si="24"/>
        <v>277368.06122999999</v>
      </c>
      <c r="J62" s="157"/>
      <c r="K62" s="157"/>
      <c r="L62" s="157"/>
      <c r="M62" s="157"/>
      <c r="N62" s="157"/>
      <c r="O62" s="157"/>
      <c r="P62" s="158">
        <f>AVERAGE(P36:P45)</f>
        <v>0.67248780756879634</v>
      </c>
      <c r="Q62" s="156">
        <f>AVERAGE(Q36:Q45)</f>
        <v>19609.38783</v>
      </c>
      <c r="R62" s="156">
        <f>AVERAGE(R36:R45)</f>
        <v>14.93448783</v>
      </c>
      <c r="S62" s="156" t="e">
        <f>AVERAGE(S36:S45)</f>
        <v>#DIV/0!</v>
      </c>
      <c r="T62" s="156">
        <f>AVERAGE(T36:T45)</f>
        <v>29833.087829999997</v>
      </c>
    </row>
    <row r="63" spans="1:36">
      <c r="A63" t="s">
        <v>58</v>
      </c>
      <c r="B63" s="59">
        <f t="shared" ref="B63:I63" si="25">MIN(B36:B45)</f>
        <v>2479</v>
      </c>
      <c r="C63" s="59">
        <f t="shared" si="25"/>
        <v>1573</v>
      </c>
      <c r="D63" s="59">
        <f t="shared" si="25"/>
        <v>776</v>
      </c>
      <c r="E63" s="59">
        <f t="shared" si="25"/>
        <v>597</v>
      </c>
      <c r="F63" s="59">
        <f t="shared" si="25"/>
        <v>3106</v>
      </c>
      <c r="G63" s="59">
        <f t="shared" si="25"/>
        <v>27292</v>
      </c>
      <c r="H63" s="59">
        <f t="shared" si="25"/>
        <v>73105</v>
      </c>
      <c r="I63" s="59">
        <f t="shared" si="25"/>
        <v>109917</v>
      </c>
      <c r="J63" s="157"/>
      <c r="K63" s="157"/>
      <c r="L63" s="157"/>
      <c r="M63" s="157"/>
      <c r="N63" s="157"/>
      <c r="O63" s="157"/>
      <c r="P63" s="159">
        <f>MIN(P36:P45)</f>
        <v>0.54766600671739152</v>
      </c>
      <c r="Q63" s="59">
        <f>MIN(Q36:Q45)</f>
        <v>6803</v>
      </c>
      <c r="R63" s="59">
        <f>MIN(R36:R45)</f>
        <v>3.379</v>
      </c>
      <c r="S63" s="59">
        <f>MIN(S36:S45)</f>
        <v>0</v>
      </c>
      <c r="T63" s="59">
        <f>MIN(T36:T45)</f>
        <v>9520</v>
      </c>
    </row>
    <row r="64" spans="1:36">
      <c r="A64" t="s">
        <v>59</v>
      </c>
      <c r="B64" s="59">
        <f t="shared" ref="B64:I64" si="26">MAX(B36:B45)</f>
        <v>22955</v>
      </c>
      <c r="C64" s="59">
        <f t="shared" si="26"/>
        <v>26504</v>
      </c>
      <c r="D64" s="59">
        <f t="shared" si="26"/>
        <v>4462</v>
      </c>
      <c r="E64" s="59">
        <f t="shared" si="26"/>
        <v>3138</v>
      </c>
      <c r="F64" s="59">
        <f t="shared" si="26"/>
        <v>7607</v>
      </c>
      <c r="G64" s="59">
        <f t="shared" si="26"/>
        <v>107675</v>
      </c>
      <c r="H64" s="59">
        <f t="shared" si="26"/>
        <v>315345.82300000003</v>
      </c>
      <c r="I64" s="59">
        <f t="shared" si="26"/>
        <v>465257.82300000003</v>
      </c>
      <c r="J64" s="157"/>
      <c r="O64" s="157"/>
      <c r="P64" s="159">
        <f>MAX(P36:P45)</f>
        <v>0.78602007429285325</v>
      </c>
      <c r="Q64" s="59">
        <f>MAX(Q36:Q45)</f>
        <v>34323</v>
      </c>
      <c r="R64" s="59">
        <f>MAX(R36:R45)</f>
        <v>30.849</v>
      </c>
      <c r="S64" s="59">
        <f>MAX(S36:S45)</f>
        <v>0</v>
      </c>
      <c r="T64" s="59">
        <f>MAX(T36:T45)</f>
        <v>47885</v>
      </c>
    </row>
    <row r="65" spans="1:29">
      <c r="B65" s="59"/>
      <c r="C65" s="59"/>
      <c r="D65" s="59"/>
      <c r="E65" s="59"/>
      <c r="F65" s="59"/>
      <c r="G65" s="59"/>
      <c r="H65" s="59"/>
      <c r="I65" s="59"/>
      <c r="K65" s="157"/>
      <c r="L65" s="157"/>
      <c r="M65" s="157"/>
      <c r="N65" s="157"/>
      <c r="P65" s="159"/>
      <c r="Q65" s="59"/>
      <c r="R65" s="59"/>
      <c r="S65" s="59"/>
      <c r="T65" s="59"/>
    </row>
    <row r="66" spans="1:29">
      <c r="A66" s="47" t="s">
        <v>63</v>
      </c>
      <c r="B66" s="161">
        <f>AVERAGE(B41:B50)</f>
        <v>12256.4</v>
      </c>
      <c r="C66" s="161">
        <f t="shared" ref="C66:I66" si="27">AVERAGE(C41:C50)</f>
        <v>9839.9</v>
      </c>
      <c r="D66" s="161">
        <f t="shared" si="27"/>
        <v>2506.4</v>
      </c>
      <c r="E66" s="161">
        <f t="shared" si="27"/>
        <v>2580.4</v>
      </c>
      <c r="F66" s="161">
        <f t="shared" si="27"/>
        <v>5872.4</v>
      </c>
      <c r="G66" s="161">
        <f t="shared" si="27"/>
        <v>46603.8</v>
      </c>
      <c r="H66" s="161">
        <f t="shared" si="27"/>
        <v>139676.24969999999</v>
      </c>
      <c r="I66" s="161">
        <f t="shared" si="27"/>
        <v>219335.5497</v>
      </c>
      <c r="J66" s="742">
        <f>H51/H66</f>
        <v>1.1075827159755136</v>
      </c>
      <c r="O66" s="157"/>
      <c r="P66" s="162">
        <f>AVERAGE(P41:P50)</f>
        <v>0.62840584435236591</v>
      </c>
      <c r="Q66" s="162">
        <f t="shared" ref="Q66:T66" si="28">AVERAGE(Q41:Q50)</f>
        <v>20799.099999999999</v>
      </c>
      <c r="R66" s="162">
        <f t="shared" si="28"/>
        <v>16.2485</v>
      </c>
      <c r="S66" s="162" t="e">
        <f t="shared" si="28"/>
        <v>#DIV/0!</v>
      </c>
      <c r="T66" s="162">
        <f t="shared" si="28"/>
        <v>33055.5</v>
      </c>
    </row>
    <row r="67" spans="1:29">
      <c r="A67" t="s">
        <v>58</v>
      </c>
      <c r="B67" s="59">
        <f>MIN(B41:B50)</f>
        <v>2717</v>
      </c>
      <c r="C67" s="59">
        <f t="shared" ref="C67:I67" si="29">MIN(C41:C50)</f>
        <v>908</v>
      </c>
      <c r="D67" s="59">
        <f t="shared" si="29"/>
        <v>809</v>
      </c>
      <c r="E67" s="59">
        <f t="shared" si="29"/>
        <v>597</v>
      </c>
      <c r="F67" s="59">
        <f t="shared" si="29"/>
        <v>3424</v>
      </c>
      <c r="G67" s="59">
        <f t="shared" si="29"/>
        <v>27292</v>
      </c>
      <c r="H67" s="59">
        <f t="shared" si="29"/>
        <v>73105</v>
      </c>
      <c r="I67" s="59">
        <f t="shared" si="29"/>
        <v>109917</v>
      </c>
      <c r="P67" s="159">
        <f>MIN(P41:P50)</f>
        <v>0.54766600671739152</v>
      </c>
      <c r="Q67" s="159">
        <f t="shared" ref="Q67:T67" si="30">MIN(Q41:Q50)</f>
        <v>6803</v>
      </c>
      <c r="R67" s="159">
        <f t="shared" si="30"/>
        <v>3.379</v>
      </c>
      <c r="S67" s="159">
        <f t="shared" si="30"/>
        <v>0</v>
      </c>
      <c r="T67" s="159">
        <f t="shared" si="30"/>
        <v>9520</v>
      </c>
    </row>
    <row r="68" spans="1:29">
      <c r="A68" t="s">
        <v>59</v>
      </c>
      <c r="B68" s="59">
        <f>MAX(B41:B50)</f>
        <v>21468</v>
      </c>
      <c r="C68" s="59">
        <f t="shared" ref="C68:I68" si="31">MAX(C41:C50)</f>
        <v>26504</v>
      </c>
      <c r="D68" s="59">
        <f t="shared" si="31"/>
        <v>4462</v>
      </c>
      <c r="E68" s="59">
        <f t="shared" si="31"/>
        <v>6875</v>
      </c>
      <c r="F68" s="59">
        <f t="shared" si="31"/>
        <v>10289</v>
      </c>
      <c r="G68" s="59">
        <f t="shared" si="31"/>
        <v>84532</v>
      </c>
      <c r="H68" s="59">
        <f t="shared" si="31"/>
        <v>288993</v>
      </c>
      <c r="I68" s="59">
        <f t="shared" si="31"/>
        <v>421410</v>
      </c>
      <c r="P68" s="159">
        <f>MAX(P41:P50)</f>
        <v>0.68577632234640851</v>
      </c>
      <c r="Q68" s="159">
        <f t="shared" ref="Q68:T68" si="32">MAX(Q41:Q50)</f>
        <v>34323</v>
      </c>
      <c r="R68" s="159">
        <f t="shared" si="32"/>
        <v>30.849</v>
      </c>
      <c r="S68" s="159">
        <f t="shared" si="32"/>
        <v>0</v>
      </c>
      <c r="T68" s="159">
        <f t="shared" si="32"/>
        <v>47885</v>
      </c>
    </row>
    <row r="70" spans="1:29">
      <c r="A70" s="163" t="s">
        <v>64</v>
      </c>
      <c r="B70" s="164">
        <v>13700</v>
      </c>
      <c r="C70" s="164">
        <v>9300</v>
      </c>
      <c r="D70" s="164">
        <v>3300</v>
      </c>
      <c r="E70" s="164">
        <v>5000</v>
      </c>
      <c r="F70" s="164" t="s">
        <v>65</v>
      </c>
      <c r="G70" s="164">
        <v>43700</v>
      </c>
      <c r="H70" s="164">
        <v>147300</v>
      </c>
      <c r="I70" s="164">
        <f>SUM(B70:H70)</f>
        <v>222300</v>
      </c>
      <c r="Q70" s="164">
        <f>SUM(C70:F70)</f>
        <v>17600</v>
      </c>
      <c r="R70" s="164">
        <f>MAX(R31:R40)</f>
        <v>19.760000000000002</v>
      </c>
      <c r="S70" s="164">
        <f>MAX(S31:S40)</f>
        <v>0</v>
      </c>
      <c r="T70" s="164">
        <f>Q70+B70</f>
        <v>31300</v>
      </c>
      <c r="AC70" s="763"/>
    </row>
    <row r="71" spans="1:29">
      <c r="A71" t="s">
        <v>66</v>
      </c>
      <c r="B71" s="59">
        <f>AVERAGE(B42:B51)</f>
        <v>12882</v>
      </c>
      <c r="C71" s="59">
        <f t="shared" ref="C71:H71" si="33">AVERAGE(C42:C51)</f>
        <v>8327.2000000000007</v>
      </c>
      <c r="D71" s="59">
        <f t="shared" si="33"/>
        <v>2606.1999999999998</v>
      </c>
      <c r="E71" s="59">
        <f t="shared" si="33"/>
        <v>2941.5</v>
      </c>
      <c r="F71" s="59">
        <f t="shared" si="33"/>
        <v>6237.3</v>
      </c>
      <c r="G71" s="59">
        <f t="shared" si="33"/>
        <v>43203.3</v>
      </c>
      <c r="H71" s="59">
        <f t="shared" si="33"/>
        <v>126247.2497</v>
      </c>
      <c r="I71" s="59">
        <f>AVERAGE(I41:I50)</f>
        <v>219335.5497</v>
      </c>
      <c r="Q71" s="59">
        <f>AVERAGE(Q41:Q50)</f>
        <v>20799.099999999999</v>
      </c>
      <c r="R71" s="59">
        <f t="shared" ref="R71:T71" si="34">AVERAGE(R41:R50)</f>
        <v>16.2485</v>
      </c>
      <c r="S71" s="59" t="e">
        <f t="shared" si="34"/>
        <v>#DIV/0!</v>
      </c>
      <c r="T71" s="59">
        <f t="shared" si="34"/>
        <v>33055.5</v>
      </c>
      <c r="AC71" s="763"/>
    </row>
    <row r="72" spans="1:29">
      <c r="A72" t="s">
        <v>67</v>
      </c>
      <c r="B72" s="165">
        <f t="shared" ref="B72:I72" si="35">B70/B71</f>
        <v>1.0634994566061171</v>
      </c>
      <c r="C72" s="165">
        <f t="shared" si="35"/>
        <v>1.1168219809779998</v>
      </c>
      <c r="D72" s="165">
        <f t="shared" si="35"/>
        <v>1.2662113421840229</v>
      </c>
      <c r="E72" s="165">
        <f t="shared" si="35"/>
        <v>1.6998130205677375</v>
      </c>
      <c r="F72" s="165" t="e">
        <f t="shared" si="35"/>
        <v>#VALUE!</v>
      </c>
      <c r="G72" s="165">
        <f t="shared" si="35"/>
        <v>1.0114968069568759</v>
      </c>
      <c r="H72" s="165">
        <f>H70/H71</f>
        <v>1.166758090572487</v>
      </c>
      <c r="I72" s="165">
        <f t="shared" si="35"/>
        <v>1.0135155942757783</v>
      </c>
      <c r="J72" s="1644" t="s">
        <v>68</v>
      </c>
      <c r="Q72" s="165">
        <f>Q70/Q71</f>
        <v>0.84619046016414179</v>
      </c>
      <c r="R72" s="165">
        <f>R70/R71</f>
        <v>1.2161122565159861</v>
      </c>
      <c r="S72" s="165" t="e">
        <f>S70/S71</f>
        <v>#DIV/0!</v>
      </c>
      <c r="T72" s="165">
        <f>T70/T71</f>
        <v>0.9468923477182315</v>
      </c>
      <c r="AC72" s="763"/>
    </row>
    <row r="73" spans="1:29">
      <c r="A73" t="s">
        <v>67</v>
      </c>
      <c r="B73" s="165">
        <f>B70/B50</f>
        <v>0.78627180899908178</v>
      </c>
      <c r="C73" s="165">
        <f t="shared" ref="C73:H73" si="36">C70/C50</f>
        <v>1.0352888789936547</v>
      </c>
      <c r="D73" s="165">
        <f t="shared" si="36"/>
        <v>1.333872271624899</v>
      </c>
      <c r="E73" s="165">
        <f t="shared" si="36"/>
        <v>1.8368846436443791</v>
      </c>
      <c r="F73" s="165" t="e">
        <f t="shared" si="36"/>
        <v>#VALUE!</v>
      </c>
      <c r="G73" s="165">
        <f t="shared" si="36"/>
        <v>1.1580146805522431</v>
      </c>
      <c r="H73" s="165">
        <f t="shared" si="36"/>
        <v>1.266203624110305</v>
      </c>
      <c r="I73" s="165">
        <f t="shared" ref="I73" si="37">I70/I48</f>
        <v>0.77344875336622432</v>
      </c>
      <c r="J73" s="1644" t="s">
        <v>69</v>
      </c>
      <c r="Q73" s="165">
        <f>Q70/Q50</f>
        <v>0.90085478835030963</v>
      </c>
      <c r="R73" s="165" t="e">
        <f>R70/R47</f>
        <v>#DIV/0!</v>
      </c>
      <c r="S73" s="165" t="e">
        <f>S70/S47</f>
        <v>#DIV/0!</v>
      </c>
      <c r="T73" s="165">
        <f>T70/T50</f>
        <v>0.84683855956278242</v>
      </c>
    </row>
    <row r="74" spans="1:29">
      <c r="B74" s="165"/>
    </row>
    <row r="75" spans="1:29">
      <c r="B75" s="165">
        <f>B48/B66</f>
        <v>1.5653862471851441</v>
      </c>
    </row>
  </sheetData>
  <mergeCells count="2">
    <mergeCell ref="A1:I1"/>
    <mergeCell ref="K1:N1"/>
  </mergeCells>
  <pageMargins left="0.7" right="0.7" top="0.75" bottom="0.75" header="0.3" footer="0.3"/>
  <pageSetup scale="8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9EEF-8E89-48C0-B7DF-4ADD3E85ACEF}">
  <sheetPr>
    <tabColor theme="9" tint="0.59999389629810485"/>
  </sheetPr>
  <dimension ref="A1:L54"/>
  <sheetViews>
    <sheetView showGridLines="0" topLeftCell="A26" zoomScale="110" zoomScaleNormal="110" workbookViewId="0">
      <selection activeCell="E47" sqref="E47"/>
    </sheetView>
  </sheetViews>
  <sheetFormatPr defaultRowHeight="12.75"/>
  <cols>
    <col min="1" max="1" width="13.33203125" bestFit="1" customWidth="1"/>
    <col min="2" max="9" width="10.83203125" customWidth="1"/>
    <col min="10" max="10" width="1.6640625" customWidth="1"/>
  </cols>
  <sheetData>
    <row r="1" spans="1:12" ht="18.75">
      <c r="A1" s="7" t="s">
        <v>70</v>
      </c>
    </row>
    <row r="2" spans="1:12" ht="15.75">
      <c r="A2" s="7"/>
    </row>
    <row r="3" spans="1:12" ht="27.75" thickBot="1">
      <c r="A3" s="1156" t="s">
        <v>28</v>
      </c>
      <c r="B3" s="1652" t="s">
        <v>29</v>
      </c>
      <c r="C3" s="1150" t="s">
        <v>30</v>
      </c>
      <c r="D3" s="1150" t="s">
        <v>31</v>
      </c>
      <c r="E3" s="1652" t="s">
        <v>71</v>
      </c>
      <c r="F3" s="1652" t="s">
        <v>72</v>
      </c>
      <c r="G3" s="1652" t="s">
        <v>73</v>
      </c>
      <c r="H3" s="1652" t="s">
        <v>74</v>
      </c>
      <c r="I3" s="1151" t="s">
        <v>36</v>
      </c>
      <c r="J3" s="1661"/>
      <c r="L3" s="166"/>
    </row>
    <row r="4" spans="1:12">
      <c r="A4" s="1157" t="s">
        <v>75</v>
      </c>
      <c r="B4" s="167" t="str">
        <f>IF(T1Manip!B9="","",T1Manip!B9)</f>
        <v>--</v>
      </c>
      <c r="C4" s="167">
        <f>IF(T1Manip!C9="","",T1Manip!C9)</f>
        <v>22736.799999999999</v>
      </c>
      <c r="D4" s="167">
        <f>IF(T1Manip!D9="","",T1Manip!D9)</f>
        <v>4165.2</v>
      </c>
      <c r="E4" s="167">
        <f>IF(T1Manip!E9="","",T1Manip!E9)</f>
        <v>3833.6</v>
      </c>
      <c r="F4" s="167">
        <f>IF(T1Manip!F9="","",T1Manip!F9)</f>
        <v>2056.6</v>
      </c>
      <c r="G4" s="167">
        <f>IF(T1Manip!G9="","",T1Manip!G9)</f>
        <v>62934.6</v>
      </c>
      <c r="H4" s="167">
        <f>IF(T1Manip!H9="","",T1Manip!H9)</f>
        <v>63521.494434218774</v>
      </c>
      <c r="I4" s="1152">
        <f>IF(T1Manip!I9="","",T1Manip!I9)</f>
        <v>159248.29443421875</v>
      </c>
      <c r="J4" s="167"/>
      <c r="K4" s="168"/>
    </row>
    <row r="5" spans="1:12">
      <c r="A5" s="1157" t="s">
        <v>76</v>
      </c>
      <c r="B5" s="167" t="str">
        <f>IF(T1Manip!B15="","",T1Manip!B15)</f>
        <v>--</v>
      </c>
      <c r="C5" s="167">
        <f>IF(T1Manip!C15="","",T1Manip!C15)</f>
        <v>11176</v>
      </c>
      <c r="D5" s="167">
        <f>IF(T1Manip!D15="","",T1Manip!D15)</f>
        <v>1551.8</v>
      </c>
      <c r="E5" s="167">
        <f>IF(T1Manip!E15="","",T1Manip!E15)</f>
        <v>10311.799999999999</v>
      </c>
      <c r="F5" s="167">
        <f>IF(T1Manip!F15="","",T1Manip!F15)</f>
        <v>2004.6</v>
      </c>
      <c r="G5" s="167">
        <f>IF(T1Manip!G15="","",T1Manip!G15)</f>
        <v>90803.199999999997</v>
      </c>
      <c r="H5" s="167">
        <f>IF(T1Manip!H15="","",T1Manip!H15)</f>
        <v>105500.59302229559</v>
      </c>
      <c r="I5" s="1152">
        <f>IF(T1Manip!I15="","",T1Manip!I15)</f>
        <v>221347.99302229559</v>
      </c>
      <c r="J5" s="167"/>
      <c r="K5" s="168"/>
    </row>
    <row r="6" spans="1:12">
      <c r="A6" s="1158">
        <v>1990</v>
      </c>
      <c r="B6" s="126" t="str">
        <f>IF(T1Manip!B16="","",T1Manip!B16)</f>
        <v>--</v>
      </c>
      <c r="C6" s="126">
        <f>IF(T1Manip!C16="","",T1Manip!C16)</f>
        <v>7555</v>
      </c>
      <c r="D6" s="126">
        <f>IF(T1Manip!D16="","",T1Manip!D16)</f>
        <v>1987</v>
      </c>
      <c r="E6" s="126">
        <f>IF(T1Manip!E16="","",T1Manip!E16)</f>
        <v>9299</v>
      </c>
      <c r="F6" s="126">
        <f>IF(T1Manip!F16="","",T1Manip!F16)</f>
        <v>3527</v>
      </c>
      <c r="G6" s="126">
        <f>IF(T1Manip!G16="","",T1Manip!G16)</f>
        <v>127900</v>
      </c>
      <c r="H6" s="126">
        <f>IF(T1Manip!H16="","",T1Manip!H16)</f>
        <v>105715.28177347367</v>
      </c>
      <c r="I6" s="1153">
        <f>IF(T1Manip!I16="","",T1Manip!I16)</f>
        <v>255983.28177347366</v>
      </c>
      <c r="J6" s="126"/>
    </row>
    <row r="7" spans="1:12">
      <c r="A7" s="1158">
        <v>1991</v>
      </c>
      <c r="B7" s="126" t="str">
        <f>IF(T1Manip!B17="","",T1Manip!B17)</f>
        <v>--</v>
      </c>
      <c r="C7" s="126">
        <f>IF(T1Manip!C17="","",T1Manip!C17)</f>
        <v>8945</v>
      </c>
      <c r="D7" s="126">
        <f>IF(T1Manip!D17="","",T1Manip!D17)</f>
        <v>2613</v>
      </c>
      <c r="E7" s="126">
        <f>IF(T1Manip!E17="","",T1Manip!E17)</f>
        <v>8334</v>
      </c>
      <c r="F7" s="126">
        <f>IF(T1Manip!F17="","",T1Manip!F17)</f>
        <v>3652</v>
      </c>
      <c r="G7" s="126">
        <f>IF(T1Manip!G17="","",T1Manip!G17)</f>
        <v>105530</v>
      </c>
      <c r="H7" s="126">
        <f>IF(T1Manip!H17="","",T1Manip!H17)</f>
        <v>64478.651819107508</v>
      </c>
      <c r="I7" s="1153">
        <f>IF(T1Manip!I17="","",T1Manip!I17)</f>
        <v>193552.6518191075</v>
      </c>
      <c r="J7" s="126"/>
    </row>
    <row r="8" spans="1:12">
      <c r="A8" s="1158">
        <v>1992</v>
      </c>
      <c r="B8" s="126">
        <f>IF(T1Manip!B18="","",T1Manip!B18)</f>
        <v>211</v>
      </c>
      <c r="C8" s="126">
        <f>IF(T1Manip!C18="","",T1Manip!C18)</f>
        <v>10353</v>
      </c>
      <c r="D8" s="126">
        <f>IF(T1Manip!D18="","",T1Manip!D18)</f>
        <v>2430</v>
      </c>
      <c r="E8" s="126">
        <f>IF(T1Manip!E18="","",T1Manip!E18)</f>
        <v>6025</v>
      </c>
      <c r="F8" s="126">
        <f>IF(T1Manip!F18="","",T1Manip!F18)</f>
        <v>8551</v>
      </c>
      <c r="G8" s="126">
        <f>IF(T1Manip!G18="","",T1Manip!G18)</f>
        <v>72197</v>
      </c>
      <c r="H8" s="126">
        <f>IF(T1Manip!H18="","",T1Manip!H18)</f>
        <v>95691.438848632926</v>
      </c>
      <c r="I8" s="1153">
        <f>IF(T1Manip!I18="","",T1Manip!I18)</f>
        <v>195458.43884863291</v>
      </c>
      <c r="J8" s="126"/>
    </row>
    <row r="9" spans="1:12">
      <c r="A9" s="1158">
        <v>1993</v>
      </c>
      <c r="B9" s="126">
        <f>IF(T1Manip!B19="","",T1Manip!B19)</f>
        <v>629</v>
      </c>
      <c r="C9" s="126">
        <f>IF(T1Manip!C19="","",T1Manip!C19)</f>
        <v>9458</v>
      </c>
      <c r="D9" s="126">
        <f>IF(T1Manip!D19="","",T1Manip!D19)</f>
        <v>2874</v>
      </c>
      <c r="E9" s="126">
        <f>IF(T1Manip!E19="","",T1Manip!E19)</f>
        <v>8195</v>
      </c>
      <c r="F9" s="126">
        <f>IF(T1Manip!F19="","",T1Manip!F19)</f>
        <v>6369</v>
      </c>
      <c r="G9" s="126">
        <f>IF(T1Manip!G19="","",T1Manip!G19)</f>
        <v>62778</v>
      </c>
      <c r="H9" s="126">
        <f>IF(T1Manip!H19="","",T1Manip!H19)</f>
        <v>119962.96327890742</v>
      </c>
      <c r="I9" s="1153">
        <f>IF(T1Manip!I19="","",T1Manip!I19)</f>
        <v>210265.96327890741</v>
      </c>
      <c r="J9" s="126"/>
    </row>
    <row r="10" spans="1:12">
      <c r="A10" s="1158">
        <v>1994</v>
      </c>
      <c r="B10" s="126">
        <f>IF(T1Manip!B20="","",T1Manip!B20)</f>
        <v>126</v>
      </c>
      <c r="C10" s="126">
        <f>IF(T1Manip!C20="","",T1Manip!C20)</f>
        <v>3149</v>
      </c>
      <c r="D10" s="126">
        <f>IF(T1Manip!D20="","",T1Manip!D20)</f>
        <v>1265</v>
      </c>
      <c r="E10" s="126">
        <f>IF(T1Manip!E20="","",T1Manip!E20)</f>
        <v>3068</v>
      </c>
      <c r="F10" s="126">
        <f>IF(T1Manip!F20="","",T1Manip!F20)</f>
        <v>3498</v>
      </c>
      <c r="G10" s="126">
        <f>IF(T1Manip!G20="","",T1Manip!G20)</f>
        <v>48804</v>
      </c>
      <c r="H10" s="126">
        <f>IF(T1Manip!H20="","",T1Manip!H20)</f>
        <v>24095.182175867772</v>
      </c>
      <c r="I10" s="1153">
        <f>IF(T1Manip!I20="","",T1Manip!I20)</f>
        <v>84005.182175867769</v>
      </c>
      <c r="J10" s="126"/>
    </row>
    <row r="11" spans="1:12">
      <c r="A11" s="1157" t="s">
        <v>77</v>
      </c>
      <c r="B11" s="167">
        <f t="shared" ref="B11:I11" si="0">AVERAGE(B6:B10)</f>
        <v>322</v>
      </c>
      <c r="C11" s="167">
        <f t="shared" si="0"/>
        <v>7892</v>
      </c>
      <c r="D11" s="167">
        <f t="shared" si="0"/>
        <v>2233.8000000000002</v>
      </c>
      <c r="E11" s="167">
        <f t="shared" si="0"/>
        <v>6984.2</v>
      </c>
      <c r="F11" s="167">
        <f t="shared" si="0"/>
        <v>5119.3999999999996</v>
      </c>
      <c r="G11" s="167">
        <f t="shared" si="0"/>
        <v>83441.8</v>
      </c>
      <c r="H11" s="167">
        <f t="shared" si="0"/>
        <v>81988.703579197856</v>
      </c>
      <c r="I11" s="1152">
        <f t="shared" si="0"/>
        <v>187853.10357919784</v>
      </c>
      <c r="J11" s="167"/>
      <c r="K11" s="168"/>
    </row>
    <row r="12" spans="1:12">
      <c r="A12" s="1158">
        <v>1995</v>
      </c>
      <c r="B12" s="126">
        <f>IF(T1Manip!B21="","",T1Manip!B21)</f>
        <v>169</v>
      </c>
      <c r="C12" s="126">
        <f>IF(T1Manip!C21="","",T1Manip!C21)</f>
        <v>2102</v>
      </c>
      <c r="D12" s="126">
        <f>IF(T1Manip!D21="","",T1Manip!D21)</f>
        <v>697</v>
      </c>
      <c r="E12" s="126">
        <f>IF(T1Manip!E21="","",T1Manip!E21)</f>
        <v>3726</v>
      </c>
      <c r="F12" s="126">
        <f>IF(T1Manip!F21="","",T1Manip!F21)</f>
        <v>2529</v>
      </c>
      <c r="G12" s="126">
        <f>IF(T1Manip!G21="","",T1Manip!G21)</f>
        <v>40854</v>
      </c>
      <c r="H12" s="126">
        <f>IF(T1Manip!H21="","",T1Manip!H21)</f>
        <v>12792</v>
      </c>
      <c r="I12" s="1153">
        <f>IF(T1Manip!I21="","",T1Manip!I21)</f>
        <v>62869</v>
      </c>
      <c r="J12" s="126"/>
    </row>
    <row r="13" spans="1:12">
      <c r="A13" s="1158">
        <v>1996</v>
      </c>
      <c r="B13" s="126">
        <f>IF(T1Manip!B22="","",T1Manip!B22)</f>
        <v>689</v>
      </c>
      <c r="C13" s="126">
        <f>IF(T1Manip!C22="","",T1Manip!C22)</f>
        <v>1787</v>
      </c>
      <c r="D13" s="126">
        <f>IF(T1Manip!D22="","",T1Manip!D22)</f>
        <v>627</v>
      </c>
      <c r="E13" s="126">
        <f>IF(T1Manip!E22="","",T1Manip!E22)</f>
        <v>1730</v>
      </c>
      <c r="F13" s="126">
        <f>IF(T1Manip!F22="","",T1Manip!F22)</f>
        <v>3801</v>
      </c>
      <c r="G13" s="126">
        <f>IF(T1Manip!G22="","",T1Manip!G22)</f>
        <v>33358</v>
      </c>
      <c r="H13" s="126">
        <f>IF(T1Manip!H22="","",T1Manip!H22)</f>
        <v>55551</v>
      </c>
      <c r="I13" s="1153">
        <f>IF(T1Manip!I22="","",T1Manip!I22)</f>
        <v>97543</v>
      </c>
      <c r="J13" s="126"/>
    </row>
    <row r="14" spans="1:12">
      <c r="A14" s="1158">
        <v>1997</v>
      </c>
      <c r="B14" s="126">
        <f>IF(T1Manip!B23="","",T1Manip!B23)</f>
        <v>1583</v>
      </c>
      <c r="C14" s="126">
        <f>IF(T1Manip!C23="","",T1Manip!C23)</f>
        <v>1877</v>
      </c>
      <c r="D14" s="126">
        <f>IF(T1Manip!D23="","",T1Manip!D23)</f>
        <v>505</v>
      </c>
      <c r="E14" s="126">
        <f>IF(T1Manip!E23="","",T1Manip!E23)</f>
        <v>2196</v>
      </c>
      <c r="F14" s="126">
        <f>IF(T1Manip!F23="","",T1Manip!F23)</f>
        <v>4410</v>
      </c>
      <c r="G14" s="126">
        <f>IF(T1Manip!G23="","",T1Manip!G23)</f>
        <v>34540</v>
      </c>
      <c r="H14" s="126">
        <f>IF(T1Manip!H23="","",T1Manip!H23)</f>
        <v>124321</v>
      </c>
      <c r="I14" s="1153">
        <f>IF(T1Manip!I23="","",T1Manip!I23)</f>
        <v>169432</v>
      </c>
      <c r="J14" s="126"/>
    </row>
    <row r="15" spans="1:12">
      <c r="A15" s="1158">
        <v>1998</v>
      </c>
      <c r="B15" s="126">
        <f>IF(T1Manip!B24="","",T1Manip!B24)</f>
        <v>2034</v>
      </c>
      <c r="C15" s="126">
        <f>IF(T1Manip!C24="","",T1Manip!C24)</f>
        <v>1055</v>
      </c>
      <c r="D15" s="126">
        <f>IF(T1Manip!D24="","",T1Manip!D24)</f>
        <v>407</v>
      </c>
      <c r="E15" s="126">
        <f>IF(T1Manip!E24="","",T1Manip!E24)</f>
        <v>1611</v>
      </c>
      <c r="F15" s="126">
        <f>IF(T1Manip!F24="","",T1Manip!F24)</f>
        <v>3577</v>
      </c>
      <c r="G15" s="126">
        <f>IF(T1Manip!G24="","",T1Manip!G24)</f>
        <v>43497</v>
      </c>
      <c r="H15" s="126">
        <f>IF(T1Manip!H24="","",T1Manip!H24)</f>
        <v>44308</v>
      </c>
      <c r="I15" s="1153">
        <f>IF(T1Manip!I24="","",T1Manip!I24)</f>
        <v>96489</v>
      </c>
      <c r="J15" s="126"/>
    </row>
    <row r="16" spans="1:12">
      <c r="A16" s="1158">
        <v>1999</v>
      </c>
      <c r="B16" s="126">
        <f>IF(T1Manip!B25="","",T1Manip!B25)</f>
        <v>1337</v>
      </c>
      <c r="C16" s="126">
        <f>IF(T1Manip!C25="","",T1Manip!C25)</f>
        <v>2069</v>
      </c>
      <c r="D16" s="126">
        <f>IF(T1Manip!D25="","",T1Manip!D25)</f>
        <v>977</v>
      </c>
      <c r="E16" s="126">
        <f>IF(T1Manip!E25="","",T1Manip!E25)</f>
        <v>1753</v>
      </c>
      <c r="F16" s="126">
        <f>IF(T1Manip!F25="","",T1Manip!F25)</f>
        <v>3585</v>
      </c>
      <c r="G16" s="126">
        <f>IF(T1Manip!G25="","",T1Manip!G25)</f>
        <v>52584</v>
      </c>
      <c r="H16" s="126">
        <f>IF(T1Manip!H25="","",T1Manip!H25)</f>
        <v>43067.18</v>
      </c>
      <c r="I16" s="1153">
        <f>IF(T1Manip!I25="","",T1Manip!I25)</f>
        <v>105372.18</v>
      </c>
      <c r="J16" s="126"/>
    </row>
    <row r="17" spans="1:11">
      <c r="A17" s="1157" t="s">
        <v>78</v>
      </c>
      <c r="B17" s="167">
        <f t="shared" ref="B17:I17" si="1">AVERAGE(B12:B16)</f>
        <v>1162.4000000000001</v>
      </c>
      <c r="C17" s="167">
        <f t="shared" si="1"/>
        <v>1778</v>
      </c>
      <c r="D17" s="167">
        <f t="shared" si="1"/>
        <v>642.6</v>
      </c>
      <c r="E17" s="167">
        <f t="shared" si="1"/>
        <v>2203.1999999999998</v>
      </c>
      <c r="F17" s="167">
        <f t="shared" si="1"/>
        <v>3580.4</v>
      </c>
      <c r="G17" s="167">
        <f t="shared" si="1"/>
        <v>40966.6</v>
      </c>
      <c r="H17" s="167">
        <f t="shared" si="1"/>
        <v>56007.835999999996</v>
      </c>
      <c r="I17" s="1152">
        <f t="shared" si="1"/>
        <v>106341.03599999999</v>
      </c>
      <c r="J17" s="167"/>
      <c r="K17" s="168"/>
    </row>
    <row r="18" spans="1:11">
      <c r="A18" s="1158">
        <v>2000</v>
      </c>
      <c r="B18" s="126">
        <f>IF(T1Manip!B26="","",T1Manip!B26)</f>
        <v>5585</v>
      </c>
      <c r="C18" s="126">
        <f>IF(T1Manip!C26="","",T1Manip!C26)</f>
        <v>2199</v>
      </c>
      <c r="D18" s="126">
        <f>IF(T1Manip!D26="","",T1Manip!D26)</f>
        <v>1418</v>
      </c>
      <c r="E18" s="126">
        <f>IF(T1Manip!E26="","",T1Manip!E26)</f>
        <v>2515</v>
      </c>
      <c r="F18" s="126">
        <f>IF(T1Manip!F26="","",T1Manip!F26)</f>
        <v>3641</v>
      </c>
      <c r="G18" s="126">
        <f>IF(T1Manip!G26="","",T1Manip!G26)</f>
        <v>55740</v>
      </c>
      <c r="H18" s="126">
        <f>IF(T1Manip!H26="","",T1Manip!H26)</f>
        <v>186715.2</v>
      </c>
      <c r="I18" s="1153">
        <f>IF(T1Manip!I26="","",T1Manip!I26)</f>
        <v>257813.2</v>
      </c>
      <c r="J18" s="126"/>
    </row>
    <row r="19" spans="1:11">
      <c r="A19" s="1158">
        <v>2001</v>
      </c>
      <c r="B19" s="126">
        <f>IF(T1Manip!B27="","",T1Manip!B27)</f>
        <v>8089</v>
      </c>
      <c r="C19" s="126">
        <f>IF(T1Manip!C27="","",T1Manip!C27)</f>
        <v>1609</v>
      </c>
      <c r="D19" s="126">
        <f>IF(T1Manip!D27="","",T1Manip!D27)</f>
        <v>1796</v>
      </c>
      <c r="E19" s="126">
        <f>IF(T1Manip!E27="","",T1Manip!E27)</f>
        <v>3777</v>
      </c>
      <c r="F19" s="126">
        <f>IF(T1Manip!F27="","",T1Manip!F27)</f>
        <v>5329</v>
      </c>
      <c r="G19" s="126">
        <f>IF(T1Manip!G27="","",T1Manip!G27)</f>
        <v>78502</v>
      </c>
      <c r="H19" s="126">
        <f>IF(T1Manip!H27="","",T1Manip!H27)</f>
        <v>439885</v>
      </c>
      <c r="I19" s="1153">
        <f>IF(T1Manip!I27="","",T1Manip!I27)</f>
        <v>538987</v>
      </c>
      <c r="J19" s="126"/>
    </row>
    <row r="20" spans="1:11">
      <c r="A20" s="1158">
        <v>2002</v>
      </c>
      <c r="B20" s="126">
        <f>IF(T1Manip!B28="","",T1Manip!B28)</f>
        <v>8661</v>
      </c>
      <c r="C20" s="126">
        <f>IF(T1Manip!C28="","",T1Manip!C28)</f>
        <v>5129</v>
      </c>
      <c r="D20" s="126">
        <f>IF(T1Manip!D28="","",T1Manip!D28)</f>
        <v>2912</v>
      </c>
      <c r="E20" s="126">
        <f>IF(T1Manip!E28="","",T1Manip!E28)</f>
        <v>3514</v>
      </c>
      <c r="F20" s="126">
        <f>IF(T1Manip!F28="","",T1Manip!F28)</f>
        <v>5905</v>
      </c>
      <c r="G20" s="126">
        <f>IF(T1Manip!G28="","",T1Manip!G28)</f>
        <v>120161</v>
      </c>
      <c r="H20" s="126">
        <f>IF(T1Manip!H28="","",T1Manip!H28)</f>
        <v>335306</v>
      </c>
      <c r="I20" s="1153">
        <f>IF(T1Manip!I28="","",T1Manip!I28)</f>
        <v>481588</v>
      </c>
      <c r="J20" s="126"/>
    </row>
    <row r="21" spans="1:11">
      <c r="A21" s="1158">
        <v>2003</v>
      </c>
      <c r="B21" s="126">
        <f>IF(T1Manip!B29="","",T1Manip!B29)</f>
        <v>6827</v>
      </c>
      <c r="C21" s="126">
        <f>IF(T1Manip!C29="","",T1Manip!C29)</f>
        <v>15954</v>
      </c>
      <c r="D21" s="126">
        <f>IF(T1Manip!D29="","",T1Manip!D29)</f>
        <v>4556</v>
      </c>
      <c r="E21" s="126">
        <f>IF(T1Manip!E29="","",T1Manip!E29)</f>
        <v>5040</v>
      </c>
      <c r="F21" s="126">
        <f>IF(T1Manip!F29="","",T1Manip!F29)</f>
        <v>5472</v>
      </c>
      <c r="G21" s="126">
        <f>IF(T1Manip!G29="","",T1Manip!G29)</f>
        <v>123355</v>
      </c>
      <c r="H21" s="126">
        <f>IF(T1Manip!H29="","",T1Manip!H29)</f>
        <v>242605.3</v>
      </c>
      <c r="I21" s="1153">
        <f>IF(T1Manip!I29="","",T1Manip!I29)</f>
        <v>403809.3</v>
      </c>
      <c r="J21" s="126"/>
    </row>
    <row r="22" spans="1:11">
      <c r="A22" s="1158">
        <v>2004</v>
      </c>
      <c r="B22" s="126">
        <f>IF(T1Manip!B30="","",T1Manip!B30)</f>
        <v>10162</v>
      </c>
      <c r="C22" s="126">
        <f>IF(T1Manip!C30="","",T1Manip!C30)</f>
        <v>16530</v>
      </c>
      <c r="D22" s="126">
        <f>IF(T1Manip!D30="","",T1Manip!D30)</f>
        <v>4286</v>
      </c>
      <c r="E22" s="126">
        <f>IF(T1Manip!E30="","",T1Manip!E30)</f>
        <v>7475</v>
      </c>
      <c r="F22" s="126">
        <f>IF(T1Manip!F30="","",T1Manip!F30)</f>
        <v>12680</v>
      </c>
      <c r="G22" s="126">
        <f>IF(T1Manip!G30="","",T1Manip!G30)</f>
        <v>143240</v>
      </c>
      <c r="H22" s="126">
        <f>IF(T1Manip!H30="","",T1Manip!H30)</f>
        <v>221675.28</v>
      </c>
      <c r="I22" s="1153">
        <f>IF(T1Manip!I30="","",T1Manip!I30)</f>
        <v>416048.28</v>
      </c>
      <c r="J22" s="126"/>
    </row>
    <row r="23" spans="1:11">
      <c r="A23" s="1157" t="s">
        <v>79</v>
      </c>
      <c r="B23" s="167">
        <f t="shared" ref="B23:I23" si="2">AVERAGE(B18:B22)</f>
        <v>7864.8</v>
      </c>
      <c r="C23" s="167">
        <f t="shared" si="2"/>
        <v>8284.2000000000007</v>
      </c>
      <c r="D23" s="167">
        <f t="shared" si="2"/>
        <v>2993.6</v>
      </c>
      <c r="E23" s="167">
        <f t="shared" si="2"/>
        <v>4464.2</v>
      </c>
      <c r="F23" s="167">
        <f t="shared" si="2"/>
        <v>6605.4</v>
      </c>
      <c r="G23" s="167">
        <f t="shared" si="2"/>
        <v>104199.6</v>
      </c>
      <c r="H23" s="167">
        <f t="shared" si="2"/>
        <v>285237.35600000003</v>
      </c>
      <c r="I23" s="1152">
        <f t="shared" si="2"/>
        <v>419649.15600000008</v>
      </c>
      <c r="J23" s="167"/>
      <c r="K23" s="168"/>
    </row>
    <row r="24" spans="1:11">
      <c r="A24" s="1158">
        <v>2005</v>
      </c>
      <c r="B24" s="126">
        <f>IF(T1Manip!B31="","",T1Manip!B31)</f>
        <v>2366</v>
      </c>
      <c r="C24" s="126">
        <f>IF(T1Manip!C31="","",T1Manip!C31)</f>
        <v>9398</v>
      </c>
      <c r="D24" s="126">
        <f>IF(T1Manip!D31="","",T1Manip!D31)</f>
        <v>3367</v>
      </c>
      <c r="E24" s="126">
        <f>IF(T1Manip!E31="","",T1Manip!E31)</f>
        <v>3512</v>
      </c>
      <c r="F24" s="126">
        <f>IF(T1Manip!F31="","",T1Manip!F31)</f>
        <v>7665</v>
      </c>
      <c r="G24" s="126">
        <f>IF(T1Manip!G31="","",T1Manip!G31)</f>
        <v>59471</v>
      </c>
      <c r="H24" s="126">
        <f>IF(T1Manip!H31="","",T1Manip!H31)</f>
        <v>106909.655</v>
      </c>
      <c r="I24" s="1153">
        <f>IF(T1Manip!I31="","",T1Manip!I31)</f>
        <v>192688.655</v>
      </c>
      <c r="J24" s="126"/>
    </row>
    <row r="25" spans="1:11">
      <c r="A25" s="1158">
        <v>2006</v>
      </c>
      <c r="B25" s="126">
        <f>IF(T1Manip!B32="","",T1Manip!B32)</f>
        <v>6998</v>
      </c>
      <c r="C25" s="126">
        <f>IF(T1Manip!C32="","",T1Manip!C32)</f>
        <v>7001</v>
      </c>
      <c r="D25" s="126">
        <f>IF(T1Manip!D32="","",T1Manip!D32)</f>
        <v>5458</v>
      </c>
      <c r="E25" s="126">
        <f>IF(T1Manip!E32="","",T1Manip!E32)</f>
        <v>7301</v>
      </c>
      <c r="F25" s="126">
        <f>IF(T1Manip!F32="","",T1Manip!F32)</f>
        <v>4382</v>
      </c>
      <c r="G25" s="126">
        <f>IF(T1Manip!G32="","",T1Manip!G32)</f>
        <v>59311</v>
      </c>
      <c r="H25" s="126">
        <f>IF(T1Manip!H32="","",T1Manip!H32)</f>
        <v>132583.34</v>
      </c>
      <c r="I25" s="1153">
        <f>IF(T1Manip!I32="","",T1Manip!I32)</f>
        <v>223034.34</v>
      </c>
      <c r="J25" s="126"/>
    </row>
    <row r="26" spans="1:11">
      <c r="A26" s="1158">
        <v>2007</v>
      </c>
      <c r="B26" s="126">
        <f>IF(T1Manip!B33="","",T1Manip!B33)</f>
        <v>6356</v>
      </c>
      <c r="C26" s="126">
        <f>IF(T1Manip!C33="","",T1Manip!C33)</f>
        <v>3961</v>
      </c>
      <c r="D26" s="126">
        <f>IF(T1Manip!D33="","",T1Manip!D33)</f>
        <v>8030</v>
      </c>
      <c r="E26" s="126">
        <f>IF(T1Manip!E33="","",T1Manip!E33)</f>
        <v>7596</v>
      </c>
      <c r="F26" s="126">
        <f>IF(T1Manip!F33="","",T1Manip!F33)</f>
        <v>2841</v>
      </c>
      <c r="G26" s="126">
        <f>IF(T1Manip!G33="","",T1Manip!G33)</f>
        <v>39963</v>
      </c>
      <c r="H26" s="126">
        <f>IF(T1Manip!H33="","",T1Manip!H33)</f>
        <v>86246.565000000002</v>
      </c>
      <c r="I26" s="1153">
        <f>IF(T1Manip!I33="","",T1Manip!I33)</f>
        <v>154993.565</v>
      </c>
      <c r="J26" s="126"/>
    </row>
    <row r="27" spans="1:11">
      <c r="A27" s="1158">
        <v>2008</v>
      </c>
      <c r="B27" s="126">
        <f>IF(T1Manip!B34="","",T1Manip!B34)</f>
        <v>3289</v>
      </c>
      <c r="C27" s="126">
        <f>IF(T1Manip!C34="","",T1Manip!C34)</f>
        <v>2978</v>
      </c>
      <c r="D27" s="126">
        <f>IF(T1Manip!D34="","",T1Manip!D34)</f>
        <v>1623</v>
      </c>
      <c r="E27" s="126">
        <f>IF(T1Manip!E34="","",T1Manip!E34)</f>
        <v>2215</v>
      </c>
      <c r="F27" s="126">
        <f>IF(T1Manip!F34="","",T1Manip!F34)</f>
        <v>5848</v>
      </c>
      <c r="G27" s="126">
        <f>IF(T1Manip!G34="","",T1Manip!G34)</f>
        <v>26615</v>
      </c>
      <c r="H27" s="126">
        <f>IF(T1Manip!H34="","",T1Manip!H34)</f>
        <v>178626.95699999999</v>
      </c>
      <c r="I27" s="1153">
        <f>IF(T1Manip!I34="","",T1Manip!I34)</f>
        <v>221194.95699999999</v>
      </c>
      <c r="J27" s="126"/>
    </row>
    <row r="28" spans="1:11">
      <c r="A28" s="1158">
        <v>2009</v>
      </c>
      <c r="B28" s="126">
        <f>IF(T1Manip!B35="","",T1Manip!B35)</f>
        <v>2830</v>
      </c>
      <c r="C28" s="126">
        <f>IF(T1Manip!C35="","",T1Manip!C35)</f>
        <v>6054</v>
      </c>
      <c r="D28" s="126">
        <f>IF(T1Manip!D35="","",T1Manip!D35)</f>
        <v>404</v>
      </c>
      <c r="E28" s="126">
        <f>IF(T1Manip!E35="","",T1Manip!E35)</f>
        <v>1493</v>
      </c>
      <c r="F28" s="126">
        <f>IF(T1Manip!F35="","",T1Manip!F35)</f>
        <v>2347</v>
      </c>
      <c r="G28" s="126">
        <f>IF(T1Manip!G35="","",T1Manip!G35)</f>
        <v>35432</v>
      </c>
      <c r="H28" s="126">
        <f>IF(T1Manip!H35="","",T1Manip!H35)</f>
        <v>169295.899</v>
      </c>
      <c r="I28" s="1153">
        <f>IF(T1Manip!I35="","",T1Manip!I35)</f>
        <v>217855.899</v>
      </c>
      <c r="J28" s="126"/>
    </row>
    <row r="29" spans="1:11">
      <c r="A29" s="1157" t="s">
        <v>80</v>
      </c>
      <c r="B29" s="167">
        <f t="shared" ref="B29:I29" si="3">AVERAGE(B24:B28)</f>
        <v>4367.8</v>
      </c>
      <c r="C29" s="167">
        <f t="shared" si="3"/>
        <v>5878.4</v>
      </c>
      <c r="D29" s="167">
        <f t="shared" si="3"/>
        <v>3776.4</v>
      </c>
      <c r="E29" s="167">
        <f t="shared" si="3"/>
        <v>4423.3999999999996</v>
      </c>
      <c r="F29" s="167">
        <f t="shared" si="3"/>
        <v>4616.6000000000004</v>
      </c>
      <c r="G29" s="167">
        <f t="shared" si="3"/>
        <v>44158.400000000001</v>
      </c>
      <c r="H29" s="167">
        <f t="shared" si="3"/>
        <v>134732.48319999999</v>
      </c>
      <c r="I29" s="1152">
        <f t="shared" si="3"/>
        <v>201953.48319999999</v>
      </c>
      <c r="J29" s="167"/>
      <c r="K29" s="168"/>
    </row>
    <row r="30" spans="1:11">
      <c r="A30" s="1158">
        <v>2010</v>
      </c>
      <c r="B30" s="126">
        <f>IF(T1Manip!B36="","",T1Manip!B36)</f>
        <v>22955</v>
      </c>
      <c r="C30" s="126">
        <f>IF(T1Manip!C36="","",T1Manip!C36)</f>
        <v>8615</v>
      </c>
      <c r="D30" s="126">
        <f>IF(T1Manip!D36="","",T1Manip!D36)</f>
        <v>977</v>
      </c>
      <c r="E30" s="126">
        <f>IF(T1Manip!E36="","",T1Manip!E36)</f>
        <v>2347</v>
      </c>
      <c r="F30" s="126">
        <f>IF(T1Manip!F36="","",T1Manip!F36)</f>
        <v>7343</v>
      </c>
      <c r="G30" s="126">
        <f>IF(T1Manip!G36="","",T1Manip!G36)</f>
        <v>107675</v>
      </c>
      <c r="H30" s="126">
        <f>IF(T1Manip!H36="","",T1Manip!H36)</f>
        <v>315345.82300000003</v>
      </c>
      <c r="I30" s="1153">
        <f>IF(T1Manip!I36="","",T1Manip!I36)</f>
        <v>465257.82300000003</v>
      </c>
      <c r="J30" s="126"/>
    </row>
    <row r="31" spans="1:11">
      <c r="A31" s="1158">
        <v>2011</v>
      </c>
      <c r="B31" s="126">
        <f>IF(T1Manip!B37="","",T1Manip!B37)</f>
        <v>8850</v>
      </c>
      <c r="C31" s="126">
        <f>IF(T1Manip!C37="","",T1Manip!C37)</f>
        <v>5379</v>
      </c>
      <c r="D31" s="126">
        <f>IF(T1Manip!D37="","",T1Manip!D37)</f>
        <v>776</v>
      </c>
      <c r="E31" s="126">
        <f>IF(T1Manip!E37="","",T1Manip!E37)</f>
        <v>1310</v>
      </c>
      <c r="F31" s="126">
        <f>IF(T1Manip!F37="","",T1Manip!F37)</f>
        <v>4702</v>
      </c>
      <c r="G31" s="126">
        <f>IF(T1Manip!G37="","",T1Manip!G37)</f>
        <v>76549</v>
      </c>
      <c r="H31" s="126">
        <f>IF(T1Manip!H37="","",T1Manip!H37)</f>
        <v>221157.83300000001</v>
      </c>
      <c r="I31" s="1153">
        <f>IF(T1Manip!I37="","",T1Manip!I37)</f>
        <v>318723.83299999998</v>
      </c>
      <c r="J31" s="126"/>
    </row>
    <row r="32" spans="1:11">
      <c r="A32" s="1158">
        <v>2012</v>
      </c>
      <c r="B32" s="126">
        <f>IF(T1Manip!B38="","",T1Manip!B38)</f>
        <v>8984</v>
      </c>
      <c r="C32" s="126">
        <f>IF(T1Manip!C38="","",T1Manip!C38)</f>
        <v>12212.851999999999</v>
      </c>
      <c r="D32" s="126">
        <f>IF(T1Manip!D38="","",T1Manip!D38)</f>
        <v>889.02629999999999</v>
      </c>
      <c r="E32" s="126">
        <f>IF(T1Manip!E38="","",T1Manip!E38)</f>
        <v>1895</v>
      </c>
      <c r="F32" s="126">
        <f>IF(T1Manip!F38="","",T1Manip!F38)</f>
        <v>4568</v>
      </c>
      <c r="G32" s="126">
        <f>IF(T1Manip!G38="","",T1Manip!G38)</f>
        <v>63037</v>
      </c>
      <c r="H32" s="126">
        <f>IF(T1Manip!H38="","",T1Manip!H38)</f>
        <v>203089.6</v>
      </c>
      <c r="I32" s="1153">
        <f>IF(T1Manip!I38="","",T1Manip!I38)</f>
        <v>294675.47830000002</v>
      </c>
      <c r="J32" s="126"/>
    </row>
    <row r="33" spans="1:11">
      <c r="A33" s="1158">
        <v>2013</v>
      </c>
      <c r="B33" s="126">
        <f>IF(T1Manip!B39="","",T1Manip!B39)</f>
        <v>5383</v>
      </c>
      <c r="C33" s="126">
        <f>IF(T1Manip!C39="","",T1Manip!C39)</f>
        <v>8132</v>
      </c>
      <c r="D33" s="126">
        <f>IF(T1Manip!D39="","",T1Manip!D39)</f>
        <v>1014</v>
      </c>
      <c r="E33" s="126">
        <f>IF(T1Manip!E39="","",T1Manip!E39)</f>
        <v>1570</v>
      </c>
      <c r="F33" s="126">
        <f>IF(T1Manip!F39="","",T1Manip!F39)</f>
        <v>3723</v>
      </c>
      <c r="G33" s="126">
        <f>IF(T1Manip!G39="","",T1Manip!G39)</f>
        <v>44880</v>
      </c>
      <c r="H33" s="126">
        <f>IF(T1Manip!H39="","",T1Manip!H39)</f>
        <v>123136.14599999999</v>
      </c>
      <c r="I33" s="1153">
        <f>IF(T1Manip!I39="","",T1Manip!I39)</f>
        <v>187838.14600000001</v>
      </c>
      <c r="J33" s="126"/>
    </row>
    <row r="34" spans="1:11">
      <c r="A34" s="1158">
        <v>2014</v>
      </c>
      <c r="B34" s="126">
        <f>IF(T1Manip!B40="","",T1Manip!B40)</f>
        <v>2479</v>
      </c>
      <c r="C34" s="126">
        <f>IF(T1Manip!C40="","",T1Manip!C40)</f>
        <v>8294</v>
      </c>
      <c r="D34" s="126">
        <f>IF(T1Manip!D40="","",T1Manip!D40)</f>
        <v>1013</v>
      </c>
      <c r="E34" s="126">
        <f>IF(T1Manip!E40="","",T1Manip!E40)</f>
        <v>1396</v>
      </c>
      <c r="F34" s="126">
        <f>IF(T1Manip!F40="","",T1Manip!F40)</f>
        <v>3106</v>
      </c>
      <c r="G34" s="126">
        <f>IF(T1Manip!G40="","",T1Manip!G40)</f>
        <v>49765</v>
      </c>
      <c r="H34" s="126">
        <f>IF(T1Manip!H40="","",T1Manip!H40)</f>
        <v>242634.83499999999</v>
      </c>
      <c r="I34" s="1153">
        <f>IF(T1Manip!I40="","",T1Manip!I40)</f>
        <v>308687.83499999996</v>
      </c>
      <c r="J34" s="126"/>
    </row>
    <row r="35" spans="1:11">
      <c r="A35" s="1157" t="s">
        <v>81</v>
      </c>
      <c r="B35" s="167">
        <f t="shared" ref="B35:I35" si="4">AVERAGE(B30:B34)</f>
        <v>9730.2000000000007</v>
      </c>
      <c r="C35" s="167">
        <f t="shared" si="4"/>
        <v>8526.5704000000005</v>
      </c>
      <c r="D35" s="167">
        <f t="shared" si="4"/>
        <v>933.80525999999986</v>
      </c>
      <c r="E35" s="167">
        <f t="shared" si="4"/>
        <v>1703.6</v>
      </c>
      <c r="F35" s="167">
        <f t="shared" si="4"/>
        <v>4688.3999999999996</v>
      </c>
      <c r="G35" s="167">
        <f t="shared" si="4"/>
        <v>68381.2</v>
      </c>
      <c r="H35" s="167">
        <f t="shared" si="4"/>
        <v>221072.8474</v>
      </c>
      <c r="I35" s="1152">
        <f t="shared" si="4"/>
        <v>315036.62306000001</v>
      </c>
      <c r="J35" s="167"/>
      <c r="K35" s="168"/>
    </row>
    <row r="36" spans="1:11">
      <c r="A36" s="1158">
        <v>2015</v>
      </c>
      <c r="B36" s="126">
        <f>IF(T1Manip!B41="","",T1Manip!B41)</f>
        <v>13562</v>
      </c>
      <c r="C36" s="126">
        <f>IF(T1Manip!C41="","",T1Manip!C41)</f>
        <v>26504</v>
      </c>
      <c r="D36" s="126">
        <f>IF(T1Manip!D41="","",T1Manip!D41)</f>
        <v>3237</v>
      </c>
      <c r="E36" s="126">
        <f>IF(T1Manip!E41="","",T1Manip!E41)</f>
        <v>1108</v>
      </c>
      <c r="F36" s="126">
        <f>IF(T1Manip!F41="","",T1Manip!F41)</f>
        <v>3474</v>
      </c>
      <c r="G36" s="126">
        <f>IF(T1Manip!G41="","",T1Manip!G41)</f>
        <v>84532</v>
      </c>
      <c r="H36" s="126">
        <f>IF(T1Manip!H41="","",T1Manip!H41)</f>
        <v>288993</v>
      </c>
      <c r="I36" s="1153">
        <f>IF(T1Manip!I41="","",T1Manip!I41)</f>
        <v>421410</v>
      </c>
      <c r="J36" s="126"/>
    </row>
    <row r="37" spans="1:11">
      <c r="A37" s="1158">
        <v>2016</v>
      </c>
      <c r="B37" s="126">
        <f>IF(T1Manip!B42="","",T1Manip!B42)</f>
        <v>9920</v>
      </c>
      <c r="C37" s="126">
        <f>IF(T1Manip!C42="","",T1Manip!C42)</f>
        <v>24554</v>
      </c>
      <c r="D37" s="126">
        <f>IF(T1Manip!D42="","",T1Manip!D42)</f>
        <v>4462</v>
      </c>
      <c r="E37" s="126">
        <f>IF(T1Manip!E42="","",T1Manip!E42)</f>
        <v>597</v>
      </c>
      <c r="F37" s="126">
        <f>IF(T1Manip!F42="","",T1Manip!F42)</f>
        <v>3964</v>
      </c>
      <c r="G37" s="126">
        <f>IF(T1Manip!G42="","",T1Manip!G42)</f>
        <v>47225</v>
      </c>
      <c r="H37" s="126">
        <f>IF(T1Manip!H42="","",T1Manip!H42)</f>
        <v>187815.79699999999</v>
      </c>
      <c r="I37" s="1153">
        <f>IF(T1Manip!I42="","",T1Manip!I42)</f>
        <v>278537.79700000002</v>
      </c>
      <c r="J37" s="126"/>
    </row>
    <row r="38" spans="1:11">
      <c r="A38" s="1158">
        <v>2017</v>
      </c>
      <c r="B38" s="126">
        <f>IF(T1Manip!B43="","",T1Manip!B43)</f>
        <v>16818</v>
      </c>
      <c r="C38" s="126">
        <f>IF(T1Manip!C43="","",T1Manip!C43)</f>
        <v>14618</v>
      </c>
      <c r="D38" s="126">
        <f>IF(T1Manip!D43="","",T1Manip!D43)</f>
        <v>3505</v>
      </c>
      <c r="E38" s="126">
        <f>IF(T1Manip!E43="","",T1Manip!E43)</f>
        <v>2338</v>
      </c>
      <c r="F38" s="126">
        <f>IF(T1Manip!F43="","",T1Manip!F43)</f>
        <v>7607</v>
      </c>
      <c r="G38" s="126">
        <f>IF(T1Manip!G43="","",T1Manip!G43)</f>
        <v>50774</v>
      </c>
      <c r="H38" s="126">
        <f>IF(T1Manip!H43="","",T1Manip!H43)</f>
        <v>115820.9</v>
      </c>
      <c r="I38" s="1153">
        <f>IF(T1Manip!I43="","",T1Manip!I43)</f>
        <v>211480.9</v>
      </c>
      <c r="J38" s="126"/>
    </row>
    <row r="39" spans="1:11" ht="13.5" customHeight="1">
      <c r="A39" s="1158">
        <v>2018</v>
      </c>
      <c r="B39" s="126">
        <f>IF(T1Manip!B44="","",T1Manip!B44)</f>
        <v>10569</v>
      </c>
      <c r="C39" s="126">
        <f>IF(T1Manip!C44="","",T1Manip!C44)</f>
        <v>4196</v>
      </c>
      <c r="D39" s="126">
        <f>IF(T1Manip!D44="","",T1Manip!D44)</f>
        <v>1889</v>
      </c>
      <c r="E39" s="126">
        <f>IF(T1Manip!E44="","",T1Manip!E44)</f>
        <v>3138</v>
      </c>
      <c r="F39" s="126">
        <f>IF(T1Manip!F44="","",T1Manip!F44)</f>
        <v>4838</v>
      </c>
      <c r="G39" s="126">
        <f>IF(T1Manip!G44="","",T1Manip!G44)</f>
        <v>37441</v>
      </c>
      <c r="H39" s="126">
        <f>IF(T1Manip!H44="","",T1Manip!H44)</f>
        <v>115080.8</v>
      </c>
      <c r="I39" s="1153">
        <f>IF(T1Manip!I44="","",T1Manip!I44)</f>
        <v>177151.8</v>
      </c>
      <c r="J39" s="126"/>
    </row>
    <row r="40" spans="1:11" ht="13.5" customHeight="1">
      <c r="A40" s="1158">
        <v>2019</v>
      </c>
      <c r="B40" s="126">
        <f>IF(T1Manip!B45="","",T1Manip!B45)</f>
        <v>2717</v>
      </c>
      <c r="C40" s="126">
        <f>IF(T1Manip!C45="","",T1Manip!C45)</f>
        <v>1573</v>
      </c>
      <c r="D40" s="126">
        <f>IF(T1Manip!D45="","",T1Manip!D45)</f>
        <v>809</v>
      </c>
      <c r="E40" s="126">
        <f>IF(T1Manip!E45="","",T1Manip!E45)</f>
        <v>997</v>
      </c>
      <c r="F40" s="126">
        <f>IF(T1Manip!F45="","",T1Manip!F45)</f>
        <v>3424</v>
      </c>
      <c r="G40" s="126">
        <f>IF(T1Manip!G45="","",T1Manip!G45)</f>
        <v>27292</v>
      </c>
      <c r="H40" s="126">
        <f>IF(T1Manip!H45="","",T1Manip!H45)</f>
        <v>73105</v>
      </c>
      <c r="I40" s="1153">
        <f>IF(T1Manip!I45="","",T1Manip!I45)</f>
        <v>109917</v>
      </c>
      <c r="J40" s="126"/>
      <c r="K40" s="7"/>
    </row>
    <row r="41" spans="1:11" ht="13.5" customHeight="1">
      <c r="A41" s="1157" t="s">
        <v>82</v>
      </c>
      <c r="B41" s="167">
        <f t="shared" ref="B41:I41" si="5">AVERAGE(B36:B40)</f>
        <v>10717.2</v>
      </c>
      <c r="C41" s="167">
        <f t="shared" si="5"/>
        <v>14289</v>
      </c>
      <c r="D41" s="167">
        <f t="shared" si="5"/>
        <v>2780.4</v>
      </c>
      <c r="E41" s="167">
        <f t="shared" si="5"/>
        <v>1635.6</v>
      </c>
      <c r="F41" s="167">
        <f t="shared" si="5"/>
        <v>4661.3999999999996</v>
      </c>
      <c r="G41" s="167">
        <f t="shared" si="5"/>
        <v>49452.800000000003</v>
      </c>
      <c r="H41" s="167">
        <f t="shared" si="5"/>
        <v>156163.09940000001</v>
      </c>
      <c r="I41" s="1152">
        <f t="shared" si="5"/>
        <v>239699.4994</v>
      </c>
      <c r="J41" s="126"/>
      <c r="K41" s="7"/>
    </row>
    <row r="42" spans="1:11" ht="13.5" customHeight="1">
      <c r="A42" s="1159">
        <v>2020</v>
      </c>
      <c r="B42" s="126">
        <f>IF(T1Manip!B46="","",T1Manip!B46)</f>
        <v>4003</v>
      </c>
      <c r="C42" s="126">
        <f>IF(T1Manip!C46="","",T1Manip!C46)</f>
        <v>908</v>
      </c>
      <c r="D42" s="126">
        <f>IF(T1Manip!D46="","",T1Manip!D46)</f>
        <v>1158</v>
      </c>
      <c r="E42" s="126">
        <f>IF(T1Manip!E46="","",T1Manip!E46)</f>
        <v>1900</v>
      </c>
      <c r="F42" s="126">
        <f>IF(T1Manip!F46="","",T1Manip!F46)</f>
        <v>7782</v>
      </c>
      <c r="G42" s="126">
        <f>IF(T1Manip!G46="","",T1Manip!G46)</f>
        <v>45965</v>
      </c>
      <c r="H42" s="126">
        <f>IF(T1Manip!H46="","",T1Manip!H46)</f>
        <v>81301</v>
      </c>
      <c r="I42" s="1153">
        <f>IF(T1Manip!I46="","",T1Manip!I46)</f>
        <v>143017</v>
      </c>
      <c r="J42" s="126"/>
      <c r="K42" s="7"/>
    </row>
    <row r="43" spans="1:11" ht="13.5" customHeight="1">
      <c r="A43" s="1159">
        <v>2021</v>
      </c>
      <c r="B43" s="126">
        <f>IF(T1Manip!B47="","",T1Manip!B47)</f>
        <v>6897</v>
      </c>
      <c r="C43" s="126">
        <f>IF(T1Manip!C47="","",T1Manip!C47)</f>
        <v>3700</v>
      </c>
      <c r="D43" s="126">
        <f>IF(T1Manip!D47="","",T1Manip!D47)</f>
        <v>1857</v>
      </c>
      <c r="E43" s="126">
        <f>IF(T1Manip!E47="","",T1Manip!E47)</f>
        <v>2938</v>
      </c>
      <c r="F43" s="126">
        <f>IF(T1Manip!F47="","",T1Manip!F47)</f>
        <v>5676</v>
      </c>
      <c r="G43" s="126">
        <f>IF(T1Manip!G47="","",T1Manip!G47)</f>
        <v>41308</v>
      </c>
      <c r="H43" s="126">
        <f>IF(T1Manip!H47="","",T1Manip!H47)</f>
        <v>91756</v>
      </c>
      <c r="I43" s="1153">
        <f>IF(T1Manip!I47="","",T1Manip!I47)</f>
        <v>154132</v>
      </c>
      <c r="J43" s="126"/>
      <c r="K43" s="7"/>
    </row>
    <row r="44" spans="1:11" ht="13.5" customHeight="1">
      <c r="A44" s="1159">
        <v>2022</v>
      </c>
      <c r="B44" s="126">
        <f>IF(T1Manip!B48="","",T1Manip!B48)</f>
        <v>19186</v>
      </c>
      <c r="C44" s="126">
        <f>IF(T1Manip!C48="","",T1Manip!C48)</f>
        <v>7146</v>
      </c>
      <c r="D44" s="126">
        <f>IF(T1Manip!D48="","",T1Manip!D48)</f>
        <v>3148</v>
      </c>
      <c r="E44" s="126">
        <f>IF(T1Manip!E48="","",T1Manip!E48)</f>
        <v>6875</v>
      </c>
      <c r="F44" s="126">
        <f>IF(T1Manip!F48="","",T1Manip!F48)</f>
        <v>10289</v>
      </c>
      <c r="G44" s="126">
        <f>IF(T1Manip!G48="","",T1Manip!G48)</f>
        <v>55391</v>
      </c>
      <c r="H44" s="126">
        <f>IF(T1Manip!H48="","",T1Manip!H48)</f>
        <v>185379</v>
      </c>
      <c r="I44" s="1153">
        <f>IF(T1Manip!I48="","",T1Manip!I48)</f>
        <v>287414</v>
      </c>
      <c r="J44" s="126"/>
      <c r="K44" s="7"/>
    </row>
    <row r="45" spans="1:11" ht="13.5" customHeight="1">
      <c r="A45" s="1159">
        <v>2023</v>
      </c>
      <c r="B45" s="126">
        <f>IF(T1Manip!B48="","",T1Manip!B49)</f>
        <v>21468</v>
      </c>
      <c r="C45" s="126">
        <f>IF(T1Manip!C48="","",T1Manip!C49)</f>
        <v>6217</v>
      </c>
      <c r="D45" s="126">
        <f>IF(T1Manip!D48="","",T1Manip!D49)</f>
        <v>2525</v>
      </c>
      <c r="E45" s="126">
        <f>IF(T1Manip!E48="","",T1Manip!E49)</f>
        <v>3191</v>
      </c>
      <c r="F45" s="126">
        <f>IF(T1Manip!F48="","",T1Manip!F49)</f>
        <v>6312</v>
      </c>
      <c r="G45" s="126">
        <f>IF(T1Manip!G48="","",T1Manip!G49)</f>
        <v>38373</v>
      </c>
      <c r="H45" s="126">
        <f>IF(T1Manip!H48="","",T1Manip!H49)</f>
        <v>141179</v>
      </c>
      <c r="I45" s="1153">
        <f>IF(T1Manip!I48="","",T1Manip!I49)</f>
        <v>219265</v>
      </c>
      <c r="J45" s="126"/>
      <c r="K45" s="7"/>
    </row>
    <row r="46" spans="1:11" ht="13.5" customHeight="1">
      <c r="A46" s="1159">
        <v>2024</v>
      </c>
      <c r="B46" s="126">
        <f>IF(T1Manip!B49="","",T1Manip!B50)</f>
        <v>17424</v>
      </c>
      <c r="C46" s="126">
        <f>IF(T1Manip!C49="","",T1Manip!C50)</f>
        <v>8983</v>
      </c>
      <c r="D46" s="126">
        <f>IF(T1Manip!D49="","",T1Manip!D50)</f>
        <v>2474</v>
      </c>
      <c r="E46" s="126">
        <f>IF(T1Manip!E49="","",T1Manip!E50)</f>
        <v>2722</v>
      </c>
      <c r="F46" s="126">
        <f>IF(T1Manip!F49="","",T1Manip!F50)</f>
        <v>5358</v>
      </c>
      <c r="G46" s="126">
        <f>IF(T1Manip!G49="","",T1Manip!G50)</f>
        <v>37737</v>
      </c>
      <c r="H46" s="126">
        <f>IF(T1Manip!H49="","",T1Manip!H50)</f>
        <v>116332</v>
      </c>
      <c r="I46" s="1153">
        <f>IF(T1Manip!I49="","",T1Manip!I50)</f>
        <v>191030</v>
      </c>
      <c r="J46" s="126"/>
      <c r="K46" s="7"/>
    </row>
    <row r="47" spans="1:11" ht="13.5" customHeight="1">
      <c r="A47" s="1410">
        <v>2025</v>
      </c>
      <c r="B47" s="1154">
        <f>IF(T1Manip!B50="","",T1Manip!B51)</f>
        <v>19818</v>
      </c>
      <c r="C47" s="1154">
        <f>IF(T1Manip!C50="","",T1Manip!C51)</f>
        <v>11377</v>
      </c>
      <c r="D47" s="1154">
        <f>IF(T1Manip!D50="","",T1Manip!D51)</f>
        <v>4235</v>
      </c>
      <c r="E47" s="1154">
        <f>IF(T1Manip!E50="","",T1Manip!E51)</f>
        <v>4719</v>
      </c>
      <c r="F47" s="1154">
        <f>IF(T1Manip!F50="","",T1Manip!F51)</f>
        <v>7123</v>
      </c>
      <c r="G47" s="1154">
        <f>IF(T1Manip!G50="","",T1Manip!G51)</f>
        <v>50527</v>
      </c>
      <c r="H47" s="1154">
        <f>IF(T1Manip!H50="","",T1Manip!H51)</f>
        <v>154703</v>
      </c>
      <c r="I47" s="1155">
        <f>IF(T1Manip!I50="","",T1Manip!I51)</f>
        <v>252502</v>
      </c>
      <c r="J47" s="126"/>
      <c r="K47" s="7"/>
    </row>
    <row r="48" spans="1:11" s="428" customFormat="1" ht="50.25" customHeight="1">
      <c r="A48" s="1724" t="s">
        <v>83</v>
      </c>
      <c r="B48" s="1724"/>
      <c r="C48" s="1724"/>
      <c r="D48" s="1724"/>
      <c r="E48" s="1724"/>
      <c r="F48" s="1724"/>
      <c r="G48" s="1724"/>
      <c r="H48" s="1724"/>
      <c r="I48" s="1724"/>
      <c r="J48" s="429"/>
    </row>
    <row r="49" spans="1:10" s="428" customFormat="1" ht="50.25" customHeight="1">
      <c r="A49" s="1724" t="s">
        <v>84</v>
      </c>
      <c r="B49" s="1724"/>
      <c r="C49" s="1724"/>
      <c r="D49" s="1724"/>
      <c r="E49" s="1724"/>
      <c r="F49" s="1724"/>
      <c r="G49" s="1724"/>
      <c r="H49" s="1724"/>
      <c r="I49" s="1724"/>
      <c r="J49" s="429"/>
    </row>
    <row r="50" spans="1:10" s="428" customFormat="1" ht="21" customHeight="1">
      <c r="A50" s="1724" t="s">
        <v>85</v>
      </c>
      <c r="B50" s="1724"/>
      <c r="C50" s="1724"/>
      <c r="D50" s="1724"/>
      <c r="E50" s="1724"/>
      <c r="F50" s="1724"/>
      <c r="G50" s="1724"/>
      <c r="H50" s="1724"/>
      <c r="I50" s="1724"/>
      <c r="J50" s="429"/>
    </row>
    <row r="51" spans="1:10" s="428" customFormat="1" ht="63.75" customHeight="1">
      <c r="A51" s="1724" t="s">
        <v>86</v>
      </c>
      <c r="B51" s="1724"/>
      <c r="C51" s="1724"/>
      <c r="D51" s="1724"/>
      <c r="E51" s="1724"/>
      <c r="F51" s="1724"/>
      <c r="G51" s="1724"/>
      <c r="H51" s="1724"/>
      <c r="I51" s="1724"/>
      <c r="J51" s="429"/>
    </row>
    <row r="52" spans="1:10" ht="15.75">
      <c r="A52" s="7"/>
    </row>
    <row r="53" spans="1:10" ht="15.75">
      <c r="A53" s="169" t="s">
        <v>87</v>
      </c>
    </row>
    <row r="54" spans="1:10" ht="15.75">
      <c r="A54" s="170"/>
    </row>
  </sheetData>
  <mergeCells count="4">
    <mergeCell ref="A48:I48"/>
    <mergeCell ref="A49:I49"/>
    <mergeCell ref="A50:I50"/>
    <mergeCell ref="A51:I51"/>
  </mergeCells>
  <pageMargins left="0.75" right="0.75" top="1" bottom="1" header="0.5" footer="0.5"/>
  <pageSetup scale="93" orientation="portrait" r:id="rId1"/>
  <headerFooter alignWithMargins="0"/>
  <colBreaks count="1" manualBreakCount="1">
    <brk id="10"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F73AC-F476-4899-A84E-5209A33AF45B}">
  <sheetPr>
    <tabColor rgb="FF66FF33"/>
  </sheetPr>
  <dimension ref="A1:N67"/>
  <sheetViews>
    <sheetView zoomScale="80" zoomScaleNormal="80" workbookViewId="0">
      <pane xSplit="1" ySplit="3" topLeftCell="B4" activePane="bottomRight" state="frozen"/>
      <selection pane="bottomRight" activeCell="F55" sqref="F55"/>
      <selection pane="bottomLeft" activeCell="J33" sqref="J33"/>
      <selection pane="topRight" activeCell="J33" sqref="J33"/>
    </sheetView>
  </sheetViews>
  <sheetFormatPr defaultColWidth="9.33203125" defaultRowHeight="12.75"/>
  <cols>
    <col min="1" max="1" width="20.33203125" style="48" customWidth="1"/>
    <col min="2" max="13" width="20.83203125" style="48" customWidth="1"/>
    <col min="14" max="16384" width="9.33203125" style="48"/>
  </cols>
  <sheetData>
    <row r="1" spans="1:13">
      <c r="A1" s="48" t="s">
        <v>88</v>
      </c>
    </row>
    <row r="2" spans="1:13" ht="12.75" customHeight="1">
      <c r="A2" s="60"/>
      <c r="B2" s="1725" t="s">
        <v>89</v>
      </c>
      <c r="C2" s="1725"/>
      <c r="D2" s="1725"/>
      <c r="E2" s="1725" t="s">
        <v>90</v>
      </c>
      <c r="F2" s="1725"/>
      <c r="G2" s="1725"/>
      <c r="H2" s="1725" t="s">
        <v>91</v>
      </c>
      <c r="I2" s="1725"/>
      <c r="J2" s="1725"/>
      <c r="K2" s="1725" t="s">
        <v>92</v>
      </c>
      <c r="L2" s="1725"/>
      <c r="M2" s="1725"/>
    </row>
    <row r="3" spans="1:13" ht="17.25" customHeight="1">
      <c r="A3" s="48" t="s">
        <v>28</v>
      </c>
      <c r="B3" s="48" t="s">
        <v>93</v>
      </c>
      <c r="C3" s="48" t="s">
        <v>94</v>
      </c>
      <c r="D3" s="48" t="s">
        <v>95</v>
      </c>
      <c r="E3" s="48" t="s">
        <v>93</v>
      </c>
      <c r="F3" s="48" t="s">
        <v>94</v>
      </c>
      <c r="G3" s="48" t="s">
        <v>95</v>
      </c>
      <c r="H3" s="48" t="s">
        <v>96</v>
      </c>
      <c r="I3" s="48" t="s">
        <v>94</v>
      </c>
      <c r="J3" s="48" t="s">
        <v>95</v>
      </c>
      <c r="K3" s="48" t="s">
        <v>96</v>
      </c>
      <c r="L3" s="48" t="s">
        <v>94</v>
      </c>
      <c r="M3" s="48" t="s">
        <v>95</v>
      </c>
    </row>
    <row r="4" spans="1:13">
      <c r="A4" s="171">
        <v>1985</v>
      </c>
      <c r="B4" s="172">
        <f>70*1000</f>
        <v>70000</v>
      </c>
      <c r="C4" s="172">
        <v>68090</v>
      </c>
      <c r="D4" s="172">
        <f t="shared" ref="D4:D44" si="0">C4/B4*100</f>
        <v>97.271428571428572</v>
      </c>
      <c r="E4" s="173" t="s">
        <v>97</v>
      </c>
      <c r="F4" s="172">
        <f>T1Manip!F10</f>
        <v>1449</v>
      </c>
      <c r="G4" s="173" t="s">
        <v>97</v>
      </c>
      <c r="H4" s="173" t="s">
        <v>97</v>
      </c>
      <c r="I4" s="174">
        <v>14400</v>
      </c>
      <c r="J4" s="173" t="s">
        <v>97</v>
      </c>
      <c r="K4" s="172">
        <v>52600</v>
      </c>
      <c r="L4" s="172">
        <f>84.7*1000</f>
        <v>84700</v>
      </c>
      <c r="M4" s="172">
        <f t="shared" ref="M4:M44" si="1">L4/K4*100</f>
        <v>161.02661596958174</v>
      </c>
    </row>
    <row r="5" spans="1:13">
      <c r="A5" s="171">
        <v>1986</v>
      </c>
      <c r="B5" s="172">
        <f>65*1000</f>
        <v>65000</v>
      </c>
      <c r="C5" s="172">
        <v>73552</v>
      </c>
      <c r="D5" s="172">
        <f t="shared" si="0"/>
        <v>113.15692307692306</v>
      </c>
      <c r="E5" s="173" t="s">
        <v>97</v>
      </c>
      <c r="F5" s="172">
        <f>T1Manip!F11</f>
        <v>1286</v>
      </c>
      <c r="G5" s="173" t="s">
        <v>97</v>
      </c>
      <c r="H5" s="173" t="s">
        <v>97</v>
      </c>
      <c r="I5" s="174">
        <v>16700</v>
      </c>
      <c r="J5" s="173" t="s">
        <v>97</v>
      </c>
      <c r="K5" s="172">
        <v>115000</v>
      </c>
      <c r="L5" s="172">
        <f>120.6*1000</f>
        <v>120600</v>
      </c>
      <c r="M5" s="172">
        <f t="shared" si="1"/>
        <v>104.8695652173913</v>
      </c>
    </row>
    <row r="6" spans="1:13">
      <c r="A6" s="171">
        <v>1987</v>
      </c>
      <c r="B6" s="172">
        <f>78*1000</f>
        <v>78000</v>
      </c>
      <c r="C6" s="172">
        <v>93593</v>
      </c>
      <c r="D6" s="172">
        <f t="shared" si="0"/>
        <v>119.99102564102564</v>
      </c>
      <c r="E6" s="173" t="s">
        <v>97</v>
      </c>
      <c r="F6" s="172">
        <f>T1Manip!F12</f>
        <v>2353</v>
      </c>
      <c r="G6" s="173" t="s">
        <v>97</v>
      </c>
      <c r="H6" s="173" t="s">
        <v>97</v>
      </c>
      <c r="I6" s="174">
        <v>37000</v>
      </c>
      <c r="J6" s="173" t="s">
        <v>97</v>
      </c>
      <c r="K6" s="172">
        <v>79700</v>
      </c>
      <c r="L6" s="172">
        <f>99.8*1000</f>
        <v>99800</v>
      </c>
      <c r="M6" s="172">
        <f t="shared" si="1"/>
        <v>125.21957340025094</v>
      </c>
    </row>
    <row r="7" spans="1:13">
      <c r="A7" s="171">
        <v>1988</v>
      </c>
      <c r="B7" s="172">
        <f>97*1000</f>
        <v>97000</v>
      </c>
      <c r="C7" s="172">
        <v>118112</v>
      </c>
      <c r="D7" s="172">
        <f t="shared" si="0"/>
        <v>121.76494845360826</v>
      </c>
      <c r="E7" s="173" t="s">
        <v>97</v>
      </c>
      <c r="F7" s="172">
        <f>T1Manip!F13</f>
        <v>2931</v>
      </c>
      <c r="G7" s="173" t="s">
        <v>97</v>
      </c>
      <c r="H7" s="172">
        <v>32000</v>
      </c>
      <c r="I7" s="174">
        <v>24900</v>
      </c>
      <c r="J7" s="172">
        <f t="shared" ref="J7:J44" si="2">I7/H7*100</f>
        <v>77.8125</v>
      </c>
      <c r="K7" s="172">
        <v>53400</v>
      </c>
      <c r="L7" s="172">
        <f>97*1000</f>
        <v>97000</v>
      </c>
      <c r="M7" s="172">
        <f t="shared" si="1"/>
        <v>181.64794007490636</v>
      </c>
    </row>
    <row r="8" spans="1:13">
      <c r="A8" s="171">
        <v>1989</v>
      </c>
      <c r="B8" s="172">
        <f>102*1000</f>
        <v>102000</v>
      </c>
      <c r="C8" s="172">
        <v>114929</v>
      </c>
      <c r="D8" s="172">
        <f t="shared" si="0"/>
        <v>112.67549019607843</v>
      </c>
      <c r="E8" s="173" t="s">
        <v>97</v>
      </c>
      <c r="F8" s="172">
        <f>T1Manip!F14</f>
        <v>2004</v>
      </c>
      <c r="G8" s="173" t="s">
        <v>97</v>
      </c>
      <c r="H8" s="172">
        <v>16100</v>
      </c>
      <c r="I8" s="174">
        <v>22300</v>
      </c>
      <c r="J8" s="172">
        <f t="shared" si="2"/>
        <v>138.50931677018633</v>
      </c>
      <c r="K8" s="172">
        <v>92700</v>
      </c>
      <c r="L8" s="172">
        <f>82.6*1000</f>
        <v>82600</v>
      </c>
      <c r="M8" s="172">
        <f t="shared" si="1"/>
        <v>89.104638619201722</v>
      </c>
    </row>
    <row r="9" spans="1:13">
      <c r="A9" s="171">
        <v>1990</v>
      </c>
      <c r="B9" s="172">
        <f>128*1000</f>
        <v>128000</v>
      </c>
      <c r="C9" s="172">
        <v>130588</v>
      </c>
      <c r="D9" s="172">
        <f t="shared" si="0"/>
        <v>102.02187499999999</v>
      </c>
      <c r="E9" s="173" t="s">
        <v>97</v>
      </c>
      <c r="F9" s="172">
        <f>T1Manip!F16</f>
        <v>3527</v>
      </c>
      <c r="G9" s="173" t="s">
        <v>97</v>
      </c>
      <c r="H9" s="172">
        <v>18600</v>
      </c>
      <c r="I9" s="172">
        <f>T1Manip!C16+T1Manip!D16+T1Manip!E16</f>
        <v>18841</v>
      </c>
      <c r="J9" s="172">
        <f t="shared" si="2"/>
        <v>101.29569892473118</v>
      </c>
      <c r="K9" s="172">
        <v>120800</v>
      </c>
      <c r="L9" s="172">
        <f>99.1*1000</f>
        <v>99100</v>
      </c>
      <c r="M9" s="172">
        <f t="shared" si="1"/>
        <v>82.036423841059602</v>
      </c>
    </row>
    <row r="10" spans="1:13">
      <c r="A10" s="171">
        <v>1991</v>
      </c>
      <c r="B10" s="172">
        <f>110*1000</f>
        <v>110000</v>
      </c>
      <c r="C10" s="172">
        <v>109929</v>
      </c>
      <c r="D10" s="172">
        <f t="shared" si="0"/>
        <v>99.935454545454547</v>
      </c>
      <c r="E10" s="173" t="s">
        <v>97</v>
      </c>
      <c r="F10" s="172">
        <f>T1Manip!F17</f>
        <v>3652</v>
      </c>
      <c r="G10" s="173" t="s">
        <v>97</v>
      </c>
      <c r="H10" s="172">
        <v>19700</v>
      </c>
      <c r="I10" s="172">
        <f>T1Manip!C17+T1Manip!D17+T1Manip!E17</f>
        <v>19892</v>
      </c>
      <c r="J10" s="172">
        <f t="shared" si="2"/>
        <v>100.97461928934011</v>
      </c>
      <c r="K10" s="172">
        <v>61900</v>
      </c>
      <c r="L10" s="172">
        <f>59.2*1000</f>
        <v>59200</v>
      </c>
      <c r="M10" s="172">
        <f t="shared" si="1"/>
        <v>95.638126009693053</v>
      </c>
    </row>
    <row r="11" spans="1:13">
      <c r="A11" s="171">
        <v>1992</v>
      </c>
      <c r="B11" s="172">
        <f>106*1000</f>
        <v>106000</v>
      </c>
      <c r="C11" s="172">
        <v>75008</v>
      </c>
      <c r="D11" s="172">
        <f t="shared" si="0"/>
        <v>70.762264150943395</v>
      </c>
      <c r="E11" s="173" t="s">
        <v>97</v>
      </c>
      <c r="F11" s="172">
        <f>T1Manip!F18</f>
        <v>8551</v>
      </c>
      <c r="G11" s="173" t="s">
        <v>97</v>
      </c>
      <c r="H11" s="172">
        <v>26600</v>
      </c>
      <c r="I11" s="172">
        <f>T1Manip!C18+T1Manip!D18+T1Manip!E18</f>
        <v>18808</v>
      </c>
      <c r="J11" s="172">
        <f t="shared" si="2"/>
        <v>70.706766917293223</v>
      </c>
      <c r="K11" s="172">
        <v>71400</v>
      </c>
      <c r="L11" s="172">
        <f>89.8*1000</f>
        <v>89800</v>
      </c>
      <c r="M11" s="172">
        <f t="shared" si="1"/>
        <v>125.77030812324929</v>
      </c>
    </row>
    <row r="12" spans="1:13">
      <c r="A12" s="171">
        <v>1993</v>
      </c>
      <c r="B12" s="172">
        <f>70*1000</f>
        <v>70000</v>
      </c>
      <c r="C12" s="172">
        <v>65934</v>
      </c>
      <c r="D12" s="172">
        <f t="shared" si="0"/>
        <v>94.191428571428574</v>
      </c>
      <c r="E12" s="173" t="s">
        <v>97</v>
      </c>
      <c r="F12" s="172">
        <f>T1Manip!F19</f>
        <v>6369</v>
      </c>
      <c r="G12" s="173" t="s">
        <v>97</v>
      </c>
      <c r="H12" s="172">
        <v>21300</v>
      </c>
      <c r="I12" s="172">
        <f>T1Manip!C19+T1Manip!D19+T1Manip!E19</f>
        <v>20527</v>
      </c>
      <c r="J12" s="172">
        <f t="shared" si="2"/>
        <v>96.370892018779344</v>
      </c>
      <c r="K12" s="172">
        <v>76200</v>
      </c>
      <c r="L12" s="172">
        <f>111*1000</f>
        <v>111000</v>
      </c>
      <c r="M12" s="172">
        <f t="shared" si="1"/>
        <v>145.6692913385827</v>
      </c>
    </row>
    <row r="13" spans="1:13">
      <c r="A13" s="171">
        <v>1994</v>
      </c>
      <c r="B13" s="172">
        <f>75*1000</f>
        <v>75000</v>
      </c>
      <c r="C13" s="172">
        <v>49580</v>
      </c>
      <c r="D13" s="172">
        <f t="shared" si="0"/>
        <v>66.106666666666669</v>
      </c>
      <c r="E13" s="173" t="s">
        <v>97</v>
      </c>
      <c r="F13" s="172">
        <f>T1Manip!F20</f>
        <v>3498</v>
      </c>
      <c r="G13" s="173" t="s">
        <v>97</v>
      </c>
      <c r="H13" s="172">
        <v>12300</v>
      </c>
      <c r="I13" s="172">
        <f>T1Manip!C20+T1Manip!D20+T1Manip!E20</f>
        <v>7482</v>
      </c>
      <c r="J13" s="172">
        <f t="shared" si="2"/>
        <v>60.829268292682926</v>
      </c>
      <c r="K13" s="172">
        <v>49000</v>
      </c>
      <c r="L13" s="172">
        <f>20.8*1000</f>
        <v>20800</v>
      </c>
      <c r="M13" s="172">
        <f t="shared" si="1"/>
        <v>42.448979591836732</v>
      </c>
    </row>
    <row r="14" spans="1:13">
      <c r="A14" s="171">
        <v>1995</v>
      </c>
      <c r="B14" s="172">
        <f>49*1000</f>
        <v>49000</v>
      </c>
      <c r="C14" s="172">
        <v>42563</v>
      </c>
      <c r="D14" s="172">
        <f t="shared" si="0"/>
        <v>86.863265306122457</v>
      </c>
      <c r="E14" s="173" t="s">
        <v>97</v>
      </c>
      <c r="F14" s="172">
        <f>T1Manip!F21</f>
        <v>2529</v>
      </c>
      <c r="G14" s="173" t="s">
        <v>97</v>
      </c>
      <c r="H14" s="172">
        <v>4600</v>
      </c>
      <c r="I14" s="172">
        <f>T1Manip!C21+T1Manip!D21+T1Manip!E21</f>
        <v>6525</v>
      </c>
      <c r="J14" s="172">
        <f t="shared" si="2"/>
        <v>141.84782608695653</v>
      </c>
      <c r="K14" s="172">
        <v>12000</v>
      </c>
      <c r="L14" s="172">
        <f>9.8*1000</f>
        <v>9800</v>
      </c>
      <c r="M14" s="172">
        <f t="shared" si="1"/>
        <v>81.666666666666671</v>
      </c>
    </row>
    <row r="15" spans="1:13">
      <c r="A15" s="171">
        <v>1996</v>
      </c>
      <c r="B15" s="172">
        <f>41*1000</f>
        <v>41000</v>
      </c>
      <c r="C15" s="172">
        <v>34765</v>
      </c>
      <c r="D15" s="172">
        <f t="shared" si="0"/>
        <v>84.792682926829272</v>
      </c>
      <c r="E15" s="173" t="s">
        <v>97</v>
      </c>
      <c r="F15" s="172">
        <f>T1Manip!F22</f>
        <v>3801</v>
      </c>
      <c r="G15" s="173" t="s">
        <v>97</v>
      </c>
      <c r="H15" s="172">
        <v>4400</v>
      </c>
      <c r="I15" s="172">
        <f>T1Manip!C22+T1Manip!D22+T1Manip!E22</f>
        <v>4144</v>
      </c>
      <c r="J15" s="172">
        <f t="shared" si="2"/>
        <v>94.181818181818173</v>
      </c>
      <c r="K15" s="172">
        <v>37200</v>
      </c>
      <c r="L15" s="172">
        <f>51.5*1000</f>
        <v>51500</v>
      </c>
      <c r="M15" s="172">
        <f t="shared" si="1"/>
        <v>138.44086021505376</v>
      </c>
    </row>
    <row r="16" spans="1:13">
      <c r="A16" s="171">
        <v>1997</v>
      </c>
      <c r="B16" s="172">
        <f>30*1000</f>
        <v>30000</v>
      </c>
      <c r="C16" s="172">
        <v>35303</v>
      </c>
      <c r="D16" s="172">
        <f t="shared" si="0"/>
        <v>117.67666666666668</v>
      </c>
      <c r="E16" s="173" t="s">
        <v>97</v>
      </c>
      <c r="F16" s="172">
        <f>T1Manip!F23</f>
        <v>4410</v>
      </c>
      <c r="G16" s="173" t="s">
        <v>97</v>
      </c>
      <c r="H16" s="172">
        <v>4500</v>
      </c>
      <c r="I16" s="172">
        <f>T1Manip!C23+T1Manip!D23+T1Manip!E23</f>
        <v>4578</v>
      </c>
      <c r="J16" s="172">
        <f t="shared" si="2"/>
        <v>101.73333333333335</v>
      </c>
      <c r="K16" s="172">
        <v>67800</v>
      </c>
      <c r="L16" s="172">
        <f>114*1000</f>
        <v>114000</v>
      </c>
      <c r="M16" s="172">
        <f t="shared" si="1"/>
        <v>168.14159292035399</v>
      </c>
    </row>
    <row r="17" spans="1:13">
      <c r="A17" s="171">
        <v>1998</v>
      </c>
      <c r="B17" s="172">
        <f>33.7*1000</f>
        <v>33700</v>
      </c>
      <c r="C17" s="172">
        <v>45139</v>
      </c>
      <c r="D17" s="172">
        <f t="shared" si="0"/>
        <v>133.94362017804153</v>
      </c>
      <c r="E17" s="173" t="s">
        <v>97</v>
      </c>
      <c r="F17" s="172">
        <f>T1Manip!F24</f>
        <v>3577</v>
      </c>
      <c r="G17" s="173" t="s">
        <v>97</v>
      </c>
      <c r="H17" s="172">
        <v>2900</v>
      </c>
      <c r="I17" s="172">
        <f>T1Manip!C24+T1Manip!D24+T1Manip!E24</f>
        <v>3073</v>
      </c>
      <c r="J17" s="172">
        <f t="shared" si="2"/>
        <v>105.9655172413793</v>
      </c>
      <c r="K17" s="172">
        <v>36200</v>
      </c>
      <c r="L17" s="172">
        <f>38.3*1000</f>
        <v>38300</v>
      </c>
      <c r="M17" s="172">
        <f t="shared" si="1"/>
        <v>105.8011049723757</v>
      </c>
    </row>
    <row r="18" spans="1:13">
      <c r="A18" s="171">
        <v>1999</v>
      </c>
      <c r="B18" s="172">
        <v>46500</v>
      </c>
      <c r="C18" s="172">
        <v>54202</v>
      </c>
      <c r="D18" s="172">
        <f t="shared" si="0"/>
        <v>116.56344086021507</v>
      </c>
      <c r="E18" s="172">
        <v>4300</v>
      </c>
      <c r="F18" s="172">
        <f>T1Manip!F25</f>
        <v>3585</v>
      </c>
      <c r="G18" s="172">
        <f t="shared" ref="G18:G34" si="3">F18/E18*100</f>
        <v>83.372093023255815</v>
      </c>
      <c r="H18" s="172">
        <v>3900</v>
      </c>
      <c r="I18" s="172">
        <f>T1Manip!C25+T1Manip!D25+T1Manip!E25</f>
        <v>4799</v>
      </c>
      <c r="J18" s="172">
        <f t="shared" si="2"/>
        <v>123.05128205128204</v>
      </c>
      <c r="K18" s="172">
        <v>24600</v>
      </c>
      <c r="L18" s="172">
        <f>38.7*1000</f>
        <v>38700</v>
      </c>
      <c r="M18" s="172">
        <f t="shared" si="1"/>
        <v>157.3170731707317</v>
      </c>
    </row>
    <row r="19" spans="1:13">
      <c r="A19" s="171">
        <v>2000</v>
      </c>
      <c r="B19" s="172">
        <v>59900</v>
      </c>
      <c r="C19" s="172">
        <v>57454</v>
      </c>
      <c r="D19" s="172">
        <f t="shared" si="0"/>
        <v>95.916527545909844</v>
      </c>
      <c r="E19" s="172">
        <v>3800</v>
      </c>
      <c r="F19" s="172">
        <f>T1Manip!F26</f>
        <v>3641</v>
      </c>
      <c r="G19" s="172">
        <f t="shared" si="3"/>
        <v>95.815789473684205</v>
      </c>
      <c r="H19" s="172">
        <v>6000</v>
      </c>
      <c r="I19" s="172">
        <f>T1Manip!C26+T1Manip!D26+T1Manip!E26</f>
        <v>6132</v>
      </c>
      <c r="J19" s="172">
        <f t="shared" si="2"/>
        <v>102.2</v>
      </c>
      <c r="K19" s="172">
        <v>134000</v>
      </c>
      <c r="L19" s="172">
        <f>178.6*1000</f>
        <v>178600</v>
      </c>
      <c r="M19" s="172">
        <f t="shared" si="1"/>
        <v>133.28358208955225</v>
      </c>
    </row>
    <row r="20" spans="1:13">
      <c r="A20" s="171">
        <v>2001</v>
      </c>
      <c r="B20" s="172">
        <v>61000</v>
      </c>
      <c r="C20" s="172">
        <v>80366</v>
      </c>
      <c r="D20" s="172">
        <f t="shared" si="0"/>
        <v>131.74754098360654</v>
      </c>
      <c r="E20" s="172">
        <v>4000</v>
      </c>
      <c r="F20" s="172">
        <f>T1Manip!F27</f>
        <v>5329</v>
      </c>
      <c r="G20" s="172">
        <f t="shared" si="3"/>
        <v>133.22499999999999</v>
      </c>
      <c r="H20" s="172">
        <v>4800</v>
      </c>
      <c r="I20" s="172">
        <f>T1Manip!C27+T1Manip!D27+T1Manip!E27</f>
        <v>7182</v>
      </c>
      <c r="J20" s="172">
        <f t="shared" si="2"/>
        <v>149.625</v>
      </c>
      <c r="K20" s="172">
        <v>364600</v>
      </c>
      <c r="L20" s="172">
        <f>416.5*1000</f>
        <v>416500</v>
      </c>
      <c r="M20" s="172">
        <f t="shared" si="1"/>
        <v>114.23477783872738</v>
      </c>
    </row>
    <row r="21" spans="1:13">
      <c r="A21" s="171">
        <v>2002</v>
      </c>
      <c r="B21" s="172">
        <v>73800</v>
      </c>
      <c r="C21" s="172">
        <v>121711</v>
      </c>
      <c r="D21" s="172">
        <f t="shared" si="0"/>
        <v>164.92005420054201</v>
      </c>
      <c r="E21" s="172">
        <v>4300</v>
      </c>
      <c r="F21" s="172">
        <f>T1Manip!F28</f>
        <v>5905</v>
      </c>
      <c r="G21" s="172">
        <f t="shared" si="3"/>
        <v>137.32558139534882</v>
      </c>
      <c r="H21" s="172">
        <v>6700</v>
      </c>
      <c r="I21" s="172">
        <f>T1Manip!C28+T1Manip!D28+T1Manip!E28</f>
        <v>11555</v>
      </c>
      <c r="J21" s="172">
        <f t="shared" si="2"/>
        <v>172.46268656716416</v>
      </c>
      <c r="K21" s="172">
        <v>333700</v>
      </c>
      <c r="L21" s="172">
        <f>295.1*1000</f>
        <v>295100</v>
      </c>
      <c r="M21" s="172">
        <f t="shared" si="1"/>
        <v>88.432724003596036</v>
      </c>
    </row>
    <row r="22" spans="1:13">
      <c r="A22" s="171">
        <v>2003</v>
      </c>
      <c r="B22" s="172">
        <v>109800</v>
      </c>
      <c r="C22" s="172">
        <v>126580</v>
      </c>
      <c r="D22" s="172">
        <f t="shared" si="0"/>
        <v>115.28233151183971</v>
      </c>
      <c r="E22" s="172">
        <v>4800</v>
      </c>
      <c r="F22" s="172">
        <f>T1Manip!F29</f>
        <v>5472</v>
      </c>
      <c r="G22" s="172">
        <f t="shared" si="3"/>
        <v>113.99999999999999</v>
      </c>
      <c r="H22" s="172">
        <v>11600</v>
      </c>
      <c r="I22" s="172">
        <f>T1Manip!C29+T1Manip!D29+T1Manip!E29</f>
        <v>25550</v>
      </c>
      <c r="J22" s="172">
        <f t="shared" si="2"/>
        <v>220.25862068965517</v>
      </c>
      <c r="K22" s="172">
        <v>145400</v>
      </c>
      <c r="L22" s="172">
        <f>208.9*1000</f>
        <v>208900</v>
      </c>
      <c r="M22" s="172">
        <f t="shared" si="1"/>
        <v>143.67262723521321</v>
      </c>
    </row>
    <row r="23" spans="1:13">
      <c r="A23" s="171">
        <v>2004</v>
      </c>
      <c r="B23" s="172">
        <v>109400</v>
      </c>
      <c r="C23" s="172">
        <v>144448</v>
      </c>
      <c r="D23" s="172">
        <f t="shared" si="0"/>
        <v>132.03656307129799</v>
      </c>
      <c r="E23" s="172">
        <v>5200</v>
      </c>
      <c r="F23" s="172">
        <f>T1Manip!F30</f>
        <v>12680</v>
      </c>
      <c r="G23" s="172">
        <f t="shared" si="3"/>
        <v>243.84615384615387</v>
      </c>
      <c r="H23" s="172">
        <v>27300</v>
      </c>
      <c r="I23" s="172">
        <f>T1Manip!C30+T1Manip!D30+T1Manip!E30</f>
        <v>28291</v>
      </c>
      <c r="J23" s="172">
        <f t="shared" si="2"/>
        <v>103.63003663003663</v>
      </c>
      <c r="K23" s="172">
        <v>360700</v>
      </c>
      <c r="L23" s="172">
        <f>193.4*1000</f>
        <v>193400</v>
      </c>
      <c r="M23" s="172">
        <f t="shared" si="1"/>
        <v>53.617965067923478</v>
      </c>
    </row>
    <row r="24" spans="1:13">
      <c r="A24" s="171">
        <v>2005</v>
      </c>
      <c r="B24" s="172">
        <v>116900</v>
      </c>
      <c r="C24" s="172">
        <v>60976</v>
      </c>
      <c r="D24" s="172">
        <f t="shared" si="0"/>
        <v>52.16082121471343</v>
      </c>
      <c r="E24" s="172">
        <v>7400</v>
      </c>
      <c r="F24" s="172">
        <f>T1Manip!F31</f>
        <v>7665</v>
      </c>
      <c r="G24" s="172">
        <f t="shared" si="3"/>
        <v>103.58108108108108</v>
      </c>
      <c r="H24" s="172">
        <v>24800</v>
      </c>
      <c r="I24" s="172">
        <f>T1Manip!C31+T1Manip!D31+T1Manip!E31</f>
        <v>16277</v>
      </c>
      <c r="J24" s="172">
        <f t="shared" si="2"/>
        <v>65.633064516129039</v>
      </c>
      <c r="K24" s="172">
        <v>254100</v>
      </c>
      <c r="L24" s="172">
        <f>T1Manip!H31</f>
        <v>106909.655</v>
      </c>
      <c r="M24" s="172">
        <f t="shared" si="1"/>
        <v>42.07385084612357</v>
      </c>
    </row>
    <row r="25" spans="1:13">
      <c r="A25" s="171">
        <v>2006</v>
      </c>
      <c r="B25" s="172">
        <v>46500</v>
      </c>
      <c r="C25" s="172">
        <v>59662</v>
      </c>
      <c r="D25" s="172">
        <f t="shared" si="0"/>
        <v>128.30537634408603</v>
      </c>
      <c r="E25" s="172">
        <v>8200</v>
      </c>
      <c r="F25" s="172">
        <f>T1Manip!F32</f>
        <v>4382</v>
      </c>
      <c r="G25" s="172">
        <f t="shared" si="3"/>
        <v>53.439024390243908</v>
      </c>
      <c r="H25" s="172">
        <v>15200</v>
      </c>
      <c r="I25" s="172">
        <f>T1Manip!C32+T1Manip!D32+T1Manip!E32</f>
        <v>19760</v>
      </c>
      <c r="J25" s="172">
        <f t="shared" si="2"/>
        <v>130</v>
      </c>
      <c r="K25" s="172">
        <v>88400</v>
      </c>
      <c r="L25" s="172">
        <f>T1Manip!H32</f>
        <v>132583.34</v>
      </c>
      <c r="M25" s="172">
        <f t="shared" si="1"/>
        <v>149.98115384615386</v>
      </c>
    </row>
    <row r="26" spans="1:13">
      <c r="A26" s="171">
        <v>2007</v>
      </c>
      <c r="B26" s="172">
        <v>52000</v>
      </c>
      <c r="C26" s="172">
        <v>40489</v>
      </c>
      <c r="D26" s="172">
        <f t="shared" si="0"/>
        <v>77.863461538461536</v>
      </c>
      <c r="E26" s="172">
        <v>7900</v>
      </c>
      <c r="F26" s="172">
        <f>T1Manip!F33</f>
        <v>2841</v>
      </c>
      <c r="G26" s="172">
        <f t="shared" si="3"/>
        <v>35.962025316455701</v>
      </c>
      <c r="H26" s="172">
        <v>15900</v>
      </c>
      <c r="I26" s="172">
        <f>T1Manip!C33+T1Manip!D33+T1Manip!E33</f>
        <v>19587</v>
      </c>
      <c r="J26" s="172">
        <f t="shared" si="2"/>
        <v>123.18867924528303</v>
      </c>
      <c r="K26" s="172">
        <v>78500</v>
      </c>
      <c r="L26" s="172">
        <f>T1Manip!H33</f>
        <v>86246.565000000002</v>
      </c>
      <c r="M26" s="172">
        <f t="shared" si="1"/>
        <v>109.86823566878981</v>
      </c>
    </row>
    <row r="27" spans="1:13">
      <c r="A27" s="171">
        <v>2008</v>
      </c>
      <c r="B27" s="172">
        <v>34050</v>
      </c>
      <c r="C27" s="172">
        <v>27356</v>
      </c>
      <c r="D27" s="172">
        <f t="shared" si="0"/>
        <v>80.340675477239358</v>
      </c>
      <c r="E27" s="172">
        <v>6800</v>
      </c>
      <c r="F27" s="172">
        <f>T1Manip!F34</f>
        <v>5848</v>
      </c>
      <c r="G27" s="172">
        <f t="shared" si="3"/>
        <v>86</v>
      </c>
      <c r="H27" s="172">
        <v>12400</v>
      </c>
      <c r="I27" s="172">
        <f>T1Manip!C34+T1Manip!D34+T1Manip!E34</f>
        <v>6816</v>
      </c>
      <c r="J27" s="172">
        <f t="shared" si="2"/>
        <v>54.967741935483872</v>
      </c>
      <c r="K27" s="172">
        <v>269300</v>
      </c>
      <c r="L27" s="172">
        <f>T1Manip!H34</f>
        <v>178626.95699999999</v>
      </c>
      <c r="M27" s="172">
        <f t="shared" si="1"/>
        <v>66.3300991459339</v>
      </c>
    </row>
    <row r="28" spans="1:13">
      <c r="A28" s="171">
        <v>2009</v>
      </c>
      <c r="B28" s="172">
        <v>37614</v>
      </c>
      <c r="C28" s="172">
        <v>39410</v>
      </c>
      <c r="D28" s="172">
        <f t="shared" si="0"/>
        <v>104.774817886957</v>
      </c>
      <c r="E28" s="172">
        <v>5200</v>
      </c>
      <c r="F28" s="172">
        <f>T1Manip!F35</f>
        <v>2347</v>
      </c>
      <c r="G28" s="172">
        <f t="shared" si="3"/>
        <v>45.134615384615387</v>
      </c>
      <c r="H28" s="172">
        <v>7200</v>
      </c>
      <c r="I28" s="172">
        <f>T1Manip!C35+T1Manip!D35+T1Manip!E35</f>
        <v>7951</v>
      </c>
      <c r="J28" s="172">
        <f t="shared" si="2"/>
        <v>110.43055555555557</v>
      </c>
      <c r="K28" s="172">
        <v>298900</v>
      </c>
      <c r="L28" s="172">
        <f>T1Manip!H35</f>
        <v>169295.899</v>
      </c>
      <c r="M28" s="172">
        <f t="shared" si="1"/>
        <v>56.639645031783203</v>
      </c>
    </row>
    <row r="29" spans="1:13">
      <c r="A29" s="171">
        <v>2010</v>
      </c>
      <c r="B29" s="172">
        <v>62662</v>
      </c>
      <c r="C29" s="172">
        <v>110536</v>
      </c>
      <c r="D29" s="172">
        <f t="shared" si="0"/>
        <v>176.40037024033705</v>
      </c>
      <c r="E29" s="172">
        <v>3700</v>
      </c>
      <c r="F29" s="172">
        <f>T1Manip!F36</f>
        <v>7343</v>
      </c>
      <c r="G29" s="172">
        <f t="shared" si="3"/>
        <v>198.45945945945945</v>
      </c>
      <c r="H29" s="172">
        <v>19400</v>
      </c>
      <c r="I29" s="172">
        <f>T1Manip!C36+T1Manip!D36+T1Manip!E36</f>
        <v>11939</v>
      </c>
      <c r="J29" s="172">
        <f t="shared" si="2"/>
        <v>61.541237113402062</v>
      </c>
      <c r="K29" s="172">
        <v>470000</v>
      </c>
      <c r="L29" s="172">
        <f>T1Manip!H36</f>
        <v>315345.82300000003</v>
      </c>
      <c r="M29" s="172">
        <f t="shared" si="1"/>
        <v>67.094855957446825</v>
      </c>
    </row>
    <row r="30" spans="1:13">
      <c r="A30" s="171">
        <v>2011</v>
      </c>
      <c r="B30" s="172">
        <v>104067</v>
      </c>
      <c r="C30" s="172">
        <v>80254</v>
      </c>
      <c r="D30" s="172">
        <f t="shared" si="0"/>
        <v>77.117626144695237</v>
      </c>
      <c r="E30" s="172">
        <v>5500</v>
      </c>
      <c r="F30" s="172">
        <f>T1Manip!F37</f>
        <v>4702</v>
      </c>
      <c r="G30" s="172">
        <f t="shared" si="3"/>
        <v>85.490909090909099</v>
      </c>
      <c r="H30" s="172">
        <v>10600</v>
      </c>
      <c r="I30" s="172">
        <f>T1Manip!C37+T1Manip!D37+T1Manip!E37</f>
        <v>7465</v>
      </c>
      <c r="J30" s="172">
        <f t="shared" si="2"/>
        <v>70.424528301886795</v>
      </c>
      <c r="K30" s="172">
        <v>198400</v>
      </c>
      <c r="L30" s="172">
        <f>T1Manip!H37</f>
        <v>221157.83300000001</v>
      </c>
      <c r="M30" s="172">
        <f t="shared" si="1"/>
        <v>111.47068195564518</v>
      </c>
    </row>
    <row r="31" spans="1:13">
      <c r="A31" s="171">
        <v>2012</v>
      </c>
      <c r="B31" s="172">
        <v>83402</v>
      </c>
      <c r="C31" s="172">
        <v>65115</v>
      </c>
      <c r="D31" s="172">
        <f t="shared" si="0"/>
        <v>78.073667298146333</v>
      </c>
      <c r="E31" s="172">
        <v>4800</v>
      </c>
      <c r="F31" s="172">
        <f>T1Manip!F38</f>
        <v>4568</v>
      </c>
      <c r="G31" s="172">
        <f t="shared" si="3"/>
        <v>95.166666666666671</v>
      </c>
      <c r="H31" s="172">
        <v>12100</v>
      </c>
      <c r="I31" s="172">
        <f>T1Manip!C38+T1Manip!D38+T1Manip!E38</f>
        <v>14996.878299999998</v>
      </c>
      <c r="J31" s="172">
        <f t="shared" si="2"/>
        <v>123.9411429752066</v>
      </c>
      <c r="K31" s="172">
        <v>314200</v>
      </c>
      <c r="L31" s="172">
        <f>T1Manip!H38</f>
        <v>203089.6</v>
      </c>
      <c r="M31" s="172">
        <f t="shared" si="1"/>
        <v>64.637046467218326</v>
      </c>
    </row>
    <row r="32" spans="1:13">
      <c r="A32" s="171">
        <v>2013</v>
      </c>
      <c r="B32" s="172">
        <v>59845</v>
      </c>
      <c r="C32" s="172">
        <v>47311</v>
      </c>
      <c r="D32" s="172">
        <f t="shared" si="0"/>
        <v>79.055894393850778</v>
      </c>
      <c r="E32" s="172">
        <v>6100</v>
      </c>
      <c r="F32" s="172">
        <f>T1Manip!F39</f>
        <v>3723</v>
      </c>
      <c r="G32" s="172">
        <f t="shared" si="3"/>
        <v>61.032786885245905</v>
      </c>
      <c r="H32" s="172">
        <v>7800</v>
      </c>
      <c r="I32" s="172">
        <f>T1Manip!C39+T1Manip!D39+T1Manip!E39</f>
        <v>10716</v>
      </c>
      <c r="J32" s="172">
        <f t="shared" si="2"/>
        <v>137.38461538461539</v>
      </c>
      <c r="K32" s="172">
        <v>141400</v>
      </c>
      <c r="L32" s="172">
        <f>T1Manip!H39</f>
        <v>123136.14599999999</v>
      </c>
      <c r="M32" s="172">
        <f t="shared" si="1"/>
        <v>87.083554455445551</v>
      </c>
    </row>
    <row r="33" spans="1:13">
      <c r="A33" s="48">
        <v>2014</v>
      </c>
      <c r="B33" s="175">
        <v>58690</v>
      </c>
      <c r="C33" s="175">
        <v>51794</v>
      </c>
      <c r="D33" s="172">
        <f t="shared" si="0"/>
        <v>88.250127790083482</v>
      </c>
      <c r="E33" s="172">
        <v>5500</v>
      </c>
      <c r="F33" s="172">
        <f>T1Manip!F40</f>
        <v>3106</v>
      </c>
      <c r="G33" s="172">
        <f t="shared" si="3"/>
        <v>56.472727272727276</v>
      </c>
      <c r="H33" s="172">
        <v>13800</v>
      </c>
      <c r="I33" s="172">
        <f>T1Manip!C40+T1Manip!D40+T1Manip!E40</f>
        <v>10703</v>
      </c>
      <c r="J33" s="172">
        <f t="shared" si="2"/>
        <v>77.55797101449275</v>
      </c>
      <c r="K33" s="172">
        <v>227000</v>
      </c>
      <c r="L33" s="172">
        <f>T1Manip!H40</f>
        <v>242634.83499999999</v>
      </c>
      <c r="M33" s="172">
        <f t="shared" si="1"/>
        <v>106.88759251101321</v>
      </c>
    </row>
    <row r="34" spans="1:13">
      <c r="A34" s="48">
        <v>2015</v>
      </c>
      <c r="B34" s="175">
        <v>55440</v>
      </c>
      <c r="C34" s="175">
        <v>87071</v>
      </c>
      <c r="D34" s="172">
        <f t="shared" si="0"/>
        <v>157.05447330447331</v>
      </c>
      <c r="E34" s="172">
        <v>5500</v>
      </c>
      <c r="F34" s="172">
        <f>T1Manip!F41</f>
        <v>3474</v>
      </c>
      <c r="G34" s="172">
        <f t="shared" si="3"/>
        <v>63.163636363636364</v>
      </c>
      <c r="H34" s="175">
        <v>14200</v>
      </c>
      <c r="I34" s="172">
        <f>T1Manip!C41+T1Manip!D41+T1Manip!E41</f>
        <v>30849</v>
      </c>
      <c r="J34" s="172">
        <f t="shared" si="2"/>
        <v>217.24647887323943</v>
      </c>
      <c r="K34" s="175">
        <v>232500</v>
      </c>
      <c r="L34" s="172">
        <f>T1Manip!H41</f>
        <v>288993</v>
      </c>
      <c r="M34" s="175">
        <f t="shared" si="1"/>
        <v>124.29806451612903</v>
      </c>
    </row>
    <row r="35" spans="1:13">
      <c r="A35" s="48">
        <v>2016</v>
      </c>
      <c r="B35" s="175">
        <v>70100</v>
      </c>
      <c r="C35" s="172">
        <v>49768</v>
      </c>
      <c r="D35" s="172">
        <f t="shared" si="0"/>
        <v>70.995720399429388</v>
      </c>
      <c r="E35" s="173" t="s">
        <v>97</v>
      </c>
      <c r="F35" s="172">
        <f>T1Manip!F42</f>
        <v>3964</v>
      </c>
      <c r="G35" s="173" t="s">
        <v>97</v>
      </c>
      <c r="H35" s="175">
        <v>31100</v>
      </c>
      <c r="I35" s="172">
        <f>T1Manip!C42+T1Manip!D42+T1Manip!E42</f>
        <v>29613</v>
      </c>
      <c r="J35" s="172">
        <f t="shared" si="2"/>
        <v>95.218649517684881</v>
      </c>
      <c r="K35" s="175">
        <v>188800</v>
      </c>
      <c r="L35" s="172">
        <f>T1Manip!H42</f>
        <v>187815.79699999999</v>
      </c>
      <c r="M35" s="175">
        <f t="shared" si="1"/>
        <v>99.478706038135584</v>
      </c>
    </row>
    <row r="36" spans="1:13">
      <c r="A36" s="48">
        <v>2017</v>
      </c>
      <c r="B36" s="175">
        <v>40190</v>
      </c>
      <c r="C36" s="172">
        <v>53653</v>
      </c>
      <c r="D36" s="172">
        <f t="shared" si="0"/>
        <v>133.49838268225926</v>
      </c>
      <c r="E36" s="172">
        <v>3600</v>
      </c>
      <c r="F36" s="172">
        <f>T1Manip!F43</f>
        <v>7607</v>
      </c>
      <c r="G36" s="172">
        <f t="shared" ref="G36:G44" si="4">F36/E36*100</f>
        <v>211.30555555555554</v>
      </c>
      <c r="H36" s="175">
        <v>20900</v>
      </c>
      <c r="I36" s="172">
        <f>T1Manip!C43+T1Manip!D43+T1Manip!E43</f>
        <v>20461</v>
      </c>
      <c r="J36" s="172">
        <f t="shared" si="2"/>
        <v>97.899521531100476</v>
      </c>
      <c r="K36" s="172">
        <v>160400</v>
      </c>
      <c r="L36" s="172">
        <f>T1Manip!H43</f>
        <v>115820.9</v>
      </c>
      <c r="M36" s="175">
        <f t="shared" si="1"/>
        <v>72.207543640897754</v>
      </c>
    </row>
    <row r="37" spans="1:13">
      <c r="A37" s="48">
        <v>2018</v>
      </c>
      <c r="B37" s="175">
        <v>55950</v>
      </c>
      <c r="C37" s="172">
        <v>39660</v>
      </c>
      <c r="D37" s="172">
        <f t="shared" si="0"/>
        <v>70.88471849865951</v>
      </c>
      <c r="E37" s="172">
        <v>5400</v>
      </c>
      <c r="F37" s="172">
        <f>T1Manip!F44</f>
        <v>4838</v>
      </c>
      <c r="G37" s="172">
        <f t="shared" si="4"/>
        <v>89.592592592592595</v>
      </c>
      <c r="H37" s="175">
        <f>5150+1450+3700</f>
        <v>10300</v>
      </c>
      <c r="I37" s="172">
        <f>T1Manip!C44+T1Manip!D44+T1Manip!E44</f>
        <v>9223</v>
      </c>
      <c r="J37" s="172">
        <f t="shared" si="2"/>
        <v>89.543689320388353</v>
      </c>
      <c r="K37" s="172">
        <v>166700</v>
      </c>
      <c r="L37" s="172">
        <f>T1Manip!H44</f>
        <v>115080.8</v>
      </c>
      <c r="M37" s="175">
        <f t="shared" si="1"/>
        <v>69.034673065386926</v>
      </c>
    </row>
    <row r="38" spans="1:13">
      <c r="A38" s="48">
        <v>2019</v>
      </c>
      <c r="B38" s="175">
        <v>42490</v>
      </c>
      <c r="C38" s="172">
        <v>29314</v>
      </c>
      <c r="D38" s="172">
        <f t="shared" si="0"/>
        <v>68.990350670746054</v>
      </c>
      <c r="E38" s="172">
        <v>5500</v>
      </c>
      <c r="F38" s="172">
        <f>T1Manip!F45</f>
        <v>3424</v>
      </c>
      <c r="G38" s="172">
        <f t="shared" si="4"/>
        <v>62.25454545454545</v>
      </c>
      <c r="H38" s="175">
        <f>1300+1400+1600</f>
        <v>4300</v>
      </c>
      <c r="I38" s="172">
        <f>T1Manip!C45+T1Manip!D45+T1Manip!E45</f>
        <v>3379</v>
      </c>
      <c r="J38" s="172">
        <f t="shared" si="2"/>
        <v>78.581395348837219</v>
      </c>
      <c r="K38" s="172">
        <v>99300</v>
      </c>
      <c r="L38" s="172">
        <f>T1Manip!H45</f>
        <v>73105</v>
      </c>
      <c r="M38" s="175">
        <f t="shared" si="1"/>
        <v>73.620342396777431</v>
      </c>
    </row>
    <row r="39" spans="1:13">
      <c r="A39" s="48">
        <v>2020</v>
      </c>
      <c r="B39" s="175">
        <v>43430</v>
      </c>
      <c r="C39" s="172">
        <v>47327</v>
      </c>
      <c r="D39" s="172">
        <f t="shared" si="0"/>
        <v>108.97306009670736</v>
      </c>
      <c r="E39" s="172">
        <v>5200</v>
      </c>
      <c r="F39" s="172">
        <f>T1Manip!F46</f>
        <v>7782</v>
      </c>
      <c r="G39" s="172">
        <f t="shared" si="4"/>
        <v>149.65384615384616</v>
      </c>
      <c r="H39" s="175">
        <v>3840</v>
      </c>
      <c r="I39" s="172">
        <f>T1Manip!C46+T1Manip!D46+T1Manip!E46</f>
        <v>3966</v>
      </c>
      <c r="J39" s="172">
        <f t="shared" si="2"/>
        <v>103.28124999999999</v>
      </c>
      <c r="K39" s="172">
        <v>81700</v>
      </c>
      <c r="L39" s="172">
        <f>T1Manip!H46</f>
        <v>81301</v>
      </c>
      <c r="M39" s="175">
        <f t="shared" si="1"/>
        <v>99.511627906976742</v>
      </c>
    </row>
    <row r="40" spans="1:13">
      <c r="A40" s="48">
        <v>2021</v>
      </c>
      <c r="B40" s="175">
        <v>52400</v>
      </c>
      <c r="C40" s="172">
        <v>43148</v>
      </c>
      <c r="D40" s="172">
        <f t="shared" si="0"/>
        <v>82.343511450381683</v>
      </c>
      <c r="E40" s="172">
        <v>5300</v>
      </c>
      <c r="F40" s="172">
        <f>T1Manip!F47</f>
        <v>5676</v>
      </c>
      <c r="G40" s="172">
        <f t="shared" si="4"/>
        <v>107.0943396226415</v>
      </c>
      <c r="H40" s="175">
        <f>1800+2200+2400</f>
        <v>6400</v>
      </c>
      <c r="I40" s="172">
        <f>T1Manip!C47+T1Manip!D47+T1Manip!E47</f>
        <v>8495</v>
      </c>
      <c r="J40" s="172">
        <f t="shared" si="2"/>
        <v>132.734375</v>
      </c>
      <c r="K40" s="172">
        <v>75200</v>
      </c>
      <c r="L40" s="172">
        <f>T1Manip!H47</f>
        <v>91756</v>
      </c>
      <c r="M40" s="175">
        <f t="shared" si="1"/>
        <v>122.01595744680851</v>
      </c>
    </row>
    <row r="41" spans="1:13">
      <c r="A41" s="48">
        <v>2022</v>
      </c>
      <c r="B41" s="73">
        <v>52900</v>
      </c>
      <c r="C41" s="73">
        <v>57317</v>
      </c>
      <c r="D41" s="172">
        <f t="shared" si="0"/>
        <v>108.34971644612477</v>
      </c>
      <c r="E41" s="48">
        <v>5600</v>
      </c>
      <c r="F41" s="172">
        <f>T1Manip!F48</f>
        <v>10289</v>
      </c>
      <c r="G41" s="172">
        <f t="shared" si="4"/>
        <v>183.73214285714286</v>
      </c>
      <c r="H41" s="175">
        <f>4100+2000+2400</f>
        <v>8500</v>
      </c>
      <c r="I41" s="172">
        <f>T1Manip!C48+T1Manip!D48+T1Manip!E48</f>
        <v>17169</v>
      </c>
      <c r="J41" s="172">
        <f t="shared" si="2"/>
        <v>201.98823529411766</v>
      </c>
      <c r="K41" s="172">
        <v>122900</v>
      </c>
      <c r="L41" s="172">
        <f>T1Manip!H48</f>
        <v>185379</v>
      </c>
      <c r="M41" s="175">
        <f t="shared" si="1"/>
        <v>150.83726606997558</v>
      </c>
    </row>
    <row r="42" spans="1:13">
      <c r="A42" s="48">
        <v>2023</v>
      </c>
      <c r="B42" s="73">
        <v>73000</v>
      </c>
      <c r="C42" s="175">
        <v>39537</v>
      </c>
      <c r="D42" s="172">
        <f t="shared" si="0"/>
        <v>54.160273972602738</v>
      </c>
      <c r="E42" s="73">
        <v>7800</v>
      </c>
      <c r="F42" s="48">
        <v>6312</v>
      </c>
      <c r="G42" s="172">
        <f t="shared" si="4"/>
        <v>80.92307692307692</v>
      </c>
      <c r="H42" s="175">
        <f>T1Manip!$C$70+T1Manip!$D$70+T1Manip!$E$70</f>
        <v>17600</v>
      </c>
      <c r="I42" s="48">
        <v>11933</v>
      </c>
      <c r="J42" s="172">
        <f t="shared" si="2"/>
        <v>67.80113636363636</v>
      </c>
      <c r="K42" s="172">
        <f>T1Manip!$H$70</f>
        <v>147300</v>
      </c>
      <c r="L42" s="172">
        <v>141179</v>
      </c>
      <c r="M42" s="175">
        <f t="shared" si="1"/>
        <v>95.844534962661228</v>
      </c>
    </row>
    <row r="43" spans="1:13">
      <c r="A43" s="48">
        <v>2024</v>
      </c>
      <c r="B43" s="73">
        <v>50400</v>
      </c>
      <c r="C43" s="175">
        <v>38898</v>
      </c>
      <c r="D43" s="172">
        <f t="shared" si="0"/>
        <v>77.178571428571431</v>
      </c>
      <c r="E43" s="73">
        <v>7700</v>
      </c>
      <c r="F43" s="48">
        <v>5358</v>
      </c>
      <c r="G43" s="172">
        <f t="shared" si="4"/>
        <v>69.584415584415581</v>
      </c>
      <c r="H43" s="175">
        <v>10000</v>
      </c>
      <c r="I43" s="48">
        <v>14179</v>
      </c>
      <c r="J43" s="172">
        <f t="shared" si="2"/>
        <v>141.79</v>
      </c>
      <c r="K43" s="172">
        <v>121000</v>
      </c>
      <c r="L43" s="172">
        <v>116332</v>
      </c>
      <c r="M43" s="175">
        <f t="shared" si="1"/>
        <v>96.142148760330585</v>
      </c>
    </row>
    <row r="44" spans="1:13">
      <c r="A44" s="48">
        <v>2025</v>
      </c>
      <c r="B44" s="73">
        <v>53000</v>
      </c>
      <c r="C44" s="175">
        <v>52067</v>
      </c>
      <c r="D44" s="172">
        <f t="shared" si="0"/>
        <v>98.239622641509442</v>
      </c>
      <c r="E44" s="73">
        <v>7300</v>
      </c>
      <c r="F44" s="48">
        <v>7123</v>
      </c>
      <c r="G44" s="172">
        <f t="shared" si="4"/>
        <v>97.575342465753423</v>
      </c>
      <c r="H44" s="175">
        <v>19900</v>
      </c>
      <c r="I44" s="48">
        <v>19537</v>
      </c>
      <c r="J44" s="172">
        <f t="shared" si="2"/>
        <v>98.175879396984925</v>
      </c>
      <c r="K44" s="172">
        <v>122500</v>
      </c>
      <c r="L44" s="172">
        <v>154703</v>
      </c>
      <c r="M44" s="175">
        <f t="shared" si="1"/>
        <v>126.28816326530612</v>
      </c>
    </row>
    <row r="45" spans="1:13">
      <c r="A45" s="48">
        <v>2026</v>
      </c>
      <c r="B45" s="299">
        <v>32900</v>
      </c>
      <c r="C45" s="391"/>
      <c r="D45" s="390"/>
      <c r="E45" s="299">
        <v>6400</v>
      </c>
      <c r="F45" s="697"/>
      <c r="G45" s="697"/>
      <c r="H45" s="1140">
        <v>17600</v>
      </c>
      <c r="I45" s="697"/>
      <c r="J45" s="697"/>
      <c r="K45" s="1139">
        <v>147300</v>
      </c>
      <c r="L45" s="390"/>
      <c r="M45" s="391"/>
    </row>
    <row r="46" spans="1:13">
      <c r="B46" s="73"/>
    </row>
    <row r="47" spans="1:13">
      <c r="A47" s="176" t="s">
        <v>98</v>
      </c>
      <c r="B47" s="177">
        <f>AVERAGE(B4:B8)</f>
        <v>82400</v>
      </c>
      <c r="C47" s="177">
        <f>AVERAGE(C4:C8)</f>
        <v>93655.2</v>
      </c>
      <c r="D47" s="177">
        <f>AVERAGE(D4:D8)</f>
        <v>112.9719631878128</v>
      </c>
      <c r="E47" s="177"/>
      <c r="F47" s="177"/>
      <c r="G47" s="177"/>
      <c r="H47" s="177">
        <f t="shared" ref="H47:M47" si="5">AVERAGE(H4:H8)</f>
        <v>24050</v>
      </c>
      <c r="I47" s="177">
        <f t="shared" si="5"/>
        <v>23060</v>
      </c>
      <c r="J47" s="177">
        <f t="shared" si="5"/>
        <v>108.16090838509317</v>
      </c>
      <c r="K47" s="177">
        <f t="shared" si="5"/>
        <v>78680</v>
      </c>
      <c r="L47" s="177">
        <f t="shared" si="5"/>
        <v>96940</v>
      </c>
      <c r="M47" s="177">
        <f t="shared" si="5"/>
        <v>132.37366665626641</v>
      </c>
    </row>
    <row r="48" spans="1:13">
      <c r="A48" s="48" t="s">
        <v>58</v>
      </c>
      <c r="B48" s="73">
        <f>MIN(B4:B8)</f>
        <v>65000</v>
      </c>
      <c r="C48" s="73">
        <f>MIN(C4:C8)</f>
        <v>68090</v>
      </c>
      <c r="D48" s="73">
        <f>MIN(D4:D8)</f>
        <v>97.271428571428572</v>
      </c>
      <c r="E48" s="73"/>
      <c r="F48" s="73"/>
      <c r="G48" s="73"/>
      <c r="H48" s="73">
        <f t="shared" ref="H48:M48" si="6">MIN(H4:H8)</f>
        <v>16100</v>
      </c>
      <c r="I48" s="73">
        <f t="shared" si="6"/>
        <v>14400</v>
      </c>
      <c r="J48" s="73">
        <f t="shared" si="6"/>
        <v>77.8125</v>
      </c>
      <c r="K48" s="73">
        <f t="shared" si="6"/>
        <v>52600</v>
      </c>
      <c r="L48" s="73">
        <f t="shared" si="6"/>
        <v>82600</v>
      </c>
      <c r="M48" s="73">
        <f t="shared" si="6"/>
        <v>89.104638619201722</v>
      </c>
    </row>
    <row r="49" spans="1:14">
      <c r="A49" s="48" t="s">
        <v>59</v>
      </c>
      <c r="B49" s="73">
        <f>MAX(B4:B8)</f>
        <v>102000</v>
      </c>
      <c r="C49" s="73">
        <f>MAX(C4:C8)</f>
        <v>118112</v>
      </c>
      <c r="D49" s="73">
        <f>MAX(D4:D8)</f>
        <v>121.76494845360826</v>
      </c>
      <c r="E49" s="73"/>
      <c r="F49" s="73"/>
      <c r="G49" s="73"/>
      <c r="H49" s="73">
        <f t="shared" ref="H49:M49" si="7">MAX(H4:H8)</f>
        <v>32000</v>
      </c>
      <c r="I49" s="73">
        <f t="shared" si="7"/>
        <v>37000</v>
      </c>
      <c r="J49" s="73">
        <f t="shared" si="7"/>
        <v>138.50931677018633</v>
      </c>
      <c r="K49" s="73">
        <f t="shared" si="7"/>
        <v>115000</v>
      </c>
      <c r="L49" s="73">
        <f t="shared" si="7"/>
        <v>120600</v>
      </c>
      <c r="M49" s="73">
        <f t="shared" si="7"/>
        <v>181.64794007490636</v>
      </c>
    </row>
    <row r="50" spans="1:14">
      <c r="A50" s="176" t="s">
        <v>60</v>
      </c>
      <c r="B50" s="177">
        <f>AVERAGE(B9:B18)</f>
        <v>68920</v>
      </c>
      <c r="C50" s="177">
        <f>AVERAGE(C9:C18)</f>
        <v>64301.1</v>
      </c>
      <c r="D50" s="177">
        <f>AVERAGE(D9:D18)</f>
        <v>97.285736487236832</v>
      </c>
      <c r="E50" s="177"/>
      <c r="F50" s="177"/>
      <c r="G50" s="177"/>
      <c r="H50" s="177">
        <f t="shared" ref="H50:M50" si="8">AVERAGE(H9:H18)</f>
        <v>11880</v>
      </c>
      <c r="I50" s="177">
        <f t="shared" si="8"/>
        <v>10866.9</v>
      </c>
      <c r="J50" s="177">
        <f t="shared" si="8"/>
        <v>99.695702233759604</v>
      </c>
      <c r="K50" s="177">
        <f t="shared" si="8"/>
        <v>55710</v>
      </c>
      <c r="L50" s="177">
        <f t="shared" si="8"/>
        <v>63220</v>
      </c>
      <c r="M50" s="177">
        <f t="shared" si="8"/>
        <v>114.29304268496033</v>
      </c>
    </row>
    <row r="51" spans="1:14">
      <c r="A51" s="48" t="s">
        <v>58</v>
      </c>
      <c r="B51" s="73">
        <f>MIN(B9:B18)</f>
        <v>30000</v>
      </c>
      <c r="C51" s="73">
        <f>MIN(C9:C18)</f>
        <v>34765</v>
      </c>
      <c r="D51" s="73">
        <f>MIN(D9:D18)</f>
        <v>66.106666666666669</v>
      </c>
      <c r="E51" s="73"/>
      <c r="F51" s="73"/>
      <c r="G51" s="73"/>
      <c r="H51" s="73">
        <f t="shared" ref="H51:M51" si="9">MIN(H9:H18)</f>
        <v>2900</v>
      </c>
      <c r="I51" s="73">
        <f t="shared" si="9"/>
        <v>3073</v>
      </c>
      <c r="J51" s="73">
        <f t="shared" si="9"/>
        <v>60.829268292682926</v>
      </c>
      <c r="K51" s="73">
        <f t="shared" si="9"/>
        <v>12000</v>
      </c>
      <c r="L51" s="73">
        <f t="shared" si="9"/>
        <v>9800</v>
      </c>
      <c r="M51" s="73">
        <f t="shared" si="9"/>
        <v>42.448979591836732</v>
      </c>
    </row>
    <row r="52" spans="1:14">
      <c r="A52" s="48" t="s">
        <v>59</v>
      </c>
      <c r="B52" s="73">
        <f>MAX(B9:B18)</f>
        <v>128000</v>
      </c>
      <c r="C52" s="73">
        <f>MAX(C9:C18)</f>
        <v>130588</v>
      </c>
      <c r="D52" s="73">
        <f>MAX(D9:D18)</f>
        <v>133.94362017804153</v>
      </c>
      <c r="E52" s="73"/>
      <c r="F52" s="73"/>
      <c r="G52" s="73"/>
      <c r="H52" s="73">
        <f t="shared" ref="H52:M52" si="10">MAX(H9:H18)</f>
        <v>26600</v>
      </c>
      <c r="I52" s="73">
        <f t="shared" si="10"/>
        <v>20527</v>
      </c>
      <c r="J52" s="73">
        <f t="shared" si="10"/>
        <v>141.84782608695653</v>
      </c>
      <c r="K52" s="73">
        <f t="shared" si="10"/>
        <v>120800</v>
      </c>
      <c r="L52" s="73">
        <f t="shared" si="10"/>
        <v>114000</v>
      </c>
      <c r="M52" s="73">
        <f t="shared" si="10"/>
        <v>168.14159292035399</v>
      </c>
    </row>
    <row r="53" spans="1:14">
      <c r="A53" s="176" t="s">
        <v>61</v>
      </c>
      <c r="B53" s="177">
        <f>AVERAGE(B19:B28)</f>
        <v>70096.399999999994</v>
      </c>
      <c r="C53" s="177">
        <f>AVERAGE(C19:C28)</f>
        <v>75845.2</v>
      </c>
      <c r="D53" s="177">
        <f>AVERAGE(D19:D28)</f>
        <v>108.33481697746534</v>
      </c>
      <c r="E53" s="177"/>
      <c r="F53" s="177"/>
      <c r="G53" s="177"/>
      <c r="H53" s="177">
        <f t="shared" ref="H53:M53" si="11">AVERAGE(H19:H28)</f>
        <v>13190</v>
      </c>
      <c r="I53" s="177">
        <f t="shared" si="11"/>
        <v>14910.1</v>
      </c>
      <c r="J53" s="177">
        <f t="shared" si="11"/>
        <v>123.23963851393076</v>
      </c>
      <c r="K53" s="177">
        <f t="shared" si="11"/>
        <v>232760</v>
      </c>
      <c r="L53" s="177">
        <f t="shared" si="11"/>
        <v>196616.24160000001</v>
      </c>
      <c r="M53" s="177">
        <f t="shared" si="11"/>
        <v>95.813466077379672</v>
      </c>
    </row>
    <row r="54" spans="1:14">
      <c r="A54" s="48" t="s">
        <v>58</v>
      </c>
      <c r="B54" s="73">
        <f>MIN(B19:B28)</f>
        <v>34050</v>
      </c>
      <c r="C54" s="73">
        <f>MIN(C19:C28)</f>
        <v>27356</v>
      </c>
      <c r="D54" s="73">
        <f>MIN(D19:D28)</f>
        <v>52.16082121471343</v>
      </c>
      <c r="E54" s="73"/>
      <c r="F54" s="73"/>
      <c r="G54" s="73"/>
      <c r="H54" s="73">
        <f t="shared" ref="H54:M54" si="12">MIN(H19:H28)</f>
        <v>4800</v>
      </c>
      <c r="I54" s="73">
        <f t="shared" si="12"/>
        <v>6132</v>
      </c>
      <c r="J54" s="73">
        <f t="shared" si="12"/>
        <v>54.967741935483872</v>
      </c>
      <c r="K54" s="73">
        <f t="shared" si="12"/>
        <v>78500</v>
      </c>
      <c r="L54" s="73">
        <f t="shared" si="12"/>
        <v>86246.565000000002</v>
      </c>
      <c r="M54" s="73">
        <f t="shared" si="12"/>
        <v>42.07385084612357</v>
      </c>
    </row>
    <row r="55" spans="1:14">
      <c r="A55" s="48" t="s">
        <v>59</v>
      </c>
      <c r="B55" s="73">
        <f>MAX(B19:B28)</f>
        <v>116900</v>
      </c>
      <c r="C55" s="73">
        <f>MAX(C19:C28)</f>
        <v>144448</v>
      </c>
      <c r="D55" s="73">
        <f>MAX(D19:D28)</f>
        <v>164.92005420054201</v>
      </c>
      <c r="E55" s="73"/>
      <c r="F55" s="73"/>
      <c r="G55" s="73"/>
      <c r="H55" s="73">
        <f t="shared" ref="H55:M55" si="13">MAX(H19:H28)</f>
        <v>27300</v>
      </c>
      <c r="I55" s="73">
        <f t="shared" si="13"/>
        <v>28291</v>
      </c>
      <c r="J55" s="73">
        <f t="shared" si="13"/>
        <v>220.25862068965517</v>
      </c>
      <c r="K55" s="73">
        <f t="shared" si="13"/>
        <v>364600</v>
      </c>
      <c r="L55" s="73">
        <f t="shared" si="13"/>
        <v>416500</v>
      </c>
      <c r="M55" s="73">
        <f t="shared" si="13"/>
        <v>149.98115384615386</v>
      </c>
    </row>
    <row r="56" spans="1:14">
      <c r="A56" s="176" t="s">
        <v>62</v>
      </c>
      <c r="B56" s="177">
        <f>AVERAGE(B29:B38)</f>
        <v>63283.6</v>
      </c>
      <c r="C56" s="177">
        <f>AVERAGE(C29:C38)</f>
        <v>61447.6</v>
      </c>
      <c r="D56" s="177">
        <f>AVERAGE(D29:D38)</f>
        <v>100.03213314226804</v>
      </c>
      <c r="E56" s="177"/>
      <c r="F56" s="177"/>
      <c r="G56" s="177"/>
      <c r="H56" s="177">
        <f t="shared" ref="H56:M56" si="14">AVERAGE(H29:H38)</f>
        <v>14450</v>
      </c>
      <c r="I56" s="177">
        <f t="shared" si="14"/>
        <v>14934.487829999998</v>
      </c>
      <c r="J56" s="177">
        <f t="shared" si="14"/>
        <v>104.9339229380854</v>
      </c>
      <c r="K56" s="177">
        <f t="shared" si="14"/>
        <v>219870</v>
      </c>
      <c r="L56" s="177">
        <f t="shared" si="14"/>
        <v>188617.97339999999</v>
      </c>
      <c r="M56" s="177">
        <f t="shared" si="14"/>
        <v>87.581306100409577</v>
      </c>
    </row>
    <row r="57" spans="1:14">
      <c r="A57" s="48" t="s">
        <v>58</v>
      </c>
      <c r="B57" s="73">
        <f>MIN(B29:B38)</f>
        <v>40190</v>
      </c>
      <c r="C57" s="73">
        <f>MIN(C29:C38)</f>
        <v>29314</v>
      </c>
      <c r="D57" s="73">
        <f>MIN(D29:D38)</f>
        <v>68.990350670746054</v>
      </c>
      <c r="E57" s="73"/>
      <c r="F57" s="73"/>
      <c r="G57" s="73"/>
      <c r="H57" s="73">
        <f t="shared" ref="H57:M57" si="15">MIN(H29:H38)</f>
        <v>4300</v>
      </c>
      <c r="I57" s="73">
        <f t="shared" si="15"/>
        <v>3379</v>
      </c>
      <c r="J57" s="73">
        <f t="shared" si="15"/>
        <v>61.541237113402062</v>
      </c>
      <c r="K57" s="73">
        <f t="shared" si="15"/>
        <v>99300</v>
      </c>
      <c r="L57" s="73">
        <f t="shared" si="15"/>
        <v>73105</v>
      </c>
      <c r="M57" s="73">
        <f t="shared" si="15"/>
        <v>64.637046467218326</v>
      </c>
    </row>
    <row r="58" spans="1:14">
      <c r="A58" s="48" t="s">
        <v>59</v>
      </c>
      <c r="B58" s="73">
        <f>MAX(B29:B38)</f>
        <v>104067</v>
      </c>
      <c r="C58" s="73">
        <f>MAX(C29:C38)</f>
        <v>110536</v>
      </c>
      <c r="D58" s="73">
        <f>MAX(D29:D38)</f>
        <v>176.40037024033705</v>
      </c>
      <c r="E58" s="73"/>
      <c r="F58" s="73"/>
      <c r="G58" s="73"/>
      <c r="H58" s="73">
        <f t="shared" ref="H58:M58" si="16">MAX(H29:H38)</f>
        <v>31100</v>
      </c>
      <c r="I58" s="73">
        <f t="shared" si="16"/>
        <v>30849</v>
      </c>
      <c r="J58" s="73">
        <f t="shared" si="16"/>
        <v>217.24647887323943</v>
      </c>
      <c r="K58" s="73">
        <f t="shared" si="16"/>
        <v>470000</v>
      </c>
      <c r="L58" s="73">
        <f t="shared" si="16"/>
        <v>315345.82300000003</v>
      </c>
      <c r="M58" s="73">
        <f t="shared" si="16"/>
        <v>124.29806451612903</v>
      </c>
    </row>
    <row r="59" spans="1:14">
      <c r="B59" s="73"/>
      <c r="C59" s="73"/>
      <c r="D59" s="73"/>
      <c r="E59" s="73"/>
      <c r="F59" s="73"/>
      <c r="G59" s="73"/>
      <c r="H59" s="73"/>
      <c r="I59" s="73"/>
      <c r="J59" s="73"/>
      <c r="K59" s="73"/>
      <c r="L59" s="73"/>
      <c r="M59" s="73"/>
    </row>
    <row r="60" spans="1:14">
      <c r="A60" s="48" t="s">
        <v>99</v>
      </c>
      <c r="B60" s="73"/>
      <c r="C60" s="1138">
        <f>C41/C40</f>
        <v>1.3283813850004635</v>
      </c>
      <c r="D60" s="73"/>
      <c r="E60" s="73"/>
      <c r="F60" s="73"/>
      <c r="G60" s="73"/>
      <c r="H60" s="73"/>
      <c r="I60" s="1138">
        <f>I41/I40</f>
        <v>2.0210712183637436</v>
      </c>
      <c r="J60" s="73"/>
      <c r="K60" s="73"/>
      <c r="L60" s="1138">
        <f>L41/L40</f>
        <v>2.0203474432189719</v>
      </c>
      <c r="M60" s="73" t="s">
        <v>100</v>
      </c>
    </row>
    <row r="61" spans="1:14">
      <c r="B61" s="73"/>
      <c r="C61" s="73"/>
      <c r="D61" s="73"/>
      <c r="E61" s="73"/>
      <c r="F61" s="73"/>
      <c r="G61" s="73"/>
      <c r="H61" s="73"/>
      <c r="I61" s="73"/>
      <c r="J61" s="73"/>
      <c r="K61" s="73"/>
      <c r="L61" s="73"/>
      <c r="M61" s="73"/>
    </row>
    <row r="62" spans="1:14">
      <c r="A62" s="176" t="s">
        <v>63</v>
      </c>
      <c r="B62" s="177">
        <f>AVERAGE(B34:B43)</f>
        <v>53630</v>
      </c>
      <c r="C62" s="177">
        <f>AVERAGE(C34:C43)</f>
        <v>48569.3</v>
      </c>
      <c r="D62" s="177">
        <f t="shared" ref="D62:M62" si="17">AVERAGE(D34:D43)</f>
        <v>93.242877894995544</v>
      </c>
      <c r="E62" s="177">
        <f t="shared" si="17"/>
        <v>5733.333333333333</v>
      </c>
      <c r="F62" s="177">
        <f t="shared" si="17"/>
        <v>5872.4</v>
      </c>
      <c r="G62" s="177">
        <f t="shared" si="17"/>
        <v>113.03379456749478</v>
      </c>
      <c r="H62" s="177">
        <f t="shared" si="17"/>
        <v>12714</v>
      </c>
      <c r="I62" s="177">
        <f t="shared" si="17"/>
        <v>14926.7</v>
      </c>
      <c r="J62" s="177">
        <f t="shared" si="17"/>
        <v>122.60847312490043</v>
      </c>
      <c r="K62" s="177">
        <f t="shared" si="17"/>
        <v>139580</v>
      </c>
      <c r="L62" s="177">
        <f t="shared" si="17"/>
        <v>139676.24969999999</v>
      </c>
      <c r="M62" s="177">
        <f t="shared" si="17"/>
        <v>100.29908648040794</v>
      </c>
      <c r="N62" s="210"/>
    </row>
    <row r="63" spans="1:14">
      <c r="B63" s="73"/>
      <c r="C63" s="73"/>
      <c r="D63" s="73"/>
      <c r="E63" s="73"/>
      <c r="F63" s="73"/>
      <c r="G63" s="73"/>
      <c r="H63" s="73"/>
      <c r="I63" s="73"/>
      <c r="J63" s="73"/>
      <c r="K63" s="73"/>
      <c r="L63" s="1138">
        <f>L41/L62</f>
        <v>1.3272048784110504</v>
      </c>
      <c r="M63" s="73"/>
      <c r="N63" s="210"/>
    </row>
    <row r="64" spans="1:14">
      <c r="A64" s="48" t="s">
        <v>101</v>
      </c>
      <c r="C64" s="175">
        <f>AVERAGE(C40:C44)</f>
        <v>46193.4</v>
      </c>
      <c r="D64" s="175">
        <f t="shared" ref="D64:M64" si="18">AVERAGE(D40:D44)</f>
        <v>84.054339187838011</v>
      </c>
      <c r="E64" s="175">
        <f t="shared" si="18"/>
        <v>6740</v>
      </c>
      <c r="F64" s="175">
        <f t="shared" si="18"/>
        <v>6951.6</v>
      </c>
      <c r="G64" s="175">
        <f t="shared" si="18"/>
        <v>107.78186349060607</v>
      </c>
      <c r="H64" s="175">
        <f t="shared" si="18"/>
        <v>12480</v>
      </c>
      <c r="I64" s="175">
        <f t="shared" si="18"/>
        <v>14262.6</v>
      </c>
      <c r="J64" s="175">
        <f t="shared" si="18"/>
        <v>128.49792521094778</v>
      </c>
      <c r="K64" s="175">
        <f t="shared" si="18"/>
        <v>117780</v>
      </c>
      <c r="L64" s="175">
        <f t="shared" si="18"/>
        <v>137869.79999999999</v>
      </c>
      <c r="M64" s="175">
        <f t="shared" si="18"/>
        <v>118.22561410101642</v>
      </c>
    </row>
    <row r="65" spans="1:13">
      <c r="A65" s="48" t="s">
        <v>102</v>
      </c>
      <c r="C65" s="175">
        <f>AVERAGE(C35:C44)</f>
        <v>45068.9</v>
      </c>
      <c r="D65" s="175">
        <f t="shared" ref="D65:M65" si="19">AVERAGE(D35:D44)</f>
        <v>87.361392828699167</v>
      </c>
      <c r="E65" s="175">
        <f t="shared" si="19"/>
        <v>5933.333333333333</v>
      </c>
      <c r="F65" s="175">
        <f t="shared" si="19"/>
        <v>6237.3</v>
      </c>
      <c r="G65" s="175">
        <f t="shared" si="19"/>
        <v>116.85731746773003</v>
      </c>
      <c r="H65" s="175">
        <f t="shared" si="19"/>
        <v>13284</v>
      </c>
      <c r="I65" s="175">
        <f t="shared" si="19"/>
        <v>13795.5</v>
      </c>
      <c r="J65" s="175">
        <f t="shared" si="19"/>
        <v>110.70141317727499</v>
      </c>
      <c r="K65" s="175">
        <f>AVERAGE(K35:K44)</f>
        <v>128580</v>
      </c>
      <c r="L65" s="175">
        <f>AVERAGE(L35:L44)</f>
        <v>126247.2497</v>
      </c>
      <c r="M65" s="175">
        <f t="shared" si="19"/>
        <v>100.49809635532566</v>
      </c>
    </row>
    <row r="66" spans="1:13">
      <c r="A66" s="48" t="s">
        <v>103</v>
      </c>
      <c r="B66" s="1138">
        <f>B45/C65</f>
        <v>0.72999341008988461</v>
      </c>
      <c r="C66" s="1138"/>
      <c r="D66" s="1138"/>
      <c r="E66" s="1138">
        <f t="shared" ref="E66:H66" si="20">E45/F65</f>
        <v>1.0260850047296106</v>
      </c>
      <c r="F66" s="1138"/>
      <c r="G66" s="1138"/>
      <c r="H66" s="1138">
        <f t="shared" si="20"/>
        <v>1.2757783335145518</v>
      </c>
      <c r="I66" s="1138"/>
      <c r="J66" s="1138"/>
      <c r="K66" s="1138">
        <f>K45/L65</f>
        <v>1.166758090572487</v>
      </c>
      <c r="L66" s="1138"/>
      <c r="M66" s="48" t="s">
        <v>104</v>
      </c>
    </row>
    <row r="67" spans="1:13">
      <c r="A67" s="48" t="s">
        <v>103</v>
      </c>
      <c r="B67" s="1138">
        <f>B45/C44</f>
        <v>0.63187815699003202</v>
      </c>
      <c r="C67" s="1138"/>
      <c r="D67" s="1138"/>
      <c r="E67" s="1138">
        <f t="shared" ref="E67:K67" si="21">E45/F44</f>
        <v>0.89849782395058264</v>
      </c>
      <c r="F67" s="1138"/>
      <c r="G67" s="1138"/>
      <c r="H67" s="1138">
        <f t="shared" si="21"/>
        <v>0.90085478835030963</v>
      </c>
      <c r="I67" s="1138"/>
      <c r="J67" s="1138"/>
      <c r="K67" s="1138">
        <f t="shared" si="21"/>
        <v>0.95214701718777273</v>
      </c>
      <c r="M67" s="48" t="s">
        <v>69</v>
      </c>
    </row>
  </sheetData>
  <mergeCells count="4">
    <mergeCell ref="B2:D2"/>
    <mergeCell ref="H2:J2"/>
    <mergeCell ref="K2:M2"/>
    <mergeCell ref="E2:G2"/>
  </mergeCells>
  <pageMargins left="0.75" right="0.75" top="1" bottom="1" header="0.5" footer="0.5"/>
  <pageSetup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5124-B5EA-4150-A04A-645277017A70}">
  <sheetPr>
    <tabColor rgb="FF66FF33"/>
  </sheetPr>
  <dimension ref="A1:S53"/>
  <sheetViews>
    <sheetView showGridLines="0" zoomScaleNormal="100" workbookViewId="0">
      <selection activeCell="Q22" sqref="Q22"/>
    </sheetView>
  </sheetViews>
  <sheetFormatPr defaultRowHeight="12.75"/>
  <cols>
    <col min="1" max="1" width="7.83203125" customWidth="1"/>
    <col min="2" max="4" width="10.83203125" customWidth="1"/>
    <col min="5" max="5" width="2.83203125" customWidth="1"/>
    <col min="6" max="6" width="14.83203125" customWidth="1"/>
    <col min="7" max="8" width="10.83203125" customWidth="1"/>
    <col min="9" max="9" width="2.83203125" customWidth="1"/>
    <col min="10" max="12" width="10.83203125" customWidth="1"/>
    <col min="13" max="13" width="2.83203125" customWidth="1"/>
    <col min="14" max="15" width="10.83203125" customWidth="1"/>
    <col min="16" max="16" width="10.83203125" style="54" customWidth="1"/>
    <col min="17" max="17" width="1.6640625" style="54" customWidth="1"/>
  </cols>
  <sheetData>
    <row r="1" spans="1:19" ht="15.75">
      <c r="A1" s="60" t="s">
        <v>105</v>
      </c>
      <c r="P1" s="1642"/>
      <c r="Q1" s="1642"/>
      <c r="S1" s="236"/>
    </row>
    <row r="3" spans="1:19" ht="13.5" customHeight="1">
      <c r="A3" s="1735"/>
      <c r="B3" s="1733" t="s">
        <v>106</v>
      </c>
      <c r="C3" s="1733"/>
      <c r="D3" s="1733"/>
      <c r="E3" s="1737"/>
      <c r="F3" s="1733" t="s">
        <v>107</v>
      </c>
      <c r="G3" s="1733"/>
      <c r="H3" s="1733"/>
      <c r="I3" s="1737"/>
      <c r="J3" s="1733" t="s">
        <v>108</v>
      </c>
      <c r="K3" s="1733"/>
      <c r="L3" s="1733"/>
      <c r="M3" s="1737"/>
      <c r="N3" s="1733" t="s">
        <v>109</v>
      </c>
      <c r="O3" s="1733"/>
      <c r="P3" s="1734"/>
      <c r="Q3" s="1618"/>
    </row>
    <row r="4" spans="1:19" ht="13.5" thickBot="1">
      <c r="A4" s="1736"/>
      <c r="B4" s="1727"/>
      <c r="C4" s="1727"/>
      <c r="D4" s="1727"/>
      <c r="E4" s="1738"/>
      <c r="F4" s="1727"/>
      <c r="G4" s="1727"/>
      <c r="H4" s="1727"/>
      <c r="I4" s="1738"/>
      <c r="J4" s="1727"/>
      <c r="K4" s="1727"/>
      <c r="L4" s="1727"/>
      <c r="M4" s="1738"/>
      <c r="N4" s="1727"/>
      <c r="O4" s="1727"/>
      <c r="P4" s="1730"/>
      <c r="Q4" s="1618"/>
    </row>
    <row r="5" spans="1:19" ht="15" customHeight="1">
      <c r="A5" s="1731" t="s">
        <v>28</v>
      </c>
      <c r="B5" s="1726" t="s">
        <v>96</v>
      </c>
      <c r="C5" s="1726" t="s">
        <v>94</v>
      </c>
      <c r="D5" s="1726" t="s">
        <v>110</v>
      </c>
      <c r="E5" s="1541"/>
      <c r="F5" s="1726" t="s">
        <v>96</v>
      </c>
      <c r="G5" s="1726" t="s">
        <v>94</v>
      </c>
      <c r="H5" s="1726" t="s">
        <v>110</v>
      </c>
      <c r="I5" s="1541"/>
      <c r="J5" s="1726" t="s">
        <v>96</v>
      </c>
      <c r="K5" s="1726" t="s">
        <v>94</v>
      </c>
      <c r="L5" s="1726" t="s">
        <v>110</v>
      </c>
      <c r="M5" s="1541"/>
      <c r="N5" s="1726" t="s">
        <v>96</v>
      </c>
      <c r="O5" s="1726" t="s">
        <v>94</v>
      </c>
      <c r="P5" s="1729" t="s">
        <v>110</v>
      </c>
      <c r="Q5" s="1618"/>
    </row>
    <row r="6" spans="1:19" ht="17.25" customHeight="1" thickBot="1">
      <c r="A6" s="1732"/>
      <c r="B6" s="1727"/>
      <c r="C6" s="1727"/>
      <c r="D6" s="1727"/>
      <c r="E6" s="178"/>
      <c r="F6" s="1727"/>
      <c r="G6" s="1727"/>
      <c r="H6" s="1727"/>
      <c r="I6" s="178"/>
      <c r="J6" s="1727"/>
      <c r="K6" s="1727"/>
      <c r="L6" s="1727"/>
      <c r="M6" s="178"/>
      <c r="N6" s="1727"/>
      <c r="O6" s="1727"/>
      <c r="P6" s="1730"/>
      <c r="Q6" s="1618"/>
    </row>
    <row r="7" spans="1:19" ht="7.5" customHeight="1">
      <c r="A7" s="1080"/>
      <c r="B7" s="1542"/>
      <c r="C7" s="1542"/>
      <c r="D7" s="1542"/>
      <c r="E7" s="1542"/>
      <c r="F7" s="1542"/>
      <c r="G7" s="1542"/>
      <c r="H7" s="1542"/>
      <c r="I7" s="1542"/>
      <c r="J7" s="1542"/>
      <c r="K7" s="1542"/>
      <c r="L7" s="1542"/>
      <c r="M7" s="1542"/>
      <c r="N7" s="1542"/>
      <c r="O7" s="1542"/>
      <c r="P7" s="1081"/>
      <c r="Q7" s="430"/>
    </row>
    <row r="8" spans="1:19" ht="15" customHeight="1">
      <c r="A8" s="1639">
        <v>1985</v>
      </c>
      <c r="B8" s="4">
        <f>IF(T2Manip!B4="","",T2Manip!B4/1000)</f>
        <v>70</v>
      </c>
      <c r="C8" s="4">
        <f>IF(T2Manip!C4="","",T2Manip!C4/1000)</f>
        <v>68.09</v>
      </c>
      <c r="D8" s="179">
        <f>IF(T2Manip!D4="","",T2Manip!D4)</f>
        <v>97.271428571428572</v>
      </c>
      <c r="E8" s="1543"/>
      <c r="F8" s="4" t="str">
        <f>IF(T2Manip!E4="","",T2Manip!E4)</f>
        <v>—</v>
      </c>
      <c r="G8" s="4">
        <f>IF(T2Manip!F4="","",T2Manip!F4/1000)</f>
        <v>1.4490000000000001</v>
      </c>
      <c r="H8" s="179" t="str">
        <f>IF(T2Manip!G4="","",T2Manip!G4)</f>
        <v>—</v>
      </c>
      <c r="I8" s="1543"/>
      <c r="J8" s="4" t="str">
        <f>IF(T2Manip!H4="","",T2Manip!H4)</f>
        <v>—</v>
      </c>
      <c r="K8" s="4">
        <f>IF(T2Manip!I4="","",T2Manip!I4/1000)</f>
        <v>14.4</v>
      </c>
      <c r="L8" s="4" t="str">
        <f>IF(T2Manip!J4="","",T2Manip!J4)</f>
        <v>—</v>
      </c>
      <c r="M8" s="1543"/>
      <c r="N8" s="4">
        <f>IF(T2Manip!K4="","",T2Manip!K4/1000)</f>
        <v>52.6</v>
      </c>
      <c r="O8" s="4">
        <f>IF(T2Manip!L4="","",T2Manip!L4/1000)</f>
        <v>84.7</v>
      </c>
      <c r="P8" s="1082">
        <f>IF(T2Manip!M4="","",T2Manip!M4)</f>
        <v>161.02661596958174</v>
      </c>
      <c r="Q8" s="179"/>
    </row>
    <row r="9" spans="1:19" ht="15" customHeight="1">
      <c r="A9" s="1639">
        <v>1986</v>
      </c>
      <c r="B9" s="4">
        <f>IF(T2Manip!B5="","",T2Manip!B5/1000)</f>
        <v>65</v>
      </c>
      <c r="C9" s="4">
        <f>IF(T2Manip!C5="","",T2Manip!C5/1000)</f>
        <v>73.552000000000007</v>
      </c>
      <c r="D9" s="179">
        <f>IF(T2Manip!D5="","",T2Manip!D5)</f>
        <v>113.15692307692306</v>
      </c>
      <c r="E9" s="1543"/>
      <c r="F9" s="4" t="str">
        <f>IF(T2Manip!E5="","",T2Manip!E5)</f>
        <v>—</v>
      </c>
      <c r="G9" s="4">
        <f>IF(T2Manip!F5="","",T2Manip!F5/1000)</f>
        <v>1.286</v>
      </c>
      <c r="H9" s="179" t="str">
        <f>IF(T2Manip!G5="","",T2Manip!G5)</f>
        <v>—</v>
      </c>
      <c r="I9" s="1543"/>
      <c r="J9" s="4" t="str">
        <f>IF(T2Manip!H5="","",T2Manip!H5)</f>
        <v>—</v>
      </c>
      <c r="K9" s="4">
        <f>IF(T2Manip!I5="","",T2Manip!I5/1000)</f>
        <v>16.7</v>
      </c>
      <c r="L9" s="4" t="str">
        <f>IF(T2Manip!J5="","",T2Manip!J5)</f>
        <v>—</v>
      </c>
      <c r="M9" s="1543"/>
      <c r="N9" s="4">
        <f>IF(T2Manip!K5="","",T2Manip!K5/1000)</f>
        <v>115</v>
      </c>
      <c r="O9" s="4">
        <f>IF(T2Manip!L5="","",T2Manip!L5/1000)</f>
        <v>120.6</v>
      </c>
      <c r="P9" s="1082">
        <f>IF(T2Manip!M5="","",T2Manip!M5)</f>
        <v>104.8695652173913</v>
      </c>
      <c r="Q9" s="179"/>
    </row>
    <row r="10" spans="1:19" ht="15" customHeight="1">
      <c r="A10" s="1639">
        <v>1987</v>
      </c>
      <c r="B10" s="4">
        <f>IF(T2Manip!B6="","",T2Manip!B6/1000)</f>
        <v>78</v>
      </c>
      <c r="C10" s="4">
        <f>IF(T2Manip!C6="","",T2Manip!C6/1000)</f>
        <v>93.593000000000004</v>
      </c>
      <c r="D10" s="179">
        <f>IF(T2Manip!D6="","",T2Manip!D6)</f>
        <v>119.99102564102564</v>
      </c>
      <c r="E10" s="1543"/>
      <c r="F10" s="4" t="str">
        <f>IF(T2Manip!E6="","",T2Manip!E6)</f>
        <v>—</v>
      </c>
      <c r="G10" s="4">
        <f>IF(T2Manip!F6="","",T2Manip!F6/1000)</f>
        <v>2.3530000000000002</v>
      </c>
      <c r="H10" s="179" t="str">
        <f>IF(T2Manip!G6="","",T2Manip!G6)</f>
        <v>—</v>
      </c>
      <c r="I10" s="1543"/>
      <c r="J10" s="4" t="str">
        <f>IF(T2Manip!H6="","",T2Manip!H6)</f>
        <v>—</v>
      </c>
      <c r="K10" s="4">
        <f>IF(T2Manip!I6="","",T2Manip!I6/1000)</f>
        <v>37</v>
      </c>
      <c r="L10" s="4" t="str">
        <f>IF(T2Manip!J6="","",T2Manip!J6)</f>
        <v>—</v>
      </c>
      <c r="M10" s="1543"/>
      <c r="N10" s="4">
        <f>IF(T2Manip!K6="","",T2Manip!K6/1000)</f>
        <v>79.7</v>
      </c>
      <c r="O10" s="4">
        <f>IF(T2Manip!L6="","",T2Manip!L6/1000)</f>
        <v>99.8</v>
      </c>
      <c r="P10" s="1082">
        <f>IF(T2Manip!M6="","",T2Manip!M6)</f>
        <v>125.21957340025094</v>
      </c>
      <c r="Q10" s="179"/>
    </row>
    <row r="11" spans="1:19" ht="15" customHeight="1">
      <c r="A11" s="1639">
        <v>1988</v>
      </c>
      <c r="B11" s="4">
        <f>IF(T2Manip!B7="","",T2Manip!B7/1000)</f>
        <v>97</v>
      </c>
      <c r="C11" s="4">
        <f>IF(T2Manip!C7="","",T2Manip!C7/1000)</f>
        <v>118.11199999999999</v>
      </c>
      <c r="D11" s="179">
        <f>IF(T2Manip!D7="","",T2Manip!D7)</f>
        <v>121.76494845360826</v>
      </c>
      <c r="E11" s="1543"/>
      <c r="F11" s="4" t="str">
        <f>IF(T2Manip!E7="","",T2Manip!E7)</f>
        <v>—</v>
      </c>
      <c r="G11" s="4">
        <f>IF(T2Manip!F7="","",T2Manip!F7/1000)</f>
        <v>2.931</v>
      </c>
      <c r="H11" s="179" t="str">
        <f>IF(T2Manip!G7="","",T2Manip!G7)</f>
        <v>—</v>
      </c>
      <c r="I11" s="1543"/>
      <c r="J11" s="4">
        <f>IF(T2Manip!H7="","",T2Manip!H7/1000)</f>
        <v>32</v>
      </c>
      <c r="K11" s="4">
        <f>IF(T2Manip!I7="","",T2Manip!I7/1000)</f>
        <v>24.9</v>
      </c>
      <c r="L11" s="179">
        <f>IF(T2Manip!J7="","",T2Manip!J7)</f>
        <v>77.8125</v>
      </c>
      <c r="M11" s="1543"/>
      <c r="N11" s="4">
        <f>IF(T2Manip!K7="","",T2Manip!K7/1000)</f>
        <v>53.4</v>
      </c>
      <c r="O11" s="4">
        <f>IF(T2Manip!L7="","",T2Manip!L7/1000)</f>
        <v>97</v>
      </c>
      <c r="P11" s="1082">
        <f>IF(T2Manip!M7="","",T2Manip!M7)</f>
        <v>181.64794007490636</v>
      </c>
      <c r="Q11" s="179"/>
    </row>
    <row r="12" spans="1:19" ht="15" customHeight="1">
      <c r="A12" s="1639">
        <v>1989</v>
      </c>
      <c r="B12" s="4">
        <f>IF(T2Manip!B8="","",T2Manip!B8/1000)</f>
        <v>102</v>
      </c>
      <c r="C12" s="4">
        <f>IF(T2Manip!C8="","",T2Manip!C8/1000)</f>
        <v>114.929</v>
      </c>
      <c r="D12" s="179">
        <f>IF(T2Manip!D8="","",T2Manip!D8)</f>
        <v>112.67549019607843</v>
      </c>
      <c r="E12" s="1543"/>
      <c r="F12" s="4" t="str">
        <f>IF(T2Manip!E8="","",T2Manip!E8)</f>
        <v>—</v>
      </c>
      <c r="G12" s="4">
        <f>IF(T2Manip!F8="","",T2Manip!F8/1000)</f>
        <v>2.004</v>
      </c>
      <c r="H12" s="179" t="str">
        <f>IF(T2Manip!G8="","",T2Manip!G8)</f>
        <v>—</v>
      </c>
      <c r="I12" s="1543"/>
      <c r="J12" s="4">
        <f>IF(T2Manip!H8="","",T2Manip!H8/1000)</f>
        <v>16.100000000000001</v>
      </c>
      <c r="K12" s="4">
        <f>IF(T2Manip!I8="","",T2Manip!I8/1000)</f>
        <v>22.3</v>
      </c>
      <c r="L12" s="179">
        <f>IF(T2Manip!J8="","",T2Manip!J8)</f>
        <v>138.50931677018633</v>
      </c>
      <c r="M12" s="1543"/>
      <c r="N12" s="4">
        <f>IF(T2Manip!K8="","",T2Manip!K8/1000)</f>
        <v>92.7</v>
      </c>
      <c r="O12" s="4">
        <f>IF(T2Manip!L8="","",T2Manip!L8/1000)</f>
        <v>82.6</v>
      </c>
      <c r="P12" s="1082">
        <f>IF(T2Manip!M8="","",T2Manip!M8)</f>
        <v>89.104638619201722</v>
      </c>
      <c r="Q12" s="179"/>
    </row>
    <row r="13" spans="1:19" ht="15" customHeight="1">
      <c r="A13" s="1639">
        <v>1990</v>
      </c>
      <c r="B13" s="4">
        <f>IF(T2Manip!B9="","",T2Manip!B9/1000)</f>
        <v>128</v>
      </c>
      <c r="C13" s="4">
        <f>IF(T2Manip!C9="","",T2Manip!C9/1000)</f>
        <v>130.58799999999999</v>
      </c>
      <c r="D13" s="179">
        <f>IF(T2Manip!D9="","",T2Manip!D9)</f>
        <v>102.02187499999999</v>
      </c>
      <c r="E13" s="1543"/>
      <c r="F13" s="4" t="str">
        <f>IF(T2Manip!E9="","",T2Manip!E9)</f>
        <v>—</v>
      </c>
      <c r="G13" s="4">
        <f>IF(T2Manip!F9="","",T2Manip!F9/1000)</f>
        <v>3.5270000000000001</v>
      </c>
      <c r="H13" s="179" t="str">
        <f>IF(T2Manip!G9="","",T2Manip!G9)</f>
        <v>—</v>
      </c>
      <c r="I13" s="1543"/>
      <c r="J13" s="4">
        <f>IF(T2Manip!H9="","",T2Manip!H9/1000)</f>
        <v>18.600000000000001</v>
      </c>
      <c r="K13" s="4">
        <f>IF(T2Manip!I9="","",T2Manip!I9/1000)</f>
        <v>18.841000000000001</v>
      </c>
      <c r="L13" s="179">
        <f>IF(T2Manip!J9="","",T2Manip!J9)</f>
        <v>101.29569892473118</v>
      </c>
      <c r="M13" s="1543"/>
      <c r="N13" s="4">
        <f>IF(T2Manip!K9="","",T2Manip!K9/1000)</f>
        <v>120.8</v>
      </c>
      <c r="O13" s="4">
        <f>IF(T2Manip!L9="","",T2Manip!L9/1000)</f>
        <v>99.1</v>
      </c>
      <c r="P13" s="1082">
        <f>IF(T2Manip!M9="","",T2Manip!M9)</f>
        <v>82.036423841059602</v>
      </c>
      <c r="Q13" s="179"/>
    </row>
    <row r="14" spans="1:19" ht="15" customHeight="1">
      <c r="A14" s="1639">
        <v>1991</v>
      </c>
      <c r="B14" s="4">
        <f>IF(T2Manip!B10="","",T2Manip!B10/1000)</f>
        <v>110</v>
      </c>
      <c r="C14" s="4">
        <f>IF(T2Manip!C10="","",T2Manip!C10/1000)</f>
        <v>109.929</v>
      </c>
      <c r="D14" s="179">
        <f>IF(T2Manip!D10="","",T2Manip!D10)</f>
        <v>99.935454545454547</v>
      </c>
      <c r="E14" s="1543"/>
      <c r="F14" s="4" t="str">
        <f>IF(T2Manip!E10="","",T2Manip!E10)</f>
        <v>—</v>
      </c>
      <c r="G14" s="4">
        <f>IF(T2Manip!F10="","",T2Manip!F10/1000)</f>
        <v>3.6520000000000001</v>
      </c>
      <c r="H14" s="179" t="str">
        <f>IF(T2Manip!G10="","",T2Manip!G10)</f>
        <v>—</v>
      </c>
      <c r="I14" s="1543"/>
      <c r="J14" s="4">
        <f>IF(T2Manip!H10="","",T2Manip!H10/1000)</f>
        <v>19.7</v>
      </c>
      <c r="K14" s="4">
        <f>IF(T2Manip!I10="","",T2Manip!I10/1000)</f>
        <v>19.891999999999999</v>
      </c>
      <c r="L14" s="179">
        <f>IF(T2Manip!J10="","",T2Manip!J10)</f>
        <v>100.97461928934011</v>
      </c>
      <c r="M14" s="1543"/>
      <c r="N14" s="4">
        <f>IF(T2Manip!K10="","",T2Manip!K10/1000)</f>
        <v>61.9</v>
      </c>
      <c r="O14" s="4">
        <f>IF(T2Manip!L10="","",T2Manip!L10/1000)</f>
        <v>59.2</v>
      </c>
      <c r="P14" s="1082">
        <f>IF(T2Manip!M10="","",T2Manip!M10)</f>
        <v>95.638126009693053</v>
      </c>
      <c r="Q14" s="179"/>
    </row>
    <row r="15" spans="1:19" ht="15" customHeight="1">
      <c r="A15" s="1639">
        <v>1992</v>
      </c>
      <c r="B15" s="4">
        <f>IF(T2Manip!B11="","",T2Manip!B11/1000)</f>
        <v>106</v>
      </c>
      <c r="C15" s="4">
        <f>IF(T2Manip!C11="","",T2Manip!C11/1000)</f>
        <v>75.007999999999996</v>
      </c>
      <c r="D15" s="179">
        <f>IF(T2Manip!D11="","",T2Manip!D11)</f>
        <v>70.762264150943395</v>
      </c>
      <c r="E15" s="1543"/>
      <c r="F15" s="4" t="str">
        <f>IF(T2Manip!E11="","",T2Manip!E11)</f>
        <v>—</v>
      </c>
      <c r="G15" s="4">
        <f>IF(T2Manip!F11="","",T2Manip!F11/1000)</f>
        <v>8.5510000000000002</v>
      </c>
      <c r="H15" s="179" t="str">
        <f>IF(T2Manip!G11="","",T2Manip!G11)</f>
        <v>—</v>
      </c>
      <c r="I15" s="1543"/>
      <c r="J15" s="4">
        <f>IF(T2Manip!H11="","",T2Manip!H11/1000)</f>
        <v>26.6</v>
      </c>
      <c r="K15" s="4">
        <f>IF(T2Manip!I11="","",T2Manip!I11/1000)</f>
        <v>18.808</v>
      </c>
      <c r="L15" s="179">
        <f>IF(T2Manip!J11="","",T2Manip!J11)</f>
        <v>70.706766917293223</v>
      </c>
      <c r="M15" s="1543"/>
      <c r="N15" s="4">
        <f>IF(T2Manip!K11="","",T2Manip!K11/1000)</f>
        <v>71.400000000000006</v>
      </c>
      <c r="O15" s="4">
        <f>IF(T2Manip!L11="","",T2Manip!L11/1000)</f>
        <v>89.8</v>
      </c>
      <c r="P15" s="1082">
        <f>IF(T2Manip!M11="","",T2Manip!M11)</f>
        <v>125.77030812324929</v>
      </c>
      <c r="Q15" s="179"/>
    </row>
    <row r="16" spans="1:19" ht="15" customHeight="1">
      <c r="A16" s="1639">
        <v>1993</v>
      </c>
      <c r="B16" s="4">
        <f>IF(T2Manip!B12="","",T2Manip!B12/1000)</f>
        <v>70</v>
      </c>
      <c r="C16" s="4">
        <f>IF(T2Manip!C12="","",T2Manip!C12/1000)</f>
        <v>65.933999999999997</v>
      </c>
      <c r="D16" s="179">
        <f>IF(T2Manip!D12="","",T2Manip!D12)</f>
        <v>94.191428571428574</v>
      </c>
      <c r="E16" s="1543"/>
      <c r="F16" s="4" t="str">
        <f>IF(T2Manip!E12="","",T2Manip!E12)</f>
        <v>—</v>
      </c>
      <c r="G16" s="4">
        <f>IF(T2Manip!F12="","",T2Manip!F12/1000)</f>
        <v>6.3689999999999998</v>
      </c>
      <c r="H16" s="179" t="str">
        <f>IF(T2Manip!G12="","",T2Manip!G12)</f>
        <v>—</v>
      </c>
      <c r="I16" s="1543"/>
      <c r="J16" s="4">
        <f>IF(T2Manip!H12="","",T2Manip!H12/1000)</f>
        <v>21.3</v>
      </c>
      <c r="K16" s="4">
        <f>IF(T2Manip!I12="","",T2Manip!I12/1000)</f>
        <v>20.527000000000001</v>
      </c>
      <c r="L16" s="179">
        <f>IF(T2Manip!J12="","",T2Manip!J12)</f>
        <v>96.370892018779344</v>
      </c>
      <c r="M16" s="1543"/>
      <c r="N16" s="4">
        <f>IF(T2Manip!K12="","",T2Manip!K12/1000)</f>
        <v>76.2</v>
      </c>
      <c r="O16" s="4">
        <f>IF(T2Manip!L12="","",T2Manip!L12/1000)</f>
        <v>111</v>
      </c>
      <c r="P16" s="1082">
        <f>IF(T2Manip!M12="","",T2Manip!M12)</f>
        <v>145.6692913385827</v>
      </c>
      <c r="Q16" s="179"/>
    </row>
    <row r="17" spans="1:17" ht="15" customHeight="1">
      <c r="A17" s="1639">
        <v>1994</v>
      </c>
      <c r="B17" s="4">
        <f>IF(T2Manip!B13="","",T2Manip!B13/1000)</f>
        <v>75</v>
      </c>
      <c r="C17" s="4">
        <f>IF(T2Manip!C13="","",T2Manip!C13/1000)</f>
        <v>49.58</v>
      </c>
      <c r="D17" s="179">
        <f>IF(T2Manip!D13="","",T2Manip!D13)</f>
        <v>66.106666666666669</v>
      </c>
      <c r="E17" s="1543"/>
      <c r="F17" s="4" t="str">
        <f>IF(T2Manip!E13="","",T2Manip!E13)</f>
        <v>—</v>
      </c>
      <c r="G17" s="4">
        <f>IF(T2Manip!F13="","",T2Manip!F13/1000)</f>
        <v>3.4980000000000002</v>
      </c>
      <c r="H17" s="179" t="str">
        <f>IF(T2Manip!G13="","",T2Manip!G13)</f>
        <v>—</v>
      </c>
      <c r="I17" s="1543"/>
      <c r="J17" s="4">
        <f>IF(T2Manip!H13="","",T2Manip!H13/1000)</f>
        <v>12.3</v>
      </c>
      <c r="K17" s="4">
        <f>IF(T2Manip!I13="","",T2Manip!I13/1000)</f>
        <v>7.4820000000000002</v>
      </c>
      <c r="L17" s="179">
        <f>IF(T2Manip!J13="","",T2Manip!J13)</f>
        <v>60.829268292682926</v>
      </c>
      <c r="M17" s="1543"/>
      <c r="N17" s="4">
        <f>IF(T2Manip!K13="","",T2Manip!K13/1000)</f>
        <v>49</v>
      </c>
      <c r="O17" s="4">
        <f>IF(T2Manip!L13="","",T2Manip!L13/1000)</f>
        <v>20.8</v>
      </c>
      <c r="P17" s="1082">
        <f>IF(T2Manip!M13="","",T2Manip!M13)</f>
        <v>42.448979591836732</v>
      </c>
      <c r="Q17" s="179"/>
    </row>
    <row r="18" spans="1:17" ht="15" customHeight="1">
      <c r="A18" s="1639">
        <v>1995</v>
      </c>
      <c r="B18" s="4">
        <f>IF(T2Manip!B14="","",T2Manip!B14/1000)</f>
        <v>49</v>
      </c>
      <c r="C18" s="4">
        <f>IF(T2Manip!C14="","",T2Manip!C14/1000)</f>
        <v>42.563000000000002</v>
      </c>
      <c r="D18" s="179">
        <f>IF(T2Manip!D14="","",T2Manip!D14)</f>
        <v>86.863265306122457</v>
      </c>
      <c r="E18" s="1543"/>
      <c r="F18" s="4" t="str">
        <f>IF(T2Manip!E14="","",T2Manip!E14)</f>
        <v>—</v>
      </c>
      <c r="G18" s="4">
        <f>IF(T2Manip!F14="","",T2Manip!F14/1000)</f>
        <v>2.5289999999999999</v>
      </c>
      <c r="H18" s="179" t="str">
        <f>IF(T2Manip!G14="","",T2Manip!G14)</f>
        <v>—</v>
      </c>
      <c r="I18" s="1543"/>
      <c r="J18" s="4">
        <f>IF(T2Manip!H14="","",T2Manip!H14/1000)</f>
        <v>4.5999999999999996</v>
      </c>
      <c r="K18" s="4">
        <f>IF(T2Manip!I14="","",T2Manip!I14/1000)</f>
        <v>6.5250000000000004</v>
      </c>
      <c r="L18" s="179">
        <f>IF(T2Manip!J14="","",T2Manip!J14)</f>
        <v>141.84782608695653</v>
      </c>
      <c r="M18" s="1543"/>
      <c r="N18" s="4">
        <f>IF(T2Manip!K14="","",T2Manip!K14/1000)</f>
        <v>12</v>
      </c>
      <c r="O18" s="4">
        <f>IF(T2Manip!L14="","",T2Manip!L14/1000)</f>
        <v>9.8000000000000007</v>
      </c>
      <c r="P18" s="1082">
        <f>IF(T2Manip!M14="","",T2Manip!M14)</f>
        <v>81.666666666666671</v>
      </c>
      <c r="Q18" s="179"/>
    </row>
    <row r="19" spans="1:17" ht="15" customHeight="1">
      <c r="A19" s="1639">
        <v>1996</v>
      </c>
      <c r="B19" s="4">
        <f>IF(T2Manip!B15="","",T2Manip!B15/1000)</f>
        <v>41</v>
      </c>
      <c r="C19" s="4">
        <f>IF(T2Manip!C15="","",T2Manip!C15/1000)</f>
        <v>34.765000000000001</v>
      </c>
      <c r="D19" s="179">
        <f>IF(T2Manip!D15="","",T2Manip!D15)</f>
        <v>84.792682926829272</v>
      </c>
      <c r="E19" s="1543"/>
      <c r="F19" s="4" t="str">
        <f>IF(T2Manip!E15="","",T2Manip!E15)</f>
        <v>—</v>
      </c>
      <c r="G19" s="4">
        <f>IF(T2Manip!F15="","",T2Manip!F15/1000)</f>
        <v>3.8010000000000002</v>
      </c>
      <c r="H19" s="179" t="str">
        <f>IF(T2Manip!G15="","",T2Manip!G15)</f>
        <v>—</v>
      </c>
      <c r="I19" s="1543"/>
      <c r="J19" s="4">
        <f>IF(T2Manip!H15="","",T2Manip!H15/1000)</f>
        <v>4.4000000000000004</v>
      </c>
      <c r="K19" s="4">
        <f>IF(T2Manip!I15="","",T2Manip!I15/1000)</f>
        <v>4.1440000000000001</v>
      </c>
      <c r="L19" s="179">
        <f>IF(T2Manip!J15="","",T2Manip!J15)</f>
        <v>94.181818181818173</v>
      </c>
      <c r="M19" s="1543"/>
      <c r="N19" s="4">
        <f>IF(T2Manip!K15="","",T2Manip!K15/1000)</f>
        <v>37.200000000000003</v>
      </c>
      <c r="O19" s="4">
        <f>IF(T2Manip!L15="","",T2Manip!L15/1000)</f>
        <v>51.5</v>
      </c>
      <c r="P19" s="1082">
        <f>IF(T2Manip!M15="","",T2Manip!M15)</f>
        <v>138.44086021505376</v>
      </c>
      <c r="Q19" s="179"/>
    </row>
    <row r="20" spans="1:17" ht="15" customHeight="1">
      <c r="A20" s="1639">
        <v>1997</v>
      </c>
      <c r="B20" s="4">
        <f>IF(T2Manip!B16="","",T2Manip!B16/1000)</f>
        <v>30</v>
      </c>
      <c r="C20" s="4">
        <f>IF(T2Manip!C16="","",T2Manip!C16/1000)</f>
        <v>35.302999999999997</v>
      </c>
      <c r="D20" s="179">
        <f>IF(T2Manip!D16="","",T2Manip!D16)</f>
        <v>117.67666666666668</v>
      </c>
      <c r="E20" s="1543"/>
      <c r="F20" s="4" t="str">
        <f>IF(T2Manip!E16="","",T2Manip!E16)</f>
        <v>—</v>
      </c>
      <c r="G20" s="4">
        <f>IF(T2Manip!F16="","",T2Manip!F16/1000)</f>
        <v>4.41</v>
      </c>
      <c r="H20" s="179" t="str">
        <f>IF(T2Manip!G16="","",T2Manip!G16)</f>
        <v>—</v>
      </c>
      <c r="I20" s="1543"/>
      <c r="J20" s="4">
        <f>IF(T2Manip!H16="","",T2Manip!H16/1000)</f>
        <v>4.5</v>
      </c>
      <c r="K20" s="4">
        <f>IF(T2Manip!I16="","",T2Manip!I16/1000)</f>
        <v>4.5780000000000003</v>
      </c>
      <c r="L20" s="179">
        <f>IF(T2Manip!J16="","",T2Manip!J16)</f>
        <v>101.73333333333335</v>
      </c>
      <c r="M20" s="1543"/>
      <c r="N20" s="4">
        <f>IF(T2Manip!K16="","",T2Manip!K16/1000)</f>
        <v>67.8</v>
      </c>
      <c r="O20" s="4">
        <f>IF(T2Manip!L16="","",T2Manip!L16/1000)</f>
        <v>114</v>
      </c>
      <c r="P20" s="1082">
        <f>IF(T2Manip!M16="","",T2Manip!M16)</f>
        <v>168.14159292035399</v>
      </c>
      <c r="Q20" s="179"/>
    </row>
    <row r="21" spans="1:17" ht="15" customHeight="1">
      <c r="A21" s="1639">
        <v>1998</v>
      </c>
      <c r="B21" s="4">
        <f>IF(T2Manip!B17="","",T2Manip!B17/1000)</f>
        <v>33.700000000000003</v>
      </c>
      <c r="C21" s="4">
        <f>IF(T2Manip!C17="","",T2Manip!C17/1000)</f>
        <v>45.139000000000003</v>
      </c>
      <c r="D21" s="179">
        <f>IF(T2Manip!D17="","",T2Manip!D17)</f>
        <v>133.94362017804153</v>
      </c>
      <c r="E21" s="1543"/>
      <c r="F21" s="4" t="str">
        <f>IF(T2Manip!E17="","",T2Manip!E17)</f>
        <v>—</v>
      </c>
      <c r="G21" s="4">
        <f>IF(T2Manip!F17="","",T2Manip!F17/1000)</f>
        <v>3.577</v>
      </c>
      <c r="H21" s="179" t="str">
        <f>IF(T2Manip!G17="","",T2Manip!G17)</f>
        <v>—</v>
      </c>
      <c r="I21" s="1543"/>
      <c r="J21" s="4">
        <f>IF(T2Manip!H17="","",T2Manip!H17/1000)</f>
        <v>2.9</v>
      </c>
      <c r="K21" s="4">
        <f>IF(T2Manip!I17="","",T2Manip!I17/1000)</f>
        <v>3.073</v>
      </c>
      <c r="L21" s="179">
        <f>IF(T2Manip!J17="","",T2Manip!J17)</f>
        <v>105.9655172413793</v>
      </c>
      <c r="M21" s="1543"/>
      <c r="N21" s="4">
        <f>IF(T2Manip!K17="","",T2Manip!K17/1000)</f>
        <v>36.200000000000003</v>
      </c>
      <c r="O21" s="4">
        <f>IF(T2Manip!L17="","",T2Manip!L17/1000)</f>
        <v>38.299999999999997</v>
      </c>
      <c r="P21" s="1082">
        <f>IF(T2Manip!M17="","",T2Manip!M17)</f>
        <v>105.8011049723757</v>
      </c>
      <c r="Q21" s="179"/>
    </row>
    <row r="22" spans="1:17" ht="15" customHeight="1">
      <c r="A22" s="1639">
        <v>1999</v>
      </c>
      <c r="B22" s="4">
        <f>IF(T2Manip!B18="","",T2Manip!B18/1000)</f>
        <v>46.5</v>
      </c>
      <c r="C22" s="4">
        <f>IF(T2Manip!C18="","",T2Manip!C18/1000)</f>
        <v>54.201999999999998</v>
      </c>
      <c r="D22" s="179">
        <f>IF(T2Manip!D18="","",T2Manip!D18)</f>
        <v>116.56344086021507</v>
      </c>
      <c r="E22" s="1543"/>
      <c r="F22" s="4">
        <f>IF(T2Manip!E18="","",T2Manip!E18/1000)</f>
        <v>4.3</v>
      </c>
      <c r="G22" s="4">
        <f>IF(T2Manip!F18="","",T2Manip!F18/1000)</f>
        <v>3.585</v>
      </c>
      <c r="H22" s="179">
        <f>IF(T2Manip!G18="","",T2Manip!G18)</f>
        <v>83.372093023255815</v>
      </c>
      <c r="I22" s="1543"/>
      <c r="J22" s="4">
        <f>IF(T2Manip!H18="","",T2Manip!H18/1000)</f>
        <v>3.9</v>
      </c>
      <c r="K22" s="4">
        <f>IF(T2Manip!I18="","",T2Manip!I18/1000)</f>
        <v>4.7990000000000004</v>
      </c>
      <c r="L22" s="179">
        <f>IF(T2Manip!J18="","",T2Manip!J18)</f>
        <v>123.05128205128204</v>
      </c>
      <c r="M22" s="1543"/>
      <c r="N22" s="4">
        <f>IF(T2Manip!K18="","",T2Manip!K18/1000)</f>
        <v>24.6</v>
      </c>
      <c r="O22" s="4">
        <f>IF(T2Manip!L18="","",T2Manip!L18/1000)</f>
        <v>38.700000000000003</v>
      </c>
      <c r="P22" s="1082">
        <f>IF(T2Manip!M18="","",T2Manip!M18)</f>
        <v>157.3170731707317</v>
      </c>
      <c r="Q22" s="179"/>
    </row>
    <row r="23" spans="1:17" ht="15" customHeight="1">
      <c r="A23" s="1639">
        <v>2000</v>
      </c>
      <c r="B23" s="4">
        <f>IF(T2Manip!B19="","",T2Manip!B19/1000)</f>
        <v>59.9</v>
      </c>
      <c r="C23" s="4">
        <f>IF(T2Manip!C19="","",T2Manip!C19/1000)</f>
        <v>57.454000000000001</v>
      </c>
      <c r="D23" s="179">
        <f>IF(T2Manip!D19="","",T2Manip!D19)</f>
        <v>95.916527545909844</v>
      </c>
      <c r="E23" s="1543"/>
      <c r="F23" s="4">
        <f>IF(T2Manip!E19="","",T2Manip!E19/1000)</f>
        <v>3.8</v>
      </c>
      <c r="G23" s="4">
        <f>IF(T2Manip!F19="","",T2Manip!F19/1000)</f>
        <v>3.641</v>
      </c>
      <c r="H23" s="179">
        <f>IF(T2Manip!G19="","",T2Manip!G19)</f>
        <v>95.815789473684205</v>
      </c>
      <c r="I23" s="1543"/>
      <c r="J23" s="4">
        <f>IF(T2Manip!H19="","",T2Manip!H19/1000)</f>
        <v>6</v>
      </c>
      <c r="K23" s="4">
        <f>IF(T2Manip!I19="","",T2Manip!I19/1000)</f>
        <v>6.1319999999999997</v>
      </c>
      <c r="L23" s="179">
        <f>IF(T2Manip!J19="","",T2Manip!J19)</f>
        <v>102.2</v>
      </c>
      <c r="M23" s="1543"/>
      <c r="N23" s="4">
        <f>IF(T2Manip!K19="","",T2Manip!K19/1000)</f>
        <v>134</v>
      </c>
      <c r="O23" s="4">
        <f>IF(T2Manip!L19="","",T2Manip!L19/1000)</f>
        <v>178.6</v>
      </c>
      <c r="P23" s="1082">
        <f>IF(T2Manip!M19="","",T2Manip!M19)</f>
        <v>133.28358208955225</v>
      </c>
      <c r="Q23" s="179"/>
    </row>
    <row r="24" spans="1:17" ht="15" customHeight="1">
      <c r="A24" s="1639">
        <v>2001</v>
      </c>
      <c r="B24" s="4">
        <f>IF(T2Manip!B20="","",T2Manip!B20/1000)</f>
        <v>61</v>
      </c>
      <c r="C24" s="4">
        <f>IF(T2Manip!C20="","",T2Manip!C20/1000)</f>
        <v>80.366</v>
      </c>
      <c r="D24" s="179">
        <f>IF(T2Manip!D20="","",T2Manip!D20)</f>
        <v>131.74754098360654</v>
      </c>
      <c r="E24" s="1543"/>
      <c r="F24" s="4">
        <f>IF(T2Manip!E20="","",T2Manip!E20/1000)</f>
        <v>4</v>
      </c>
      <c r="G24" s="4">
        <f>IF(T2Manip!F20="","",T2Manip!F20/1000)</f>
        <v>5.3289999999999997</v>
      </c>
      <c r="H24" s="179">
        <f>IF(T2Manip!G20="","",T2Manip!G20)</f>
        <v>133.22499999999999</v>
      </c>
      <c r="I24" s="1543"/>
      <c r="J24" s="4">
        <f>IF(T2Manip!H20="","",T2Manip!H20/1000)</f>
        <v>4.8</v>
      </c>
      <c r="K24" s="4">
        <f>IF(T2Manip!I20="","",T2Manip!I20/1000)</f>
        <v>7.1820000000000004</v>
      </c>
      <c r="L24" s="179">
        <f>IF(T2Manip!J20="","",T2Manip!J20)</f>
        <v>149.625</v>
      </c>
      <c r="M24" s="1543"/>
      <c r="N24" s="4">
        <f>IF(T2Manip!K20="","",T2Manip!K20/1000)</f>
        <v>364.6</v>
      </c>
      <c r="O24" s="4">
        <f>IF(T2Manip!L20="","",T2Manip!L20/1000)</f>
        <v>416.5</v>
      </c>
      <c r="P24" s="1082">
        <f>IF(T2Manip!M20="","",T2Manip!M20)</f>
        <v>114.23477783872738</v>
      </c>
      <c r="Q24" s="179"/>
    </row>
    <row r="25" spans="1:17" ht="15" customHeight="1">
      <c r="A25" s="1639">
        <v>2002</v>
      </c>
      <c r="B25" s="4">
        <f>IF(T2Manip!B21="","",T2Manip!B21/1000)</f>
        <v>73.8</v>
      </c>
      <c r="C25" s="4">
        <f>IF(T2Manip!C21="","",T2Manip!C21/1000)</f>
        <v>121.711</v>
      </c>
      <c r="D25" s="179">
        <f>IF(T2Manip!D21="","",T2Manip!D21)</f>
        <v>164.92005420054201</v>
      </c>
      <c r="E25" s="1543"/>
      <c r="F25" s="4">
        <f>IF(T2Manip!E21="","",T2Manip!E21/1000)</f>
        <v>4.3</v>
      </c>
      <c r="G25" s="4">
        <f>IF(T2Manip!F21="","",T2Manip!F21/1000)</f>
        <v>5.9050000000000002</v>
      </c>
      <c r="H25" s="179">
        <f>IF(T2Manip!G21="","",T2Manip!G21)</f>
        <v>137.32558139534882</v>
      </c>
      <c r="I25" s="1543"/>
      <c r="J25" s="4">
        <f>IF(T2Manip!H21="","",T2Manip!H21/1000)</f>
        <v>6.7</v>
      </c>
      <c r="K25" s="4">
        <f>IF(T2Manip!I21="","",T2Manip!I21/1000)</f>
        <v>11.555</v>
      </c>
      <c r="L25" s="179">
        <f>IF(T2Manip!J21="","",T2Manip!J21)</f>
        <v>172.46268656716416</v>
      </c>
      <c r="M25" s="1543"/>
      <c r="N25" s="4">
        <f>IF(T2Manip!K21="","",T2Manip!K21/1000)</f>
        <v>333.7</v>
      </c>
      <c r="O25" s="4">
        <f>IF(T2Manip!L21="","",T2Manip!L21/1000)</f>
        <v>295.10000000000002</v>
      </c>
      <c r="P25" s="1082">
        <f>IF(T2Manip!M21="","",T2Manip!M21)</f>
        <v>88.432724003596036</v>
      </c>
      <c r="Q25" s="179"/>
    </row>
    <row r="26" spans="1:17" ht="15" customHeight="1">
      <c r="A26" s="1639">
        <v>2003</v>
      </c>
      <c r="B26" s="4">
        <f>IF(T2Manip!B22="","",T2Manip!B22/1000)</f>
        <v>109.8</v>
      </c>
      <c r="C26" s="4">
        <f>IF(T2Manip!C22="","",T2Manip!C22/1000)</f>
        <v>126.58</v>
      </c>
      <c r="D26" s="179">
        <f>IF(T2Manip!D22="","",T2Manip!D22)</f>
        <v>115.28233151183971</v>
      </c>
      <c r="E26" s="1543"/>
      <c r="F26" s="4">
        <f>IF(T2Manip!E22="","",T2Manip!E22/1000)</f>
        <v>4.8</v>
      </c>
      <c r="G26" s="4">
        <f>IF(T2Manip!F22="","",T2Manip!F22/1000)</f>
        <v>5.4720000000000004</v>
      </c>
      <c r="H26" s="179">
        <f>IF(T2Manip!G22="","",T2Manip!G22)</f>
        <v>113.99999999999999</v>
      </c>
      <c r="I26" s="1543"/>
      <c r="J26" s="4">
        <f>IF(T2Manip!H22="","",T2Manip!H22/1000)</f>
        <v>11.6</v>
      </c>
      <c r="K26" s="4">
        <f>IF(T2Manip!I22="","",T2Manip!I22/1000)</f>
        <v>25.55</v>
      </c>
      <c r="L26" s="179">
        <f>IF(T2Manip!J22="","",T2Manip!J22)</f>
        <v>220.25862068965517</v>
      </c>
      <c r="M26" s="1543"/>
      <c r="N26" s="4">
        <f>IF(T2Manip!K22="","",T2Manip!K22/1000)</f>
        <v>145.4</v>
      </c>
      <c r="O26" s="4">
        <f>IF(T2Manip!L22="","",T2Manip!L22/1000)</f>
        <v>208.9</v>
      </c>
      <c r="P26" s="1082">
        <f>IF(T2Manip!M22="","",T2Manip!M22)</f>
        <v>143.67262723521321</v>
      </c>
      <c r="Q26" s="179"/>
    </row>
    <row r="27" spans="1:17" ht="15" customHeight="1">
      <c r="A27" s="1639">
        <v>2004</v>
      </c>
      <c r="B27" s="4">
        <f>IF(T2Manip!B23="","",T2Manip!B23/1000)</f>
        <v>109.4</v>
      </c>
      <c r="C27" s="4">
        <f>IF(T2Manip!C23="","",T2Manip!C23/1000)</f>
        <v>144.44800000000001</v>
      </c>
      <c r="D27" s="179">
        <f>IF(T2Manip!D23="","",T2Manip!D23)</f>
        <v>132.03656307129799</v>
      </c>
      <c r="E27" s="1543"/>
      <c r="F27" s="4">
        <f>IF(T2Manip!E23="","",T2Manip!E23/1000)</f>
        <v>5.2</v>
      </c>
      <c r="G27" s="4">
        <f>IF(T2Manip!F23="","",T2Manip!F23/1000)</f>
        <v>12.68</v>
      </c>
      <c r="H27" s="179">
        <f>IF(T2Manip!G23="","",T2Manip!G23)</f>
        <v>243.84615384615387</v>
      </c>
      <c r="I27" s="1543"/>
      <c r="J27" s="4">
        <f>IF(T2Manip!H23="","",T2Manip!H23/1000)</f>
        <v>27.3</v>
      </c>
      <c r="K27" s="4">
        <f>IF(T2Manip!I23="","",T2Manip!I23/1000)</f>
        <v>28.291</v>
      </c>
      <c r="L27" s="179">
        <f>IF(T2Manip!J23="","",T2Manip!J23)</f>
        <v>103.63003663003663</v>
      </c>
      <c r="M27" s="1543"/>
      <c r="N27" s="4">
        <f>IF(T2Manip!K23="","",T2Manip!K23/1000)</f>
        <v>360.7</v>
      </c>
      <c r="O27" s="4">
        <f>IF(T2Manip!L23="","",T2Manip!L23/1000)</f>
        <v>193.4</v>
      </c>
      <c r="P27" s="1082">
        <f>IF(T2Manip!M23="","",T2Manip!M23)</f>
        <v>53.617965067923478</v>
      </c>
      <c r="Q27" s="179"/>
    </row>
    <row r="28" spans="1:17" ht="15" customHeight="1">
      <c r="A28" s="1639">
        <v>2005</v>
      </c>
      <c r="B28" s="4">
        <f>IF(T2Manip!B24="","",T2Manip!B24/1000)</f>
        <v>116.9</v>
      </c>
      <c r="C28" s="4">
        <f>IF(T2Manip!C24="","",T2Manip!C24/1000)</f>
        <v>60.975999999999999</v>
      </c>
      <c r="D28" s="179">
        <f>IF(T2Manip!D24="","",T2Manip!D24)</f>
        <v>52.16082121471343</v>
      </c>
      <c r="E28" s="1543"/>
      <c r="F28" s="4">
        <f>IF(T2Manip!E24="","",T2Manip!E24/1000)</f>
        <v>7.4</v>
      </c>
      <c r="G28" s="4">
        <f>IF(T2Manip!F24="","",T2Manip!F24/1000)</f>
        <v>7.665</v>
      </c>
      <c r="H28" s="179">
        <f>IF(T2Manip!G24="","",T2Manip!G24)</f>
        <v>103.58108108108108</v>
      </c>
      <c r="I28" s="1543"/>
      <c r="J28" s="4">
        <f>IF(T2Manip!H24="","",T2Manip!H24/1000)</f>
        <v>24.8</v>
      </c>
      <c r="K28" s="4">
        <f>IF(T2Manip!I24="","",T2Manip!I24/1000)</f>
        <v>16.277000000000001</v>
      </c>
      <c r="L28" s="179">
        <f>IF(T2Manip!J24="","",T2Manip!J24)</f>
        <v>65.633064516129039</v>
      </c>
      <c r="M28" s="1543"/>
      <c r="N28" s="4">
        <f>IF(T2Manip!K24="","",T2Manip!K24/1000)</f>
        <v>254.1</v>
      </c>
      <c r="O28" s="4">
        <f>IF(T2Manip!L24="","",T2Manip!L24/1000)</f>
        <v>106.909655</v>
      </c>
      <c r="P28" s="1082">
        <f>IF(T2Manip!M24="","",T2Manip!M24)</f>
        <v>42.07385084612357</v>
      </c>
      <c r="Q28" s="179"/>
    </row>
    <row r="29" spans="1:17" ht="15" customHeight="1">
      <c r="A29" s="1639">
        <v>2006</v>
      </c>
      <c r="B29" s="4">
        <f>IF(T2Manip!B25="","",T2Manip!B25/1000)</f>
        <v>46.5</v>
      </c>
      <c r="C29" s="4">
        <f>IF(T2Manip!C25="","",T2Manip!C25/1000)</f>
        <v>59.661999999999999</v>
      </c>
      <c r="D29" s="179">
        <f>IF(T2Manip!D25="","",T2Manip!D25)</f>
        <v>128.30537634408603</v>
      </c>
      <c r="E29" s="1543"/>
      <c r="F29" s="4">
        <f>IF(T2Manip!E25="","",T2Manip!E25/1000)</f>
        <v>8.1999999999999993</v>
      </c>
      <c r="G29" s="4">
        <f>IF(T2Manip!F25="","",T2Manip!F25/1000)</f>
        <v>4.3819999999999997</v>
      </c>
      <c r="H29" s="179">
        <f>IF(T2Manip!G25="","",T2Manip!G25)</f>
        <v>53.439024390243908</v>
      </c>
      <c r="I29" s="1543"/>
      <c r="J29" s="4">
        <f>IF(T2Manip!H25="","",T2Manip!H25/1000)</f>
        <v>15.2</v>
      </c>
      <c r="K29" s="4">
        <f>IF(T2Manip!I25="","",T2Manip!I25/1000)</f>
        <v>19.760000000000002</v>
      </c>
      <c r="L29" s="179">
        <f>IF(T2Manip!J25="","",T2Manip!J25)</f>
        <v>130</v>
      </c>
      <c r="M29" s="1543"/>
      <c r="N29" s="4">
        <f>IF(T2Manip!K25="","",T2Manip!K25/1000)</f>
        <v>88.4</v>
      </c>
      <c r="O29" s="4">
        <f>IF(T2Manip!L25="","",T2Manip!L25/1000)</f>
        <v>132.58333999999999</v>
      </c>
      <c r="P29" s="1082">
        <f>IF(T2Manip!M25="","",T2Manip!M25)</f>
        <v>149.98115384615386</v>
      </c>
      <c r="Q29" s="179"/>
    </row>
    <row r="30" spans="1:17" ht="15" customHeight="1">
      <c r="A30" s="1639">
        <v>2007</v>
      </c>
      <c r="B30" s="4">
        <f>IF(T2Manip!B26="","",T2Manip!B26/1000)</f>
        <v>52</v>
      </c>
      <c r="C30" s="4">
        <f>IF(T2Manip!C26="","",T2Manip!C26/1000)</f>
        <v>40.488999999999997</v>
      </c>
      <c r="D30" s="179">
        <f>IF(T2Manip!D26="","",T2Manip!D26)</f>
        <v>77.863461538461536</v>
      </c>
      <c r="E30" s="1543"/>
      <c r="F30" s="4">
        <f>IF(T2Manip!E26="","",T2Manip!E26/1000)</f>
        <v>7.9</v>
      </c>
      <c r="G30" s="4">
        <f>IF(T2Manip!F26="","",T2Manip!F26/1000)</f>
        <v>2.8410000000000002</v>
      </c>
      <c r="H30" s="179">
        <f>IF(T2Manip!G26="","",T2Manip!G26)</f>
        <v>35.962025316455701</v>
      </c>
      <c r="I30" s="1543"/>
      <c r="J30" s="4">
        <f>IF(T2Manip!H26="","",T2Manip!H26/1000)</f>
        <v>15.9</v>
      </c>
      <c r="K30" s="4">
        <f>IF(T2Manip!I26="","",T2Manip!I26/1000)</f>
        <v>19.587</v>
      </c>
      <c r="L30" s="179">
        <f>IF(T2Manip!J26="","",T2Manip!J26)</f>
        <v>123.18867924528303</v>
      </c>
      <c r="M30" s="1543"/>
      <c r="N30" s="4">
        <f>IF(T2Manip!K26="","",T2Manip!K26/1000)</f>
        <v>78.5</v>
      </c>
      <c r="O30" s="4">
        <f>IF(T2Manip!L26="","",T2Manip!L26/1000)</f>
        <v>86.246565000000004</v>
      </c>
      <c r="P30" s="1082">
        <f>IF(T2Manip!M26="","",T2Manip!M26)</f>
        <v>109.86823566878981</v>
      </c>
      <c r="Q30" s="179"/>
    </row>
    <row r="31" spans="1:17" ht="15" customHeight="1">
      <c r="A31" s="1639">
        <v>2008</v>
      </c>
      <c r="B31" s="4">
        <f>IF(T2Manip!B27="","",T2Manip!B27/1000)</f>
        <v>34.049999999999997</v>
      </c>
      <c r="C31" s="4">
        <f>IF(T2Manip!C27="","",T2Manip!C27/1000)</f>
        <v>27.356000000000002</v>
      </c>
      <c r="D31" s="179">
        <f>IF(T2Manip!D27="","",T2Manip!D27)</f>
        <v>80.340675477239358</v>
      </c>
      <c r="E31" s="1543"/>
      <c r="F31" s="4">
        <f>IF(T2Manip!E27="","",T2Manip!E27/1000)</f>
        <v>6.8</v>
      </c>
      <c r="G31" s="4">
        <f>IF(T2Manip!F27="","",T2Manip!F27/1000)</f>
        <v>5.8479999999999999</v>
      </c>
      <c r="H31" s="179">
        <f>IF(T2Manip!G27="","",T2Manip!G27)</f>
        <v>86</v>
      </c>
      <c r="I31" s="1543"/>
      <c r="J31" s="4">
        <f>IF(T2Manip!H27="","",T2Manip!H27/1000)</f>
        <v>12.4</v>
      </c>
      <c r="K31" s="4">
        <f>IF(T2Manip!I27="","",T2Manip!I27/1000)</f>
        <v>6.8159999999999998</v>
      </c>
      <c r="L31" s="179">
        <f>IF(T2Manip!J27="","",T2Manip!J27)</f>
        <v>54.967741935483872</v>
      </c>
      <c r="M31" s="1543"/>
      <c r="N31" s="4">
        <f>IF(T2Manip!K27="","",T2Manip!K27/1000)</f>
        <v>269.3</v>
      </c>
      <c r="O31" s="4">
        <f>IF(T2Manip!L27="","",T2Manip!L27/1000)</f>
        <v>178.626957</v>
      </c>
      <c r="P31" s="1082">
        <f>IF(T2Manip!M27="","",T2Manip!M27)</f>
        <v>66.3300991459339</v>
      </c>
      <c r="Q31" s="179"/>
    </row>
    <row r="32" spans="1:17" ht="15" customHeight="1">
      <c r="A32" s="1639">
        <v>2009</v>
      </c>
      <c r="B32" s="4">
        <f>IF(T2Manip!B28="","",T2Manip!B28/1000)</f>
        <v>37.613999999999997</v>
      </c>
      <c r="C32" s="4">
        <f>IF(T2Manip!C28="","",T2Manip!C28/1000)</f>
        <v>39.409999999999997</v>
      </c>
      <c r="D32" s="179">
        <f>IF(T2Manip!D28="","",T2Manip!D28)</f>
        <v>104.774817886957</v>
      </c>
      <c r="E32" s="1544"/>
      <c r="F32" s="4">
        <f>IF(T2Manip!E28="","",T2Manip!E28/1000)</f>
        <v>5.2</v>
      </c>
      <c r="G32" s="4">
        <f>IF(T2Manip!F28="","",T2Manip!F28/1000)</f>
        <v>2.347</v>
      </c>
      <c r="H32" s="179">
        <f>IF(T2Manip!G28="","",T2Manip!G28)</f>
        <v>45.134615384615387</v>
      </c>
      <c r="I32" s="1544"/>
      <c r="J32" s="4">
        <f>IF(T2Manip!H28="","",T2Manip!H28/1000)</f>
        <v>7.2</v>
      </c>
      <c r="K32" s="4">
        <f>IF(T2Manip!I28="","",T2Manip!I28/1000)</f>
        <v>7.9509999999999996</v>
      </c>
      <c r="L32" s="179">
        <f>IF(T2Manip!J28="","",T2Manip!J28)</f>
        <v>110.43055555555557</v>
      </c>
      <c r="M32" s="1544"/>
      <c r="N32" s="4">
        <f>IF(T2Manip!K28="","",T2Manip!K28/1000)</f>
        <v>298.89999999999998</v>
      </c>
      <c r="O32" s="4">
        <f>IF(T2Manip!L28="","",T2Manip!L28/1000)</f>
        <v>169.29589899999999</v>
      </c>
      <c r="P32" s="1082">
        <f>IF(T2Manip!M28="","",T2Manip!M28)</f>
        <v>56.639645031783203</v>
      </c>
      <c r="Q32" s="179"/>
    </row>
    <row r="33" spans="1:18" ht="15" customHeight="1">
      <c r="A33" s="1639">
        <v>2010</v>
      </c>
      <c r="B33" s="4">
        <f>IF(T2Manip!B29="","",T2Manip!B29/1000)</f>
        <v>62.661999999999999</v>
      </c>
      <c r="C33" s="4">
        <f>IF(T2Manip!C29="","",T2Manip!C29/1000)</f>
        <v>110.536</v>
      </c>
      <c r="D33" s="179">
        <f>IF(T2Manip!D29="","",T2Manip!D29)</f>
        <v>176.40037024033705</v>
      </c>
      <c r="E33" s="1544"/>
      <c r="F33" s="4">
        <f>IF(T2Manip!E29="","",T2Manip!E29/1000)</f>
        <v>3.7</v>
      </c>
      <c r="G33" s="4">
        <f>IF(T2Manip!F29="","",T2Manip!F29/1000)</f>
        <v>7.343</v>
      </c>
      <c r="H33" s="179">
        <f>IF(T2Manip!G29="","",T2Manip!G29)</f>
        <v>198.45945945945945</v>
      </c>
      <c r="I33" s="1544"/>
      <c r="J33" s="4">
        <f>IF(T2Manip!H29="","",T2Manip!H29/1000)</f>
        <v>19.399999999999999</v>
      </c>
      <c r="K33" s="4">
        <f>IF(T2Manip!I29="","",T2Manip!I29/1000)</f>
        <v>11.939</v>
      </c>
      <c r="L33" s="179">
        <f>IF(T2Manip!J29="","",T2Manip!J29)</f>
        <v>61.541237113402062</v>
      </c>
      <c r="M33" s="1544"/>
      <c r="N33" s="4">
        <f>IF(T2Manip!K29="","",T2Manip!K29/1000)</f>
        <v>470</v>
      </c>
      <c r="O33" s="4">
        <f>IF(T2Manip!L29="","",T2Manip!L29/1000)</f>
        <v>315.34582300000005</v>
      </c>
      <c r="P33" s="1082">
        <f>IF(T2Manip!M29="","",T2Manip!M29)</f>
        <v>67.094855957446825</v>
      </c>
      <c r="Q33" s="179"/>
    </row>
    <row r="34" spans="1:18" ht="15" customHeight="1">
      <c r="A34" s="1639">
        <v>2011</v>
      </c>
      <c r="B34" s="4">
        <f>IF(T2Manip!B30="","",T2Manip!B30/1000)</f>
        <v>104.06699999999999</v>
      </c>
      <c r="C34" s="4">
        <f>IF(T2Manip!C30="","",T2Manip!C30/1000)</f>
        <v>80.254000000000005</v>
      </c>
      <c r="D34" s="179">
        <f>IF(T2Manip!D30="","",T2Manip!D30)</f>
        <v>77.117626144695237</v>
      </c>
      <c r="E34" s="1544"/>
      <c r="F34" s="4">
        <f>IF(T2Manip!E30="","",T2Manip!E30/1000)</f>
        <v>5.5</v>
      </c>
      <c r="G34" s="4">
        <f>IF(T2Manip!F30="","",T2Manip!F30/1000)</f>
        <v>4.702</v>
      </c>
      <c r="H34" s="179">
        <f>IF(T2Manip!G30="","",T2Manip!G30)</f>
        <v>85.490909090909099</v>
      </c>
      <c r="I34" s="1544"/>
      <c r="J34" s="4">
        <f>IF(T2Manip!H30="","",T2Manip!H30/1000)</f>
        <v>10.6</v>
      </c>
      <c r="K34" s="4">
        <f>IF(T2Manip!I30="","",T2Manip!I30/1000)</f>
        <v>7.4649999999999999</v>
      </c>
      <c r="L34" s="179">
        <f>IF(T2Manip!J30="","",T2Manip!J30)</f>
        <v>70.424528301886795</v>
      </c>
      <c r="M34" s="1544"/>
      <c r="N34" s="4">
        <f>IF(T2Manip!K30="","",T2Manip!K30/1000)</f>
        <v>198.4</v>
      </c>
      <c r="O34" s="4">
        <f>IF(T2Manip!L30="","",T2Manip!L30/1000)</f>
        <v>221.15783300000001</v>
      </c>
      <c r="P34" s="1082">
        <f>IF(T2Manip!M30="","",T2Manip!M30)</f>
        <v>111.47068195564518</v>
      </c>
      <c r="Q34" s="179"/>
    </row>
    <row r="35" spans="1:18" ht="15" customHeight="1">
      <c r="A35" s="1639">
        <v>2012</v>
      </c>
      <c r="B35" s="4">
        <f>IF(T2Manip!B31="","",T2Manip!B31/1000)</f>
        <v>83.402000000000001</v>
      </c>
      <c r="C35" s="4">
        <f>IF(T2Manip!C31="","",T2Manip!C31/1000)</f>
        <v>65.114999999999995</v>
      </c>
      <c r="D35" s="179">
        <f>IF(T2Manip!D31="","",T2Manip!D31)</f>
        <v>78.073667298146333</v>
      </c>
      <c r="E35" s="1544"/>
      <c r="F35" s="4">
        <f>IF(T2Manip!E31="","",T2Manip!E31/1000)</f>
        <v>4.8</v>
      </c>
      <c r="G35" s="4">
        <f>IF(T2Manip!F31="","",T2Manip!F31/1000)</f>
        <v>4.5679999999999996</v>
      </c>
      <c r="H35" s="179">
        <f>IF(T2Manip!G31="","",T2Manip!G31)</f>
        <v>95.166666666666671</v>
      </c>
      <c r="I35" s="1544"/>
      <c r="J35" s="4">
        <f>IF(T2Manip!H31="","",T2Manip!H31/1000)</f>
        <v>12.1</v>
      </c>
      <c r="K35" s="4">
        <f>IF(T2Manip!I31="","",T2Manip!I31/1000)</f>
        <v>14.996878299999999</v>
      </c>
      <c r="L35" s="179">
        <f>IF(T2Manip!J31="","",T2Manip!J31)</f>
        <v>123.9411429752066</v>
      </c>
      <c r="M35" s="1544"/>
      <c r="N35" s="4">
        <f>IF(T2Manip!K31="","",T2Manip!K31/1000)</f>
        <v>314.2</v>
      </c>
      <c r="O35" s="4">
        <f>IF(T2Manip!L31="","",T2Manip!L31/1000)</f>
        <v>203.08960000000002</v>
      </c>
      <c r="P35" s="1082">
        <f>IF(T2Manip!M31="","",T2Manip!M31)</f>
        <v>64.637046467218326</v>
      </c>
      <c r="Q35" s="179"/>
    </row>
    <row r="36" spans="1:18" ht="15" customHeight="1">
      <c r="A36" s="1639">
        <v>2013</v>
      </c>
      <c r="B36" s="4">
        <f>IF(T2Manip!B32="","",T2Manip!B32/1000)</f>
        <v>59.844999999999999</v>
      </c>
      <c r="C36" s="4">
        <f>IF(T2Manip!C32="","",T2Manip!C32/1000)</f>
        <v>47.311</v>
      </c>
      <c r="D36" s="179">
        <f>IF(T2Manip!D32="","",T2Manip!D32)</f>
        <v>79.055894393850778</v>
      </c>
      <c r="E36" s="1544"/>
      <c r="F36" s="4">
        <f>IF(T2Manip!E32="","",T2Manip!E32/1000)</f>
        <v>6.1</v>
      </c>
      <c r="G36" s="4">
        <f>IF(T2Manip!F32="","",T2Manip!F32/1000)</f>
        <v>3.7229999999999999</v>
      </c>
      <c r="H36" s="179">
        <f>IF(T2Manip!G32="","",T2Manip!G32)</f>
        <v>61.032786885245905</v>
      </c>
      <c r="I36" s="1544"/>
      <c r="J36" s="4">
        <f>IF(T2Manip!H32="","",T2Manip!H32/1000)</f>
        <v>7.8</v>
      </c>
      <c r="K36" s="4">
        <f>IF(T2Manip!I32="","",T2Manip!I32/1000)</f>
        <v>10.715999999999999</v>
      </c>
      <c r="L36" s="179">
        <f>IF(T2Manip!J32="","",T2Manip!J32)</f>
        <v>137.38461538461539</v>
      </c>
      <c r="M36" s="1544"/>
      <c r="N36" s="4">
        <f>IF(T2Manip!K32="","",T2Manip!K32/1000)</f>
        <v>141.4</v>
      </c>
      <c r="O36" s="4">
        <f>IF(T2Manip!L32="","",T2Manip!L32/1000)</f>
        <v>123.136146</v>
      </c>
      <c r="P36" s="1082">
        <f>IF(T2Manip!M32="","",T2Manip!M32)</f>
        <v>87.083554455445551</v>
      </c>
      <c r="Q36" s="179"/>
    </row>
    <row r="37" spans="1:18" ht="15" customHeight="1">
      <c r="A37" s="832">
        <v>2014</v>
      </c>
      <c r="B37" s="4">
        <f>IF(T2Manip!B33="","",T2Manip!B33/1000)</f>
        <v>58.69</v>
      </c>
      <c r="C37" s="4">
        <f>IF(T2Manip!C33="","",T2Manip!C33/1000)</f>
        <v>51.793999999999997</v>
      </c>
      <c r="D37" s="179">
        <f>IF(T2Manip!D33="","",T2Manip!D33)</f>
        <v>88.250127790083482</v>
      </c>
      <c r="E37" s="1545"/>
      <c r="F37" s="4">
        <f>IF(T2Manip!E33="","",T2Manip!E33/1000)</f>
        <v>5.5</v>
      </c>
      <c r="G37" s="4">
        <f>IF(T2Manip!F33="","",T2Manip!F33/1000)</f>
        <v>3.1059999999999999</v>
      </c>
      <c r="H37" s="179">
        <f>IF(T2Manip!G33="","",T2Manip!G33)</f>
        <v>56.472727272727276</v>
      </c>
      <c r="I37" s="1545"/>
      <c r="J37" s="4">
        <f>IF(T2Manip!H33="","",T2Manip!H33/1000)</f>
        <v>13.8</v>
      </c>
      <c r="K37" s="4">
        <f>IF(T2Manip!I33="","",T2Manip!I33/1000)</f>
        <v>10.702999999999999</v>
      </c>
      <c r="L37" s="179">
        <f>IF(T2Manip!J33="","",T2Manip!J33)</f>
        <v>77.55797101449275</v>
      </c>
      <c r="M37" s="1545"/>
      <c r="N37" s="4">
        <f>IF(T2Manip!K33="","",T2Manip!K33/1000)</f>
        <v>227</v>
      </c>
      <c r="O37" s="4">
        <f>IF(T2Manip!L33="","",T2Manip!L33/1000)</f>
        <v>242.63483499999998</v>
      </c>
      <c r="P37" s="1082">
        <f>IF(T2Manip!M33="","",T2Manip!M33)</f>
        <v>106.88759251101321</v>
      </c>
      <c r="Q37" s="179"/>
    </row>
    <row r="38" spans="1:18" ht="15" customHeight="1">
      <c r="A38" s="832">
        <v>2015</v>
      </c>
      <c r="B38" s="4">
        <f>IF(T2Manip!B34="","",T2Manip!B34/1000)</f>
        <v>55.44</v>
      </c>
      <c r="C38" s="4">
        <f>IF(T2Manip!C34="","",T2Manip!C34/1000)</f>
        <v>87.070999999999998</v>
      </c>
      <c r="D38" s="179">
        <f>IF(T2Manip!D34="","",T2Manip!D34)</f>
        <v>157.05447330447331</v>
      </c>
      <c r="E38" s="166"/>
      <c r="F38" s="4">
        <f>IF(T2Manip!E34="","",T2Manip!E34/1000)</f>
        <v>5.5</v>
      </c>
      <c r="G38" s="4">
        <f>IF(T2Manip!F34="","",T2Manip!F34/1000)</f>
        <v>3.4740000000000002</v>
      </c>
      <c r="H38" s="179">
        <f>IF(T2Manip!G34="","",T2Manip!G34)</f>
        <v>63.163636363636364</v>
      </c>
      <c r="I38" s="166"/>
      <c r="J38" s="4">
        <f>IF(T2Manip!H34="","",T2Manip!H34/1000)</f>
        <v>14.2</v>
      </c>
      <c r="K38" s="4">
        <f>IF(T2Manip!I34="","",T2Manip!I34/1000)</f>
        <v>30.849</v>
      </c>
      <c r="L38" s="179">
        <f>IF(T2Manip!J34="","",T2Manip!J34)</f>
        <v>217.24647887323943</v>
      </c>
      <c r="M38" s="166"/>
      <c r="N38" s="4">
        <f>IF(T2Manip!K34="","",T2Manip!K34/1000)</f>
        <v>232.5</v>
      </c>
      <c r="O38" s="4">
        <f>IF(T2Manip!L34="","",T2Manip!L34/1000)</f>
        <v>288.99299999999999</v>
      </c>
      <c r="P38" s="1083">
        <f>IF(T2Manip!M34="","",T2Manip!M34)</f>
        <v>124.29806451612903</v>
      </c>
      <c r="Q38" s="431"/>
    </row>
    <row r="39" spans="1:18" ht="15" customHeight="1">
      <c r="A39" s="832">
        <v>2016</v>
      </c>
      <c r="B39" s="4">
        <f>IF(T2Manip!B35="","",T2Manip!B35/1000)</f>
        <v>70.099999999999994</v>
      </c>
      <c r="C39" s="4">
        <f>IF(T2Manip!C35="","",T2Manip!C35/1000)</f>
        <v>49.768000000000001</v>
      </c>
      <c r="D39" s="179">
        <f>IF(T2Manip!D35="","",T2Manip!D35)</f>
        <v>70.995720399429388</v>
      </c>
      <c r="E39" s="166"/>
      <c r="F39" s="4" t="str">
        <f>IF(T2Manip!E35="","",T2Manip!E35)</f>
        <v>—</v>
      </c>
      <c r="G39" s="4">
        <f>IF(T2Manip!F35="","",T2Manip!F35/1000)</f>
        <v>3.964</v>
      </c>
      <c r="H39" s="179" t="str">
        <f>IF(T2Manip!G35="","",T2Manip!G35)</f>
        <v>—</v>
      </c>
      <c r="I39" s="166"/>
      <c r="J39" s="4">
        <f>IF(T2Manip!H35="","",T2Manip!H35/1000)</f>
        <v>31.1</v>
      </c>
      <c r="K39" s="4">
        <f>IF(T2Manip!I35="","",T2Manip!I35/1000)</f>
        <v>29.613</v>
      </c>
      <c r="L39" s="179">
        <f>IF(T2Manip!J35="","",T2Manip!J35)</f>
        <v>95.218649517684881</v>
      </c>
      <c r="M39" s="166"/>
      <c r="N39" s="4">
        <f>IF(T2Manip!K35="","",T2Manip!K35/1000)</f>
        <v>188.8</v>
      </c>
      <c r="O39" s="4">
        <f>IF(T2Manip!L35="","",T2Manip!L35/1000)</f>
        <v>187.815797</v>
      </c>
      <c r="P39" s="1083">
        <f>IF(T2Manip!M35="","",T2Manip!M35)</f>
        <v>99.478706038135584</v>
      </c>
      <c r="Q39" s="431"/>
    </row>
    <row r="40" spans="1:18" ht="15" customHeight="1">
      <c r="A40" s="832">
        <v>2017</v>
      </c>
      <c r="B40" s="4">
        <f>IF(T2Manip!B36="","",T2Manip!B36/1000)</f>
        <v>40.19</v>
      </c>
      <c r="C40" s="4">
        <f>IF(T2Manip!C36="","",T2Manip!C36/1000)</f>
        <v>53.652999999999999</v>
      </c>
      <c r="D40" s="179">
        <f>IF(T2Manip!D36="","",T2Manip!D36)</f>
        <v>133.49838268225926</v>
      </c>
      <c r="E40" s="166"/>
      <c r="F40" s="4">
        <f>IF(T2Manip!E36="","",T2Manip!E36/1000)</f>
        <v>3.6</v>
      </c>
      <c r="G40" s="4">
        <f>IF(T2Manip!F36="","",T2Manip!F36/1000)</f>
        <v>7.6070000000000002</v>
      </c>
      <c r="H40" s="179">
        <f>IF(T2Manip!G36="","",T2Manip!G36)</f>
        <v>211.30555555555554</v>
      </c>
      <c r="I40" s="166"/>
      <c r="J40" s="4">
        <f>IF(T2Manip!H36="","",T2Manip!H36/1000)</f>
        <v>20.9</v>
      </c>
      <c r="K40" s="4">
        <f>IF(T2Manip!I36="","",T2Manip!I36/1000)</f>
        <v>20.460999999999999</v>
      </c>
      <c r="L40" s="179">
        <f>IF(T2Manip!J36="","",T2Manip!J36)</f>
        <v>97.899521531100476</v>
      </c>
      <c r="M40" s="166"/>
      <c r="N40" s="4">
        <f>IF(T2Manip!K36="","",T2Manip!K36/1000)</f>
        <v>160.4</v>
      </c>
      <c r="O40" s="4">
        <f>IF(T2Manip!L36="","",T2Manip!L36/1000)</f>
        <v>115.82089999999999</v>
      </c>
      <c r="P40" s="1083">
        <f>IF(T2Manip!M36="","",T2Manip!M36)</f>
        <v>72.207543640897754</v>
      </c>
      <c r="Q40" s="431"/>
    </row>
    <row r="41" spans="1:18" ht="15" customHeight="1">
      <c r="A41" s="832">
        <v>2018</v>
      </c>
      <c r="B41" s="4">
        <f>IF(T2Manip!B37="","",T2Manip!B37/1000)</f>
        <v>55.95</v>
      </c>
      <c r="C41" s="4">
        <f>IF(T2Manip!C37="","",T2Manip!C37/1000)</f>
        <v>39.659999999999997</v>
      </c>
      <c r="D41" s="179">
        <f>IF(T2Manip!D37="","",T2Manip!D37)</f>
        <v>70.88471849865951</v>
      </c>
      <c r="E41" s="166"/>
      <c r="F41" s="4">
        <f>IF(T2Manip!E37="","",T2Manip!E37/1000)</f>
        <v>5.4</v>
      </c>
      <c r="G41" s="4">
        <f>IF(T2Manip!F37="","",T2Manip!F37/1000)</f>
        <v>4.8380000000000001</v>
      </c>
      <c r="H41" s="179">
        <f>IF(T2Manip!G37="","",T2Manip!G37)</f>
        <v>89.592592592592595</v>
      </c>
      <c r="I41" s="166"/>
      <c r="J41" s="4">
        <f>IF(T2Manip!H37="","",T2Manip!H37/1000)</f>
        <v>10.3</v>
      </c>
      <c r="K41" s="4">
        <f>IF(T2Manip!I37="","",T2Manip!I37/1000)</f>
        <v>9.2230000000000008</v>
      </c>
      <c r="L41" s="179">
        <f>IF(T2Manip!J37="","",T2Manip!J37)</f>
        <v>89.543689320388353</v>
      </c>
      <c r="M41" s="166"/>
      <c r="N41" s="4">
        <f>IF(T2Manip!K37="","",T2Manip!K37/1000)</f>
        <v>166.7</v>
      </c>
      <c r="O41" s="4">
        <f>IF(T2Manip!L37="","",T2Manip!L37/1000)</f>
        <v>115.0808</v>
      </c>
      <c r="P41" s="1083">
        <f>IF(T2Manip!M37="","",T2Manip!M37)</f>
        <v>69.034673065386926</v>
      </c>
      <c r="Q41" s="431"/>
    </row>
    <row r="42" spans="1:18" ht="15" customHeight="1">
      <c r="A42" s="832">
        <v>2019</v>
      </c>
      <c r="B42" s="4">
        <f>IF(T2Manip!B38="","",T2Manip!B38/1000)</f>
        <v>42.49</v>
      </c>
      <c r="C42" s="4">
        <f>IF(T2Manip!C38="","",T2Manip!C38/1000)</f>
        <v>29.314</v>
      </c>
      <c r="D42" s="179">
        <f>IF(T2Manip!D38="","",T2Manip!D38)</f>
        <v>68.990350670746054</v>
      </c>
      <c r="E42" s="166"/>
      <c r="F42" s="4">
        <f>IF(T2Manip!E38="","",T2Manip!E38/1000)</f>
        <v>5.5</v>
      </c>
      <c r="G42" s="4">
        <f>IF(T2Manip!F38="","",T2Manip!F38/1000)</f>
        <v>3.4239999999999999</v>
      </c>
      <c r="H42" s="179">
        <f>IF(T2Manip!G38="","",T2Manip!G38)</f>
        <v>62.25454545454545</v>
      </c>
      <c r="I42" s="166"/>
      <c r="J42" s="4">
        <f>IF(T2Manip!H38="","",T2Manip!H38/1000)</f>
        <v>4.3</v>
      </c>
      <c r="K42" s="4">
        <f>IF(T2Manip!I38="","",T2Manip!I38/1000)</f>
        <v>3.379</v>
      </c>
      <c r="L42" s="179">
        <f>IF(T2Manip!J38="","",T2Manip!J38)</f>
        <v>78.581395348837219</v>
      </c>
      <c r="M42" s="166"/>
      <c r="N42" s="4">
        <f>IF(T2Manip!K38="","",T2Manip!K38/1000)</f>
        <v>99.3</v>
      </c>
      <c r="O42" s="4">
        <f>IF(T2Manip!L38="","",T2Manip!L38/1000)</f>
        <v>73.105000000000004</v>
      </c>
      <c r="P42" s="1083">
        <f>IF(T2Manip!M38="","",T2Manip!M38)</f>
        <v>73.620342396777431</v>
      </c>
      <c r="Q42" s="431"/>
      <c r="R42" s="60"/>
    </row>
    <row r="43" spans="1:18" ht="15" customHeight="1">
      <c r="A43" s="832">
        <v>2020</v>
      </c>
      <c r="B43" s="4">
        <f>IF(T2Manip!B39="","",T2Manip!B39/1000)</f>
        <v>43.43</v>
      </c>
      <c r="C43" s="4">
        <f>IF(T2Manip!C39="","",T2Manip!C39/1000)</f>
        <v>47.326999999999998</v>
      </c>
      <c r="D43" s="179">
        <f>IF(T2Manip!D39="","",T2Manip!D39)</f>
        <v>108.97306009670736</v>
      </c>
      <c r="E43" s="166"/>
      <c r="F43" s="4">
        <f>IF(T2Manip!E39="","",T2Manip!E39/1000)</f>
        <v>5.2</v>
      </c>
      <c r="G43" s="4">
        <f>IF(T2Manip!F39="","",T2Manip!F39/1000)</f>
        <v>7.782</v>
      </c>
      <c r="H43" s="179">
        <f>IF(T2Manip!G39="","",T2Manip!G39)</f>
        <v>149.65384615384616</v>
      </c>
      <c r="I43" s="166"/>
      <c r="J43" s="4">
        <f>IF(T2Manip!H39="","",T2Manip!H39/1000)</f>
        <v>3.84</v>
      </c>
      <c r="K43" s="4">
        <f>IF(T2Manip!I39="","",T2Manip!I39/1000)</f>
        <v>3.9660000000000002</v>
      </c>
      <c r="L43" s="179">
        <f>IF(T2Manip!J39="","",T2Manip!J39)</f>
        <v>103.28124999999999</v>
      </c>
      <c r="M43" s="166"/>
      <c r="N43" s="4">
        <f>IF(T2Manip!K39="","",T2Manip!K39/1000)</f>
        <v>81.7</v>
      </c>
      <c r="O43" s="4">
        <f>IF(T2Manip!L39="","",T2Manip!L39/1000)</f>
        <v>81.301000000000002</v>
      </c>
      <c r="P43" s="1083">
        <f>IF(T2Manip!M39="","",T2Manip!M39)</f>
        <v>99.511627906976742</v>
      </c>
      <c r="Q43" s="431"/>
      <c r="R43" s="60"/>
    </row>
    <row r="44" spans="1:18" ht="15" customHeight="1">
      <c r="A44" s="832">
        <v>2021</v>
      </c>
      <c r="B44" s="4">
        <f>IF(T2Manip!B40="","",T2Manip!B40/1000)</f>
        <v>52.4</v>
      </c>
      <c r="C44" s="4">
        <f>IF(T2Manip!C40="","",T2Manip!C40/1000)</f>
        <v>43.148000000000003</v>
      </c>
      <c r="D44" s="179">
        <f>IF(T2Manip!D40="","",T2Manip!D40)</f>
        <v>82.343511450381683</v>
      </c>
      <c r="E44" s="166"/>
      <c r="F44" s="4">
        <f>IF(T2Manip!E40="","",T2Manip!E40/1000)</f>
        <v>5.3</v>
      </c>
      <c r="G44" s="4">
        <f>IF(T2Manip!F40="","",T2Manip!F40/1000)</f>
        <v>5.6760000000000002</v>
      </c>
      <c r="H44" s="179">
        <f>IF(T2Manip!G40="","",T2Manip!G40)</f>
        <v>107.0943396226415</v>
      </c>
      <c r="I44" s="166"/>
      <c r="J44" s="4">
        <f>IF(T2Manip!H40="","",T2Manip!H40/1000)</f>
        <v>6.4</v>
      </c>
      <c r="K44" s="4">
        <f>IF(T2Manip!I40="","",T2Manip!I40/1000)</f>
        <v>8.4949999999999992</v>
      </c>
      <c r="L44" s="179">
        <f>IF(T2Manip!J40="","",T2Manip!J40)</f>
        <v>132.734375</v>
      </c>
      <c r="M44" s="166"/>
      <c r="N44" s="4">
        <f>IF(T2Manip!K40="","",T2Manip!K40/1000)</f>
        <v>75.2</v>
      </c>
      <c r="O44" s="4">
        <f>IF(T2Manip!L40="","",T2Manip!L40/1000)</f>
        <v>91.756</v>
      </c>
      <c r="P44" s="1083">
        <f>IF(T2Manip!M40="","",T2Manip!M40)</f>
        <v>122.01595744680851</v>
      </c>
      <c r="Q44" s="431"/>
      <c r="R44" s="60"/>
    </row>
    <row r="45" spans="1:18" ht="15" customHeight="1">
      <c r="A45" s="832">
        <v>2022</v>
      </c>
      <c r="B45" s="4">
        <f>IF(T2Manip!B41="","",T2Manip!B41/1000)</f>
        <v>52.9</v>
      </c>
      <c r="C45" s="4">
        <f>IF(T2Manip!C41="","",T2Manip!C41/1000)</f>
        <v>57.317</v>
      </c>
      <c r="D45" s="179">
        <f>IF(T2Manip!D41="","",T2Manip!D41)</f>
        <v>108.34971644612477</v>
      </c>
      <c r="E45" s="166"/>
      <c r="F45" s="4">
        <f>IF(T2Manip!E41="","",T2Manip!E41/1000)</f>
        <v>5.6</v>
      </c>
      <c r="G45" s="4">
        <f>IF(T2Manip!F41="","",T2Manip!F41/1000)</f>
        <v>10.289</v>
      </c>
      <c r="H45" s="179">
        <f>IF(T2Manip!G41="","",T2Manip!G41)</f>
        <v>183.73214285714286</v>
      </c>
      <c r="I45" s="166"/>
      <c r="J45" s="4">
        <f>IF(T2Manip!H41="","",T2Manip!H41/1000)</f>
        <v>8.5</v>
      </c>
      <c r="K45" s="4">
        <f>IF(T2Manip!I41="","",T2Manip!I41/1000)</f>
        <v>17.169</v>
      </c>
      <c r="L45" s="179">
        <f>IF(T2Manip!J41="","",T2Manip!J41)</f>
        <v>201.98823529411766</v>
      </c>
      <c r="M45" s="166"/>
      <c r="N45" s="4">
        <f>IF(T2Manip!K41="","",T2Manip!K41/1000)</f>
        <v>122.9</v>
      </c>
      <c r="O45" s="4">
        <f>IF(T2Manip!L41="","",T2Manip!L41/1000)</f>
        <v>185.37899999999999</v>
      </c>
      <c r="P45" s="1083">
        <f>IF(T2Manip!M41="","",T2Manip!M41)</f>
        <v>150.83726606997558</v>
      </c>
      <c r="Q45" s="431"/>
      <c r="R45" s="60"/>
    </row>
    <row r="46" spans="1:18" ht="15" customHeight="1">
      <c r="A46" s="832">
        <v>2023</v>
      </c>
      <c r="B46" s="4">
        <f>IF(T2Manip!B42="","",T2Manip!B42/1000)</f>
        <v>73</v>
      </c>
      <c r="C46" s="4">
        <f>IF(T2Manip!C42="","",T2Manip!C42/1000)</f>
        <v>39.536999999999999</v>
      </c>
      <c r="D46" s="179">
        <f>IF(T2Manip!D42="","",T2Manip!D42)</f>
        <v>54.160273972602738</v>
      </c>
      <c r="E46" s="166"/>
      <c r="F46" s="4">
        <f>IF(T2Manip!E42="","",T2Manip!E42/1000)</f>
        <v>7.8</v>
      </c>
      <c r="G46" s="4">
        <f>IF(T2Manip!F42="","",T2Manip!F42/1000)</f>
        <v>6.3120000000000003</v>
      </c>
      <c r="H46" s="179">
        <f>IF(T2Manip!G42="","",T2Manip!G42)</f>
        <v>80.92307692307692</v>
      </c>
      <c r="I46" s="166"/>
      <c r="J46" s="4">
        <f>IF(T2Manip!H42="","",T2Manip!H42/1000)</f>
        <v>17.600000000000001</v>
      </c>
      <c r="K46" s="4">
        <f>IF(T2Manip!I42="","",T2Manip!I42/1000)</f>
        <v>11.933</v>
      </c>
      <c r="L46" s="179">
        <f>IF(T2Manip!J42="","",T2Manip!J42)</f>
        <v>67.80113636363636</v>
      </c>
      <c r="M46" s="166"/>
      <c r="N46" s="4">
        <f>IF(T2Manip!K42="","",T2Manip!K42/1000)</f>
        <v>147.30000000000001</v>
      </c>
      <c r="O46" s="4">
        <f>IF(T2Manip!L42="","",T2Manip!L42/1000)</f>
        <v>141.179</v>
      </c>
      <c r="P46" s="1083">
        <f>IF(T2Manip!M42="","",T2Manip!M42)</f>
        <v>95.844534962661228</v>
      </c>
      <c r="Q46" s="431"/>
      <c r="R46" s="60"/>
    </row>
    <row r="47" spans="1:18" ht="15" customHeight="1">
      <c r="A47" s="832">
        <v>2024</v>
      </c>
      <c r="B47" s="4">
        <f>IF(T2Manip!B43="","",T2Manip!B43/1000)</f>
        <v>50.4</v>
      </c>
      <c r="C47" s="4">
        <f>IF(T2Manip!C43="","",T2Manip!C43/1000)</f>
        <v>38.898000000000003</v>
      </c>
      <c r="D47" s="179">
        <f>IF(T2Manip!D43="","",T2Manip!D43)</f>
        <v>77.178571428571431</v>
      </c>
      <c r="E47" s="166"/>
      <c r="F47" s="4">
        <f>IF(T2Manip!E43="","",T2Manip!E43/1000)</f>
        <v>7.7</v>
      </c>
      <c r="G47" s="4">
        <f>IF(T2Manip!F43="","",T2Manip!F43/1000)</f>
        <v>5.3579999999999997</v>
      </c>
      <c r="H47" s="179">
        <f>IF(T2Manip!G43="","",T2Manip!G43)</f>
        <v>69.584415584415581</v>
      </c>
      <c r="I47" s="166"/>
      <c r="J47" s="4">
        <f>IF(T2Manip!H43="","",T2Manip!H43/1000)</f>
        <v>10</v>
      </c>
      <c r="K47" s="4">
        <f>IF(T2Manip!I43="","",T2Manip!I43/1000)</f>
        <v>14.179</v>
      </c>
      <c r="L47" s="179">
        <f>IF(T2Manip!J43="","",T2Manip!J43)</f>
        <v>141.79</v>
      </c>
      <c r="M47" s="166"/>
      <c r="N47" s="4">
        <f>IF(T2Manip!K43="","",T2Manip!K43/1000)</f>
        <v>121</v>
      </c>
      <c r="O47" s="4">
        <f>IF(T2Manip!L43="","",T2Manip!L43/1000)</f>
        <v>116.33199999999999</v>
      </c>
      <c r="P47" s="1083">
        <f>IF(T2Manip!M43="","",T2Manip!M43)</f>
        <v>96.142148760330585</v>
      </c>
      <c r="Q47" s="431"/>
      <c r="R47" s="60"/>
    </row>
    <row r="48" spans="1:18" ht="15" customHeight="1">
      <c r="A48" s="832">
        <v>2025</v>
      </c>
      <c r="B48" s="4">
        <f>IF(T2Manip!B44="","",T2Manip!B44/1000)</f>
        <v>53</v>
      </c>
      <c r="C48" s="4">
        <f>IF(T2Manip!C44="","",T2Manip!C44/1000)</f>
        <v>52.067</v>
      </c>
      <c r="D48" s="179">
        <f>IF(T2Manip!D44="","",T2Manip!D44)</f>
        <v>98.239622641509442</v>
      </c>
      <c r="E48" s="166"/>
      <c r="F48" s="4">
        <f>IF(T2Manip!E44="","",T2Manip!E44/1000)</f>
        <v>7.3</v>
      </c>
      <c r="G48" s="4">
        <f>IF(T2Manip!F44="","",T2Manip!F44/1000)</f>
        <v>7.1230000000000002</v>
      </c>
      <c r="H48" s="179">
        <f>IF(T2Manip!G44="","",T2Manip!G44)</f>
        <v>97.575342465753423</v>
      </c>
      <c r="I48" s="166"/>
      <c r="J48" s="4">
        <f>IF(T2Manip!H44="","",T2Manip!H44/1000)</f>
        <v>19.899999999999999</v>
      </c>
      <c r="K48" s="4">
        <f>IF(T2Manip!I44="","",T2Manip!I44/1000)</f>
        <v>19.536999999999999</v>
      </c>
      <c r="L48" s="179">
        <f>IF(T2Manip!J44="","",T2Manip!J44)</f>
        <v>98.175879396984925</v>
      </c>
      <c r="M48" s="166"/>
      <c r="N48" s="4">
        <f>IF(T2Manip!K44="","",T2Manip!K44/1000)</f>
        <v>122.5</v>
      </c>
      <c r="O48" s="4">
        <f>IF(T2Manip!L44="","",T2Manip!L44/1000)</f>
        <v>154.703</v>
      </c>
      <c r="P48" s="1083">
        <f>IF(T2Manip!M44="","",T2Manip!M44)</f>
        <v>126.28816326530612</v>
      </c>
      <c r="Q48" s="431"/>
      <c r="R48" s="60"/>
    </row>
    <row r="49" spans="1:18" ht="15" customHeight="1">
      <c r="A49" s="833">
        <v>2026</v>
      </c>
      <c r="B49" s="964">
        <f>IF(T2Manip!B45="","",T2Manip!B45/1000)</f>
        <v>32.9</v>
      </c>
      <c r="C49" s="1084" t="str">
        <f>IF(T2Manip!C45="","",T2Manip!C45/1000)</f>
        <v/>
      </c>
      <c r="D49" s="1085" t="str">
        <f>IF(T2Manip!D45="","",T2Manip!D45)</f>
        <v/>
      </c>
      <c r="E49" s="1546"/>
      <c r="F49" s="964">
        <f>IF(T2Manip!E45="","",T2Manip!E45/1000)</f>
        <v>6.4</v>
      </c>
      <c r="G49" s="1084" t="str">
        <f>IF(T2Manip!F45="","",T2Manip!F45/1000)</f>
        <v/>
      </c>
      <c r="H49" s="1085" t="str">
        <f>IF(T2Manip!G45="","",T2Manip!G45)</f>
        <v/>
      </c>
      <c r="I49" s="1546"/>
      <c r="J49" s="964">
        <f>IF(T2Manip!H45="","",T2Manip!H45/1000)</f>
        <v>17.600000000000001</v>
      </c>
      <c r="K49" s="1084" t="str">
        <f>IF(T2Manip!I45="","",T2Manip!I45/1000)</f>
        <v/>
      </c>
      <c r="L49" s="1085" t="str">
        <f>IF(T2Manip!J45="","",T2Manip!J45)</f>
        <v/>
      </c>
      <c r="M49" s="1546"/>
      <c r="N49" s="964">
        <f>IF(T2Manip!K45="","",T2Manip!K45/1000)</f>
        <v>147.30000000000001</v>
      </c>
      <c r="O49" s="1084" t="str">
        <f>IF(T2Manip!L45="","",T2Manip!L45/1000)</f>
        <v/>
      </c>
      <c r="P49" s="1086" t="str">
        <f>IF(T2Manip!M45="","",T2Manip!M45)</f>
        <v/>
      </c>
      <c r="Q49" s="431"/>
      <c r="R49" s="60"/>
    </row>
    <row r="50" spans="1:18" s="428" customFormat="1" ht="16.5" customHeight="1">
      <c r="A50" s="1728" t="s">
        <v>111</v>
      </c>
      <c r="B50" s="1728"/>
      <c r="C50" s="1728"/>
      <c r="D50" s="1728"/>
      <c r="E50" s="1728"/>
      <c r="F50" s="1728"/>
      <c r="G50" s="1728"/>
      <c r="H50" s="1728"/>
      <c r="I50" s="1728"/>
      <c r="J50" s="1728"/>
      <c r="K50" s="1728"/>
      <c r="L50" s="1728"/>
      <c r="M50" s="1728"/>
      <c r="N50" s="1728"/>
      <c r="O50" s="1728"/>
      <c r="P50" s="1728"/>
      <c r="Q50" s="1661"/>
    </row>
    <row r="51" spans="1:18" s="428" customFormat="1" ht="33.75" customHeight="1">
      <c r="A51" s="1728" t="s">
        <v>112</v>
      </c>
      <c r="B51" s="1728"/>
      <c r="C51" s="1728"/>
      <c r="D51" s="1728"/>
      <c r="E51" s="1728"/>
      <c r="F51" s="1728"/>
      <c r="G51" s="1728"/>
      <c r="H51" s="1728"/>
      <c r="I51" s="1728"/>
      <c r="J51" s="1728"/>
      <c r="K51" s="1728"/>
      <c r="L51" s="1728"/>
      <c r="M51" s="1728"/>
      <c r="N51" s="1728"/>
      <c r="O51" s="1728"/>
      <c r="P51" s="1728"/>
      <c r="Q51" s="1661"/>
    </row>
    <row r="52" spans="1:18" s="428" customFormat="1" ht="15.75">
      <c r="A52" s="1626"/>
      <c r="P52" s="1661"/>
      <c r="Q52" s="1661"/>
    </row>
    <row r="53" spans="1:18" ht="15.75">
      <c r="A53" s="60" t="s">
        <v>87</v>
      </c>
      <c r="P53" s="1642"/>
      <c r="Q53" s="1642"/>
    </row>
  </sheetData>
  <mergeCells count="23">
    <mergeCell ref="N3:P4"/>
    <mergeCell ref="A3:A4"/>
    <mergeCell ref="B3:D4"/>
    <mergeCell ref="E3:E4"/>
    <mergeCell ref="J3:L4"/>
    <mergeCell ref="M3:M4"/>
    <mergeCell ref="F3:H4"/>
    <mergeCell ref="I3:I4"/>
    <mergeCell ref="J5:J6"/>
    <mergeCell ref="K5:K6"/>
    <mergeCell ref="A50:P50"/>
    <mergeCell ref="A51:P51"/>
    <mergeCell ref="L5:L6"/>
    <mergeCell ref="N5:N6"/>
    <mergeCell ref="O5:O6"/>
    <mergeCell ref="P5:P6"/>
    <mergeCell ref="A5:A6"/>
    <mergeCell ref="B5:B6"/>
    <mergeCell ref="C5:C6"/>
    <mergeCell ref="F5:F6"/>
    <mergeCell ref="G5:G6"/>
    <mergeCell ref="H5:H6"/>
    <mergeCell ref="D5:D6"/>
  </mergeCells>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6FF33"/>
  </sheetPr>
  <dimension ref="A1:P103"/>
  <sheetViews>
    <sheetView zoomScale="110" zoomScaleNormal="110" workbookViewId="0">
      <pane xSplit="1" ySplit="4" topLeftCell="B37" activePane="bottomRight" state="frozen"/>
      <selection pane="bottomRight" activeCell="D4" sqref="D4"/>
      <selection pane="bottomLeft" activeCell="J33" sqref="J33"/>
      <selection pane="topRight" activeCell="J33" sqref="J33"/>
    </sheetView>
  </sheetViews>
  <sheetFormatPr defaultColWidth="9.33203125" defaultRowHeight="12.75"/>
  <cols>
    <col min="1" max="1" width="9.83203125" style="74" bestFit="1" customWidth="1"/>
    <col min="2" max="2" width="14.83203125" style="74" bestFit="1" customWidth="1"/>
    <col min="3" max="3" width="1.33203125" style="74" customWidth="1"/>
    <col min="4" max="5" width="9.33203125" style="74"/>
    <col min="6" max="6" width="10.33203125" style="74" customWidth="1"/>
    <col min="7" max="8" width="9.33203125" style="74"/>
    <col min="9" max="9" width="1.6640625" style="74" customWidth="1"/>
    <col min="10" max="10" width="10.6640625" style="74" customWidth="1"/>
    <col min="11" max="11" width="9.33203125" style="74"/>
    <col min="12" max="12" width="2" style="74" customWidth="1"/>
    <col min="13" max="16384" width="9.33203125" style="74"/>
  </cols>
  <sheetData>
    <row r="1" spans="1:14" ht="13.5" customHeight="1" thickTop="1">
      <c r="A1" s="1741"/>
      <c r="B1" s="1624" t="s">
        <v>113</v>
      </c>
      <c r="C1" s="1743"/>
      <c r="D1" s="1743" t="s">
        <v>114</v>
      </c>
      <c r="E1" s="1743"/>
      <c r="F1" s="1624" t="s">
        <v>115</v>
      </c>
      <c r="G1" s="1743" t="s">
        <v>116</v>
      </c>
      <c r="H1" s="1743"/>
      <c r="I1" s="1743"/>
      <c r="J1" s="1743" t="s">
        <v>117</v>
      </c>
      <c r="K1" s="1743" t="s">
        <v>118</v>
      </c>
      <c r="L1" s="1745"/>
      <c r="M1" s="1675"/>
      <c r="N1" s="1675"/>
    </row>
    <row r="2" spans="1:14" ht="12.75" customHeight="1">
      <c r="A2" s="1742"/>
      <c r="B2" s="1625" t="s">
        <v>119</v>
      </c>
      <c r="C2" s="1744"/>
      <c r="D2" s="1744" t="s">
        <v>120</v>
      </c>
      <c r="E2" s="1744"/>
      <c r="F2" s="1625" t="s">
        <v>119</v>
      </c>
      <c r="G2" s="1744" t="s">
        <v>121</v>
      </c>
      <c r="H2" s="1744"/>
      <c r="I2" s="1744"/>
      <c r="J2" s="1744"/>
      <c r="K2" s="1744"/>
      <c r="L2" s="1746"/>
      <c r="M2" s="1675"/>
      <c r="N2" s="457"/>
    </row>
    <row r="3" spans="1:14" ht="27" customHeight="1" thickBot="1">
      <c r="A3" s="1742"/>
      <c r="B3" s="458"/>
      <c r="C3" s="1744"/>
      <c r="D3" s="1747"/>
      <c r="E3" s="1747"/>
      <c r="F3" s="458"/>
      <c r="G3" s="1739" t="s">
        <v>122</v>
      </c>
      <c r="H3" s="1739"/>
      <c r="I3" s="1744"/>
      <c r="J3" s="1744"/>
      <c r="K3" s="1744"/>
      <c r="L3" s="1746"/>
      <c r="M3" s="1675"/>
      <c r="N3" s="1675"/>
    </row>
    <row r="4" spans="1:14" ht="27" thickTop="1" thickBot="1">
      <c r="A4" s="459" t="s">
        <v>28</v>
      </c>
      <c r="B4" s="1622" t="s">
        <v>120</v>
      </c>
      <c r="C4" s="1622"/>
      <c r="D4" s="1622" t="s">
        <v>123</v>
      </c>
      <c r="E4" s="1622" t="s">
        <v>124</v>
      </c>
      <c r="F4" s="1622" t="s">
        <v>121</v>
      </c>
      <c r="G4" s="1622" t="s">
        <v>125</v>
      </c>
      <c r="H4" s="1622" t="s">
        <v>126</v>
      </c>
      <c r="I4" s="1622"/>
      <c r="J4" s="1622" t="s">
        <v>127</v>
      </c>
      <c r="K4" s="1739" t="s">
        <v>128</v>
      </c>
      <c r="L4" s="1740"/>
      <c r="M4" s="1675"/>
      <c r="N4" s="1675"/>
    </row>
    <row r="5" spans="1:14" ht="13.5" thickTop="1">
      <c r="A5" s="501">
        <v>1971</v>
      </c>
      <c r="B5" s="52">
        <v>80911</v>
      </c>
      <c r="C5" s="1638"/>
      <c r="D5" s="52">
        <v>9400</v>
      </c>
      <c r="E5" s="52">
        <v>4100</v>
      </c>
      <c r="F5" s="52">
        <v>67411</v>
      </c>
      <c r="G5" s="52">
        <v>19842</v>
      </c>
      <c r="H5" s="502">
        <f>(G5/F5)*100</f>
        <v>29.434365311299342</v>
      </c>
      <c r="I5" s="1638"/>
      <c r="J5" s="52">
        <v>44569</v>
      </c>
      <c r="K5" s="52">
        <v>2200</v>
      </c>
      <c r="L5" s="453"/>
      <c r="M5"/>
      <c r="N5" s="383">
        <f>IF(OR(G5="",F5=""),"",(G5/F5))</f>
        <v>0.29434365311299343</v>
      </c>
    </row>
    <row r="6" spans="1:14">
      <c r="A6" s="501">
        <v>1972</v>
      </c>
      <c r="B6" s="52">
        <v>58362</v>
      </c>
      <c r="C6" s="1638"/>
      <c r="D6" s="52">
        <v>11100</v>
      </c>
      <c r="E6" s="52">
        <v>200</v>
      </c>
      <c r="F6" s="52">
        <v>47062</v>
      </c>
      <c r="G6" s="52">
        <v>18508</v>
      </c>
      <c r="H6" s="502">
        <f>(G6/F6)*100</f>
        <v>39.326845437932938</v>
      </c>
      <c r="I6" s="358"/>
      <c r="J6" s="52">
        <v>26154</v>
      </c>
      <c r="K6" s="52">
        <v>2200</v>
      </c>
      <c r="L6" s="453"/>
      <c r="M6"/>
      <c r="N6" s="383">
        <f t="shared" ref="N6:N69" si="0">IF(OR(G6="",F6=""),"",(G6/F6))</f>
        <v>0.39326845437932939</v>
      </c>
    </row>
    <row r="7" spans="1:14">
      <c r="A7" s="501">
        <v>1973</v>
      </c>
      <c r="B7" s="52">
        <v>70685</v>
      </c>
      <c r="C7" s="1638"/>
      <c r="D7" s="52">
        <v>12000</v>
      </c>
      <c r="E7" s="52">
        <v>4200</v>
      </c>
      <c r="F7" s="52">
        <v>54485</v>
      </c>
      <c r="G7" s="52">
        <v>10025</v>
      </c>
      <c r="H7" s="502">
        <f>(G7/F7)*100</f>
        <v>18.399559511792233</v>
      </c>
      <c r="I7" s="358"/>
      <c r="J7" s="52">
        <v>41960</v>
      </c>
      <c r="K7" s="52">
        <v>2200</v>
      </c>
      <c r="L7" s="453"/>
      <c r="M7"/>
      <c r="N7" s="383">
        <f t="shared" si="0"/>
        <v>0.18399559511792235</v>
      </c>
    </row>
    <row r="8" spans="1:14">
      <c r="A8" s="501">
        <v>1974</v>
      </c>
      <c r="B8" s="52">
        <v>82430</v>
      </c>
      <c r="C8" s="1638"/>
      <c r="D8" s="52">
        <v>9300</v>
      </c>
      <c r="E8" s="52">
        <v>1300</v>
      </c>
      <c r="F8" s="52">
        <v>71830</v>
      </c>
      <c r="G8" s="52">
        <v>25000</v>
      </c>
      <c r="H8" s="502">
        <f>(G8/F8)*100</f>
        <v>34.804399276068494</v>
      </c>
      <c r="I8" s="358"/>
      <c r="J8" s="52">
        <v>44530</v>
      </c>
      <c r="K8" s="52">
        <v>2200</v>
      </c>
      <c r="L8" s="453"/>
      <c r="M8"/>
      <c r="N8" s="383">
        <f t="shared" si="0"/>
        <v>0.34804399276068493</v>
      </c>
    </row>
    <row r="9" spans="1:14">
      <c r="A9" s="501"/>
      <c r="B9" s="1638"/>
      <c r="C9" s="1638"/>
      <c r="D9" s="1638"/>
      <c r="E9" s="1638"/>
      <c r="F9" s="1638"/>
      <c r="G9" s="1638"/>
      <c r="H9" s="503"/>
      <c r="I9" s="1638"/>
      <c r="J9" s="1638"/>
      <c r="K9" s="1638"/>
      <c r="L9" s="453"/>
      <c r="M9"/>
      <c r="N9" s="383" t="str">
        <f t="shared" si="0"/>
        <v/>
      </c>
    </row>
    <row r="10" spans="1:14">
      <c r="A10" s="501" t="s">
        <v>129</v>
      </c>
      <c r="B10" s="358"/>
      <c r="C10" s="1"/>
      <c r="D10" s="358"/>
      <c r="E10" s="358"/>
      <c r="F10" s="358"/>
      <c r="G10" s="358"/>
      <c r="H10" s="2"/>
      <c r="I10" s="358"/>
      <c r="J10" s="358"/>
      <c r="K10" s="358"/>
      <c r="L10" s="504"/>
      <c r="M10"/>
      <c r="N10" s="383" t="str">
        <f t="shared" si="0"/>
        <v/>
      </c>
    </row>
    <row r="11" spans="1:14">
      <c r="A11" s="501" t="s">
        <v>130</v>
      </c>
      <c r="B11" s="362">
        <f>AVERAGE(B5:B8)</f>
        <v>73097</v>
      </c>
      <c r="C11" s="1"/>
      <c r="D11" s="362">
        <f>AVERAGE(D5:D8)</f>
        <v>10450</v>
      </c>
      <c r="E11" s="362">
        <f>AVERAGE(E5:E8)</f>
        <v>2450</v>
      </c>
      <c r="F11" s="362">
        <f>AVERAGE(F5:F8)</f>
        <v>60197</v>
      </c>
      <c r="G11" s="362">
        <f>AVERAGE(G5:G8)</f>
        <v>18343.75</v>
      </c>
      <c r="H11" s="505">
        <f>G11/F11*100</f>
        <v>30.472864096217418</v>
      </c>
      <c r="I11" s="358"/>
      <c r="J11" s="362">
        <f>AVERAGE(J5:J8)</f>
        <v>39303.25</v>
      </c>
      <c r="K11" s="362">
        <f>AVERAGE(K5:K8)</f>
        <v>2200</v>
      </c>
      <c r="L11" s="504"/>
      <c r="M11"/>
      <c r="N11" s="383">
        <f t="shared" si="0"/>
        <v>0.30472864096217417</v>
      </c>
    </row>
    <row r="12" spans="1:14">
      <c r="A12" s="501"/>
      <c r="B12" s="52"/>
      <c r="C12" s="1"/>
      <c r="D12" s="52"/>
      <c r="E12" s="52"/>
      <c r="F12" s="52"/>
      <c r="G12" s="52"/>
      <c r="H12" s="2"/>
      <c r="I12" s="358"/>
      <c r="J12" s="52"/>
      <c r="K12" s="52"/>
      <c r="L12" s="504"/>
      <c r="M12"/>
      <c r="N12" s="383" t="str">
        <f t="shared" si="0"/>
        <v/>
      </c>
    </row>
    <row r="13" spans="1:14">
      <c r="A13" s="501">
        <v>1975</v>
      </c>
      <c r="B13" s="52">
        <v>40775</v>
      </c>
      <c r="C13" s="1"/>
      <c r="D13" s="52">
        <v>6400</v>
      </c>
      <c r="E13" s="52">
        <v>1600</v>
      </c>
      <c r="F13" s="52">
        <v>32775</v>
      </c>
      <c r="G13" s="52">
        <v>12496</v>
      </c>
      <c r="H13" s="502">
        <f>(G13/F13)*100</f>
        <v>38.126620900076283</v>
      </c>
      <c r="I13" s="358"/>
      <c r="J13" s="52">
        <v>19079</v>
      </c>
      <c r="K13" s="52">
        <v>1100</v>
      </c>
      <c r="L13" s="504"/>
      <c r="M13"/>
      <c r="N13" s="383">
        <f t="shared" si="0"/>
        <v>0.3812662090007628</v>
      </c>
    </row>
    <row r="14" spans="1:14">
      <c r="A14" s="501">
        <v>1976</v>
      </c>
      <c r="B14" s="52">
        <v>45109</v>
      </c>
      <c r="C14" s="1"/>
      <c r="D14" s="52">
        <v>2500</v>
      </c>
      <c r="E14" s="52">
        <v>1800</v>
      </c>
      <c r="F14" s="52">
        <v>40809</v>
      </c>
      <c r="G14" s="52">
        <v>16355</v>
      </c>
      <c r="H14" s="502">
        <f>(G14/F14)*100</f>
        <v>40.076943811414154</v>
      </c>
      <c r="I14" s="358"/>
      <c r="J14" s="52">
        <v>22154</v>
      </c>
      <c r="K14" s="52">
        <v>2200</v>
      </c>
      <c r="L14" s="504"/>
      <c r="M14"/>
      <c r="N14" s="383">
        <f t="shared" si="0"/>
        <v>0.40076943811414151</v>
      </c>
    </row>
    <row r="15" spans="1:14">
      <c r="A15" s="501">
        <v>1977</v>
      </c>
      <c r="B15" s="52">
        <v>64399</v>
      </c>
      <c r="C15" s="1"/>
      <c r="D15" s="52">
        <v>4800</v>
      </c>
      <c r="E15" s="52">
        <v>1500</v>
      </c>
      <c r="F15" s="52">
        <v>58099</v>
      </c>
      <c r="G15" s="52">
        <v>13987</v>
      </c>
      <c r="H15" s="502">
        <f>(G15/F15)*100</f>
        <v>24.074424688893096</v>
      </c>
      <c r="I15" s="358"/>
      <c r="J15" s="52">
        <v>40012</v>
      </c>
      <c r="K15" s="52">
        <v>4000</v>
      </c>
      <c r="L15" s="504"/>
      <c r="M15"/>
      <c r="N15" s="383">
        <f t="shared" si="0"/>
        <v>0.24074424688893095</v>
      </c>
    </row>
    <row r="16" spans="1:14">
      <c r="A16" s="501">
        <v>1978</v>
      </c>
      <c r="B16" s="52">
        <v>83300</v>
      </c>
      <c r="C16" s="1"/>
      <c r="D16" s="52">
        <v>9500</v>
      </c>
      <c r="E16" s="52">
        <v>2400</v>
      </c>
      <c r="F16" s="52">
        <v>71400</v>
      </c>
      <c r="G16" s="52">
        <v>19788</v>
      </c>
      <c r="H16" s="502">
        <f>(G16/F16)*100</f>
        <v>27.714285714285715</v>
      </c>
      <c r="I16" s="358"/>
      <c r="J16" s="52">
        <v>47512</v>
      </c>
      <c r="K16" s="52">
        <v>4000</v>
      </c>
      <c r="L16" s="504"/>
      <c r="M16"/>
      <c r="N16" s="383">
        <f t="shared" si="0"/>
        <v>0.27714285714285714</v>
      </c>
    </row>
    <row r="17" spans="1:14">
      <c r="A17" s="501">
        <v>1979</v>
      </c>
      <c r="B17" s="52">
        <v>49198</v>
      </c>
      <c r="C17" s="1"/>
      <c r="D17" s="52">
        <v>3900</v>
      </c>
      <c r="E17" s="52">
        <v>700</v>
      </c>
      <c r="F17" s="52">
        <v>44598</v>
      </c>
      <c r="G17" s="52">
        <v>12849</v>
      </c>
      <c r="H17" s="502">
        <f>(G17/F17)*100</f>
        <v>28.810709000403605</v>
      </c>
      <c r="I17" s="358"/>
      <c r="J17" s="52">
        <v>26623</v>
      </c>
      <c r="K17" s="52">
        <v>5026</v>
      </c>
      <c r="L17" s="504"/>
      <c r="M17"/>
      <c r="N17" s="383">
        <f t="shared" si="0"/>
        <v>0.28810709000403606</v>
      </c>
    </row>
    <row r="18" spans="1:14">
      <c r="A18" s="501"/>
      <c r="B18" s="358"/>
      <c r="C18" s="1"/>
      <c r="D18" s="358"/>
      <c r="E18" s="358"/>
      <c r="F18" s="358"/>
      <c r="G18" s="358"/>
      <c r="H18" s="2"/>
      <c r="I18" s="358"/>
      <c r="J18" s="358"/>
      <c r="K18" s="358"/>
      <c r="L18" s="504"/>
      <c r="M18"/>
      <c r="N18" s="383" t="str">
        <f t="shared" si="0"/>
        <v/>
      </c>
    </row>
    <row r="19" spans="1:14">
      <c r="A19" s="501" t="s">
        <v>131</v>
      </c>
      <c r="B19" s="358"/>
      <c r="C19" s="1"/>
      <c r="D19" s="358"/>
      <c r="E19" s="358"/>
      <c r="F19" s="358"/>
      <c r="G19" s="358"/>
      <c r="H19" s="2"/>
      <c r="I19" s="358"/>
      <c r="J19" s="358"/>
      <c r="K19" s="358"/>
      <c r="L19" s="504"/>
      <c r="M19"/>
      <c r="N19" s="383" t="str">
        <f t="shared" si="0"/>
        <v/>
      </c>
    </row>
    <row r="20" spans="1:14">
      <c r="A20" s="501" t="s">
        <v>130</v>
      </c>
      <c r="B20" s="362">
        <f>AVERAGE(B13:B17)</f>
        <v>56556.2</v>
      </c>
      <c r="C20" s="363"/>
      <c r="D20" s="362">
        <f>AVERAGE(D13:D17)</f>
        <v>5420</v>
      </c>
      <c r="E20" s="362">
        <f>AVERAGE(E13:E17)</f>
        <v>1600</v>
      </c>
      <c r="F20" s="362">
        <f>AVERAGE(F13:F17)</f>
        <v>49536.2</v>
      </c>
      <c r="G20" s="362">
        <f>AVERAGE(G13:G17)</f>
        <v>15095</v>
      </c>
      <c r="H20" s="505">
        <f>G20/F20*100</f>
        <v>30.472664435301862</v>
      </c>
      <c r="I20" s="52"/>
      <c r="J20" s="362">
        <f>AVERAGE(J13:J17)</f>
        <v>31076</v>
      </c>
      <c r="K20" s="362">
        <f>AVERAGE(K13:K17)</f>
        <v>3265.2</v>
      </c>
      <c r="L20" s="504"/>
      <c r="M20"/>
      <c r="N20" s="383">
        <f t="shared" si="0"/>
        <v>0.30472664435301861</v>
      </c>
    </row>
    <row r="21" spans="1:14">
      <c r="A21" s="501"/>
      <c r="B21" s="362"/>
      <c r="C21" s="363"/>
      <c r="D21" s="362"/>
      <c r="E21" s="362"/>
      <c r="F21" s="362"/>
      <c r="G21" s="52"/>
      <c r="H21" s="502"/>
      <c r="I21" s="52"/>
      <c r="J21" s="52"/>
      <c r="K21" s="52"/>
      <c r="L21" s="504"/>
      <c r="M21"/>
      <c r="N21" s="383" t="str">
        <f t="shared" si="0"/>
        <v/>
      </c>
    </row>
    <row r="22" spans="1:14">
      <c r="A22" s="501">
        <v>1980</v>
      </c>
      <c r="B22" s="362">
        <v>43333</v>
      </c>
      <c r="C22" s="363"/>
      <c r="D22" s="362">
        <v>300</v>
      </c>
      <c r="E22" s="362">
        <v>600</v>
      </c>
      <c r="F22" s="362">
        <v>42433</v>
      </c>
      <c r="G22" s="52">
        <v>6995</v>
      </c>
      <c r="H22" s="502">
        <f>(G22/F22)*100</f>
        <v>16.484811349657104</v>
      </c>
      <c r="I22" s="52"/>
      <c r="J22" s="52">
        <v>26973</v>
      </c>
      <c r="K22" s="52">
        <v>8465</v>
      </c>
      <c r="L22" s="504"/>
      <c r="M22"/>
      <c r="N22" s="383">
        <f t="shared" si="0"/>
        <v>0.16484811349657105</v>
      </c>
    </row>
    <row r="23" spans="1:14">
      <c r="A23" s="501">
        <v>1981</v>
      </c>
      <c r="B23" s="362">
        <v>56271</v>
      </c>
      <c r="C23" s="363"/>
      <c r="D23" s="362">
        <v>4800</v>
      </c>
      <c r="E23" s="362">
        <v>2900</v>
      </c>
      <c r="F23" s="362">
        <v>48571</v>
      </c>
      <c r="G23" s="52">
        <v>10480</v>
      </c>
      <c r="H23" s="502">
        <f>(G23/F23)*100</f>
        <v>21.576660970537976</v>
      </c>
      <c r="I23" s="52"/>
      <c r="J23" s="52">
        <v>30057</v>
      </c>
      <c r="K23" s="52">
        <v>8034</v>
      </c>
      <c r="L23" s="504"/>
      <c r="M23"/>
      <c r="N23" s="383">
        <f t="shared" si="0"/>
        <v>0.21576660970537975</v>
      </c>
    </row>
    <row r="24" spans="1:14">
      <c r="A24" s="501">
        <v>1982</v>
      </c>
      <c r="B24" s="362">
        <v>77964</v>
      </c>
      <c r="C24" s="363"/>
      <c r="D24" s="362">
        <v>3600</v>
      </c>
      <c r="E24" s="362">
        <v>1900</v>
      </c>
      <c r="F24" s="362">
        <v>72464</v>
      </c>
      <c r="G24" s="52">
        <v>18906</v>
      </c>
      <c r="H24" s="502">
        <f>(G24/F24)*100</f>
        <v>26.090196511371161</v>
      </c>
      <c r="I24" s="52"/>
      <c r="J24" s="52">
        <v>46195</v>
      </c>
      <c r="K24" s="52">
        <v>7263</v>
      </c>
      <c r="L24" s="504"/>
      <c r="M24"/>
      <c r="N24" s="383">
        <f t="shared" si="0"/>
        <v>0.26090196511371161</v>
      </c>
    </row>
    <row r="25" spans="1:14">
      <c r="A25" s="501">
        <v>1983</v>
      </c>
      <c r="B25" s="362">
        <v>62249</v>
      </c>
      <c r="C25" s="363"/>
      <c r="D25" s="362">
        <v>5300</v>
      </c>
      <c r="E25" s="362">
        <v>1800</v>
      </c>
      <c r="F25" s="362">
        <v>55149</v>
      </c>
      <c r="G25" s="52">
        <v>13828</v>
      </c>
      <c r="H25" s="502">
        <f>(G25/F25)*100</f>
        <v>25.073890732379557</v>
      </c>
      <c r="I25" s="52"/>
      <c r="J25" s="52">
        <v>30589</v>
      </c>
      <c r="K25" s="52">
        <v>10432</v>
      </c>
      <c r="L25" s="504"/>
      <c r="M25"/>
      <c r="N25" s="383">
        <f t="shared" si="0"/>
        <v>0.25073890732379556</v>
      </c>
    </row>
    <row r="26" spans="1:14">
      <c r="A26" s="501">
        <v>1984</v>
      </c>
      <c r="B26" s="362">
        <v>84240</v>
      </c>
      <c r="C26" s="363"/>
      <c r="D26" s="362">
        <v>8200</v>
      </c>
      <c r="E26" s="362">
        <v>1500</v>
      </c>
      <c r="F26" s="362">
        <v>74540</v>
      </c>
      <c r="G26" s="52">
        <v>19400</v>
      </c>
      <c r="H26" s="502">
        <f>(G26/F26)*100</f>
        <v>26.026294606922455</v>
      </c>
      <c r="I26" s="52"/>
      <c r="J26" s="52">
        <v>43452</v>
      </c>
      <c r="K26" s="52">
        <v>11288</v>
      </c>
      <c r="L26" s="504"/>
      <c r="M26"/>
      <c r="N26" s="383">
        <f t="shared" si="0"/>
        <v>0.26026294606922457</v>
      </c>
    </row>
    <row r="27" spans="1:14">
      <c r="A27" s="501"/>
      <c r="B27" s="362"/>
      <c r="C27" s="363"/>
      <c r="D27" s="362"/>
      <c r="E27" s="362"/>
      <c r="F27" s="362"/>
      <c r="G27" s="52"/>
      <c r="H27" s="502"/>
      <c r="I27" s="52"/>
      <c r="J27" s="52"/>
      <c r="K27" s="52"/>
      <c r="L27" s="504"/>
      <c r="M27"/>
      <c r="N27" s="383" t="str">
        <f t="shared" si="0"/>
        <v/>
      </c>
    </row>
    <row r="28" spans="1:14">
      <c r="A28" s="501" t="s">
        <v>132</v>
      </c>
      <c r="B28" s="362"/>
      <c r="C28" s="363"/>
      <c r="D28" s="362"/>
      <c r="E28" s="362"/>
      <c r="F28" s="362"/>
      <c r="G28" s="52"/>
      <c r="H28" s="502"/>
      <c r="I28" s="52"/>
      <c r="J28" s="52"/>
      <c r="K28" s="52"/>
      <c r="L28" s="504"/>
      <c r="M28"/>
      <c r="N28" s="383" t="str">
        <f t="shared" si="0"/>
        <v/>
      </c>
    </row>
    <row r="29" spans="1:14">
      <c r="A29" s="501" t="s">
        <v>130</v>
      </c>
      <c r="B29" s="362">
        <f>AVERAGE(B22:B26)</f>
        <v>64811.4</v>
      </c>
      <c r="C29" s="363"/>
      <c r="D29" s="362">
        <f>AVERAGE(D22:D26)</f>
        <v>4440</v>
      </c>
      <c r="E29" s="362">
        <f>AVERAGE(E22:E26)</f>
        <v>1740</v>
      </c>
      <c r="F29" s="362">
        <f>AVERAGE(F22:F26)</f>
        <v>58631.4</v>
      </c>
      <c r="G29" s="362">
        <f>AVERAGE(G22:G26)</f>
        <v>13921.8</v>
      </c>
      <c r="H29" s="505">
        <f>G29/F29*100</f>
        <v>23.744614660403808</v>
      </c>
      <c r="I29" s="52"/>
      <c r="J29" s="362">
        <f>AVERAGE(J22:J26)</f>
        <v>35453.199999999997</v>
      </c>
      <c r="K29" s="362">
        <f>AVERAGE(K22:K26)</f>
        <v>9096.4</v>
      </c>
      <c r="L29" s="504"/>
      <c r="M29"/>
      <c r="N29" s="383">
        <f t="shared" si="0"/>
        <v>0.23744614660403809</v>
      </c>
    </row>
    <row r="30" spans="1:14">
      <c r="A30" s="501"/>
      <c r="B30" s="362"/>
      <c r="C30" s="363"/>
      <c r="D30" s="362"/>
      <c r="E30" s="362"/>
      <c r="F30" s="362"/>
      <c r="G30" s="52"/>
      <c r="H30" s="502"/>
      <c r="I30" s="52"/>
      <c r="J30" s="52"/>
      <c r="K30" s="52"/>
      <c r="L30" s="504"/>
      <c r="M30"/>
      <c r="N30" s="383" t="str">
        <f t="shared" si="0"/>
        <v/>
      </c>
    </row>
    <row r="31" spans="1:14">
      <c r="A31" s="501">
        <v>1985</v>
      </c>
      <c r="B31" s="362">
        <v>68090</v>
      </c>
      <c r="C31" s="363"/>
      <c r="D31" s="362">
        <v>10000</v>
      </c>
      <c r="E31" s="362">
        <v>1000</v>
      </c>
      <c r="F31" s="362">
        <v>57090</v>
      </c>
      <c r="G31" s="52">
        <v>15540</v>
      </c>
      <c r="H31" s="502">
        <f>(G31/F31)*100</f>
        <v>27.220178665265372</v>
      </c>
      <c r="I31" s="52"/>
      <c r="J31" s="52">
        <v>34533</v>
      </c>
      <c r="K31" s="52">
        <v>6617</v>
      </c>
      <c r="L31" s="504"/>
      <c r="M31"/>
      <c r="N31" s="383">
        <f t="shared" si="0"/>
        <v>0.27220178665265371</v>
      </c>
    </row>
    <row r="32" spans="1:14">
      <c r="A32" s="501">
        <v>1986</v>
      </c>
      <c r="B32" s="362">
        <v>73552</v>
      </c>
      <c r="C32" s="363"/>
      <c r="D32" s="362">
        <v>8000</v>
      </c>
      <c r="E32" s="362">
        <v>3100</v>
      </c>
      <c r="F32" s="362">
        <v>62452</v>
      </c>
      <c r="G32" s="52">
        <v>15000</v>
      </c>
      <c r="H32" s="502">
        <f>(G32/F32)*100</f>
        <v>24.018446166655991</v>
      </c>
      <c r="I32" s="52"/>
      <c r="J32" s="52">
        <v>39155</v>
      </c>
      <c r="K32" s="52">
        <v>7897</v>
      </c>
      <c r="L32" s="504"/>
      <c r="M32"/>
      <c r="N32" s="383">
        <f t="shared" si="0"/>
        <v>0.24018446166655991</v>
      </c>
    </row>
    <row r="33" spans="1:14">
      <c r="A33" s="501">
        <v>1987</v>
      </c>
      <c r="B33" s="362">
        <v>93593</v>
      </c>
      <c r="C33" s="363"/>
      <c r="D33" s="362">
        <v>8800</v>
      </c>
      <c r="E33" s="362">
        <v>1935</v>
      </c>
      <c r="F33" s="362">
        <v>82858</v>
      </c>
      <c r="G33" s="52">
        <v>18837</v>
      </c>
      <c r="H33" s="502">
        <f>(G33/F33)*100</f>
        <v>22.734075164739675</v>
      </c>
      <c r="I33" s="52"/>
      <c r="J33" s="52">
        <v>54832</v>
      </c>
      <c r="K33" s="52">
        <v>8689</v>
      </c>
      <c r="L33" s="504"/>
      <c r="M33"/>
      <c r="N33" s="383">
        <f t="shared" si="0"/>
        <v>0.22734075164739675</v>
      </c>
    </row>
    <row r="34" spans="1:14">
      <c r="A34" s="501">
        <v>1988</v>
      </c>
      <c r="B34" s="362">
        <v>118112</v>
      </c>
      <c r="C34" s="363"/>
      <c r="D34" s="362">
        <v>11261</v>
      </c>
      <c r="E34" s="362">
        <v>2869</v>
      </c>
      <c r="F34" s="362">
        <v>103982</v>
      </c>
      <c r="G34" s="52">
        <v>24644</v>
      </c>
      <c r="H34" s="502">
        <f>(G34/F34)*100</f>
        <v>23.700255813506182</v>
      </c>
      <c r="I34" s="52"/>
      <c r="J34" s="52">
        <v>70451</v>
      </c>
      <c r="K34" s="52">
        <v>8687</v>
      </c>
      <c r="L34" s="504"/>
      <c r="M34"/>
      <c r="N34" s="383">
        <f t="shared" si="0"/>
        <v>0.23700255813506182</v>
      </c>
    </row>
    <row r="35" spans="1:14">
      <c r="A35" s="501">
        <v>1989</v>
      </c>
      <c r="B35" s="362">
        <v>114929</v>
      </c>
      <c r="C35" s="363"/>
      <c r="D35" s="362">
        <v>10904</v>
      </c>
      <c r="E35" s="362">
        <v>2005</v>
      </c>
      <c r="F35" s="362">
        <v>102020</v>
      </c>
      <c r="G35" s="52">
        <v>24200</v>
      </c>
      <c r="H35" s="502">
        <f>(G35/F35)*100</f>
        <v>23.720839051166436</v>
      </c>
      <c r="I35" s="52"/>
      <c r="J35" s="52">
        <v>69180</v>
      </c>
      <c r="K35" s="52">
        <v>8440</v>
      </c>
      <c r="L35" s="504"/>
      <c r="M35"/>
      <c r="N35" s="383">
        <f t="shared" si="0"/>
        <v>0.23720839051166437</v>
      </c>
    </row>
    <row r="36" spans="1:14">
      <c r="A36" s="501"/>
      <c r="B36" s="362"/>
      <c r="C36" s="363"/>
      <c r="D36" s="362"/>
      <c r="E36" s="362"/>
      <c r="F36" s="362"/>
      <c r="G36" s="52"/>
      <c r="H36" s="502"/>
      <c r="I36" s="52"/>
      <c r="J36" s="52"/>
      <c r="K36" s="52"/>
      <c r="L36" s="504"/>
      <c r="M36"/>
      <c r="N36" s="383" t="str">
        <f t="shared" si="0"/>
        <v/>
      </c>
    </row>
    <row r="37" spans="1:14">
      <c r="A37" s="501" t="s">
        <v>133</v>
      </c>
      <c r="B37" s="362"/>
      <c r="C37" s="363"/>
      <c r="D37" s="362"/>
      <c r="E37" s="362"/>
      <c r="F37" s="362"/>
      <c r="G37" s="52"/>
      <c r="H37" s="502"/>
      <c r="I37" s="52"/>
      <c r="J37" s="52"/>
      <c r="K37" s="52"/>
      <c r="L37" s="504"/>
      <c r="M37"/>
      <c r="N37" s="383" t="str">
        <f t="shared" si="0"/>
        <v/>
      </c>
    </row>
    <row r="38" spans="1:14">
      <c r="A38" s="501" t="s">
        <v>130</v>
      </c>
      <c r="B38" s="362">
        <f>AVERAGE(B31:B35)</f>
        <v>93655.2</v>
      </c>
      <c r="C38" s="363"/>
      <c r="D38" s="362">
        <f>AVERAGE(D31:D35)</f>
        <v>9793</v>
      </c>
      <c r="E38" s="362">
        <f>AVERAGE(E31:E35)</f>
        <v>2181.8000000000002</v>
      </c>
      <c r="F38" s="362">
        <f>AVERAGE(F31:F35)</f>
        <v>81680.399999999994</v>
      </c>
      <c r="G38" s="362">
        <f>AVERAGE(G31:G35)</f>
        <v>19644.2</v>
      </c>
      <c r="H38" s="505">
        <f>G38/F38*100</f>
        <v>24.050078109313866</v>
      </c>
      <c r="I38" s="52"/>
      <c r="J38" s="362">
        <f>AVERAGE(J31:J35)</f>
        <v>53630.2</v>
      </c>
      <c r="K38" s="362">
        <f>AVERAGE(K31:K35)</f>
        <v>8066</v>
      </c>
      <c r="L38" s="504"/>
      <c r="M38"/>
      <c r="N38" s="383">
        <f t="shared" si="0"/>
        <v>0.24050078109313866</v>
      </c>
    </row>
    <row r="39" spans="1:14">
      <c r="A39" s="501"/>
      <c r="B39" s="362"/>
      <c r="C39" s="363"/>
      <c r="D39" s="362"/>
      <c r="E39" s="362"/>
      <c r="F39" s="362"/>
      <c r="G39" s="52"/>
      <c r="H39" s="502"/>
      <c r="I39" s="52"/>
      <c r="J39" s="52"/>
      <c r="K39" s="52"/>
      <c r="L39" s="504"/>
      <c r="M39"/>
      <c r="N39" s="383" t="str">
        <f t="shared" si="0"/>
        <v/>
      </c>
    </row>
    <row r="40" spans="1:14">
      <c r="A40" s="501">
        <v>1990</v>
      </c>
      <c r="B40" s="362">
        <v>130588</v>
      </c>
      <c r="C40" s="363"/>
      <c r="D40" s="362">
        <v>15504</v>
      </c>
      <c r="E40" s="362">
        <v>8761</v>
      </c>
      <c r="F40" s="362">
        <v>106323</v>
      </c>
      <c r="G40" s="52">
        <v>22980</v>
      </c>
      <c r="H40" s="502">
        <f>(G40/F40)*100</f>
        <v>21.613385626816399</v>
      </c>
      <c r="I40" s="52"/>
      <c r="J40" s="52">
        <v>71273</v>
      </c>
      <c r="K40" s="52">
        <v>11470</v>
      </c>
      <c r="L40" s="504"/>
      <c r="M40"/>
      <c r="N40" s="383">
        <f t="shared" si="0"/>
        <v>0.216133856268164</v>
      </c>
    </row>
    <row r="41" spans="1:14">
      <c r="A41" s="501">
        <v>1991</v>
      </c>
      <c r="B41" s="362">
        <v>109929</v>
      </c>
      <c r="C41" s="363"/>
      <c r="D41" s="362">
        <v>11183</v>
      </c>
      <c r="E41" s="362">
        <v>3474</v>
      </c>
      <c r="F41" s="362">
        <v>95272</v>
      </c>
      <c r="G41" s="52">
        <v>30499</v>
      </c>
      <c r="H41" s="502">
        <f>(G41/F41)*100</f>
        <v>32.012553530942981</v>
      </c>
      <c r="I41" s="52"/>
      <c r="J41" s="52">
        <v>52516</v>
      </c>
      <c r="K41" s="52">
        <v>11857</v>
      </c>
      <c r="L41" s="504"/>
      <c r="M41"/>
      <c r="N41" s="383">
        <f t="shared" si="0"/>
        <v>0.32012553530942983</v>
      </c>
    </row>
    <row r="42" spans="1:14">
      <c r="A42" s="501">
        <v>1992</v>
      </c>
      <c r="B42" s="362">
        <v>75008</v>
      </c>
      <c r="C42" s="363"/>
      <c r="D42" s="362">
        <v>3866</v>
      </c>
      <c r="E42" s="362">
        <v>3096</v>
      </c>
      <c r="F42" s="362">
        <v>68046</v>
      </c>
      <c r="G42" s="52">
        <v>13508</v>
      </c>
      <c r="H42" s="502">
        <f>(G42/F42)*100</f>
        <v>19.851277077271256</v>
      </c>
      <c r="I42" s="52"/>
      <c r="J42" s="52">
        <v>42004</v>
      </c>
      <c r="K42" s="52">
        <v>11534</v>
      </c>
      <c r="L42" s="504"/>
      <c r="M42"/>
      <c r="N42" s="383">
        <f t="shared" si="0"/>
        <v>0.19851277077271257</v>
      </c>
    </row>
    <row r="43" spans="1:14">
      <c r="A43" s="501">
        <v>1993</v>
      </c>
      <c r="B43" s="362">
        <v>65934</v>
      </c>
      <c r="C43" s="363"/>
      <c r="D43" s="362">
        <f>833+220</f>
        <v>1053</v>
      </c>
      <c r="E43" s="362">
        <v>958</v>
      </c>
      <c r="F43" s="362">
        <v>63923</v>
      </c>
      <c r="G43" s="52">
        <v>20743</v>
      </c>
      <c r="H43" s="502">
        <f>(G43/F43)*100</f>
        <v>32.449978880841016</v>
      </c>
      <c r="I43" s="52"/>
      <c r="J43" s="52">
        <v>31966</v>
      </c>
      <c r="K43" s="52">
        <v>10814</v>
      </c>
      <c r="L43" s="504"/>
      <c r="M43"/>
      <c r="N43" s="383">
        <f t="shared" si="0"/>
        <v>0.32449978880841013</v>
      </c>
    </row>
    <row r="44" spans="1:14">
      <c r="A44" s="501">
        <v>1994</v>
      </c>
      <c r="B44" s="362">
        <v>49580</v>
      </c>
      <c r="C44" s="363"/>
      <c r="D44" s="362">
        <f>1044+56</f>
        <v>1100</v>
      </c>
      <c r="E44" s="362">
        <v>1271</v>
      </c>
      <c r="F44" s="362">
        <v>47209</v>
      </c>
      <c r="G44" s="52">
        <f>11458+759</f>
        <v>12217</v>
      </c>
      <c r="H44" s="502">
        <f>(G44/F44)*100</f>
        <v>25.878540108877544</v>
      </c>
      <c r="I44" s="52"/>
      <c r="J44" s="52">
        <v>26102</v>
      </c>
      <c r="K44" s="52">
        <v>7490</v>
      </c>
      <c r="L44" s="504"/>
      <c r="M44"/>
      <c r="N44" s="383">
        <f t="shared" si="0"/>
        <v>0.25878540108877546</v>
      </c>
    </row>
    <row r="45" spans="1:14">
      <c r="A45" s="501"/>
      <c r="B45" s="362"/>
      <c r="C45" s="363"/>
      <c r="D45" s="362"/>
      <c r="E45" s="362"/>
      <c r="F45" s="362"/>
      <c r="G45" s="52"/>
      <c r="H45" s="502"/>
      <c r="I45" s="52"/>
      <c r="J45" s="52"/>
      <c r="K45" s="52"/>
      <c r="L45" s="504"/>
      <c r="M45"/>
      <c r="N45" s="383" t="str">
        <f t="shared" si="0"/>
        <v/>
      </c>
    </row>
    <row r="46" spans="1:14">
      <c r="A46" s="501" t="s">
        <v>134</v>
      </c>
      <c r="B46" s="362"/>
      <c r="C46" s="363"/>
      <c r="D46" s="362"/>
      <c r="E46" s="362"/>
      <c r="F46" s="362"/>
      <c r="G46" s="52"/>
      <c r="H46" s="502"/>
      <c r="I46" s="52"/>
      <c r="J46" s="52"/>
      <c r="K46" s="52"/>
      <c r="L46" s="504"/>
      <c r="M46"/>
      <c r="N46" s="383" t="str">
        <f t="shared" si="0"/>
        <v/>
      </c>
    </row>
    <row r="47" spans="1:14">
      <c r="A47" s="501" t="s">
        <v>130</v>
      </c>
      <c r="B47" s="362">
        <f>AVERAGE(B40:B44)</f>
        <v>86207.8</v>
      </c>
      <c r="C47" s="363"/>
      <c r="D47" s="362">
        <f>AVERAGE(D40:D44)</f>
        <v>6541.2</v>
      </c>
      <c r="E47" s="362">
        <f>AVERAGE(E40:E44)</f>
        <v>3512</v>
      </c>
      <c r="F47" s="362">
        <f>AVERAGE(F40:F44)</f>
        <v>76154.600000000006</v>
      </c>
      <c r="G47" s="362">
        <f>AVERAGE(G40:G44)</f>
        <v>19989.400000000001</v>
      </c>
      <c r="H47" s="505">
        <f>G47/F47*100</f>
        <v>26.248447237593002</v>
      </c>
      <c r="I47" s="52"/>
      <c r="J47" s="362">
        <f>AVERAGE(J40:J44)</f>
        <v>44772.2</v>
      </c>
      <c r="K47" s="362">
        <f>AVERAGE(K40:K44)</f>
        <v>10633</v>
      </c>
      <c r="L47" s="504"/>
      <c r="M47"/>
      <c r="N47" s="383">
        <f t="shared" si="0"/>
        <v>0.26248447237593003</v>
      </c>
    </row>
    <row r="48" spans="1:14">
      <c r="A48" s="501"/>
      <c r="B48" s="362"/>
      <c r="C48" s="363"/>
      <c r="D48" s="362"/>
      <c r="E48" s="362"/>
      <c r="F48" s="362"/>
      <c r="G48" s="52"/>
      <c r="H48" s="502"/>
      <c r="I48" s="52"/>
      <c r="J48" s="52"/>
      <c r="K48" s="52"/>
      <c r="L48" s="504"/>
      <c r="M48"/>
      <c r="N48" s="383" t="str">
        <f t="shared" si="0"/>
        <v/>
      </c>
    </row>
    <row r="49" spans="1:14">
      <c r="A49" s="501">
        <v>1995</v>
      </c>
      <c r="B49" s="362">
        <v>40854</v>
      </c>
      <c r="C49" s="363"/>
      <c r="D49" s="362">
        <v>14</v>
      </c>
      <c r="E49" s="362">
        <v>0</v>
      </c>
      <c r="F49" s="362">
        <v>40840</v>
      </c>
      <c r="G49" s="52">
        <f>14446+29</f>
        <v>14475</v>
      </c>
      <c r="H49" s="502">
        <f>(G49/F49)*100</f>
        <v>35.443192948090108</v>
      </c>
      <c r="I49" s="52"/>
      <c r="J49" s="52">
        <v>19343</v>
      </c>
      <c r="K49" s="52">
        <v>6437</v>
      </c>
      <c r="L49" s="504"/>
      <c r="M49"/>
      <c r="N49" s="383">
        <f t="shared" si="0"/>
        <v>0.35443192948090108</v>
      </c>
    </row>
    <row r="50" spans="1:14">
      <c r="A50" s="501">
        <v>1996</v>
      </c>
      <c r="B50" s="362">
        <v>34765</v>
      </c>
      <c r="C50" s="363"/>
      <c r="D50" s="362">
        <f>91+33</f>
        <v>124</v>
      </c>
      <c r="E50" s="362">
        <v>0</v>
      </c>
      <c r="F50" s="362">
        <v>34641</v>
      </c>
      <c r="G50" s="52">
        <f>6056+12</f>
        <v>6068</v>
      </c>
      <c r="H50" s="502">
        <f>(G50/F50)*100</f>
        <v>17.516815334430298</v>
      </c>
      <c r="I50" s="52"/>
      <c r="J50" s="52">
        <v>21605</v>
      </c>
      <c r="K50" s="52">
        <v>5918</v>
      </c>
      <c r="L50" s="504"/>
      <c r="M50"/>
      <c r="N50" s="383">
        <f t="shared" si="0"/>
        <v>0.175168153344303</v>
      </c>
    </row>
    <row r="51" spans="1:14">
      <c r="A51" s="501">
        <v>1997</v>
      </c>
      <c r="B51" s="362">
        <v>35303</v>
      </c>
      <c r="C51" s="363"/>
      <c r="D51" s="362">
        <f>83+189</f>
        <v>272</v>
      </c>
      <c r="E51" s="362">
        <v>0</v>
      </c>
      <c r="F51" s="362">
        <v>35031</v>
      </c>
      <c r="G51" s="52">
        <v>1886</v>
      </c>
      <c r="H51" s="502">
        <f>(G51/F51)*100</f>
        <v>5.3838029174160029</v>
      </c>
      <c r="I51" s="52"/>
      <c r="J51" s="52">
        <v>26885</v>
      </c>
      <c r="K51" s="52">
        <v>5819</v>
      </c>
      <c r="L51" s="504"/>
      <c r="M51"/>
      <c r="N51" s="383">
        <f t="shared" si="0"/>
        <v>5.3838029174160029E-2</v>
      </c>
    </row>
    <row r="52" spans="1:14">
      <c r="A52" s="501">
        <v>1998</v>
      </c>
      <c r="B52" s="362">
        <v>45139</v>
      </c>
      <c r="C52" s="363"/>
      <c r="D52" s="362">
        <f>12+117</f>
        <v>129</v>
      </c>
      <c r="E52" s="362">
        <v>47</v>
      </c>
      <c r="F52" s="362">
        <v>44963</v>
      </c>
      <c r="G52" s="52">
        <v>2818</v>
      </c>
      <c r="H52" s="502">
        <f>(G52/F52)*100</f>
        <v>6.2673753975490962</v>
      </c>
      <c r="I52" s="52"/>
      <c r="J52" s="52">
        <v>34461</v>
      </c>
      <c r="K52" s="52">
        <v>7364</v>
      </c>
      <c r="L52" s="504"/>
      <c r="M52"/>
      <c r="N52" s="383">
        <f t="shared" si="0"/>
        <v>6.2673753975490964E-2</v>
      </c>
    </row>
    <row r="53" spans="1:14">
      <c r="A53" s="501">
        <v>1999</v>
      </c>
      <c r="B53" s="362">
        <v>54202</v>
      </c>
      <c r="C53" s="363"/>
      <c r="D53" s="362">
        <f>13+247</f>
        <v>260</v>
      </c>
      <c r="E53" s="362">
        <v>0</v>
      </c>
      <c r="F53" s="362">
        <v>53942</v>
      </c>
      <c r="G53" s="52">
        <v>5507</v>
      </c>
      <c r="H53" s="502">
        <f>(G53/F53)*100</f>
        <v>10.209113492269474</v>
      </c>
      <c r="I53" s="52"/>
      <c r="J53" s="52">
        <v>40410</v>
      </c>
      <c r="K53" s="52">
        <v>7444</v>
      </c>
      <c r="L53" s="504"/>
      <c r="M53"/>
      <c r="N53" s="383">
        <f t="shared" si="0"/>
        <v>0.10209113492269474</v>
      </c>
    </row>
    <row r="54" spans="1:14">
      <c r="A54" s="501"/>
      <c r="B54" s="358"/>
      <c r="C54" s="1"/>
      <c r="D54" s="358"/>
      <c r="E54" s="358"/>
      <c r="F54" s="358"/>
      <c r="G54" s="358"/>
      <c r="H54" s="2"/>
      <c r="I54" s="358"/>
      <c r="J54" s="358"/>
      <c r="K54" s="358"/>
      <c r="L54" s="504"/>
      <c r="M54"/>
      <c r="N54" s="383" t="str">
        <f t="shared" si="0"/>
        <v/>
      </c>
    </row>
    <row r="55" spans="1:14">
      <c r="A55" s="501" t="s">
        <v>135</v>
      </c>
      <c r="B55" s="358"/>
      <c r="C55" s="1"/>
      <c r="D55" s="358"/>
      <c r="E55" s="358"/>
      <c r="F55" s="358"/>
      <c r="G55" s="358"/>
      <c r="H55" s="2"/>
      <c r="I55" s="358"/>
      <c r="J55" s="358"/>
      <c r="K55" s="358"/>
      <c r="L55" s="504"/>
      <c r="M55"/>
      <c r="N55" s="383" t="str">
        <f t="shared" si="0"/>
        <v/>
      </c>
    </row>
    <row r="56" spans="1:14">
      <c r="A56" s="501" t="s">
        <v>130</v>
      </c>
      <c r="B56" s="362">
        <f>AVERAGE(B49:B53)</f>
        <v>42052.6</v>
      </c>
      <c r="C56" s="363"/>
      <c r="D56" s="362">
        <f>AVERAGE(D49:D53)</f>
        <v>159.80000000000001</v>
      </c>
      <c r="E56" s="362">
        <f>AVERAGE(E49:E53)</f>
        <v>9.4</v>
      </c>
      <c r="F56" s="362">
        <f>AVERAGE(F49:F53)</f>
        <v>41883.4</v>
      </c>
      <c r="G56" s="362">
        <f>AVERAGE(G49:G53)</f>
        <v>6150.8</v>
      </c>
      <c r="H56" s="505">
        <f>G56/F56*100</f>
        <v>14.68553173811104</v>
      </c>
      <c r="I56" s="52"/>
      <c r="J56" s="362">
        <f>AVERAGE(J49:J53)</f>
        <v>28540.799999999999</v>
      </c>
      <c r="K56" s="362">
        <f>AVERAGE(K49:K53)</f>
        <v>6596.4</v>
      </c>
      <c r="L56" s="504"/>
      <c r="M56"/>
      <c r="N56" s="383">
        <f t="shared" si="0"/>
        <v>0.14685531738111041</v>
      </c>
    </row>
    <row r="57" spans="1:14">
      <c r="A57" s="501"/>
      <c r="B57" s="52"/>
      <c r="C57" s="364"/>
      <c r="D57" s="52"/>
      <c r="E57" s="52"/>
      <c r="F57" s="52"/>
      <c r="G57" s="52"/>
      <c r="H57" s="502"/>
      <c r="I57" s="52"/>
      <c r="J57" s="52"/>
      <c r="K57" s="52"/>
      <c r="L57" s="504"/>
      <c r="M57"/>
      <c r="N57" s="383" t="str">
        <f t="shared" si="0"/>
        <v/>
      </c>
    </row>
    <row r="58" spans="1:14" ht="12.75" customHeight="1">
      <c r="A58" s="501">
        <v>2000</v>
      </c>
      <c r="B58" s="365">
        <v>57454</v>
      </c>
      <c r="C58" s="364"/>
      <c r="D58" s="52">
        <f>373+751</f>
        <v>1124</v>
      </c>
      <c r="E58" s="52">
        <v>201</v>
      </c>
      <c r="F58" s="355">
        <v>56129</v>
      </c>
      <c r="G58" s="52">
        <f>7664+1048+299+0</f>
        <v>9011</v>
      </c>
      <c r="H58" s="502">
        <f>(G58/F58)*100</f>
        <v>16.05408968625844</v>
      </c>
      <c r="I58" s="52"/>
      <c r="J58" s="52">
        <v>39073</v>
      </c>
      <c r="K58" s="52">
        <v>7699</v>
      </c>
      <c r="L58" s="504"/>
      <c r="M58"/>
      <c r="N58" s="383">
        <f t="shared" si="0"/>
        <v>0.16054089686258441</v>
      </c>
    </row>
    <row r="59" spans="1:14">
      <c r="A59" s="501">
        <v>2001</v>
      </c>
      <c r="B59" s="365">
        <v>80366</v>
      </c>
      <c r="C59" s="364"/>
      <c r="D59" s="52">
        <f>2790+536+193</f>
        <v>3519</v>
      </c>
      <c r="E59" s="52">
        <f>3649+179</f>
        <v>3828</v>
      </c>
      <c r="F59" s="355">
        <v>73019</v>
      </c>
      <c r="G59" s="52">
        <f>6969+706+0</f>
        <v>7675</v>
      </c>
      <c r="H59" s="502">
        <f>(G59/F59)*100</f>
        <v>10.510962900067106</v>
      </c>
      <c r="I59" s="52"/>
      <c r="J59" s="52">
        <v>53973</v>
      </c>
      <c r="K59" s="52">
        <v>10810</v>
      </c>
      <c r="L59" s="504"/>
      <c r="M59"/>
      <c r="N59" s="383">
        <f t="shared" si="0"/>
        <v>0.10510962900067106</v>
      </c>
    </row>
    <row r="60" spans="1:14">
      <c r="A60" s="501">
        <v>2002</v>
      </c>
      <c r="B60" s="365">
        <v>121711</v>
      </c>
      <c r="C60" s="364"/>
      <c r="D60" s="52">
        <f>5357+98+1942</f>
        <v>7397</v>
      </c>
      <c r="E60" s="52">
        <f>5069+135</f>
        <v>5204</v>
      </c>
      <c r="F60" s="355">
        <v>109110</v>
      </c>
      <c r="G60" s="52">
        <f>10457+388+0</f>
        <v>10845</v>
      </c>
      <c r="H60" s="502">
        <f>(G60/F60)*100</f>
        <v>9.9395105856475112</v>
      </c>
      <c r="I60" s="52"/>
      <c r="J60" s="52">
        <v>83136</v>
      </c>
      <c r="K60" s="52">
        <v>14358</v>
      </c>
      <c r="L60" s="504"/>
      <c r="M60"/>
      <c r="N60" s="383">
        <f t="shared" si="0"/>
        <v>9.9395105856475111E-2</v>
      </c>
    </row>
    <row r="61" spans="1:14">
      <c r="A61" s="501">
        <v>2003</v>
      </c>
      <c r="B61" s="365">
        <v>126580</v>
      </c>
      <c r="C61" s="364"/>
      <c r="D61" s="52">
        <f>109+14+650+39+1011</f>
        <v>1823</v>
      </c>
      <c r="E61" s="52">
        <f>7006+184</f>
        <v>7190</v>
      </c>
      <c r="F61" s="355">
        <v>117567</v>
      </c>
      <c r="G61" s="52">
        <f>13146+373+0</f>
        <v>13519</v>
      </c>
      <c r="H61" s="502">
        <f>(G61/F61)*100</f>
        <v>11.498975052523242</v>
      </c>
      <c r="I61" s="52"/>
      <c r="J61" s="52">
        <v>87749</v>
      </c>
      <c r="K61" s="52">
        <v>15410</v>
      </c>
      <c r="L61" s="504"/>
      <c r="M61"/>
      <c r="N61" s="383">
        <f t="shared" si="0"/>
        <v>0.11498975052523241</v>
      </c>
    </row>
    <row r="62" spans="1:14">
      <c r="A62" s="501">
        <v>2004</v>
      </c>
      <c r="B62" s="365">
        <v>144448</v>
      </c>
      <c r="C62" s="364"/>
      <c r="D62" s="52">
        <f>2119+289+3589+651+595</f>
        <v>7243</v>
      </c>
      <c r="E62" s="52">
        <f>5811+128</f>
        <v>5939</v>
      </c>
      <c r="F62" s="355">
        <v>131266</v>
      </c>
      <c r="G62" s="52">
        <f>11639+327+0</f>
        <v>11966</v>
      </c>
      <c r="H62" s="502">
        <f>(G62/F62)*100</f>
        <v>9.1158411165115112</v>
      </c>
      <c r="I62" s="52"/>
      <c r="J62" s="52">
        <v>96724</v>
      </c>
      <c r="K62" s="52">
        <v>21934</v>
      </c>
      <c r="L62" s="504"/>
      <c r="M62"/>
      <c r="N62" s="383">
        <f t="shared" si="0"/>
        <v>9.1158411165115111E-2</v>
      </c>
    </row>
    <row r="63" spans="1:14">
      <c r="A63" s="501"/>
      <c r="B63" s="358"/>
      <c r="C63" s="1"/>
      <c r="D63" s="358"/>
      <c r="E63" s="358"/>
      <c r="F63" s="358"/>
      <c r="G63" s="358"/>
      <c r="H63" s="2"/>
      <c r="I63" s="358"/>
      <c r="J63" s="358"/>
      <c r="K63" s="358"/>
      <c r="L63" s="504"/>
      <c r="M63"/>
      <c r="N63" s="383" t="str">
        <f t="shared" si="0"/>
        <v/>
      </c>
    </row>
    <row r="64" spans="1:14" ht="13.5" customHeight="1">
      <c r="A64" s="501" t="s">
        <v>136</v>
      </c>
      <c r="B64" s="358"/>
      <c r="C64" s="1"/>
      <c r="D64" s="358"/>
      <c r="E64" s="358"/>
      <c r="F64" s="358"/>
      <c r="G64" s="358"/>
      <c r="H64" s="2"/>
      <c r="I64" s="358"/>
      <c r="J64" s="358"/>
      <c r="K64" s="358"/>
      <c r="L64" s="504"/>
      <c r="M64"/>
      <c r="N64" s="383" t="str">
        <f t="shared" si="0"/>
        <v/>
      </c>
    </row>
    <row r="65" spans="1:16">
      <c r="A65" s="501" t="s">
        <v>130</v>
      </c>
      <c r="B65" s="52">
        <f>AVERAGE(B58:B62)</f>
        <v>106111.8</v>
      </c>
      <c r="C65" s="1"/>
      <c r="D65" s="52">
        <f>AVERAGE(D58:D62)</f>
        <v>4221.2</v>
      </c>
      <c r="E65" s="52">
        <f>AVERAGE(E58:E62)</f>
        <v>4472.3999999999996</v>
      </c>
      <c r="F65" s="52">
        <f>AVERAGE(F58:F62)</f>
        <v>97418.2</v>
      </c>
      <c r="G65" s="52">
        <f>AVERAGE(G58:G62)</f>
        <v>10603.2</v>
      </c>
      <c r="H65" s="502">
        <f>G65/F65*100</f>
        <v>10.884208494921895</v>
      </c>
      <c r="I65" s="358"/>
      <c r="J65" s="52">
        <f>AVERAGE(J58:J62)</f>
        <v>72131</v>
      </c>
      <c r="K65" s="52">
        <f>AVERAGE(K58:K62)</f>
        <v>14042.2</v>
      </c>
      <c r="L65" s="504"/>
      <c r="M65"/>
      <c r="N65" s="383">
        <f t="shared" si="0"/>
        <v>0.10884208494921895</v>
      </c>
      <c r="O65" s="1675"/>
      <c r="P65" s="1675"/>
    </row>
    <row r="66" spans="1:16">
      <c r="A66" s="501"/>
      <c r="B66" s="358"/>
      <c r="C66" s="1"/>
      <c r="D66" s="358"/>
      <c r="E66" s="358"/>
      <c r="F66" s="358"/>
      <c r="G66" s="358"/>
      <c r="H66" s="2"/>
      <c r="I66" s="358"/>
      <c r="J66" s="358"/>
      <c r="K66" s="358"/>
      <c r="L66" s="504"/>
      <c r="M66"/>
      <c r="N66" s="383" t="str">
        <f t="shared" si="0"/>
        <v/>
      </c>
      <c r="O66" s="1675"/>
      <c r="P66" s="1675"/>
    </row>
    <row r="67" spans="1:16" ht="12.75" customHeight="1">
      <c r="A67" s="501">
        <v>2005</v>
      </c>
      <c r="B67" s="52">
        <v>60976</v>
      </c>
      <c r="C67" s="364"/>
      <c r="D67" s="52">
        <f>1280+45+784+71+143</f>
        <v>2323</v>
      </c>
      <c r="E67" s="52">
        <f>2796+48</f>
        <v>2844</v>
      </c>
      <c r="F67" s="52">
        <v>55809</v>
      </c>
      <c r="G67" s="52">
        <f>5572+231+0</f>
        <v>5803</v>
      </c>
      <c r="H67" s="502">
        <f>(G67/F67)*100</f>
        <v>10.3979644860148</v>
      </c>
      <c r="I67" s="52"/>
      <c r="J67" s="52">
        <v>36633</v>
      </c>
      <c r="K67" s="52">
        <v>12657</v>
      </c>
      <c r="L67" s="504"/>
      <c r="M67"/>
      <c r="N67" s="383">
        <f t="shared" si="0"/>
        <v>0.103979644860148</v>
      </c>
      <c r="O67" s="1675"/>
      <c r="P67" s="1675"/>
    </row>
    <row r="68" spans="1:16">
      <c r="A68" s="501">
        <v>2006</v>
      </c>
      <c r="B68" s="52">
        <v>59662</v>
      </c>
      <c r="C68" s="364"/>
      <c r="D68" s="52">
        <f>2097+318+271</f>
        <v>2686</v>
      </c>
      <c r="E68" s="52">
        <f>1984+35</f>
        <v>2019</v>
      </c>
      <c r="F68" s="52">
        <v>54957</v>
      </c>
      <c r="G68" s="52">
        <f>7027+203+0</f>
        <v>7230</v>
      </c>
      <c r="H68" s="502">
        <f>(G68/F68)*100</f>
        <v>13.155739942136579</v>
      </c>
      <c r="I68" s="52"/>
      <c r="J68" s="52">
        <v>37041</v>
      </c>
      <c r="K68" s="52">
        <v>10425</v>
      </c>
      <c r="L68" s="504"/>
      <c r="M68"/>
      <c r="N68" s="383">
        <f t="shared" si="0"/>
        <v>0.13155739942136579</v>
      </c>
      <c r="O68" s="1675"/>
      <c r="P68" s="1675"/>
    </row>
    <row r="69" spans="1:16">
      <c r="A69" s="501">
        <v>2007</v>
      </c>
      <c r="B69" s="52">
        <v>40489</v>
      </c>
      <c r="C69" s="364"/>
      <c r="D69" s="52">
        <f>887+77+317</f>
        <v>1281</v>
      </c>
      <c r="E69" s="52">
        <f>1572+47</f>
        <v>1619</v>
      </c>
      <c r="F69" s="52">
        <v>37589</v>
      </c>
      <c r="G69" s="52">
        <f>5439+244+0</f>
        <v>5683</v>
      </c>
      <c r="H69" s="502">
        <f>(G69/F69)*100</f>
        <v>15.118784750857964</v>
      </c>
      <c r="I69" s="52"/>
      <c r="J69" s="52">
        <v>23098</v>
      </c>
      <c r="K69" s="52">
        <v>8644</v>
      </c>
      <c r="L69" s="453"/>
      <c r="M69"/>
      <c r="N69" s="383">
        <f t="shared" si="0"/>
        <v>0.15118784750857964</v>
      </c>
      <c r="O69" s="1675"/>
      <c r="P69" s="1675"/>
    </row>
    <row r="70" spans="1:16">
      <c r="A70" s="501">
        <v>2008</v>
      </c>
      <c r="B70" s="52">
        <v>27356</v>
      </c>
      <c r="C70" s="366"/>
      <c r="D70" s="52">
        <f>1+0+100</f>
        <v>101</v>
      </c>
      <c r="E70" s="52">
        <f>195+8</f>
        <v>203</v>
      </c>
      <c r="F70" s="52">
        <v>27052</v>
      </c>
      <c r="G70" s="52">
        <f>4369+233</f>
        <v>4602</v>
      </c>
      <c r="H70" s="502">
        <f>(G70/F70)*100</f>
        <v>17.011681206565136</v>
      </c>
      <c r="I70" s="366"/>
      <c r="J70" s="52">
        <v>14672</v>
      </c>
      <c r="K70" s="52">
        <v>7556</v>
      </c>
      <c r="L70" s="453"/>
      <c r="M70"/>
      <c r="N70" s="383">
        <f t="shared" ref="N70:N96" si="1">IF(OR(G70="",F70=""),"",(G70/F70))</f>
        <v>0.17011681206565135</v>
      </c>
      <c r="O70" s="1675"/>
      <c r="P70" s="461">
        <f>(K59+K60+K61+K62+K63+K68+K69+K70)/8</f>
        <v>11142.125</v>
      </c>
    </row>
    <row r="71" spans="1:16">
      <c r="A71" s="501">
        <v>2009</v>
      </c>
      <c r="B71" s="52">
        <v>39410</v>
      </c>
      <c r="C71" s="364"/>
      <c r="D71" s="52">
        <f>38+2+283</f>
        <v>323</v>
      </c>
      <c r="E71" s="52">
        <f>1383+27</f>
        <v>1410</v>
      </c>
      <c r="F71" s="52">
        <v>37677</v>
      </c>
      <c r="G71" s="52">
        <f>4229+128+140+6</f>
        <v>4503</v>
      </c>
      <c r="H71" s="502">
        <f>(G71/F71)*100</f>
        <v>11.951588502269288</v>
      </c>
      <c r="I71" s="52"/>
      <c r="J71" s="52">
        <v>28514</v>
      </c>
      <c r="K71" s="52">
        <v>4312</v>
      </c>
      <c r="L71" s="504"/>
      <c r="M71"/>
      <c r="N71" s="383">
        <f t="shared" si="1"/>
        <v>0.11951588502269289</v>
      </c>
      <c r="O71" s="1675"/>
      <c r="P71" s="461">
        <f>(K60+K61+K62+K63+K64+K69+K70+K71)/8</f>
        <v>9026.75</v>
      </c>
    </row>
    <row r="72" spans="1:16" ht="12.75" customHeight="1">
      <c r="A72" s="501"/>
      <c r="B72" s="358"/>
      <c r="C72" s="1"/>
      <c r="D72" s="358"/>
      <c r="E72" s="358"/>
      <c r="F72" s="358"/>
      <c r="G72" s="358"/>
      <c r="H72" s="2"/>
      <c r="I72" s="358"/>
      <c r="J72" s="358"/>
      <c r="K72" s="358"/>
      <c r="L72" s="504"/>
      <c r="M72"/>
      <c r="N72" s="383" t="str">
        <f t="shared" si="1"/>
        <v/>
      </c>
      <c r="O72" s="1675"/>
      <c r="P72" s="1675"/>
    </row>
    <row r="73" spans="1:16">
      <c r="A73" s="501" t="s">
        <v>137</v>
      </c>
      <c r="B73" s="1638"/>
      <c r="C73" s="1638"/>
      <c r="D73" s="1638"/>
      <c r="E73" s="1638"/>
      <c r="F73" s="1638"/>
      <c r="G73" s="1638"/>
      <c r="H73" s="503"/>
      <c r="I73" s="1638"/>
      <c r="J73" s="1638"/>
      <c r="K73" s="1638"/>
      <c r="L73" s="453"/>
      <c r="M73"/>
      <c r="N73" s="383" t="str">
        <f t="shared" si="1"/>
        <v/>
      </c>
      <c r="O73" s="1675"/>
      <c r="P73" s="1675"/>
    </row>
    <row r="74" spans="1:16">
      <c r="A74" s="501" t="s">
        <v>130</v>
      </c>
      <c r="B74" s="52">
        <f>AVERAGE(B67:B71)</f>
        <v>45578.6</v>
      </c>
      <c r="C74" s="52"/>
      <c r="D74" s="52">
        <f>AVERAGE(D67:D71)</f>
        <v>1342.8</v>
      </c>
      <c r="E74" s="52">
        <f>AVERAGE(E67:E71)</f>
        <v>1619</v>
      </c>
      <c r="F74" s="52">
        <f>AVERAGE(F67:F71)</f>
        <v>42616.800000000003</v>
      </c>
      <c r="G74" s="52">
        <f>AVERAGE(G67:G71)</f>
        <v>5564.2</v>
      </c>
      <c r="H74" s="502">
        <f>G74/F74*100</f>
        <v>13.056353362992997</v>
      </c>
      <c r="I74" s="52"/>
      <c r="J74" s="52">
        <f>AVERAGE(J67:J71)</f>
        <v>27991.599999999999</v>
      </c>
      <c r="K74" s="52">
        <f>AVERAGE(K67:K71)</f>
        <v>8718.7999999999993</v>
      </c>
      <c r="L74" s="453"/>
      <c r="M74"/>
      <c r="N74" s="383">
        <f t="shared" si="1"/>
        <v>0.13056353362992998</v>
      </c>
      <c r="O74" s="1675"/>
      <c r="P74" s="1675"/>
    </row>
    <row r="75" spans="1:16">
      <c r="A75" s="501"/>
      <c r="B75" s="358"/>
      <c r="C75" s="358"/>
      <c r="D75" s="358"/>
      <c r="E75" s="358"/>
      <c r="F75" s="358"/>
      <c r="G75" s="358"/>
      <c r="H75" s="2"/>
      <c r="I75" s="358"/>
      <c r="J75" s="358"/>
      <c r="K75" s="358"/>
      <c r="L75" s="453"/>
      <c r="M75"/>
      <c r="N75" s="383" t="str">
        <f t="shared" si="1"/>
        <v/>
      </c>
      <c r="O75" s="1675"/>
      <c r="P75" s="1675"/>
    </row>
    <row r="76" spans="1:16">
      <c r="A76" s="501">
        <v>2010</v>
      </c>
      <c r="B76" s="52">
        <v>110536</v>
      </c>
      <c r="C76" s="364"/>
      <c r="D76" s="52">
        <f>1540+55+1660</f>
        <v>3255</v>
      </c>
      <c r="E76" s="52">
        <f>5338+99</f>
        <v>5437</v>
      </c>
      <c r="F76" s="52">
        <v>101844</v>
      </c>
      <c r="G76" s="52">
        <f>22329+382</f>
        <v>22711</v>
      </c>
      <c r="H76" s="502">
        <f>(G76/F76)*100</f>
        <v>22.299791838498095</v>
      </c>
      <c r="I76" s="52"/>
      <c r="J76" s="52">
        <v>67059</v>
      </c>
      <c r="K76" s="52">
        <v>10973</v>
      </c>
      <c r="L76" s="453"/>
      <c r="M76"/>
      <c r="N76" s="383">
        <f t="shared" si="1"/>
        <v>0.22299791838498095</v>
      </c>
      <c r="O76" s="1675"/>
      <c r="P76" s="1675"/>
    </row>
    <row r="77" spans="1:16">
      <c r="A77" s="501">
        <v>2011</v>
      </c>
      <c r="B77" s="52">
        <v>80254</v>
      </c>
      <c r="C77" s="364"/>
      <c r="D77" s="52">
        <f>1129+121+1041</f>
        <v>2291</v>
      </c>
      <c r="E77" s="52">
        <f>2058+46</f>
        <v>2104</v>
      </c>
      <c r="F77" s="52">
        <v>75859</v>
      </c>
      <c r="G77" s="52">
        <f>22364+472</f>
        <v>22836</v>
      </c>
      <c r="H77" s="502">
        <f>(G77/F77)*100</f>
        <v>30.103217811993304</v>
      </c>
      <c r="I77" s="366"/>
      <c r="J77" s="52">
        <v>45147</v>
      </c>
      <c r="K77" s="52">
        <v>6775</v>
      </c>
      <c r="L77" s="453"/>
      <c r="M77"/>
      <c r="N77" s="383">
        <f t="shared" si="1"/>
        <v>0.30103217811993305</v>
      </c>
      <c r="O77" s="1675"/>
      <c r="P77" s="1675"/>
    </row>
    <row r="78" spans="1:16">
      <c r="A78" s="501">
        <v>2012</v>
      </c>
      <c r="B78" s="52">
        <v>65115</v>
      </c>
      <c r="C78" s="364"/>
      <c r="D78" s="52">
        <f>1562+49+706</f>
        <v>2317</v>
      </c>
      <c r="E78" s="52">
        <f>3133+70</f>
        <v>3203</v>
      </c>
      <c r="F78" s="52">
        <v>59595</v>
      </c>
      <c r="G78" s="52">
        <f>15514+319</f>
        <v>15833</v>
      </c>
      <c r="H78" s="502">
        <f>(G78/F78)*100</f>
        <v>26.567665072573206</v>
      </c>
      <c r="I78" s="366"/>
      <c r="J78" s="52">
        <v>37213</v>
      </c>
      <c r="K78" s="52">
        <v>5799</v>
      </c>
      <c r="L78" s="453"/>
      <c r="M78"/>
      <c r="N78" s="383">
        <f t="shared" si="1"/>
        <v>0.26567665072573204</v>
      </c>
      <c r="O78" s="1675"/>
      <c r="P78" s="1675"/>
    </row>
    <row r="79" spans="1:16">
      <c r="A79" s="501">
        <v>2013</v>
      </c>
      <c r="B79" s="52">
        <v>47311</v>
      </c>
      <c r="C79" s="364"/>
      <c r="D79" s="52">
        <f>549+40+1234</f>
        <v>1823</v>
      </c>
      <c r="E79" s="52">
        <f>1665+27</f>
        <v>1692</v>
      </c>
      <c r="F79" s="52">
        <v>43796</v>
      </c>
      <c r="G79" s="52">
        <f>7214+164</f>
        <v>7378</v>
      </c>
      <c r="H79" s="502">
        <f>(G79/F79)*100</f>
        <v>16.846287332176455</v>
      </c>
      <c r="I79" s="366"/>
      <c r="J79" s="52">
        <v>29561</v>
      </c>
      <c r="K79" s="52">
        <v>6153</v>
      </c>
      <c r="L79" s="453"/>
      <c r="M79"/>
      <c r="N79" s="383">
        <f t="shared" si="1"/>
        <v>0.16846287332176454</v>
      </c>
      <c r="O79" s="1675"/>
      <c r="P79" s="1675"/>
    </row>
    <row r="80" spans="1:16">
      <c r="A80" s="501">
        <v>2014</v>
      </c>
      <c r="B80" s="52">
        <v>51794</v>
      </c>
      <c r="C80" s="364"/>
      <c r="D80" s="52">
        <f>579+31+655</f>
        <v>1265</v>
      </c>
      <c r="E80" s="52">
        <f>2263+38</f>
        <v>2301</v>
      </c>
      <c r="F80" s="52">
        <v>48228</v>
      </c>
      <c r="G80" s="362">
        <f>7919+171</f>
        <v>8090</v>
      </c>
      <c r="H80" s="502">
        <f>(G80/F80)*100</f>
        <v>16.774487849382101</v>
      </c>
      <c r="I80" s="367"/>
      <c r="J80" s="362">
        <v>31669</v>
      </c>
      <c r="K80" s="362">
        <v>5612</v>
      </c>
      <c r="L80" s="453"/>
      <c r="M80"/>
      <c r="N80" s="383">
        <f t="shared" si="1"/>
        <v>0.16774487849382103</v>
      </c>
      <c r="O80" s="1675"/>
      <c r="P80" s="1675"/>
    </row>
    <row r="81" spans="1:14">
      <c r="A81" s="501"/>
      <c r="B81" s="358"/>
      <c r="C81" s="1"/>
      <c r="D81" s="2"/>
      <c r="E81" s="358"/>
      <c r="F81" s="358"/>
      <c r="G81" s="358"/>
      <c r="H81" s="2"/>
      <c r="I81" s="1638"/>
      <c r="J81" s="358"/>
      <c r="K81" s="358"/>
      <c r="L81" s="453"/>
      <c r="M81"/>
      <c r="N81" s="383" t="str">
        <f t="shared" si="1"/>
        <v/>
      </c>
    </row>
    <row r="82" spans="1:14">
      <c r="A82" s="501" t="s">
        <v>138</v>
      </c>
      <c r="B82" s="358"/>
      <c r="C82" s="1"/>
      <c r="D82" s="2"/>
      <c r="E82" s="358"/>
      <c r="F82" s="358"/>
      <c r="G82" s="358"/>
      <c r="H82" s="2"/>
      <c r="I82" s="1638"/>
      <c r="J82" s="358"/>
      <c r="K82" s="358"/>
      <c r="L82" s="453"/>
      <c r="M82"/>
      <c r="N82" s="383" t="str">
        <f t="shared" si="1"/>
        <v/>
      </c>
    </row>
    <row r="83" spans="1:14">
      <c r="A83" s="501" t="s">
        <v>130</v>
      </c>
      <c r="B83" s="52">
        <f>AVERAGE(B76:B80)</f>
        <v>71002</v>
      </c>
      <c r="C83" s="364"/>
      <c r="D83" s="52">
        <f>AVERAGE(D76:D80)</f>
        <v>2190.1999999999998</v>
      </c>
      <c r="E83" s="52">
        <f>AVERAGE(E76:E80)</f>
        <v>2947.4</v>
      </c>
      <c r="F83" s="52">
        <f>AVERAGE(F76:F80)</f>
        <v>65864.399999999994</v>
      </c>
      <c r="G83" s="362">
        <f>AVERAGE(G76:G80)</f>
        <v>15369.6</v>
      </c>
      <c r="H83" s="505">
        <f>G83/F83*100</f>
        <v>23.335215989214205</v>
      </c>
      <c r="I83" s="367"/>
      <c r="J83" s="362">
        <f>AVERAGE(J76:J80)</f>
        <v>42129.8</v>
      </c>
      <c r="K83" s="362">
        <f>AVERAGE(K76:K80)</f>
        <v>7062.4</v>
      </c>
      <c r="L83" s="453"/>
      <c r="M83"/>
      <c r="N83" s="383">
        <f t="shared" si="1"/>
        <v>0.23335215989214206</v>
      </c>
    </row>
    <row r="84" spans="1:14">
      <c r="A84" s="500"/>
      <c r="B84" s="47"/>
      <c r="C84"/>
      <c r="D84" s="506"/>
      <c r="E84"/>
      <c r="F84"/>
      <c r="G84"/>
      <c r="H84" s="145"/>
      <c r="I84"/>
      <c r="J84"/>
      <c r="K84"/>
      <c r="L84" s="3"/>
      <c r="M84"/>
      <c r="N84" s="383" t="str">
        <f t="shared" si="1"/>
        <v/>
      </c>
    </row>
    <row r="85" spans="1:14">
      <c r="A85" s="403">
        <v>2015</v>
      </c>
      <c r="B85" s="52">
        <v>87071</v>
      </c>
      <c r="C85" s="364"/>
      <c r="D85" s="52">
        <f>1262+48+1255</f>
        <v>2565</v>
      </c>
      <c r="E85" s="52">
        <f>1427+39</f>
        <v>1466</v>
      </c>
      <c r="F85" s="52">
        <v>81040</v>
      </c>
      <c r="G85" s="52">
        <f>13324+228</f>
        <v>13552</v>
      </c>
      <c r="H85" s="502">
        <f>(G85/F85)*100</f>
        <v>16.722606120434353</v>
      </c>
      <c r="I85" s="366"/>
      <c r="J85" s="52">
        <v>53088</v>
      </c>
      <c r="K85" s="52">
        <v>8446</v>
      </c>
      <c r="L85" s="453"/>
      <c r="M85"/>
      <c r="N85" s="383">
        <f t="shared" si="1"/>
        <v>0.16722606120434352</v>
      </c>
    </row>
    <row r="86" spans="1:14">
      <c r="A86" s="403">
        <v>2016</v>
      </c>
      <c r="B86" s="52">
        <v>49768</v>
      </c>
      <c r="C86" s="364"/>
      <c r="D86" s="52">
        <f>361+24+561</f>
        <v>946</v>
      </c>
      <c r="E86" s="52">
        <f>1389+19</f>
        <v>1408</v>
      </c>
      <c r="F86" s="52">
        <v>47414</v>
      </c>
      <c r="G86" s="52">
        <f>5846+144</f>
        <v>5990</v>
      </c>
      <c r="H86" s="502">
        <f>(G86/F86)*100</f>
        <v>12.633399417893449</v>
      </c>
      <c r="I86" s="366"/>
      <c r="J86" s="52">
        <v>32478</v>
      </c>
      <c r="K86" s="52">
        <v>5789</v>
      </c>
      <c r="L86" s="453"/>
      <c r="M86"/>
      <c r="N86" s="383">
        <f t="shared" si="1"/>
        <v>0.12633399417893448</v>
      </c>
    </row>
    <row r="87" spans="1:14">
      <c r="A87" s="403">
        <v>2017</v>
      </c>
      <c r="B87" s="52">
        <v>53653</v>
      </c>
      <c r="C87" s="364"/>
      <c r="D87" s="52">
        <v>1314</v>
      </c>
      <c r="E87" s="52">
        <v>1268</v>
      </c>
      <c r="F87" s="52">
        <v>51071</v>
      </c>
      <c r="G87" s="52">
        <v>7420</v>
      </c>
      <c r="H87" s="502">
        <f>(G87/F87)*100</f>
        <v>14.528793248614674</v>
      </c>
      <c r="I87" s="366"/>
      <c r="J87" s="52">
        <v>36628</v>
      </c>
      <c r="K87" s="52">
        <v>4527</v>
      </c>
      <c r="L87" s="3"/>
      <c r="M87"/>
      <c r="N87" s="383">
        <f t="shared" si="1"/>
        <v>0.14528793248614674</v>
      </c>
    </row>
    <row r="88" spans="1:14">
      <c r="A88" s="403">
        <v>2018</v>
      </c>
      <c r="B88" s="52">
        <v>39660</v>
      </c>
      <c r="C88" s="364"/>
      <c r="D88" s="52">
        <v>457</v>
      </c>
      <c r="E88" s="52">
        <v>1260</v>
      </c>
      <c r="F88" s="52">
        <v>37943</v>
      </c>
      <c r="G88" s="52">
        <v>6222</v>
      </c>
      <c r="H88" s="502">
        <f>(G88/F88)*100</f>
        <v>16.398281632975781</v>
      </c>
      <c r="I88" s="366"/>
      <c r="J88" s="52">
        <v>26542</v>
      </c>
      <c r="K88" s="52">
        <v>2657</v>
      </c>
      <c r="L88" s="3"/>
      <c r="M88"/>
      <c r="N88" s="383">
        <f t="shared" si="1"/>
        <v>0.16398281632975781</v>
      </c>
    </row>
    <row r="89" spans="1:14">
      <c r="A89" s="403">
        <v>2019</v>
      </c>
      <c r="B89" s="52">
        <v>29594</v>
      </c>
      <c r="C89" s="364"/>
      <c r="D89" s="52">
        <v>329</v>
      </c>
      <c r="E89" s="52">
        <v>213</v>
      </c>
      <c r="F89" s="52">
        <v>29052</v>
      </c>
      <c r="G89" s="52">
        <v>4672</v>
      </c>
      <c r="H89" s="502">
        <f>(G89/F89)*100</f>
        <v>16.081509018311994</v>
      </c>
      <c r="I89" s="366"/>
      <c r="J89" s="52">
        <v>20617</v>
      </c>
      <c r="K89" s="52">
        <v>2692</v>
      </c>
      <c r="L89" s="3"/>
      <c r="M89"/>
      <c r="N89" s="383">
        <f t="shared" si="1"/>
        <v>0.16081509018311993</v>
      </c>
    </row>
    <row r="90" spans="1:14">
      <c r="A90" s="403"/>
      <c r="B90" s="52"/>
      <c r="C90" s="364"/>
      <c r="D90" s="52"/>
      <c r="E90" s="52"/>
      <c r="F90" s="52"/>
      <c r="G90" s="52"/>
      <c r="H90" s="502"/>
      <c r="I90" s="366"/>
      <c r="J90" s="52"/>
      <c r="K90" s="52"/>
      <c r="L90" s="3"/>
      <c r="M90"/>
      <c r="N90" s="383" t="str">
        <f t="shared" si="1"/>
        <v/>
      </c>
    </row>
    <row r="91" spans="1:14">
      <c r="A91" s="501" t="s">
        <v>139</v>
      </c>
      <c r="B91" s="52"/>
      <c r="C91" s="364"/>
      <c r="D91" s="52"/>
      <c r="E91" s="52"/>
      <c r="F91" s="52"/>
      <c r="G91" s="52"/>
      <c r="H91" s="502"/>
      <c r="I91" s="366"/>
      <c r="J91" s="52"/>
      <c r="K91" s="52"/>
      <c r="L91" s="3"/>
      <c r="M91"/>
      <c r="N91" s="383" t="str">
        <f t="shared" si="1"/>
        <v/>
      </c>
    </row>
    <row r="92" spans="1:14">
      <c r="A92" s="501" t="s">
        <v>130</v>
      </c>
      <c r="B92" s="52">
        <f>AVERAGE(B85:B89)</f>
        <v>51949.2</v>
      </c>
      <c r="C92" s="364"/>
      <c r="D92" s="52">
        <f>AVERAGE(D85:D89)</f>
        <v>1122.2</v>
      </c>
      <c r="E92" s="52">
        <f t="shared" ref="E92:K92" si="2">AVERAGE(E85:E89)</f>
        <v>1123</v>
      </c>
      <c r="F92" s="52">
        <f t="shared" si="2"/>
        <v>49304</v>
      </c>
      <c r="G92" s="52">
        <f t="shared" si="2"/>
        <v>7571.2</v>
      </c>
      <c r="H92" s="502">
        <f>G92/F92*100</f>
        <v>15.356157715398345</v>
      </c>
      <c r="I92" s="52"/>
      <c r="J92" s="52">
        <f t="shared" si="2"/>
        <v>33870.6</v>
      </c>
      <c r="K92" s="52">
        <f t="shared" si="2"/>
        <v>4822.2</v>
      </c>
      <c r="L92" s="3"/>
      <c r="M92"/>
      <c r="N92" s="383">
        <f t="shared" si="1"/>
        <v>0.15356157715398344</v>
      </c>
    </row>
    <row r="93" spans="1:14">
      <c r="A93" s="501"/>
      <c r="B93" s="52"/>
      <c r="C93" s="364"/>
      <c r="D93" s="52"/>
      <c r="E93" s="52"/>
      <c r="F93" s="52"/>
      <c r="G93" s="52"/>
      <c r="H93" s="502"/>
      <c r="I93" s="52"/>
      <c r="J93" s="52"/>
      <c r="K93" s="52"/>
      <c r="L93" s="3"/>
      <c r="M93"/>
      <c r="N93" s="383" t="str">
        <f t="shared" si="1"/>
        <v/>
      </c>
    </row>
    <row r="94" spans="1:14">
      <c r="A94" s="403">
        <v>2020</v>
      </c>
      <c r="B94" s="59">
        <v>47458</v>
      </c>
      <c r="C94" s="59"/>
      <c r="D94" s="59">
        <v>312</v>
      </c>
      <c r="E94" s="59">
        <v>144</v>
      </c>
      <c r="F94" s="59">
        <v>47002</v>
      </c>
      <c r="G94" s="59">
        <v>6078</v>
      </c>
      <c r="H94" s="502">
        <f>G94/F94*100</f>
        <v>12.931364622782009</v>
      </c>
      <c r="I94" s="59"/>
      <c r="J94" s="59">
        <v>35012</v>
      </c>
      <c r="K94" s="59">
        <v>5033</v>
      </c>
      <c r="L94" s="3"/>
      <c r="M94"/>
      <c r="N94" s="383">
        <f t="shared" si="1"/>
        <v>0.1293136462278201</v>
      </c>
    </row>
    <row r="95" spans="1:14">
      <c r="A95" s="403">
        <v>2021</v>
      </c>
      <c r="B95" s="59">
        <v>43148</v>
      </c>
      <c r="C95" s="59"/>
      <c r="D95" s="59">
        <v>262</v>
      </c>
      <c r="E95" s="59">
        <v>1102</v>
      </c>
      <c r="F95" s="59">
        <v>41784</v>
      </c>
      <c r="G95" s="59">
        <v>6473</v>
      </c>
      <c r="H95" s="502">
        <v>15.491575722764694</v>
      </c>
      <c r="I95" s="59"/>
      <c r="J95" s="59">
        <v>30025</v>
      </c>
      <c r="K95" s="59">
        <v>3733</v>
      </c>
      <c r="L95" s="3"/>
      <c r="M95"/>
      <c r="N95" s="383">
        <f t="shared" si="1"/>
        <v>0.15491575722764694</v>
      </c>
    </row>
    <row r="96" spans="1:14">
      <c r="A96" s="403">
        <v>2022</v>
      </c>
      <c r="B96" s="59">
        <v>57317.362000000001</v>
      </c>
      <c r="C96" s="59"/>
      <c r="D96" s="59">
        <v>849</v>
      </c>
      <c r="E96" s="59">
        <v>1816</v>
      </c>
      <c r="F96" s="59">
        <v>54652.362000000001</v>
      </c>
      <c r="G96" s="59">
        <v>9028</v>
      </c>
      <c r="H96" s="502">
        <v>16.518956673821343</v>
      </c>
      <c r="I96" s="59"/>
      <c r="J96" s="59">
        <v>38629</v>
      </c>
      <c r="K96" s="59">
        <v>6432</v>
      </c>
      <c r="L96" s="3"/>
      <c r="M96"/>
      <c r="N96" s="383">
        <f t="shared" si="1"/>
        <v>0.16518956673821344</v>
      </c>
    </row>
    <row r="97" spans="1:14">
      <c r="A97" s="403">
        <v>2023</v>
      </c>
      <c r="B97" s="59">
        <v>39537</v>
      </c>
      <c r="C97" s="59"/>
      <c r="D97" s="59">
        <v>596</v>
      </c>
      <c r="E97" s="59">
        <v>717</v>
      </c>
      <c r="F97" s="59">
        <v>38224</v>
      </c>
      <c r="G97" s="59">
        <v>6425</v>
      </c>
      <c r="H97" s="502">
        <v>16.8</v>
      </c>
      <c r="I97" s="59"/>
      <c r="J97" s="59">
        <v>24089</v>
      </c>
      <c r="K97" s="59">
        <v>7249</v>
      </c>
      <c r="L97" s="3"/>
      <c r="M97"/>
      <c r="N97" s="383">
        <f>IF(OR(G97="",F97=""),"",(G97/F97))</f>
        <v>0.16808811218082881</v>
      </c>
    </row>
    <row r="98" spans="1:14">
      <c r="A98" s="403">
        <v>2024</v>
      </c>
      <c r="B98" s="59">
        <v>38898</v>
      </c>
      <c r="C98" s="59"/>
      <c r="D98" s="59">
        <v>449</v>
      </c>
      <c r="E98" s="59">
        <v>1079</v>
      </c>
      <c r="F98" s="59">
        <v>37358</v>
      </c>
      <c r="G98" s="59">
        <v>5144</v>
      </c>
      <c r="H98" s="502">
        <f>G98/F98*100</f>
        <v>13.769473740564269</v>
      </c>
      <c r="I98" s="59"/>
      <c r="J98" s="59">
        <v>22592</v>
      </c>
      <c r="K98" s="59">
        <v>8971</v>
      </c>
      <c r="L98" s="3"/>
      <c r="M98"/>
      <c r="N98" s="383">
        <f>IF(OR(G98="",F98=""),"",(G98/F98))</f>
        <v>0.1376947374056427</v>
      </c>
    </row>
    <row r="99" spans="1:14">
      <c r="A99" s="403"/>
      <c r="B99" s="59"/>
      <c r="C99" s="59"/>
      <c r="D99" s="59"/>
      <c r="E99" s="59"/>
      <c r="F99" s="59"/>
      <c r="G99" s="59"/>
      <c r="H99" s="502"/>
      <c r="I99" s="59"/>
      <c r="J99" s="59"/>
      <c r="K99" s="59"/>
      <c r="L99" s="3"/>
      <c r="M99"/>
      <c r="N99" s="383" t="str">
        <f t="shared" ref="N99:N101" si="3">IF(OR(G99="",F99=""),"",(G99/F99))</f>
        <v/>
      </c>
    </row>
    <row r="100" spans="1:14">
      <c r="A100" s="501" t="s">
        <v>140</v>
      </c>
      <c r="B100" s="52"/>
      <c r="C100" s="364"/>
      <c r="D100" s="52"/>
      <c r="E100" s="52"/>
      <c r="F100" s="52"/>
      <c r="G100" s="52"/>
      <c r="H100" s="502"/>
      <c r="I100" s="366"/>
      <c r="J100" s="52"/>
      <c r="K100" s="52"/>
      <c r="L100" s="3"/>
      <c r="M100"/>
      <c r="N100" s="383" t="str">
        <f t="shared" si="3"/>
        <v/>
      </c>
    </row>
    <row r="101" spans="1:14">
      <c r="A101" s="501" t="s">
        <v>130</v>
      </c>
      <c r="B101" s="52">
        <f>AVERAGE(B94:B98)</f>
        <v>45271.672399999996</v>
      </c>
      <c r="C101" s="364"/>
      <c r="D101" s="52">
        <f>AVERAGE(D94:D98)</f>
        <v>493.6</v>
      </c>
      <c r="E101" s="52">
        <f t="shared" ref="E101:G101" si="4">AVERAGE(E94:E98)</f>
        <v>971.6</v>
      </c>
      <c r="F101" s="52">
        <f t="shared" si="4"/>
        <v>43804.072399999997</v>
      </c>
      <c r="G101" s="52">
        <f t="shared" si="4"/>
        <v>6629.6</v>
      </c>
      <c r="H101" s="502">
        <f>G101/F101*100</f>
        <v>15.134665880974119</v>
      </c>
      <c r="I101" s="52"/>
      <c r="J101" s="52">
        <f t="shared" ref="J101:K101" si="5">AVERAGE(J94:J98)</f>
        <v>30069.4</v>
      </c>
      <c r="K101" s="52">
        <f t="shared" si="5"/>
        <v>6283.6</v>
      </c>
      <c r="L101" s="3"/>
      <c r="M101"/>
      <c r="N101" s="383">
        <f t="shared" si="3"/>
        <v>0.15134665880974119</v>
      </c>
    </row>
    <row r="102" spans="1:14">
      <c r="A102" s="501"/>
      <c r="B102" s="52"/>
      <c r="C102" s="364"/>
      <c r="D102" s="52"/>
      <c r="E102" s="52"/>
      <c r="F102" s="52"/>
      <c r="G102" s="52"/>
      <c r="H102" s="502"/>
      <c r="I102" s="52"/>
      <c r="J102" s="52"/>
      <c r="K102" s="52"/>
      <c r="L102" s="3"/>
      <c r="M102"/>
      <c r="N102" s="383"/>
    </row>
    <row r="103" spans="1:14" ht="13.5" thickBot="1">
      <c r="A103" s="384">
        <v>2025</v>
      </c>
      <c r="B103" s="507">
        <v>52067</v>
      </c>
      <c r="C103" s="507"/>
      <c r="D103" s="507">
        <v>649</v>
      </c>
      <c r="E103" s="507">
        <v>1443</v>
      </c>
      <c r="F103" s="507">
        <v>49971</v>
      </c>
      <c r="G103" s="507">
        <v>7762</v>
      </c>
      <c r="H103" s="696">
        <f>G103/F103*100</f>
        <v>15.533009145304277</v>
      </c>
      <c r="I103" s="507"/>
      <c r="J103" s="507">
        <v>32716</v>
      </c>
      <c r="K103" s="507">
        <v>8804</v>
      </c>
      <c r="L103" s="508"/>
      <c r="M103"/>
      <c r="N103" s="383">
        <f>IF(OR(G103="",F103=""),"",(G103/F103))</f>
        <v>0.15533009145304277</v>
      </c>
    </row>
  </sheetData>
  <mergeCells count="12">
    <mergeCell ref="K4:L4"/>
    <mergeCell ref="A1:A3"/>
    <mergeCell ref="C1:C3"/>
    <mergeCell ref="D1:E1"/>
    <mergeCell ref="G1:H1"/>
    <mergeCell ref="I1:I3"/>
    <mergeCell ref="J1:J3"/>
    <mergeCell ref="K1:L3"/>
    <mergeCell ref="D2:E2"/>
    <mergeCell ref="G2:H2"/>
    <mergeCell ref="D3:E3"/>
    <mergeCell ref="G3:H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6FF33"/>
    <pageSetUpPr fitToPage="1"/>
  </sheetPr>
  <dimension ref="A1:L77"/>
  <sheetViews>
    <sheetView showGridLines="0" zoomScaleNormal="100" workbookViewId="0">
      <pane ySplit="7" topLeftCell="A21" activePane="bottomLeft" state="frozen"/>
      <selection pane="bottomLeft" activeCell="D66" sqref="D66"/>
      <selection activeCell="J33" sqref="J33"/>
    </sheetView>
  </sheetViews>
  <sheetFormatPr defaultRowHeight="12.75"/>
  <cols>
    <col min="1" max="1" width="10.83203125" customWidth="1"/>
    <col min="2" max="2" width="12.6640625" customWidth="1"/>
    <col min="3" max="3" width="1.83203125" customWidth="1"/>
    <col min="4" max="4" width="11.33203125" customWidth="1"/>
    <col min="5" max="5" width="10.83203125" customWidth="1"/>
    <col min="6" max="6" width="12.33203125" customWidth="1"/>
    <col min="7" max="7" width="11.33203125" customWidth="1"/>
    <col min="8" max="8" width="10.83203125" customWidth="1"/>
    <col min="9" max="9" width="1.83203125" customWidth="1"/>
    <col min="10" max="10" width="12" customWidth="1"/>
    <col min="11" max="12" width="12.1640625" customWidth="1"/>
  </cols>
  <sheetData>
    <row r="1" spans="1:12" ht="15.75">
      <c r="A1" s="7" t="s">
        <v>141</v>
      </c>
    </row>
    <row r="2" spans="1:12" ht="30" customHeight="1">
      <c r="A2" s="1749" t="s">
        <v>142</v>
      </c>
      <c r="B2" s="1749"/>
      <c r="C2" s="1749"/>
      <c r="D2" s="1749"/>
      <c r="E2" s="1749"/>
      <c r="F2" s="1749"/>
      <c r="G2" s="1749"/>
      <c r="H2" s="1749"/>
      <c r="I2" s="1749"/>
      <c r="J2" s="1749"/>
      <c r="K2" s="1749"/>
    </row>
    <row r="4" spans="1:12" ht="17.25" customHeight="1">
      <c r="A4" s="1750" t="s">
        <v>28</v>
      </c>
      <c r="B4" s="1733" t="s">
        <v>143</v>
      </c>
      <c r="C4" s="1733"/>
      <c r="D4" s="1733" t="s">
        <v>144</v>
      </c>
      <c r="E4" s="1733"/>
      <c r="F4" s="1733" t="s">
        <v>145</v>
      </c>
      <c r="G4" s="1733" t="s">
        <v>146</v>
      </c>
      <c r="H4" s="1733"/>
      <c r="I4" s="1733"/>
      <c r="J4" s="1733" t="s">
        <v>147</v>
      </c>
      <c r="K4" s="1734" t="s">
        <v>148</v>
      </c>
      <c r="L4" s="1618"/>
    </row>
    <row r="5" spans="1:12" ht="17.25" customHeight="1">
      <c r="A5" s="1731"/>
      <c r="B5" s="1723"/>
      <c r="C5" s="1723"/>
      <c r="D5" s="1723"/>
      <c r="E5" s="1723"/>
      <c r="F5" s="1723"/>
      <c r="G5" s="1723"/>
      <c r="H5" s="1723"/>
      <c r="I5" s="1723"/>
      <c r="J5" s="1723"/>
      <c r="K5" s="1751"/>
      <c r="L5" s="1618"/>
    </row>
    <row r="6" spans="1:12" ht="17.25" customHeight="1" thickBot="1">
      <c r="A6" s="1731"/>
      <c r="B6" s="1723"/>
      <c r="C6" s="1723"/>
      <c r="D6" s="1727"/>
      <c r="E6" s="1727"/>
      <c r="F6" s="1723"/>
      <c r="G6" s="1727"/>
      <c r="H6" s="1727"/>
      <c r="I6" s="1723"/>
      <c r="J6" s="1723"/>
      <c r="K6" s="1751"/>
      <c r="L6" s="1618"/>
    </row>
    <row r="7" spans="1:12" ht="17.25" customHeight="1" thickBot="1">
      <c r="A7" s="1732"/>
      <c r="B7" s="1727"/>
      <c r="C7" s="1620"/>
      <c r="D7" s="1620" t="s">
        <v>123</v>
      </c>
      <c r="E7" s="1620" t="s">
        <v>124</v>
      </c>
      <c r="F7" s="1727"/>
      <c r="G7" s="1620" t="s">
        <v>125</v>
      </c>
      <c r="H7" s="1620" t="s">
        <v>126</v>
      </c>
      <c r="I7" s="1620"/>
      <c r="J7" s="1727"/>
      <c r="K7" s="1730"/>
      <c r="L7" s="1618"/>
    </row>
    <row r="8" spans="1:12">
      <c r="A8" s="1639" t="str">
        <f>IF(T3Manip!A10="","",T3Manip!A10)</f>
        <v>1971-1974</v>
      </c>
      <c r="B8" s="4" t="str">
        <f>IF(T3Manip!B10="","",T3Manip!B10/1000)</f>
        <v/>
      </c>
      <c r="C8" s="2" t="str">
        <f>IF(T3Manip!C10="","",T3Manip!C10)</f>
        <v/>
      </c>
      <c r="D8" s="4" t="str">
        <f>IF(T3Manip!D10="","",T3Manip!D10/1000)</f>
        <v/>
      </c>
      <c r="E8" s="4" t="str">
        <f>IF(T3Manip!E10="","",T3Manip!E10/1000)</f>
        <v/>
      </c>
      <c r="F8" s="4" t="str">
        <f>IF(T3Manip!F10="","",T3Manip!F10/1000)</f>
        <v/>
      </c>
      <c r="G8" s="4" t="str">
        <f>IF(T3Manip!G10="","",T3Manip!G10/1000)</f>
        <v/>
      </c>
      <c r="H8" s="4" t="str">
        <f>IF(T3Manip!H10="","",T3Manip!H10)</f>
        <v/>
      </c>
      <c r="I8" s="2" t="str">
        <f>IF(T3Manip!I10="","",T3Manip!I10)</f>
        <v/>
      </c>
      <c r="J8" s="4" t="str">
        <f>IF(T3Manip!J10="","",T3Manip!J10/1000)</f>
        <v/>
      </c>
      <c r="K8" s="962" t="str">
        <f>IF(T3Manip!K10="","",T3Manip!K10/1000)</f>
        <v/>
      </c>
      <c r="L8" s="4"/>
    </row>
    <row r="9" spans="1:12">
      <c r="A9" s="1639" t="str">
        <f>IF(T3Manip!A11="","",T3Manip!A11)</f>
        <v>Average</v>
      </c>
      <c r="B9" s="4">
        <f>IF(T3Manip!B11="","",T3Manip!B11/1000)</f>
        <v>73.096999999999994</v>
      </c>
      <c r="C9" s="2" t="str">
        <f>IF(T3Manip!C11="","",T3Manip!C11)</f>
        <v/>
      </c>
      <c r="D9" s="4">
        <f>IF(T3Manip!D11="","",T3Manip!D11/1000)</f>
        <v>10.45</v>
      </c>
      <c r="E9" s="4">
        <f>IF(T3Manip!E11="","",T3Manip!E11/1000)</f>
        <v>2.4500000000000002</v>
      </c>
      <c r="F9" s="4">
        <f>IF(T3Manip!F11="","",T3Manip!F11/1000)</f>
        <v>60.197000000000003</v>
      </c>
      <c r="G9" s="4">
        <f>IF(T3Manip!G11="","",T3Manip!G11/1000)</f>
        <v>18.34375</v>
      </c>
      <c r="H9" s="4">
        <f>IF(T3Manip!H11="","",T3Manip!H11)</f>
        <v>30.472864096217418</v>
      </c>
      <c r="I9" s="2" t="str">
        <f>IF(T3Manip!I11="","",T3Manip!I11)</f>
        <v/>
      </c>
      <c r="J9" s="4">
        <f>IF(T3Manip!J11="","",T3Manip!J11/1000)</f>
        <v>39.303249999999998</v>
      </c>
      <c r="K9" s="962">
        <f>IF(T3Manip!K11="","",T3Manip!K11/1000)</f>
        <v>2.2000000000000002</v>
      </c>
      <c r="L9" s="4"/>
    </row>
    <row r="10" spans="1:12" ht="6" customHeight="1">
      <c r="A10" s="1639" t="str">
        <f>IF(T3Manip!A12="","",T3Manip!A12)</f>
        <v/>
      </c>
      <c r="B10" s="4" t="str">
        <f>IF(T3Manip!B12="","",T3Manip!B12/1000)</f>
        <v/>
      </c>
      <c r="C10" s="2" t="str">
        <f>IF(T3Manip!C12="","",T3Manip!C12)</f>
        <v/>
      </c>
      <c r="D10" s="4" t="str">
        <f>IF(T3Manip!D12="","",T3Manip!D12/1000)</f>
        <v/>
      </c>
      <c r="E10" s="4" t="str">
        <f>IF(T3Manip!E12="","",T3Manip!E12/1000)</f>
        <v/>
      </c>
      <c r="F10" s="4" t="str">
        <f>IF(T3Manip!F12="","",T3Manip!F12/1000)</f>
        <v/>
      </c>
      <c r="G10" s="4" t="str">
        <f>IF(T3Manip!G12="","",T3Manip!G12/1000)</f>
        <v/>
      </c>
      <c r="H10" s="4" t="str">
        <f>IF(T3Manip!H12="","",T3Manip!H12)</f>
        <v/>
      </c>
      <c r="I10" s="2" t="str">
        <f>IF(T3Manip!I12="","",T3Manip!I12)</f>
        <v/>
      </c>
      <c r="J10" s="4" t="str">
        <f>IF(T3Manip!J12="","",T3Manip!J12/1000)</f>
        <v/>
      </c>
      <c r="K10" s="962" t="str">
        <f>IF(T3Manip!K12="","",T3Manip!K12/1000)</f>
        <v/>
      </c>
      <c r="L10" s="4"/>
    </row>
    <row r="11" spans="1:12">
      <c r="A11" s="1639" t="str">
        <f>IF(T3Manip!A19="","",T3Manip!A19)</f>
        <v>1975-1979</v>
      </c>
      <c r="B11" s="4" t="str">
        <f>IF(T3Manip!B19="","",T3Manip!B19/1000)</f>
        <v/>
      </c>
      <c r="C11" s="2" t="str">
        <f>IF(T3Manip!C37="","",T3Manip!C37)</f>
        <v/>
      </c>
      <c r="D11" s="4" t="str">
        <f>IF(T3Manip!D19="","",T3Manip!D19/1000)</f>
        <v/>
      </c>
      <c r="E11" s="4" t="str">
        <f>IF(T3Manip!E19="","",T3Manip!E19/1000)</f>
        <v/>
      </c>
      <c r="F11" s="4" t="str">
        <f>IF(T3Manip!F19="","",T3Manip!F19/1000)</f>
        <v/>
      </c>
      <c r="G11" s="4" t="str">
        <f>IF(T3Manip!G19="","",T3Manip!G19/1000)</f>
        <v/>
      </c>
      <c r="H11" s="4" t="str">
        <f>IF(T3Manip!H19="","",T3Manip!H19)</f>
        <v/>
      </c>
      <c r="I11" s="2" t="str">
        <f>IF(T3Manip!I19="","",T3Manip!I19)</f>
        <v/>
      </c>
      <c r="J11" s="4" t="str">
        <f>IF(T3Manip!J19="","",T3Manip!J19/1000)</f>
        <v/>
      </c>
      <c r="K11" s="962" t="str">
        <f>IF(T3Manip!K19="","",T3Manip!K19/1000)</f>
        <v/>
      </c>
      <c r="L11" s="4"/>
    </row>
    <row r="12" spans="1:12">
      <c r="A12" s="1639" t="str">
        <f>IF(T3Manip!A20="","",T3Manip!A20)</f>
        <v>Average</v>
      </c>
      <c r="B12" s="4">
        <f>IF(T3Manip!B20="","",T3Manip!B20/1000)</f>
        <v>56.556199999999997</v>
      </c>
      <c r="C12" s="2" t="str">
        <f>IF(T3Manip!C38="","",T3Manip!C38)</f>
        <v/>
      </c>
      <c r="D12" s="4">
        <f>IF(T3Manip!D20="","",T3Manip!D20/1000)</f>
        <v>5.42</v>
      </c>
      <c r="E12" s="4">
        <f>IF(T3Manip!E20="","",T3Manip!E20/1000)</f>
        <v>1.6</v>
      </c>
      <c r="F12" s="4">
        <f>IF(T3Manip!F20="","",T3Manip!F20/1000)</f>
        <v>49.536199999999994</v>
      </c>
      <c r="G12" s="4">
        <f>IF(T3Manip!G20="","",T3Manip!G20/1000)</f>
        <v>15.095000000000001</v>
      </c>
      <c r="H12" s="4">
        <f>IF(T3Manip!H20="","",T3Manip!H20)</f>
        <v>30.472664435301862</v>
      </c>
      <c r="I12" s="2" t="str">
        <f>IF(T3Manip!I20="","",T3Manip!I20)</f>
        <v/>
      </c>
      <c r="J12" s="4">
        <f>IF(T3Manip!J20="","",T3Manip!J20/1000)</f>
        <v>31.076000000000001</v>
      </c>
      <c r="K12" s="962">
        <f>IF(T3Manip!K20="","",T3Manip!K20/1000)</f>
        <v>3.2651999999999997</v>
      </c>
      <c r="L12" s="4"/>
    </row>
    <row r="13" spans="1:12" ht="5.85" customHeight="1">
      <c r="A13" s="1639" t="str">
        <f>IF(T3Manip!A21="","",T3Manip!A21)</f>
        <v/>
      </c>
      <c r="B13" s="4" t="str">
        <f>IF(T3Manip!B21="","",T3Manip!B21/1000)</f>
        <v/>
      </c>
      <c r="C13" s="2" t="str">
        <f>IF(T3Manip!C39="","",T3Manip!C39)</f>
        <v/>
      </c>
      <c r="D13" s="4" t="str">
        <f>IF(T3Manip!D21="","",T3Manip!D21/1000)</f>
        <v/>
      </c>
      <c r="E13" s="4" t="str">
        <f>IF(T3Manip!E21="","",T3Manip!E21/1000)</f>
        <v/>
      </c>
      <c r="F13" s="4" t="str">
        <f>IF(T3Manip!F21="","",T3Manip!F21/1000)</f>
        <v/>
      </c>
      <c r="G13" s="4" t="str">
        <f>IF(T3Manip!G21="","",T3Manip!G21/1000)</f>
        <v/>
      </c>
      <c r="H13" s="4" t="str">
        <f>IF(T3Manip!H21="","",T3Manip!H21)</f>
        <v/>
      </c>
      <c r="I13" s="2" t="str">
        <f>IF(T3Manip!I21="","",T3Manip!I21)</f>
        <v/>
      </c>
      <c r="J13" s="4" t="str">
        <f>IF(T3Manip!J21="","",T3Manip!J21/1000)</f>
        <v/>
      </c>
      <c r="K13" s="962" t="str">
        <f>IF(T3Manip!K21="","",T3Manip!K21/1000)</f>
        <v/>
      </c>
      <c r="L13" s="4"/>
    </row>
    <row r="14" spans="1:12">
      <c r="A14" s="1639" t="str">
        <f>IF(T3Manip!A28="","",T3Manip!A28)</f>
        <v>1980-1984</v>
      </c>
      <c r="B14" s="4" t="str">
        <f>IF(T3Manip!B28="","",T3Manip!B28/1000)</f>
        <v/>
      </c>
      <c r="C14" s="2" t="str">
        <f>IF(T3Manip!C46="","",T3Manip!C46)</f>
        <v/>
      </c>
      <c r="D14" s="4" t="str">
        <f>IF(T3Manip!D28="","",T3Manip!D28/1000)</f>
        <v/>
      </c>
      <c r="E14" s="4" t="str">
        <f>IF(T3Manip!E28="","",T3Manip!E28/1000)</f>
        <v/>
      </c>
      <c r="F14" s="4" t="str">
        <f>IF(T3Manip!F28="","",T3Manip!F28/1000)</f>
        <v/>
      </c>
      <c r="G14" s="4" t="str">
        <f>IF(T3Manip!G28="","",T3Manip!G28/1000)</f>
        <v/>
      </c>
      <c r="H14" s="4" t="str">
        <f>IF(T3Manip!H28="","",T3Manip!H28)</f>
        <v/>
      </c>
      <c r="I14" s="2" t="str">
        <f>IF(T3Manip!I28="","",T3Manip!I28)</f>
        <v/>
      </c>
      <c r="J14" s="4" t="str">
        <f>IF(T3Manip!J28="","",T3Manip!J28/1000)</f>
        <v/>
      </c>
      <c r="K14" s="962" t="str">
        <f>IF(T3Manip!K28="","",T3Manip!K28/1000)</f>
        <v/>
      </c>
      <c r="L14" s="4"/>
    </row>
    <row r="15" spans="1:12">
      <c r="A15" s="1639" t="str">
        <f>IF(T3Manip!A29="","",T3Manip!A29)</f>
        <v>Average</v>
      </c>
      <c r="B15" s="4">
        <f>IF(T3Manip!B29="","",T3Manip!B29/1000)</f>
        <v>64.811400000000006</v>
      </c>
      <c r="C15" s="2" t="str">
        <f>IF(T3Manip!C47="","",T3Manip!C47)</f>
        <v/>
      </c>
      <c r="D15" s="4">
        <f>IF(T3Manip!D29="","",T3Manip!D29/1000)</f>
        <v>4.4400000000000004</v>
      </c>
      <c r="E15" s="4">
        <f>IF(T3Manip!E29="","",T3Manip!E29/1000)</f>
        <v>1.74</v>
      </c>
      <c r="F15" s="4">
        <f>IF(T3Manip!F29="","",T3Manip!F29/1000)</f>
        <v>58.631399999999999</v>
      </c>
      <c r="G15" s="4">
        <f>IF(T3Manip!G29="","",T3Manip!G29/1000)</f>
        <v>13.921799999999999</v>
      </c>
      <c r="H15" s="4">
        <f>IF(T3Manip!H29="","",T3Manip!H29)</f>
        <v>23.744614660403808</v>
      </c>
      <c r="I15" s="2" t="str">
        <f>IF(T3Manip!I29="","",T3Manip!I29)</f>
        <v/>
      </c>
      <c r="J15" s="4">
        <f>IF(T3Manip!J29="","",T3Manip!J29/1000)</f>
        <v>35.453199999999995</v>
      </c>
      <c r="K15" s="962">
        <f>IF(T3Manip!K29="","",T3Manip!K29/1000)</f>
        <v>9.0963999999999992</v>
      </c>
      <c r="L15" s="4"/>
    </row>
    <row r="16" spans="1:12" ht="4.5" customHeight="1">
      <c r="A16" s="1639" t="str">
        <f>IF(T3Manip!A30="","",T3Manip!A30)</f>
        <v/>
      </c>
      <c r="B16" s="4" t="str">
        <f>IF(T3Manip!B30="","",T3Manip!B30/1000)</f>
        <v/>
      </c>
      <c r="C16" s="2" t="str">
        <f>IF(T3Manip!C48="","",T3Manip!C48)</f>
        <v/>
      </c>
      <c r="D16" s="4" t="str">
        <f>IF(T3Manip!D30="","",T3Manip!D30/1000)</f>
        <v/>
      </c>
      <c r="E16" s="4" t="str">
        <f>IF(T3Manip!E30="","",T3Manip!E30/1000)</f>
        <v/>
      </c>
      <c r="F16" s="4" t="str">
        <f>IF(T3Manip!F30="","",T3Manip!F30/1000)</f>
        <v/>
      </c>
      <c r="G16" s="4" t="str">
        <f>IF(T3Manip!G30="","",T3Manip!G30/1000)</f>
        <v/>
      </c>
      <c r="H16" s="4" t="str">
        <f>IF(T3Manip!H30="","",T3Manip!H30)</f>
        <v/>
      </c>
      <c r="I16" s="2" t="str">
        <f>IF(T3Manip!I30="","",T3Manip!I30)</f>
        <v/>
      </c>
      <c r="J16" s="4" t="str">
        <f>IF(T3Manip!J30="","",T3Manip!J30/1000)</f>
        <v/>
      </c>
      <c r="K16" s="962" t="str">
        <f>IF(T3Manip!K30="","",T3Manip!K30/1000)</f>
        <v/>
      </c>
      <c r="L16" s="4"/>
    </row>
    <row r="17" spans="1:12">
      <c r="A17" s="1639" t="str">
        <f>IF(T3Manip!A37="","",T3Manip!A37)</f>
        <v>1985-1989</v>
      </c>
      <c r="B17" s="4" t="str">
        <f>IF(T3Manip!B37="","",T3Manip!B37/1000)</f>
        <v/>
      </c>
      <c r="C17" s="2" t="str">
        <f>IF(T3Manip!C55="","",T3Manip!C55)</f>
        <v/>
      </c>
      <c r="D17" s="4" t="str">
        <f>IF(T3Manip!D37="","",T3Manip!D37/1000)</f>
        <v/>
      </c>
      <c r="E17" s="4" t="str">
        <f>IF(T3Manip!E37="","",T3Manip!E37/1000)</f>
        <v/>
      </c>
      <c r="F17" s="4" t="str">
        <f>IF(T3Manip!F37="","",T3Manip!F37/1000)</f>
        <v/>
      </c>
      <c r="G17" s="4" t="str">
        <f>IF(T3Manip!G37="","",T3Manip!G37/1000)</f>
        <v/>
      </c>
      <c r="H17" s="4" t="str">
        <f>IF(T3Manip!H37="","",T3Manip!H37)</f>
        <v/>
      </c>
      <c r="I17" s="2" t="str">
        <f>IF(T3Manip!I37="","",T3Manip!I37)</f>
        <v/>
      </c>
      <c r="J17" s="4" t="str">
        <f>IF(T3Manip!J37="","",T3Manip!J37/1000)</f>
        <v/>
      </c>
      <c r="K17" s="962" t="str">
        <f>IF(T3Manip!K37="","",T3Manip!K37/1000)</f>
        <v/>
      </c>
      <c r="L17" s="4"/>
    </row>
    <row r="18" spans="1:12">
      <c r="A18" s="1639" t="str">
        <f>IF(T3Manip!A38="","",T3Manip!A38)</f>
        <v>Average</v>
      </c>
      <c r="B18" s="4">
        <f>IF(T3Manip!B38="","",T3Manip!B38/1000)</f>
        <v>93.655199999999994</v>
      </c>
      <c r="C18" s="2" t="str">
        <f>IF(T3Manip!C56="","",T3Manip!C56)</f>
        <v/>
      </c>
      <c r="D18" s="4">
        <f>IF(T3Manip!D38="","",T3Manip!D38/1000)</f>
        <v>9.7929999999999993</v>
      </c>
      <c r="E18" s="4">
        <f>IF(T3Manip!E38="","",T3Manip!E38/1000)</f>
        <v>2.1818</v>
      </c>
      <c r="F18" s="4">
        <f>IF(T3Manip!F38="","",T3Manip!F38/1000)</f>
        <v>81.680399999999992</v>
      </c>
      <c r="G18" s="4">
        <f>IF(T3Manip!G38="","",T3Manip!G38/1000)</f>
        <v>19.644200000000001</v>
      </c>
      <c r="H18" s="4">
        <f>IF(T3Manip!H38="","",T3Manip!H38)</f>
        <v>24.050078109313866</v>
      </c>
      <c r="I18" s="2" t="str">
        <f>IF(T3Manip!I38="","",T3Manip!I38)</f>
        <v/>
      </c>
      <c r="J18" s="4">
        <f>IF(T3Manip!J38="","",T3Manip!J38/1000)</f>
        <v>53.630199999999995</v>
      </c>
      <c r="K18" s="962">
        <f>IF(T3Manip!K38="","",T3Manip!K38/1000)</f>
        <v>8.0660000000000007</v>
      </c>
      <c r="L18" s="4"/>
    </row>
    <row r="19" spans="1:12" ht="4.5" customHeight="1">
      <c r="A19" s="1639" t="str">
        <f>IF(T3Manip!A39="","",T3Manip!A39)</f>
        <v/>
      </c>
      <c r="B19" s="4" t="str">
        <f>IF(T3Manip!B39="","",T3Manip!B39/1000)</f>
        <v/>
      </c>
      <c r="C19" s="2" t="str">
        <f>IF(T3Manip!C57="","",T3Manip!C57)</f>
        <v/>
      </c>
      <c r="D19" s="4" t="str">
        <f>IF(T3Manip!D39="","",T3Manip!D39/1000)</f>
        <v/>
      </c>
      <c r="E19" s="4" t="str">
        <f>IF(T3Manip!E39="","",T3Manip!E39/1000)</f>
        <v/>
      </c>
      <c r="F19" s="4" t="str">
        <f>IF(T3Manip!F39="","",T3Manip!F39/1000)</f>
        <v/>
      </c>
      <c r="G19" s="4" t="str">
        <f>IF(T3Manip!G39="","",T3Manip!G39/1000)</f>
        <v/>
      </c>
      <c r="H19" s="4" t="str">
        <f>IF(T3Manip!H39="","",T3Manip!H39)</f>
        <v/>
      </c>
      <c r="I19" s="2" t="str">
        <f>IF(T3Manip!I39="","",T3Manip!I39)</f>
        <v/>
      </c>
      <c r="J19" s="4" t="str">
        <f>IF(T3Manip!J39="","",T3Manip!J39/1000)</f>
        <v/>
      </c>
      <c r="K19" s="962" t="str">
        <f>IF(T3Manip!K39="","",T3Manip!K39/1000)</f>
        <v/>
      </c>
      <c r="L19" s="4"/>
    </row>
    <row r="20" spans="1:12">
      <c r="A20" s="1639" t="str">
        <f>IF(T3Manip!A46="","",T3Manip!A46)</f>
        <v>1990-1994</v>
      </c>
      <c r="B20" s="4" t="str">
        <f>IF(T3Manip!B46="","",T3Manip!B46/1000)</f>
        <v/>
      </c>
      <c r="C20" s="2" t="str">
        <f>IF(T3Manip!C64="","",T3Manip!C64)</f>
        <v/>
      </c>
      <c r="D20" s="4" t="str">
        <f>IF(T3Manip!D46="","",T3Manip!D46/1000)</f>
        <v/>
      </c>
      <c r="E20" s="4" t="str">
        <f>IF(T3Manip!E46="","",T3Manip!E46/1000)</f>
        <v/>
      </c>
      <c r="F20" s="4" t="str">
        <f>IF(T3Manip!F46="","",T3Manip!F46/1000)</f>
        <v/>
      </c>
      <c r="G20" s="4" t="str">
        <f>IF(T3Manip!G46="","",T3Manip!G46/1000)</f>
        <v/>
      </c>
      <c r="H20" s="4" t="str">
        <f>IF(T3Manip!H46="","",T3Manip!H46)</f>
        <v/>
      </c>
      <c r="I20" s="2" t="str">
        <f>IF(T3Manip!I46="","",T3Manip!I46)</f>
        <v/>
      </c>
      <c r="J20" s="4" t="str">
        <f>IF(T3Manip!J46="","",T3Manip!J46/1000)</f>
        <v/>
      </c>
      <c r="K20" s="962" t="str">
        <f>IF(T3Manip!K46="","",T3Manip!K46/1000)</f>
        <v/>
      </c>
      <c r="L20" s="4"/>
    </row>
    <row r="21" spans="1:12">
      <c r="A21" s="1639" t="str">
        <f>IF(T3Manip!A47="","",T3Manip!A47)</f>
        <v>Average</v>
      </c>
      <c r="B21" s="4">
        <f>IF(T3Manip!B47="","",T3Manip!B47/1000)</f>
        <v>86.207800000000006</v>
      </c>
      <c r="C21" s="2" t="str">
        <f>IF(T3Manip!C65="","",T3Manip!C65)</f>
        <v/>
      </c>
      <c r="D21" s="4">
        <f>IF(T3Manip!D47="","",T3Manip!D47/1000)</f>
        <v>6.5411999999999999</v>
      </c>
      <c r="E21" s="4">
        <f>IF(T3Manip!E47="","",T3Manip!E47/1000)</f>
        <v>3.512</v>
      </c>
      <c r="F21" s="4">
        <f>IF(T3Manip!F47="","",T3Manip!F47/1000)</f>
        <v>76.154600000000002</v>
      </c>
      <c r="G21" s="4">
        <f>IF(T3Manip!G47="","",T3Manip!G47/1000)</f>
        <v>19.9894</v>
      </c>
      <c r="H21" s="4">
        <f>IF(T3Manip!H47="","",T3Manip!H47)</f>
        <v>26.248447237593002</v>
      </c>
      <c r="I21" s="2" t="str">
        <f>IF(T3Manip!I47="","",T3Manip!I47)</f>
        <v/>
      </c>
      <c r="J21" s="4">
        <f>IF(T3Manip!J47="","",T3Manip!J47/1000)</f>
        <v>44.772199999999998</v>
      </c>
      <c r="K21" s="962">
        <f>IF(T3Manip!K47="","",T3Manip!K47/1000)</f>
        <v>10.632999999999999</v>
      </c>
      <c r="L21" s="4"/>
    </row>
    <row r="22" spans="1:12" ht="4.5" customHeight="1">
      <c r="A22" s="1639" t="str">
        <f>IF(T3Manip!A48="","",T3Manip!A48)</f>
        <v/>
      </c>
      <c r="B22" s="4" t="str">
        <f>IF(T3Manip!B48="","",T3Manip!B48/1000)</f>
        <v/>
      </c>
      <c r="C22" s="2" t="str">
        <f>IF(T3Manip!C66="","",T3Manip!C66)</f>
        <v/>
      </c>
      <c r="D22" s="4" t="str">
        <f>IF(T3Manip!D48="","",T3Manip!D48/1000)</f>
        <v/>
      </c>
      <c r="E22" s="4" t="str">
        <f>IF(T3Manip!E48="","",T3Manip!E48/1000)</f>
        <v/>
      </c>
      <c r="F22" s="4" t="str">
        <f>IF(T3Manip!F48="","",T3Manip!F48/1000)</f>
        <v/>
      </c>
      <c r="G22" s="4" t="str">
        <f>IF(T3Manip!G48="","",T3Manip!G48/1000)</f>
        <v/>
      </c>
      <c r="H22" s="4" t="str">
        <f>IF(T3Manip!H48="","",T3Manip!H48)</f>
        <v/>
      </c>
      <c r="I22" s="2" t="str">
        <f>IF(T3Manip!I48="","",T3Manip!I48)</f>
        <v/>
      </c>
      <c r="J22" s="4" t="str">
        <f>IF(T3Manip!J48="","",T3Manip!J48/1000)</f>
        <v/>
      </c>
      <c r="K22" s="962" t="str">
        <f>IF(T3Manip!K48="","",T3Manip!K48/1000)</f>
        <v/>
      </c>
      <c r="L22" s="4"/>
    </row>
    <row r="23" spans="1:12">
      <c r="A23" s="1639" t="str">
        <f>IF(T3Manip!A55="","",T3Manip!A55)</f>
        <v>1995-1999</v>
      </c>
      <c r="B23" s="4" t="str">
        <f>IF(T3Manip!B55="","",T3Manip!B55/1000)</f>
        <v/>
      </c>
      <c r="C23" s="2"/>
      <c r="D23" s="4" t="str">
        <f>IF(T3Manip!D55="","",T3Manip!D55/1000)</f>
        <v/>
      </c>
      <c r="E23" s="4" t="str">
        <f>IF(T3Manip!E55="","",T3Manip!E55/1000)</f>
        <v/>
      </c>
      <c r="F23" s="4" t="str">
        <f>IF(T3Manip!F55="","",T3Manip!F55/1000)</f>
        <v/>
      </c>
      <c r="G23" s="4" t="str">
        <f>IF(T3Manip!G55="","",T3Manip!G55/1000)</f>
        <v/>
      </c>
      <c r="H23" s="4" t="str">
        <f>IF(T3Manip!H55="","",T3Manip!H55)</f>
        <v/>
      </c>
      <c r="I23" s="2"/>
      <c r="J23" s="4" t="str">
        <f>IF(T3Manip!J55="","",T3Manip!J55/1000)</f>
        <v/>
      </c>
      <c r="K23" s="962" t="str">
        <f>IF(T3Manip!K55="","",T3Manip!K55/1000)</f>
        <v/>
      </c>
      <c r="L23" s="4"/>
    </row>
    <row r="24" spans="1:12">
      <c r="A24" s="1639" t="str">
        <f>IF(T3Manip!A56="","",T3Manip!A56)</f>
        <v>Average</v>
      </c>
      <c r="B24" s="4">
        <f>IF(T3Manip!B56="","",T3Manip!B56/1000)</f>
        <v>42.052599999999998</v>
      </c>
      <c r="C24" s="2"/>
      <c r="D24" s="4">
        <f>IF(T3Manip!D56="","",T3Manip!D56/1000)</f>
        <v>0.1598</v>
      </c>
      <c r="E24" s="4">
        <f>IF(T3Manip!E56="","",T3Manip!E56/1000)</f>
        <v>9.4000000000000004E-3</v>
      </c>
      <c r="F24" s="4">
        <f>IF(T3Manip!F56="","",T3Manip!F56/1000)</f>
        <v>41.883400000000002</v>
      </c>
      <c r="G24" s="4">
        <f>IF(T3Manip!G56="","",T3Manip!G56/1000)</f>
        <v>6.1508000000000003</v>
      </c>
      <c r="H24" s="4">
        <f>IF(T3Manip!H56="","",T3Manip!H56)</f>
        <v>14.68553173811104</v>
      </c>
      <c r="I24" s="2"/>
      <c r="J24" s="4">
        <f>IF(T3Manip!J56="","",T3Manip!J56/1000)</f>
        <v>28.540800000000001</v>
      </c>
      <c r="K24" s="962">
        <f>IF(T3Manip!K56="","",T3Manip!K56/1000)</f>
        <v>6.5964</v>
      </c>
      <c r="L24" s="4"/>
    </row>
    <row r="25" spans="1:12" ht="4.5" customHeight="1">
      <c r="A25" s="1639" t="str">
        <f>IF(T3Manip!A57="","",T3Manip!A57)</f>
        <v/>
      </c>
      <c r="B25" s="4" t="str">
        <f>IF(T3Manip!B57="","",T3Manip!B57/1000)</f>
        <v/>
      </c>
      <c r="C25" s="2"/>
      <c r="D25" s="4" t="str">
        <f>IF(T3Manip!D57="","",T3Manip!D57/1000)</f>
        <v/>
      </c>
      <c r="E25" s="4" t="str">
        <f>IF(T3Manip!E57="","",T3Manip!E57/1000)</f>
        <v/>
      </c>
      <c r="F25" s="4" t="str">
        <f>IF(T3Manip!F57="","",T3Manip!F57/1000)</f>
        <v/>
      </c>
      <c r="G25" s="4" t="str">
        <f>IF(T3Manip!G57="","",T3Manip!G57/1000)</f>
        <v/>
      </c>
      <c r="H25" s="4" t="str">
        <f>IF(T3Manip!H57="","",T3Manip!H57)</f>
        <v/>
      </c>
      <c r="I25" s="2"/>
      <c r="J25" s="4" t="str">
        <f>IF(T3Manip!J57="","",T3Manip!J57/1000)</f>
        <v/>
      </c>
      <c r="K25" s="962" t="str">
        <f>IF(T3Manip!K57="","",T3Manip!K57/1000)</f>
        <v/>
      </c>
      <c r="L25" s="4"/>
    </row>
    <row r="26" spans="1:12">
      <c r="A26" s="1639">
        <f>IF(T3Manip!A58="","",T3Manip!A58)</f>
        <v>2000</v>
      </c>
      <c r="B26" s="4">
        <f>IF(T3Manip!B58="","",T3Manip!B58/1000)</f>
        <v>57.454000000000001</v>
      </c>
      <c r="C26" s="2"/>
      <c r="D26" s="4">
        <f>IF(T3Manip!D58="","",T3Manip!D58/1000)</f>
        <v>1.1240000000000001</v>
      </c>
      <c r="E26" s="4">
        <f>IF(T3Manip!E58="","",T3Manip!E58/1000)</f>
        <v>0.20100000000000001</v>
      </c>
      <c r="F26" s="4">
        <f>IF(T3Manip!F58="","",T3Manip!F58/1000)</f>
        <v>56.128999999999998</v>
      </c>
      <c r="G26" s="4">
        <f>IF(T3Manip!G58="","",T3Manip!G58/1000)</f>
        <v>9.0109999999999992</v>
      </c>
      <c r="H26" s="4">
        <f>IF(T3Manip!H58="","",T3Manip!H58)</f>
        <v>16.05408968625844</v>
      </c>
      <c r="I26" s="2"/>
      <c r="J26" s="4">
        <f>IF(T3Manip!J58="","",T3Manip!J58/1000)</f>
        <v>39.073</v>
      </c>
      <c r="K26" s="962">
        <f>IF(T3Manip!K58="","",T3Manip!K58/1000)</f>
        <v>7.6989999999999998</v>
      </c>
      <c r="L26" s="4"/>
    </row>
    <row r="27" spans="1:12">
      <c r="A27" s="1639">
        <f>IF(T3Manip!A59="","",T3Manip!A59)</f>
        <v>2001</v>
      </c>
      <c r="B27" s="4">
        <f>IF(T3Manip!B59="","",T3Manip!B59/1000)</f>
        <v>80.366</v>
      </c>
      <c r="C27" s="2"/>
      <c r="D27" s="4">
        <f>IF(T3Manip!D59="","",T3Manip!D59/1000)</f>
        <v>3.5190000000000001</v>
      </c>
      <c r="E27" s="4">
        <f>IF(T3Manip!E59="","",T3Manip!E59/1000)</f>
        <v>3.8279999999999998</v>
      </c>
      <c r="F27" s="4">
        <f>IF(T3Manip!F59="","",T3Manip!F59/1000)</f>
        <v>73.019000000000005</v>
      </c>
      <c r="G27" s="4">
        <f>IF(T3Manip!G59="","",T3Manip!G59/1000)</f>
        <v>7.6749999999999998</v>
      </c>
      <c r="H27" s="4">
        <f>IF(T3Manip!H59="","",T3Manip!H59)</f>
        <v>10.510962900067106</v>
      </c>
      <c r="I27" s="2"/>
      <c r="J27" s="4">
        <f>IF(T3Manip!J59="","",T3Manip!J59/1000)</f>
        <v>53.972999999999999</v>
      </c>
      <c r="K27" s="962">
        <f>IF(T3Manip!K59="","",T3Manip!K59/1000)</f>
        <v>10.81</v>
      </c>
      <c r="L27" s="4"/>
    </row>
    <row r="28" spans="1:12">
      <c r="A28" s="1639">
        <f>IF(T3Manip!A60="","",T3Manip!A60)</f>
        <v>2002</v>
      </c>
      <c r="B28" s="4">
        <f>IF(T3Manip!B60="","",T3Manip!B60/1000)</f>
        <v>121.711</v>
      </c>
      <c r="C28" s="2"/>
      <c r="D28" s="4">
        <f>IF(T3Manip!D60="","",T3Manip!D60/1000)</f>
        <v>7.3970000000000002</v>
      </c>
      <c r="E28" s="4">
        <f>IF(T3Manip!E60="","",T3Manip!E60/1000)</f>
        <v>5.2039999999999997</v>
      </c>
      <c r="F28" s="4">
        <f>IF(T3Manip!F60="","",T3Manip!F60/1000)</f>
        <v>109.11</v>
      </c>
      <c r="G28" s="4">
        <f>IF(T3Manip!G60="","",T3Manip!G60/1000)</f>
        <v>10.845000000000001</v>
      </c>
      <c r="H28" s="4">
        <f>IF(T3Manip!H60="","",T3Manip!H60)</f>
        <v>9.9395105856475112</v>
      </c>
      <c r="I28" s="2"/>
      <c r="J28" s="4">
        <f>IF(T3Manip!J60="","",T3Manip!J60/1000)</f>
        <v>83.135999999999996</v>
      </c>
      <c r="K28" s="962">
        <f>IF(T3Manip!K60="","",T3Manip!K60/1000)</f>
        <v>14.358000000000001</v>
      </c>
      <c r="L28" s="4"/>
    </row>
    <row r="29" spans="1:12">
      <c r="A29" s="1639">
        <f>IF(T3Manip!A61="","",T3Manip!A61)</f>
        <v>2003</v>
      </c>
      <c r="B29" s="4">
        <f>IF(T3Manip!B61="","",T3Manip!B61/1000)</f>
        <v>126.58</v>
      </c>
      <c r="C29" s="2"/>
      <c r="D29" s="4">
        <f>IF(T3Manip!D61="","",T3Manip!D61/1000)</f>
        <v>1.823</v>
      </c>
      <c r="E29" s="4">
        <f>IF(T3Manip!E61="","",T3Manip!E61/1000)</f>
        <v>7.19</v>
      </c>
      <c r="F29" s="4">
        <f>IF(T3Manip!F61="","",T3Manip!F61/1000)</f>
        <v>117.56699999999999</v>
      </c>
      <c r="G29" s="4">
        <f>IF(T3Manip!G61="","",T3Manip!G61/1000)</f>
        <v>13.519</v>
      </c>
      <c r="H29" s="4">
        <f>IF(T3Manip!H61="","",T3Manip!H61)</f>
        <v>11.498975052523242</v>
      </c>
      <c r="I29" s="2"/>
      <c r="J29" s="4">
        <f>IF(T3Manip!J61="","",T3Manip!J61/1000)</f>
        <v>87.748999999999995</v>
      </c>
      <c r="K29" s="962">
        <f>IF(T3Manip!K61="","",T3Manip!K61/1000)</f>
        <v>15.41</v>
      </c>
      <c r="L29" s="4"/>
    </row>
    <row r="30" spans="1:12">
      <c r="A30" s="1639">
        <f>IF(T3Manip!A62="","",T3Manip!A62)</f>
        <v>2004</v>
      </c>
      <c r="B30" s="4">
        <f>IF(T3Manip!B62="","",T3Manip!B62/1000)</f>
        <v>144.44800000000001</v>
      </c>
      <c r="C30" s="2"/>
      <c r="D30" s="4">
        <f>IF(T3Manip!D62="","",T3Manip!D62/1000)</f>
        <v>7.2430000000000003</v>
      </c>
      <c r="E30" s="4">
        <f>IF(T3Manip!E62="","",T3Manip!E62/1000)</f>
        <v>5.9390000000000001</v>
      </c>
      <c r="F30" s="4">
        <f>IF(T3Manip!F62="","",T3Manip!F62/1000)</f>
        <v>131.26599999999999</v>
      </c>
      <c r="G30" s="4">
        <f>IF(T3Manip!G62="","",T3Manip!G62/1000)</f>
        <v>11.965999999999999</v>
      </c>
      <c r="H30" s="4">
        <f>IF(T3Manip!H62="","",T3Manip!H62)</f>
        <v>9.1158411165115112</v>
      </c>
      <c r="I30" s="2"/>
      <c r="J30" s="4">
        <f>IF(T3Manip!J62="","",T3Manip!J62/1000)</f>
        <v>96.724000000000004</v>
      </c>
      <c r="K30" s="962">
        <f>IF(T3Manip!K62="","",T3Manip!K62/1000)</f>
        <v>21.934000000000001</v>
      </c>
      <c r="L30" s="4"/>
    </row>
    <row r="31" spans="1:12">
      <c r="A31" s="1639" t="str">
        <f>IF(T3Manip!A63="","",T3Manip!A63)</f>
        <v/>
      </c>
      <c r="B31" s="4" t="str">
        <f>IF(T3Manip!B63="","",T3Manip!B63/1000)</f>
        <v/>
      </c>
      <c r="C31" s="2"/>
      <c r="D31" s="4" t="str">
        <f>IF(T3Manip!D63="","",T3Manip!D63/1000)</f>
        <v/>
      </c>
      <c r="E31" s="4" t="str">
        <f>IF(T3Manip!E63="","",T3Manip!E63/1000)</f>
        <v/>
      </c>
      <c r="F31" s="4" t="str">
        <f>IF(T3Manip!F63="","",T3Manip!F63/1000)</f>
        <v/>
      </c>
      <c r="G31" s="4" t="str">
        <f>IF(T3Manip!G63="","",T3Manip!G63/1000)</f>
        <v/>
      </c>
      <c r="H31" s="4" t="str">
        <f>IF(T3Manip!H63="","",T3Manip!H63)</f>
        <v/>
      </c>
      <c r="I31" s="2"/>
      <c r="J31" s="4" t="str">
        <f>IF(T3Manip!J63="","",T3Manip!J63/1000)</f>
        <v/>
      </c>
      <c r="K31" s="962" t="str">
        <f>IF(T3Manip!K63="","",T3Manip!K63/1000)</f>
        <v/>
      </c>
      <c r="L31" s="4"/>
    </row>
    <row r="32" spans="1:12">
      <c r="A32" s="1639" t="str">
        <f>IF(T3Manip!A64="","",T3Manip!A64)</f>
        <v>2000-2004</v>
      </c>
      <c r="B32" s="4" t="str">
        <f>IF(T3Manip!B64="","",T3Manip!B64/1000)</f>
        <v/>
      </c>
      <c r="C32" s="2"/>
      <c r="D32" s="4" t="str">
        <f>IF(T3Manip!D64="","",T3Manip!D64/1000)</f>
        <v/>
      </c>
      <c r="E32" s="4" t="str">
        <f>IF(T3Manip!E64="","",T3Manip!E64/1000)</f>
        <v/>
      </c>
      <c r="F32" s="4" t="str">
        <f>IF(T3Manip!F64="","",T3Manip!F64/1000)</f>
        <v/>
      </c>
      <c r="G32" s="4" t="str">
        <f>IF(T3Manip!G64="","",T3Manip!G64/1000)</f>
        <v/>
      </c>
      <c r="H32" s="4" t="str">
        <f>IF(T3Manip!H64="","",T3Manip!H64)</f>
        <v/>
      </c>
      <c r="I32" s="2"/>
      <c r="J32" s="4" t="str">
        <f>IF(T3Manip!J64="","",T3Manip!J64/1000)</f>
        <v/>
      </c>
      <c r="K32" s="962" t="str">
        <f>IF(T3Manip!K64="","",T3Manip!K64/1000)</f>
        <v/>
      </c>
      <c r="L32" s="4"/>
    </row>
    <row r="33" spans="1:12">
      <c r="A33" s="1639" t="str">
        <f>IF(T3Manip!A65="","",T3Manip!A65)</f>
        <v>Average</v>
      </c>
      <c r="B33" s="4">
        <f>IF(T3Manip!B65="","",T3Manip!B65/1000)</f>
        <v>106.1118</v>
      </c>
      <c r="C33" s="2"/>
      <c r="D33" s="4">
        <f>IF(T3Manip!D65="","",T3Manip!D65/1000)</f>
        <v>4.2211999999999996</v>
      </c>
      <c r="E33" s="4">
        <f>IF(T3Manip!E65="","",T3Manip!E65/1000)</f>
        <v>4.4723999999999995</v>
      </c>
      <c r="F33" s="4">
        <f>IF(T3Manip!F65="","",T3Manip!F65/1000)</f>
        <v>97.418199999999999</v>
      </c>
      <c r="G33" s="4">
        <f>IF(T3Manip!G65="","",T3Manip!G65/1000)</f>
        <v>10.603200000000001</v>
      </c>
      <c r="H33" s="4">
        <f>IF(T3Manip!H65="","",T3Manip!H65)</f>
        <v>10.884208494921895</v>
      </c>
      <c r="I33" s="2"/>
      <c r="J33" s="4">
        <f>IF(T3Manip!J65="","",T3Manip!J65/1000)</f>
        <v>72.131</v>
      </c>
      <c r="K33" s="962">
        <f>IF(T3Manip!K65="","",T3Manip!K65/1000)</f>
        <v>14.042200000000001</v>
      </c>
      <c r="L33" s="4"/>
    </row>
    <row r="34" spans="1:12" ht="4.5" customHeight="1">
      <c r="A34" s="1639" t="str">
        <f>IF(T3Manip!A66="","",T3Manip!A66)</f>
        <v/>
      </c>
      <c r="B34" s="4" t="str">
        <f>IF(T3Manip!B66="","",T3Manip!B66/1000)</f>
        <v/>
      </c>
      <c r="C34" s="2"/>
      <c r="D34" s="4" t="str">
        <f>IF(T3Manip!D66="","",T3Manip!D66/1000)</f>
        <v/>
      </c>
      <c r="E34" s="4" t="str">
        <f>IF(T3Manip!E66="","",T3Manip!E66/1000)</f>
        <v/>
      </c>
      <c r="F34" s="4" t="str">
        <f>IF(T3Manip!F66="","",T3Manip!F66/1000)</f>
        <v/>
      </c>
      <c r="G34" s="4" t="str">
        <f>IF(T3Manip!G66="","",T3Manip!G66/1000)</f>
        <v/>
      </c>
      <c r="H34" s="4" t="str">
        <f>IF(T3Manip!H66="","",T3Manip!H66)</f>
        <v/>
      </c>
      <c r="I34" s="2"/>
      <c r="J34" s="4" t="str">
        <f>IF(T3Manip!J66="","",T3Manip!J66/1000)</f>
        <v/>
      </c>
      <c r="K34" s="962" t="str">
        <f>IF(T3Manip!K66="","",T3Manip!K66/1000)</f>
        <v/>
      </c>
      <c r="L34" s="4"/>
    </row>
    <row r="35" spans="1:12">
      <c r="A35" s="1639">
        <f>IF(T3Manip!A67="","",T3Manip!A67)</f>
        <v>2005</v>
      </c>
      <c r="B35" s="4">
        <f>IF(T3Manip!B67="","",T3Manip!B67/1000)</f>
        <v>60.975999999999999</v>
      </c>
      <c r="C35" s="2"/>
      <c r="D35" s="4">
        <f>IF(T3Manip!D67="","",T3Manip!D67/1000)</f>
        <v>2.323</v>
      </c>
      <c r="E35" s="4">
        <f>IF(T3Manip!E67="","",T3Manip!E67/1000)</f>
        <v>2.8439999999999999</v>
      </c>
      <c r="F35" s="4">
        <f>IF(T3Manip!F67="","",T3Manip!F67/1000)</f>
        <v>55.808999999999997</v>
      </c>
      <c r="G35" s="4">
        <f>IF(T3Manip!G67="","",T3Manip!G67/1000)</f>
        <v>5.8029999999999999</v>
      </c>
      <c r="H35" s="4">
        <f>IF(T3Manip!H67="","",T3Manip!H67)</f>
        <v>10.3979644860148</v>
      </c>
      <c r="I35" s="2"/>
      <c r="J35" s="4">
        <f>IF(T3Manip!J67="","",T3Manip!J67/1000)</f>
        <v>36.633000000000003</v>
      </c>
      <c r="K35" s="962">
        <f>IF(T3Manip!K67="","",T3Manip!K67/1000)</f>
        <v>12.657</v>
      </c>
      <c r="L35" s="4"/>
    </row>
    <row r="36" spans="1:12">
      <c r="A36" s="1639">
        <f>IF(T3Manip!A68="","",T3Manip!A68)</f>
        <v>2006</v>
      </c>
      <c r="B36" s="4">
        <f>IF(T3Manip!B68="","",T3Manip!B68/1000)</f>
        <v>59.661999999999999</v>
      </c>
      <c r="C36" s="2"/>
      <c r="D36" s="4">
        <f>IF(T3Manip!D68="","",T3Manip!D68/1000)</f>
        <v>2.6859999999999999</v>
      </c>
      <c r="E36" s="4">
        <f>IF(T3Manip!E68="","",T3Manip!E68/1000)</f>
        <v>2.0190000000000001</v>
      </c>
      <c r="F36" s="4">
        <f>IF(T3Manip!F68="","",T3Manip!F68/1000)</f>
        <v>54.957000000000001</v>
      </c>
      <c r="G36" s="4">
        <f>IF(T3Manip!G68="","",T3Manip!G68/1000)</f>
        <v>7.23</v>
      </c>
      <c r="H36" s="4">
        <f>IF(T3Manip!H68="","",T3Manip!H68)</f>
        <v>13.155739942136579</v>
      </c>
      <c r="I36" s="2"/>
      <c r="J36" s="4">
        <f>IF(T3Manip!J68="","",T3Manip!J68/1000)</f>
        <v>37.040999999999997</v>
      </c>
      <c r="K36" s="962">
        <f>IF(T3Manip!K68="","",T3Manip!K68/1000)</f>
        <v>10.425000000000001</v>
      </c>
      <c r="L36" s="4"/>
    </row>
    <row r="37" spans="1:12">
      <c r="A37" s="1639">
        <f>IF(T3Manip!A69="","",T3Manip!A69)</f>
        <v>2007</v>
      </c>
      <c r="B37" s="4">
        <f>IF(T3Manip!B69="","",T3Manip!B69/1000)</f>
        <v>40.488999999999997</v>
      </c>
      <c r="C37" s="2"/>
      <c r="D37" s="4">
        <f>IF(T3Manip!D69="","",T3Manip!D69/1000)</f>
        <v>1.2809999999999999</v>
      </c>
      <c r="E37" s="4">
        <f>IF(T3Manip!E69="","",T3Manip!E69/1000)</f>
        <v>1.619</v>
      </c>
      <c r="F37" s="4">
        <f>IF(T3Manip!F69="","",T3Manip!F69/1000)</f>
        <v>37.588999999999999</v>
      </c>
      <c r="G37" s="4">
        <f>IF(T3Manip!G69="","",T3Manip!G69/1000)</f>
        <v>5.6829999999999998</v>
      </c>
      <c r="H37" s="4">
        <f>IF(T3Manip!H69="","",T3Manip!H69)</f>
        <v>15.118784750857964</v>
      </c>
      <c r="I37" s="2"/>
      <c r="J37" s="4">
        <f>IF(T3Manip!J69="","",T3Manip!J69/1000)</f>
        <v>23.097999999999999</v>
      </c>
      <c r="K37" s="962">
        <f>IF(T3Manip!K69="","",T3Manip!K69/1000)</f>
        <v>8.6440000000000001</v>
      </c>
      <c r="L37" s="4"/>
    </row>
    <row r="38" spans="1:12">
      <c r="A38" s="1639">
        <f>IF(T3Manip!A70="","",T3Manip!A70)</f>
        <v>2008</v>
      </c>
      <c r="B38" s="4">
        <f>IF(T3Manip!B70="","",T3Manip!B70/1000)</f>
        <v>27.356000000000002</v>
      </c>
      <c r="C38" s="2"/>
      <c r="D38" s="4">
        <f>IF(T3Manip!D70="","",T3Manip!D70/1000)</f>
        <v>0.10100000000000001</v>
      </c>
      <c r="E38" s="4">
        <f>IF(T3Manip!E70="","",T3Manip!E70/1000)</f>
        <v>0.20300000000000001</v>
      </c>
      <c r="F38" s="4">
        <f>IF(T3Manip!F70="","",T3Manip!F70/1000)</f>
        <v>27.052</v>
      </c>
      <c r="G38" s="4">
        <f>IF(T3Manip!G70="","",T3Manip!G70/1000)</f>
        <v>4.6020000000000003</v>
      </c>
      <c r="H38" s="4">
        <f>IF(T3Manip!H70="","",T3Manip!H70)</f>
        <v>17.011681206565136</v>
      </c>
      <c r="I38" s="2"/>
      <c r="J38" s="4">
        <f>IF(T3Manip!J70="","",T3Manip!J70/1000)</f>
        <v>14.672000000000001</v>
      </c>
      <c r="K38" s="962">
        <f>IF(T3Manip!K70="","",T3Manip!K70/1000)</f>
        <v>7.556</v>
      </c>
      <c r="L38" s="4"/>
    </row>
    <row r="39" spans="1:12">
      <c r="A39" s="1639">
        <f>IF(T3Manip!A71="","",T3Manip!A71)</f>
        <v>2009</v>
      </c>
      <c r="B39" s="4">
        <f>IF(T3Manip!B71="","",T3Manip!B71/1000)</f>
        <v>39.409999999999997</v>
      </c>
      <c r="C39" s="2"/>
      <c r="D39" s="4">
        <f>IF(T3Manip!D71="","",T3Manip!D71/1000)</f>
        <v>0.32300000000000001</v>
      </c>
      <c r="E39" s="4">
        <f>IF(T3Manip!E71="","",T3Manip!E71/1000)</f>
        <v>1.41</v>
      </c>
      <c r="F39" s="4">
        <f>IF(T3Manip!F71="","",T3Manip!F71/1000)</f>
        <v>37.677</v>
      </c>
      <c r="G39" s="4">
        <f>IF(T3Manip!G71="","",T3Manip!G71/1000)</f>
        <v>4.5030000000000001</v>
      </c>
      <c r="H39" s="4">
        <f>IF(T3Manip!H71="","",T3Manip!H71)</f>
        <v>11.951588502269288</v>
      </c>
      <c r="I39" s="2"/>
      <c r="J39" s="4">
        <f>IF(T3Manip!J71="","",T3Manip!J71/1000)</f>
        <v>28.513999999999999</v>
      </c>
      <c r="K39" s="962">
        <f>IF(T3Manip!K71="","",T3Manip!K71/1000)</f>
        <v>4.3120000000000003</v>
      </c>
      <c r="L39" s="4"/>
    </row>
    <row r="40" spans="1:12">
      <c r="A40" s="1639" t="str">
        <f>IF(T3Manip!A72="","",T3Manip!A72)</f>
        <v/>
      </c>
      <c r="B40" s="4" t="str">
        <f>IF(T3Manip!B72="","",T3Manip!B72/1000)</f>
        <v/>
      </c>
      <c r="C40" s="2"/>
      <c r="D40" s="4" t="str">
        <f>IF(T3Manip!D72="","",T3Manip!D72/1000)</f>
        <v/>
      </c>
      <c r="E40" s="4" t="str">
        <f>IF(T3Manip!E72="","",T3Manip!E72/1000)</f>
        <v/>
      </c>
      <c r="F40" s="4" t="str">
        <f>IF(T3Manip!F72="","",T3Manip!F72/1000)</f>
        <v/>
      </c>
      <c r="G40" s="4" t="str">
        <f>IF(T3Manip!G72="","",T3Manip!G72/1000)</f>
        <v/>
      </c>
      <c r="H40" s="4" t="str">
        <f>IF(T3Manip!H72="","",T3Manip!H72)</f>
        <v/>
      </c>
      <c r="I40" s="2"/>
      <c r="J40" s="4" t="str">
        <f>IF(T3Manip!J72="","",T3Manip!J72/1000)</f>
        <v/>
      </c>
      <c r="K40" s="962" t="str">
        <f>IF(T3Manip!K72="","",T3Manip!K72/1000)</f>
        <v/>
      </c>
      <c r="L40" s="4"/>
    </row>
    <row r="41" spans="1:12" ht="15.75" customHeight="1">
      <c r="A41" s="1639" t="str">
        <f>IF(T3Manip!A73="","",T3Manip!A73)</f>
        <v>2005-2009</v>
      </c>
      <c r="B41" s="4" t="str">
        <f>IF(T3Manip!B73="","",T3Manip!B73/1000)</f>
        <v/>
      </c>
      <c r="C41" s="2"/>
      <c r="D41" s="4" t="str">
        <f>IF(T3Manip!D73="","",T3Manip!D73/1000)</f>
        <v/>
      </c>
      <c r="E41" s="4" t="str">
        <f>IF(T3Manip!E73="","",T3Manip!E73/1000)</f>
        <v/>
      </c>
      <c r="F41" s="4" t="str">
        <f>IF(T3Manip!F73="","",T3Manip!F73/1000)</f>
        <v/>
      </c>
      <c r="G41" s="4" t="str">
        <f>IF(T3Manip!G73="","",T3Manip!G73/1000)</f>
        <v/>
      </c>
      <c r="H41" s="4" t="str">
        <f>IF(T3Manip!H73="","",T3Manip!H73)</f>
        <v/>
      </c>
      <c r="I41" s="2"/>
      <c r="J41" s="4" t="str">
        <f>IF(T3Manip!J73="","",T3Manip!J73/1000)</f>
        <v/>
      </c>
      <c r="K41" s="962" t="str">
        <f>IF(T3Manip!K73="","",T3Manip!K73/1000)</f>
        <v/>
      </c>
      <c r="L41" s="4"/>
    </row>
    <row r="42" spans="1:12">
      <c r="A42" s="1639" t="str">
        <f>IF(T3Manip!A74="","",T3Manip!A74)</f>
        <v>Average</v>
      </c>
      <c r="B42" s="4">
        <f>IF(T3Manip!B74="","",T3Manip!B74/1000)</f>
        <v>45.578600000000002</v>
      </c>
      <c r="C42" s="2"/>
      <c r="D42" s="4">
        <f>IF(T3Manip!D74="","",T3Manip!D74/1000)</f>
        <v>1.3428</v>
      </c>
      <c r="E42" s="4">
        <f>IF(T3Manip!E74="","",T3Manip!E74/1000)</f>
        <v>1.619</v>
      </c>
      <c r="F42" s="4">
        <f>IF(T3Manip!F74="","",T3Manip!F74/1000)</f>
        <v>42.616800000000005</v>
      </c>
      <c r="G42" s="4">
        <f>IF(T3Manip!G74="","",T3Manip!G74/1000)</f>
        <v>5.5641999999999996</v>
      </c>
      <c r="H42" s="4">
        <f>IF(T3Manip!H74="","",T3Manip!H74)</f>
        <v>13.056353362992997</v>
      </c>
      <c r="I42" s="2"/>
      <c r="J42" s="4">
        <f>IF(T3Manip!J74="","",T3Manip!J74/1000)</f>
        <v>27.991599999999998</v>
      </c>
      <c r="K42" s="962">
        <f>IF(T3Manip!K74="","",T3Manip!K74/1000)</f>
        <v>8.7187999999999999</v>
      </c>
      <c r="L42" s="4"/>
    </row>
    <row r="43" spans="1:12" ht="4.5" customHeight="1">
      <c r="A43" s="1639" t="str">
        <f>IF(T3Manip!A75="","",T3Manip!A75)</f>
        <v/>
      </c>
      <c r="B43" s="4" t="str">
        <f>IF(T3Manip!B75="","",T3Manip!B75/1000)</f>
        <v/>
      </c>
      <c r="C43" s="2"/>
      <c r="D43" s="4" t="str">
        <f>IF(T3Manip!D75="","",T3Manip!D75/1000)</f>
        <v/>
      </c>
      <c r="E43" s="4" t="str">
        <f>IF(T3Manip!E75="","",T3Manip!E75/1000)</f>
        <v/>
      </c>
      <c r="F43" s="4" t="str">
        <f>IF(T3Manip!F75="","",T3Manip!F75/1000)</f>
        <v/>
      </c>
      <c r="G43" s="4" t="str">
        <f>IF(T3Manip!G75="","",T3Manip!G75/1000)</f>
        <v/>
      </c>
      <c r="H43" s="4" t="str">
        <f>IF(T3Manip!H75="","",T3Manip!H75)</f>
        <v/>
      </c>
      <c r="I43" s="2"/>
      <c r="J43" s="4" t="str">
        <f>IF(T3Manip!J75="","",T3Manip!J75/1000)</f>
        <v/>
      </c>
      <c r="K43" s="962" t="str">
        <f>IF(T3Manip!K75="","",T3Manip!K75/1000)</f>
        <v/>
      </c>
      <c r="L43" s="4"/>
    </row>
    <row r="44" spans="1:12">
      <c r="A44" s="1639">
        <f>IF(T3Manip!A76="","",T3Manip!A76)</f>
        <v>2010</v>
      </c>
      <c r="B44" s="4">
        <f>IF(T3Manip!B76="","",T3Manip!B76/1000)</f>
        <v>110.536</v>
      </c>
      <c r="C44" s="2"/>
      <c r="D44" s="4">
        <f>IF(T3Manip!D76="","",T3Manip!D76/1000)</f>
        <v>3.2549999999999999</v>
      </c>
      <c r="E44" s="4">
        <f>IF(T3Manip!E76="","",T3Manip!E76/1000)</f>
        <v>5.4370000000000003</v>
      </c>
      <c r="F44" s="4">
        <f>IF(T3Manip!F76="","",T3Manip!F76/1000)</f>
        <v>101.84399999999999</v>
      </c>
      <c r="G44" s="4">
        <f>IF(T3Manip!G76="","",T3Manip!G76/1000)</f>
        <v>22.710999999999999</v>
      </c>
      <c r="H44" s="4">
        <f>IF(T3Manip!H76="","",T3Manip!H76)</f>
        <v>22.299791838498095</v>
      </c>
      <c r="I44" s="2"/>
      <c r="J44" s="4">
        <f>IF(T3Manip!J76="","",T3Manip!J76/1000)</f>
        <v>67.058999999999997</v>
      </c>
      <c r="K44" s="962">
        <f>IF(T3Manip!K76="","",T3Manip!K76/1000)</f>
        <v>10.973000000000001</v>
      </c>
      <c r="L44" s="4"/>
    </row>
    <row r="45" spans="1:12">
      <c r="A45" s="1639">
        <f>IF(T3Manip!A77="","",T3Manip!A77)</f>
        <v>2011</v>
      </c>
      <c r="B45" s="4">
        <f>IF(T3Manip!B77="","",T3Manip!B77/1000)</f>
        <v>80.254000000000005</v>
      </c>
      <c r="C45" s="2"/>
      <c r="D45" s="4">
        <f>IF(T3Manip!D77="","",T3Manip!D77/1000)</f>
        <v>2.2909999999999999</v>
      </c>
      <c r="E45" s="4">
        <f>IF(T3Manip!E77="","",T3Manip!E77/1000)</f>
        <v>2.1040000000000001</v>
      </c>
      <c r="F45" s="4">
        <f>IF(T3Manip!F77="","",T3Manip!F77/1000)</f>
        <v>75.858999999999995</v>
      </c>
      <c r="G45" s="4">
        <f>IF(T3Manip!G77="","",T3Manip!G77/1000)</f>
        <v>22.835999999999999</v>
      </c>
      <c r="H45" s="4">
        <f>IF(T3Manip!H77="","",T3Manip!H77)</f>
        <v>30.103217811993304</v>
      </c>
      <c r="I45" s="2"/>
      <c r="J45" s="4">
        <f>IF(T3Manip!J77="","",T3Manip!J77/1000)</f>
        <v>45.146999999999998</v>
      </c>
      <c r="K45" s="962">
        <f>IF(T3Manip!K77="","",T3Manip!K77/1000)</f>
        <v>6.7750000000000004</v>
      </c>
      <c r="L45" s="4"/>
    </row>
    <row r="46" spans="1:12">
      <c r="A46" s="1639">
        <f>IF(T3Manip!A78="","",T3Manip!A78)</f>
        <v>2012</v>
      </c>
      <c r="B46" s="4">
        <f>IF(T3Manip!B78="","",T3Manip!B78/1000)</f>
        <v>65.114999999999995</v>
      </c>
      <c r="C46" s="2"/>
      <c r="D46" s="4">
        <f>IF(T3Manip!D78="","",T3Manip!D78/1000)</f>
        <v>2.3170000000000002</v>
      </c>
      <c r="E46" s="4">
        <f>IF(T3Manip!E78="","",T3Manip!E78/1000)</f>
        <v>3.2029999999999998</v>
      </c>
      <c r="F46" s="4">
        <f>IF(T3Manip!F78="","",T3Manip!F78/1000)</f>
        <v>59.594999999999999</v>
      </c>
      <c r="G46" s="4">
        <f>IF(T3Manip!G78="","",T3Manip!G78/1000)</f>
        <v>15.833</v>
      </c>
      <c r="H46" s="4">
        <f>IF(T3Manip!H78="","",T3Manip!H78)</f>
        <v>26.567665072573206</v>
      </c>
      <c r="I46" s="2"/>
      <c r="J46" s="4">
        <f>IF(T3Manip!J78="","",T3Manip!J78/1000)</f>
        <v>37.213000000000001</v>
      </c>
      <c r="K46" s="962">
        <f>IF(T3Manip!K78="","",T3Manip!K78/1000)</f>
        <v>5.7990000000000004</v>
      </c>
      <c r="L46" s="4"/>
    </row>
    <row r="47" spans="1:12">
      <c r="A47" s="1639">
        <f>IF(T3Manip!A79="","",T3Manip!A79)</f>
        <v>2013</v>
      </c>
      <c r="B47" s="4">
        <f>IF(T3Manip!B79="","",T3Manip!B79/1000)</f>
        <v>47.311</v>
      </c>
      <c r="C47" s="2"/>
      <c r="D47" s="4">
        <f>IF(T3Manip!D79="","",T3Manip!D79/1000)</f>
        <v>1.823</v>
      </c>
      <c r="E47" s="4">
        <f>IF(T3Manip!E79="","",T3Manip!E79/1000)</f>
        <v>1.6919999999999999</v>
      </c>
      <c r="F47" s="4">
        <f>IF(T3Manip!F79="","",T3Manip!F79/1000)</f>
        <v>43.795999999999999</v>
      </c>
      <c r="G47" s="4">
        <f>IF(T3Manip!G79="","",T3Manip!G79/1000)</f>
        <v>7.3780000000000001</v>
      </c>
      <c r="H47" s="4">
        <f>IF(T3Manip!H79="","",T3Manip!H79)</f>
        <v>16.846287332176455</v>
      </c>
      <c r="I47" s="2"/>
      <c r="J47" s="4">
        <f>IF(T3Manip!J79="","",T3Manip!J79/1000)</f>
        <v>29.561</v>
      </c>
      <c r="K47" s="962">
        <f>IF(T3Manip!K79="","",T3Manip!K79/1000)</f>
        <v>6.1529999999999996</v>
      </c>
      <c r="L47" s="4"/>
    </row>
    <row r="48" spans="1:12">
      <c r="A48" s="1639">
        <f>IF(T3Manip!A80="","",T3Manip!A80)</f>
        <v>2014</v>
      </c>
      <c r="B48" s="4">
        <f>IF(T3Manip!B80="","",T3Manip!B80/1000)</f>
        <v>51.793999999999997</v>
      </c>
      <c r="C48" s="2"/>
      <c r="D48" s="4">
        <f>IF(T3Manip!D80="","",T3Manip!D80/1000)</f>
        <v>1.2649999999999999</v>
      </c>
      <c r="E48" s="4">
        <f>IF(T3Manip!E80="","",T3Manip!E80/1000)</f>
        <v>2.3010000000000002</v>
      </c>
      <c r="F48" s="4">
        <f>IF(T3Manip!F80="","",T3Manip!F80/1000)</f>
        <v>48.228000000000002</v>
      </c>
      <c r="G48" s="4">
        <f>IF(T3Manip!G80="","",T3Manip!G80/1000)</f>
        <v>8.09</v>
      </c>
      <c r="H48" s="4">
        <f>IF(T3Manip!H80="","",T3Manip!H80)</f>
        <v>16.774487849382101</v>
      </c>
      <c r="I48" s="2"/>
      <c r="J48" s="4">
        <f>IF(T3Manip!J80="","",T3Manip!J80/1000)</f>
        <v>31.669</v>
      </c>
      <c r="K48" s="962">
        <f>IF(T3Manip!K80="","",T3Manip!K80/1000)</f>
        <v>5.6120000000000001</v>
      </c>
      <c r="L48" s="4"/>
    </row>
    <row r="49" spans="1:12">
      <c r="A49" s="1639" t="str">
        <f>IF(T3Manip!A81="","",T3Manip!A81)</f>
        <v/>
      </c>
      <c r="B49" s="4" t="str">
        <f>IF(T3Manip!B81="","",T3Manip!B81/1000)</f>
        <v/>
      </c>
      <c r="C49" s="2"/>
      <c r="D49" s="4" t="str">
        <f>IF(T3Manip!D81="","",T3Manip!D81/1000)</f>
        <v/>
      </c>
      <c r="E49" s="4" t="str">
        <f>IF(T3Manip!E81="","",T3Manip!E81/1000)</f>
        <v/>
      </c>
      <c r="F49" s="4" t="str">
        <f>IF(T3Manip!F81="","",T3Manip!F81/1000)</f>
        <v/>
      </c>
      <c r="G49" s="4" t="str">
        <f>IF(T3Manip!G81="","",T3Manip!G81/1000)</f>
        <v/>
      </c>
      <c r="H49" s="4" t="str">
        <f>IF(T3Manip!H81="","",T3Manip!H81)</f>
        <v/>
      </c>
      <c r="I49" s="2"/>
      <c r="J49" s="4" t="str">
        <f>IF(T3Manip!J81="","",T3Manip!J81/1000)</f>
        <v/>
      </c>
      <c r="K49" s="962" t="str">
        <f>IF(T3Manip!K81="","",T3Manip!K81/1000)</f>
        <v/>
      </c>
      <c r="L49" s="4"/>
    </row>
    <row r="50" spans="1:12">
      <c r="A50" s="1639" t="str">
        <f>IF(T3Manip!A82="","",T3Manip!A82)</f>
        <v>2010-2014</v>
      </c>
      <c r="B50" s="4" t="str">
        <f>IF(T3Manip!B82="","",T3Manip!B82/1000)</f>
        <v/>
      </c>
      <c r="C50" s="2"/>
      <c r="D50" s="4" t="str">
        <f>IF(T3Manip!D82="","",T3Manip!D82/1000)</f>
        <v/>
      </c>
      <c r="E50" s="4" t="str">
        <f>IF(T3Manip!E82="","",T3Manip!E82/1000)</f>
        <v/>
      </c>
      <c r="F50" s="4" t="str">
        <f>IF(T3Manip!F82="","",T3Manip!F82/1000)</f>
        <v/>
      </c>
      <c r="G50" s="4" t="str">
        <f>IF(T3Manip!G82="","",T3Manip!G82/1000)</f>
        <v/>
      </c>
      <c r="H50" s="4" t="str">
        <f>IF(T3Manip!H82="","",T3Manip!H82)</f>
        <v/>
      </c>
      <c r="I50" s="2"/>
      <c r="J50" s="4" t="str">
        <f>IF(T3Manip!J82="","",T3Manip!J82/1000)</f>
        <v/>
      </c>
      <c r="K50" s="962" t="str">
        <f>IF(T3Manip!K82="","",T3Manip!K82/1000)</f>
        <v/>
      </c>
      <c r="L50" s="4"/>
    </row>
    <row r="51" spans="1:12">
      <c r="A51" s="1639" t="str">
        <f>IF(T3Manip!A83="","",T3Manip!A83)</f>
        <v>Average</v>
      </c>
      <c r="B51" s="4">
        <f>IF(T3Manip!B83="","",T3Manip!B83/1000)</f>
        <v>71.001999999999995</v>
      </c>
      <c r="C51" s="2"/>
      <c r="D51" s="4">
        <f>IF(T3Manip!D83="","",T3Manip!D83/1000)</f>
        <v>2.1901999999999999</v>
      </c>
      <c r="E51" s="4">
        <f>IF(T3Manip!E83="","",T3Manip!E83/1000)</f>
        <v>2.9474</v>
      </c>
      <c r="F51" s="4">
        <f>IF(T3Manip!F83="","",T3Manip!F83/1000)</f>
        <v>65.864399999999989</v>
      </c>
      <c r="G51" s="4">
        <f>IF(T3Manip!G83="","",T3Manip!G83/1000)</f>
        <v>15.3696</v>
      </c>
      <c r="H51" s="4">
        <f>IF(T3Manip!H83="","",T3Manip!H83)</f>
        <v>23.335215989214205</v>
      </c>
      <c r="I51" s="2"/>
      <c r="J51" s="4">
        <f>IF(T3Manip!J83="","",T3Manip!J83/1000)</f>
        <v>42.129800000000003</v>
      </c>
      <c r="K51" s="962">
        <f>IF(T3Manip!K83="","",T3Manip!K83/1000)</f>
        <v>7.0623999999999993</v>
      </c>
      <c r="L51" s="4"/>
    </row>
    <row r="52" spans="1:12" ht="4.5" customHeight="1">
      <c r="A52" s="1639" t="str">
        <f>IF(T3Manip!A84="","",T3Manip!A84)</f>
        <v/>
      </c>
      <c r="B52" s="4" t="str">
        <f>IF(T3Manip!B84="","",T3Manip!B84/1000)</f>
        <v/>
      </c>
      <c r="C52" s="2"/>
      <c r="D52" s="4" t="str">
        <f>IF(T3Manip!D84="","",T3Manip!D84/1000)</f>
        <v/>
      </c>
      <c r="E52" s="4" t="str">
        <f>IF(T3Manip!E84="","",T3Manip!E84/1000)</f>
        <v/>
      </c>
      <c r="F52" s="4" t="str">
        <f>IF(T3Manip!F84="","",T3Manip!F84/1000)</f>
        <v/>
      </c>
      <c r="G52" s="4" t="str">
        <f>IF(T3Manip!G84="","",T3Manip!G84/1000)</f>
        <v/>
      </c>
      <c r="H52" s="4" t="str">
        <f>IF(T3Manip!H84="","",T3Manip!H84)</f>
        <v/>
      </c>
      <c r="I52" s="2"/>
      <c r="J52" s="4" t="str">
        <f>IF(T3Manip!J84="","",T3Manip!J84/1000)</f>
        <v/>
      </c>
      <c r="K52" s="962" t="str">
        <f>IF(T3Manip!K84="","",T3Manip!K84/1000)</f>
        <v/>
      </c>
      <c r="L52" s="4"/>
    </row>
    <row r="53" spans="1:12">
      <c r="A53" s="1639">
        <f>IF(T3Manip!A85="","",T3Manip!A85)</f>
        <v>2015</v>
      </c>
      <c r="B53" s="4">
        <f>IF(T3Manip!B85="","",T3Manip!B85/1000)</f>
        <v>87.070999999999998</v>
      </c>
      <c r="C53" s="2"/>
      <c r="D53" s="4">
        <f>IF(T3Manip!D85="","",T3Manip!D85/1000)</f>
        <v>2.5649999999999999</v>
      </c>
      <c r="E53" s="4">
        <f>IF(T3Manip!E85="","",T3Manip!E85/1000)</f>
        <v>1.466</v>
      </c>
      <c r="F53" s="4">
        <f>IF(T3Manip!F85="","",T3Manip!F85/1000)</f>
        <v>81.040000000000006</v>
      </c>
      <c r="G53" s="4">
        <f>IF(T3Manip!G85="","",T3Manip!G85/1000)</f>
        <v>13.552</v>
      </c>
      <c r="H53" s="4">
        <f>IF(T3Manip!H85="","",T3Manip!H85)</f>
        <v>16.722606120434353</v>
      </c>
      <c r="I53" s="2"/>
      <c r="J53" s="4">
        <f>IF(T3Manip!J85="","",T3Manip!J85/1000)</f>
        <v>53.088000000000001</v>
      </c>
      <c r="K53" s="962">
        <f>IF(T3Manip!K85="","",T3Manip!K85/1000)</f>
        <v>8.4459999999999997</v>
      </c>
      <c r="L53" s="4"/>
    </row>
    <row r="54" spans="1:12">
      <c r="A54" s="1639">
        <f>IF(T3Manip!A86="","",T3Manip!A86)</f>
        <v>2016</v>
      </c>
      <c r="B54" s="4">
        <f>IF(T3Manip!B86="","",T3Manip!B86/1000)</f>
        <v>49.768000000000001</v>
      </c>
      <c r="C54" s="2"/>
      <c r="D54" s="4">
        <f>IF(T3Manip!D86="","",T3Manip!D86/1000)</f>
        <v>0.94599999999999995</v>
      </c>
      <c r="E54" s="4">
        <f>IF(T3Manip!E86="","",T3Manip!E86/1000)</f>
        <v>1.4079999999999999</v>
      </c>
      <c r="F54" s="4">
        <f>IF(T3Manip!F86="","",T3Manip!F86/1000)</f>
        <v>47.414000000000001</v>
      </c>
      <c r="G54" s="4">
        <f>IF(T3Manip!G86="","",T3Manip!G86/1000)</f>
        <v>5.99</v>
      </c>
      <c r="H54" s="4">
        <f>IF(T3Manip!H86="","",T3Manip!H86)</f>
        <v>12.633399417893449</v>
      </c>
      <c r="I54" s="2"/>
      <c r="J54" s="4">
        <f>IF(T3Manip!J86="","",T3Manip!J86/1000)</f>
        <v>32.478000000000002</v>
      </c>
      <c r="K54" s="962">
        <f>IF(T3Manip!K86="","",T3Manip!K86/1000)</f>
        <v>5.7889999999999997</v>
      </c>
      <c r="L54" s="4"/>
    </row>
    <row r="55" spans="1:12">
      <c r="A55" s="1639">
        <f>IF(T3Manip!A87="","",T3Manip!A87)</f>
        <v>2017</v>
      </c>
      <c r="B55" s="4">
        <f>IF(T3Manip!B87="","",T3Manip!B87/1000)</f>
        <v>53.652999999999999</v>
      </c>
      <c r="C55" s="2"/>
      <c r="D55" s="4">
        <f>IF(T3Manip!D87="","",T3Manip!D87/1000)</f>
        <v>1.3140000000000001</v>
      </c>
      <c r="E55" s="4">
        <f>IF(T3Manip!E87="","",T3Manip!E87/1000)</f>
        <v>1.268</v>
      </c>
      <c r="F55" s="4">
        <f>IF(T3Manip!F87="","",T3Manip!F87/1000)</f>
        <v>51.070999999999998</v>
      </c>
      <c r="G55" s="4">
        <f>IF(T3Manip!G87="","",T3Manip!G87/1000)</f>
        <v>7.42</v>
      </c>
      <c r="H55" s="4">
        <f>IF(T3Manip!H87="","",T3Manip!H87)</f>
        <v>14.528793248614674</v>
      </c>
      <c r="I55" s="2"/>
      <c r="J55" s="4">
        <f>IF(T3Manip!J87="","",T3Manip!J87/1000)</f>
        <v>36.628</v>
      </c>
      <c r="K55" s="962">
        <f>IF(T3Manip!K87="","",T3Manip!K87/1000)</f>
        <v>4.5270000000000001</v>
      </c>
      <c r="L55" s="4"/>
    </row>
    <row r="56" spans="1:12">
      <c r="A56" s="1639">
        <f>IF(T3Manip!A88="","",T3Manip!A88)</f>
        <v>2018</v>
      </c>
      <c r="B56" s="4">
        <f>IF(T3Manip!B88="","",T3Manip!B88/1000)</f>
        <v>39.659999999999997</v>
      </c>
      <c r="C56" s="2"/>
      <c r="D56" s="4">
        <f>IF(T3Manip!D88="","",T3Manip!D88/1000)</f>
        <v>0.45700000000000002</v>
      </c>
      <c r="E56" s="4">
        <f>IF(T3Manip!E88="","",T3Manip!E88/1000)</f>
        <v>1.26</v>
      </c>
      <c r="F56" s="4">
        <f>IF(T3Manip!F88="","",T3Manip!F88/1000)</f>
        <v>37.942999999999998</v>
      </c>
      <c r="G56" s="4">
        <f>IF(T3Manip!G88="","",T3Manip!G88/1000)</f>
        <v>6.2220000000000004</v>
      </c>
      <c r="H56" s="4">
        <f>IF(T3Manip!H88="","",T3Manip!H88)</f>
        <v>16.398281632975781</v>
      </c>
      <c r="I56" s="2"/>
      <c r="J56" s="4">
        <f>IF(T3Manip!J88="","",T3Manip!J88/1000)</f>
        <v>26.542000000000002</v>
      </c>
      <c r="K56" s="962">
        <f>IF(T3Manip!K88="","",T3Manip!K88/1000)</f>
        <v>2.657</v>
      </c>
      <c r="L56" s="4"/>
    </row>
    <row r="57" spans="1:12">
      <c r="A57" s="1639">
        <f>IF(T3Manip!A89="","",T3Manip!A89)</f>
        <v>2019</v>
      </c>
      <c r="B57" s="4">
        <f>IF(T3Manip!B89="","",T3Manip!B89/1000)</f>
        <v>29.594000000000001</v>
      </c>
      <c r="C57" s="2"/>
      <c r="D57" s="4">
        <f>IF(T3Manip!D89="","",T3Manip!D89/1000)</f>
        <v>0.32900000000000001</v>
      </c>
      <c r="E57" s="4">
        <f>IF(T3Manip!E89="","",T3Manip!E89/1000)</f>
        <v>0.21299999999999999</v>
      </c>
      <c r="F57" s="4">
        <f>IF(T3Manip!F89="","",T3Manip!F89/1000)</f>
        <v>29.052</v>
      </c>
      <c r="G57" s="4">
        <f>IF(T3Manip!G89="","",T3Manip!G89/1000)</f>
        <v>4.6719999999999997</v>
      </c>
      <c r="H57" s="4">
        <f>IF(T3Manip!H89="","",T3Manip!H89)</f>
        <v>16.081509018311994</v>
      </c>
      <c r="I57" s="2"/>
      <c r="J57" s="4">
        <f>IF(T3Manip!J89="","",T3Manip!J89/1000)</f>
        <v>20.617000000000001</v>
      </c>
      <c r="K57" s="962">
        <f>IF(T3Manip!K89="","",T3Manip!K89/1000)</f>
        <v>2.6920000000000002</v>
      </c>
      <c r="L57" s="4"/>
    </row>
    <row r="58" spans="1:12">
      <c r="A58" s="1639" t="str">
        <f>IF(T3Manip!A90="","",T3Manip!A90)</f>
        <v/>
      </c>
      <c r="B58" s="4" t="str">
        <f>IF(T3Manip!B90="","",T3Manip!B90/1000)</f>
        <v/>
      </c>
      <c r="C58" s="2"/>
      <c r="D58" s="4" t="str">
        <f>IF(T3Manip!D90="","",T3Manip!D90/1000)</f>
        <v/>
      </c>
      <c r="E58" s="4" t="str">
        <f>IF(T3Manip!E90="","",T3Manip!E90/1000)</f>
        <v/>
      </c>
      <c r="F58" s="4" t="str">
        <f>IF(T3Manip!F90="","",T3Manip!F90/1000)</f>
        <v/>
      </c>
      <c r="G58" s="4" t="str">
        <f>IF(T3Manip!G90="","",T3Manip!G90/1000)</f>
        <v/>
      </c>
      <c r="H58" s="4" t="str">
        <f>IF(T3Manip!H90="","",T3Manip!H90)</f>
        <v/>
      </c>
      <c r="I58" s="2"/>
      <c r="J58" s="4" t="str">
        <f>IF(T3Manip!J90="","",T3Manip!J90/1000)</f>
        <v/>
      </c>
      <c r="K58" s="962" t="str">
        <f>IF(T3Manip!K90="","",T3Manip!K90/1000)</f>
        <v/>
      </c>
      <c r="L58" s="4"/>
    </row>
    <row r="59" spans="1:12">
      <c r="A59" s="1639" t="str">
        <f>IF(T3Manip!A91="","",T3Manip!A91)</f>
        <v>2015-2019</v>
      </c>
      <c r="B59" s="4" t="str">
        <f>IF(T3Manip!B91="","",T3Manip!B91/1000)</f>
        <v/>
      </c>
      <c r="C59" s="2"/>
      <c r="D59" s="4" t="str">
        <f>IF(T3Manip!D91="","",T3Manip!D91/1000)</f>
        <v/>
      </c>
      <c r="E59" s="4" t="str">
        <f>IF(T3Manip!E91="","",T3Manip!E91/1000)</f>
        <v/>
      </c>
      <c r="F59" s="4" t="str">
        <f>IF(T3Manip!F91="","",T3Manip!F91/1000)</f>
        <v/>
      </c>
      <c r="G59" s="4" t="str">
        <f>IF(T3Manip!G91="","",T3Manip!G91/1000)</f>
        <v/>
      </c>
      <c r="H59" s="4" t="str">
        <f>IF(T3Manip!H91="","",T3Manip!H91)</f>
        <v/>
      </c>
      <c r="I59" s="2"/>
      <c r="J59" s="4" t="str">
        <f>IF(T3Manip!J91="","",T3Manip!J91/1000)</f>
        <v/>
      </c>
      <c r="K59" s="962" t="str">
        <f>IF(T3Manip!K91="","",T3Manip!K91/1000)</f>
        <v/>
      </c>
      <c r="L59" s="4"/>
    </row>
    <row r="60" spans="1:12">
      <c r="A60" s="1639" t="str">
        <f>IF(T3Manip!A92="","",T3Manip!A92)</f>
        <v>Average</v>
      </c>
      <c r="B60" s="4">
        <f>IF(T3Manip!B92="","",T3Manip!B92/1000)</f>
        <v>51.949199999999998</v>
      </c>
      <c r="C60" s="2"/>
      <c r="D60" s="4">
        <f>IF(T3Manip!D92="","",T3Manip!D92/1000)</f>
        <v>1.1222000000000001</v>
      </c>
      <c r="E60" s="4">
        <f>IF(T3Manip!E92="","",T3Manip!E92/1000)</f>
        <v>1.123</v>
      </c>
      <c r="F60" s="4">
        <f>IF(T3Manip!F92="","",T3Manip!F92/1000)</f>
        <v>49.304000000000002</v>
      </c>
      <c r="G60" s="4">
        <f>IF(T3Manip!G92="","",T3Manip!G92/1000)</f>
        <v>7.5712000000000002</v>
      </c>
      <c r="H60" s="4">
        <f>IF(T3Manip!H92="","",T3Manip!H92)</f>
        <v>15.356157715398345</v>
      </c>
      <c r="I60" s="2"/>
      <c r="J60" s="4">
        <f>IF(T3Manip!J92="","",T3Manip!J92/1000)</f>
        <v>33.870599999999996</v>
      </c>
      <c r="K60" s="962">
        <f>IF(T3Manip!K92="","",T3Manip!K92/1000)</f>
        <v>4.8221999999999996</v>
      </c>
      <c r="L60" s="4"/>
    </row>
    <row r="61" spans="1:12" ht="4.5" customHeight="1">
      <c r="A61" s="1639"/>
      <c r="B61" s="4"/>
      <c r="C61" s="2"/>
      <c r="D61" s="4"/>
      <c r="E61" s="4"/>
      <c r="F61" s="4"/>
      <c r="G61" s="4"/>
      <c r="H61" s="4"/>
      <c r="I61" s="2"/>
      <c r="J61" s="4"/>
      <c r="K61" s="962"/>
      <c r="L61" s="4"/>
    </row>
    <row r="62" spans="1:12">
      <c r="A62" s="1639">
        <f>IF(T3Manip!A94="","",T3Manip!A94)</f>
        <v>2020</v>
      </c>
      <c r="B62" s="4">
        <f>IF(T3Manip!B94="","",T3Manip!B94/1000)</f>
        <v>47.457999999999998</v>
      </c>
      <c r="C62" s="2"/>
      <c r="D62" s="4">
        <f>IF(T3Manip!D94="","",T3Manip!D94/1000)</f>
        <v>0.312</v>
      </c>
      <c r="E62" s="4">
        <f>IF(T3Manip!E94="","",T3Manip!E94/1000)</f>
        <v>0.14399999999999999</v>
      </c>
      <c r="F62" s="4">
        <f>IF(T3Manip!F94="","",T3Manip!F94/1000)</f>
        <v>47.002000000000002</v>
      </c>
      <c r="G62" s="4">
        <f>IF(T3Manip!G94="","",T3Manip!G94/1000)</f>
        <v>6.0780000000000003</v>
      </c>
      <c r="H62" s="4">
        <f>IF(T3Manip!H94="","",T3Manip!H94)</f>
        <v>12.931364622782009</v>
      </c>
      <c r="I62" s="2"/>
      <c r="J62" s="4">
        <f>IF(T3Manip!J94="","",T3Manip!J94/1000)</f>
        <v>35.012</v>
      </c>
      <c r="K62" s="962">
        <f>IF(T3Manip!K94="","",T3Manip!K94/1000)</f>
        <v>5.0330000000000004</v>
      </c>
      <c r="L62" s="4"/>
    </row>
    <row r="63" spans="1:12" s="432" customFormat="1" ht="12.75" customHeight="1">
      <c r="A63" s="1639">
        <f>IF(T3Manip!A95="","",T3Manip!A95)</f>
        <v>2021</v>
      </c>
      <c r="B63" s="4">
        <f>IF(T3Manip!B95="","",T3Manip!B95/1000)</f>
        <v>43.148000000000003</v>
      </c>
      <c r="C63" s="2"/>
      <c r="D63" s="4">
        <f>IF(T3Manip!D95="","",T3Manip!D95/1000)</f>
        <v>0.26200000000000001</v>
      </c>
      <c r="E63" s="4">
        <f>IF(T3Manip!E95="","",T3Manip!E95/1000)</f>
        <v>1.1020000000000001</v>
      </c>
      <c r="F63" s="4">
        <f>IF(T3Manip!F95="","",T3Manip!F95/1000)</f>
        <v>41.783999999999999</v>
      </c>
      <c r="G63" s="4">
        <f>IF(T3Manip!G95="","",T3Manip!G95/1000)</f>
        <v>6.4729999999999999</v>
      </c>
      <c r="H63" s="4">
        <f>IF(T3Manip!H95="","",T3Manip!H95)</f>
        <v>15.491575722764694</v>
      </c>
      <c r="I63" s="2"/>
      <c r="J63" s="4">
        <f>IF(T3Manip!J95="","",T3Manip!J95/1000)</f>
        <v>30.024999999999999</v>
      </c>
      <c r="K63" s="962">
        <f>IF(T3Manip!K95="","",T3Manip!K95/1000)</f>
        <v>3.7330000000000001</v>
      </c>
      <c r="L63" s="1"/>
    </row>
    <row r="64" spans="1:12" s="166" customFormat="1" ht="12.75" customHeight="1">
      <c r="A64" s="1639">
        <v>2022</v>
      </c>
      <c r="B64" s="4">
        <f>IF(T3Manip!B96="","",T3Manip!B96/1000)</f>
        <v>57.317362000000003</v>
      </c>
      <c r="C64" s="2"/>
      <c r="D64" s="4">
        <f>IF(T3Manip!D96="","",T3Manip!D96/1000)</f>
        <v>0.84899999999999998</v>
      </c>
      <c r="E64" s="4">
        <f>IF(T3Manip!E96="","",T3Manip!E96/1000)</f>
        <v>1.8160000000000001</v>
      </c>
      <c r="F64" s="4">
        <f>IF(T3Manip!F96="","",T3Manip!F96/1000)</f>
        <v>54.652362000000004</v>
      </c>
      <c r="G64" s="4">
        <f>IF(T3Manip!G96="","",T3Manip!G96/1000)</f>
        <v>9.0280000000000005</v>
      </c>
      <c r="H64" s="4">
        <f>IF(T3Manip!H96="","",T3Manip!H96)</f>
        <v>16.518956673821343</v>
      </c>
      <c r="I64" s="2"/>
      <c r="J64" s="4">
        <f>IF(T3Manip!J96="","",T3Manip!J96/1000)</f>
        <v>38.628999999999998</v>
      </c>
      <c r="K64" s="962">
        <f>IF(T3Manip!K96="","",T3Manip!K96/1000)</f>
        <v>6.4320000000000004</v>
      </c>
      <c r="L64" s="1640"/>
    </row>
    <row r="65" spans="1:12" s="166" customFormat="1" ht="12.75" customHeight="1">
      <c r="A65" s="1639">
        <v>2023</v>
      </c>
      <c r="B65" s="4">
        <f>IF(T3Manip!B97="","",T3Manip!B97/1000)</f>
        <v>39.536999999999999</v>
      </c>
      <c r="C65" s="2"/>
      <c r="D65" s="4">
        <f>IF(T3Manip!D97="","",T3Manip!D97/1000)</f>
        <v>0.59599999999999997</v>
      </c>
      <c r="E65" s="4">
        <f>IF(T3Manip!E97="","",T3Manip!E97/1000)</f>
        <v>0.71699999999999997</v>
      </c>
      <c r="F65" s="4">
        <f>IF(T3Manip!F97="","",T3Manip!F97/1000)</f>
        <v>38.223999999999997</v>
      </c>
      <c r="G65" s="4">
        <f>IF(T3Manip!G97="","",T3Manip!G97/1000)</f>
        <v>6.4249999999999998</v>
      </c>
      <c r="H65" s="4">
        <f>IF(T3Manip!H97="","",T3Manip!H97)</f>
        <v>16.8</v>
      </c>
      <c r="I65" s="2"/>
      <c r="J65" s="4">
        <f>IF(T3Manip!J97="","",T3Manip!J97/1000)</f>
        <v>24.088999999999999</v>
      </c>
      <c r="K65" s="962">
        <f>IF(T3Manip!K97="","",T3Manip!K97/1000)</f>
        <v>7.2489999999999997</v>
      </c>
      <c r="L65" s="1640"/>
    </row>
    <row r="66" spans="1:12" s="166" customFormat="1" ht="12.75" customHeight="1">
      <c r="A66" s="1639">
        <v>2024</v>
      </c>
      <c r="B66" s="4">
        <f>IF(T3Manip!B98="","",T3Manip!B98/1000)</f>
        <v>38.898000000000003</v>
      </c>
      <c r="C66" s="2"/>
      <c r="D66" s="4">
        <f>IF(T3Manip!D98="","",T3Manip!D98/1000)</f>
        <v>0.44900000000000001</v>
      </c>
      <c r="E66" s="4">
        <f>IF(T3Manip!E98="","",T3Manip!E98/1000)</f>
        <v>1.079</v>
      </c>
      <c r="F66" s="4">
        <f>IF(T3Manip!F98="","",T3Manip!F98/1000)</f>
        <v>37.357999999999997</v>
      </c>
      <c r="G66" s="4">
        <f>IF(T3Manip!G98="","",T3Manip!G98/1000)</f>
        <v>5.1440000000000001</v>
      </c>
      <c r="H66" s="4">
        <f>IF(T3Manip!H98="","",T3Manip!H98)</f>
        <v>13.769473740564269</v>
      </c>
      <c r="I66" s="2"/>
      <c r="J66" s="4">
        <f>IF(T3Manip!J98="","",T3Manip!J98/1000)</f>
        <v>22.591999999999999</v>
      </c>
      <c r="K66" s="962">
        <f>IF(T3Manip!K98="","",T3Manip!K98/1000)</f>
        <v>8.9710000000000001</v>
      </c>
      <c r="L66" s="1640"/>
    </row>
    <row r="67" spans="1:12" s="166" customFormat="1" ht="7.7" customHeight="1">
      <c r="A67" s="1639"/>
      <c r="B67" s="4"/>
      <c r="C67" s="2"/>
      <c r="D67" s="4"/>
      <c r="E67" s="4"/>
      <c r="F67" s="4"/>
      <c r="G67" s="4"/>
      <c r="H67" s="4"/>
      <c r="I67" s="2"/>
      <c r="J67" s="4"/>
      <c r="K67" s="962"/>
      <c r="L67" s="1640"/>
    </row>
    <row r="68" spans="1:12" s="166" customFormat="1" ht="12.75" customHeight="1">
      <c r="A68" s="1639" t="str">
        <f>IF(T3Manip!A100="","",T3Manip!A100)</f>
        <v>2020-2024</v>
      </c>
      <c r="B68" s="4" t="str">
        <f>IF(T3Manip!B100="","",T3Manip!B100/1000)</f>
        <v/>
      </c>
      <c r="C68" s="2"/>
      <c r="D68" s="4" t="str">
        <f>IF(T3Manip!D100="","",T3Manip!D100/1000)</f>
        <v/>
      </c>
      <c r="E68" s="4" t="str">
        <f>IF(T3Manip!E100="","",T3Manip!E100/1000)</f>
        <v/>
      </c>
      <c r="F68" s="4" t="str">
        <f>IF(T3Manip!F100="","",T3Manip!F100/1000)</f>
        <v/>
      </c>
      <c r="G68" s="4" t="str">
        <f>IF(T3Manip!G100="","",T3Manip!G100/1000)</f>
        <v/>
      </c>
      <c r="H68" s="4" t="str">
        <f>IF(T3Manip!H100="","",T3Manip!H100)</f>
        <v/>
      </c>
      <c r="I68" s="2"/>
      <c r="J68" s="4" t="str">
        <f>IF(T3Manip!J100="","",T3Manip!J100/1000)</f>
        <v/>
      </c>
      <c r="K68" s="962" t="str">
        <f>IF(T3Manip!K100="","",T3Manip!K100/1000)</f>
        <v/>
      </c>
      <c r="L68" s="1640"/>
    </row>
    <row r="69" spans="1:12" s="166" customFormat="1" ht="16.350000000000001" customHeight="1">
      <c r="A69" s="1639" t="str">
        <f>IF(T3Manip!A101="","",T3Manip!A101)</f>
        <v>Average</v>
      </c>
      <c r="B69" s="4">
        <f>IF(T3Manip!B101="","",T3Manip!B101/1000)</f>
        <v>45.271672399999993</v>
      </c>
      <c r="C69" s="2"/>
      <c r="D69" s="4">
        <f>IF(T3Manip!D101="","",T3Manip!D101/1000)</f>
        <v>0.49360000000000004</v>
      </c>
      <c r="E69" s="4">
        <f>IF(T3Manip!E101="","",T3Manip!E101/1000)</f>
        <v>0.97160000000000002</v>
      </c>
      <c r="F69" s="4">
        <f>IF(T3Manip!F101="","",T3Manip!F101/1000)</f>
        <v>43.804072399999995</v>
      </c>
      <c r="G69" s="4">
        <f>IF(T3Manip!G101="","",T3Manip!G101/1000)</f>
        <v>6.6295999999999999</v>
      </c>
      <c r="H69" s="4">
        <f>IF(T3Manip!H101="","",T3Manip!H101)</f>
        <v>15.134665880974119</v>
      </c>
      <c r="I69" s="2"/>
      <c r="J69" s="4">
        <f>IF(T3Manip!J101="","",T3Manip!J101/1000)</f>
        <v>30.069400000000002</v>
      </c>
      <c r="K69" s="962">
        <f>IF(T3Manip!K101="","",T3Manip!K101/1000)</f>
        <v>6.2836000000000007</v>
      </c>
      <c r="L69" s="1640"/>
    </row>
    <row r="70" spans="1:12" s="166" customFormat="1" ht="4.3499999999999996" customHeight="1">
      <c r="A70" s="1639"/>
      <c r="B70" s="4"/>
      <c r="C70" s="2"/>
      <c r="D70" s="4"/>
      <c r="E70" s="4"/>
      <c r="F70" s="4"/>
      <c r="G70" s="4"/>
      <c r="H70" s="4"/>
      <c r="I70" s="2"/>
      <c r="J70" s="4"/>
      <c r="K70" s="962"/>
      <c r="L70" s="1640"/>
    </row>
    <row r="71" spans="1:12" s="433" customFormat="1" ht="9.6" customHeight="1">
      <c r="A71" s="1714">
        <v>2025</v>
      </c>
      <c r="B71" s="964">
        <f>IF(T3Manip!B103="","",T3Manip!B103/1000)</f>
        <v>52.067</v>
      </c>
      <c r="C71" s="1160"/>
      <c r="D71" s="964">
        <f>IF(T3Manip!D103="","",T3Manip!D103/1000)</f>
        <v>0.64900000000000002</v>
      </c>
      <c r="E71" s="964">
        <f>IF(T3Manip!E103="","",T3Manip!E103/1000)</f>
        <v>1.4430000000000001</v>
      </c>
      <c r="F71" s="964">
        <f>IF(T3Manip!F103="","",T3Manip!F103/1000)</f>
        <v>49.970999999999997</v>
      </c>
      <c r="G71" s="964">
        <f>IF(T3Manip!G103="","",T3Manip!G103/1000)</f>
        <v>7.7619999999999996</v>
      </c>
      <c r="H71" s="964">
        <f>IF(T3Manip!H103="","",T3Manip!H103)</f>
        <v>15.533009145304277</v>
      </c>
      <c r="I71" s="1160"/>
      <c r="J71" s="964">
        <f>IF(T3Manip!J103="","",T3Manip!J103/1000)</f>
        <v>32.716000000000001</v>
      </c>
      <c r="K71" s="965">
        <f>IF(T3Manip!K103="","",T3Manip!K103/1000)</f>
        <v>8.8040000000000003</v>
      </c>
      <c r="L71" s="1640"/>
    </row>
    <row r="72" spans="1:12" s="166" customFormat="1" ht="59.25" customHeight="1">
      <c r="A72" s="1748" t="s">
        <v>149</v>
      </c>
      <c r="B72" s="1748"/>
      <c r="C72" s="1748"/>
      <c r="D72" s="1748"/>
      <c r="E72" s="1748"/>
      <c r="F72" s="1748"/>
      <c r="G72" s="1748"/>
      <c r="H72" s="1748"/>
      <c r="I72" s="1748"/>
      <c r="J72" s="1748"/>
      <c r="K72" s="1748"/>
    </row>
    <row r="73" spans="1:12" ht="54.75" customHeight="1">
      <c r="A73" s="1748" t="s">
        <v>150</v>
      </c>
      <c r="B73" s="1748"/>
      <c r="C73" s="1748"/>
      <c r="D73" s="1748"/>
      <c r="E73" s="1748"/>
      <c r="F73" s="1748"/>
      <c r="G73" s="1748"/>
      <c r="H73" s="1748"/>
      <c r="I73" s="1748"/>
      <c r="J73" s="1748"/>
      <c r="K73" s="1748"/>
    </row>
    <row r="74" spans="1:12" ht="52.5" customHeight="1">
      <c r="A74" s="1748" t="s">
        <v>151</v>
      </c>
      <c r="B74" s="1748"/>
      <c r="C74" s="1748"/>
      <c r="D74" s="1748"/>
      <c r="E74" s="1748"/>
      <c r="F74" s="1748"/>
      <c r="G74" s="1748"/>
      <c r="H74" s="1748"/>
      <c r="I74" s="1748"/>
      <c r="J74" s="1748"/>
      <c r="K74" s="1748"/>
    </row>
    <row r="75" spans="1:12" ht="34.5" customHeight="1">
      <c r="A75" s="1748" t="s">
        <v>152</v>
      </c>
      <c r="B75" s="1748"/>
      <c r="C75" s="1748"/>
      <c r="D75" s="1748"/>
      <c r="E75" s="1748"/>
      <c r="F75" s="1748"/>
      <c r="G75" s="1748"/>
      <c r="H75" s="1748"/>
      <c r="I75" s="1748"/>
      <c r="J75" s="1748"/>
      <c r="K75" s="1748"/>
    </row>
    <row r="76" spans="1:12" ht="15.75">
      <c r="A76" s="7" t="s">
        <v>153</v>
      </c>
    </row>
    <row r="77" spans="1:12" ht="15.75">
      <c r="A77" s="7" t="s">
        <v>87</v>
      </c>
    </row>
  </sheetData>
  <mergeCells count="14">
    <mergeCell ref="A72:K72"/>
    <mergeCell ref="A73:K73"/>
    <mergeCell ref="A74:K74"/>
    <mergeCell ref="A75:K75"/>
    <mergeCell ref="A2:K2"/>
    <mergeCell ref="A4:A7"/>
    <mergeCell ref="B4:B7"/>
    <mergeCell ref="C4:C6"/>
    <mergeCell ref="D4:E6"/>
    <mergeCell ref="F4:F7"/>
    <mergeCell ref="G4:H6"/>
    <mergeCell ref="I4:I6"/>
    <mergeCell ref="J4:J7"/>
    <mergeCell ref="K4:K7"/>
  </mergeCells>
  <pageMargins left="0.7" right="0.7" top="0.75" bottom="0.75" header="0.3" footer="0.3"/>
  <pageSetup scale="93"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6FF33"/>
    <pageSetUpPr fitToPage="1"/>
  </sheetPr>
  <dimension ref="A1:M58"/>
  <sheetViews>
    <sheetView zoomScaleNormal="100" workbookViewId="0">
      <pane ySplit="3" topLeftCell="A25" activePane="bottomLeft" state="frozen"/>
      <selection pane="bottomLeft" activeCell="B58" sqref="B58"/>
      <selection activeCell="J33" sqref="J33"/>
    </sheetView>
  </sheetViews>
  <sheetFormatPr defaultColWidth="9.33203125" defaultRowHeight="12.75"/>
  <cols>
    <col min="1" max="8" width="15.83203125" style="74" customWidth="1"/>
    <col min="9" max="16384" width="9.33203125" style="74"/>
  </cols>
  <sheetData>
    <row r="1" spans="1:10" ht="13.5" customHeight="1" thickTop="1">
      <c r="A1" s="1755"/>
      <c r="B1" s="1743"/>
      <c r="C1" s="1743" t="s">
        <v>154</v>
      </c>
      <c r="D1" s="1743"/>
      <c r="E1" s="1743" t="s">
        <v>155</v>
      </c>
      <c r="F1" s="1743"/>
      <c r="G1" s="1743"/>
      <c r="H1" s="1752"/>
      <c r="I1" s="1675"/>
      <c r="J1" s="1675"/>
    </row>
    <row r="2" spans="1:10" ht="12.75" customHeight="1">
      <c r="A2" s="1756"/>
      <c r="B2" s="1744"/>
      <c r="C2" s="1754" t="s">
        <v>156</v>
      </c>
      <c r="D2" s="1754"/>
      <c r="E2" s="1754" t="s">
        <v>157</v>
      </c>
      <c r="F2" s="1754"/>
      <c r="G2" s="1744"/>
      <c r="H2" s="1753"/>
      <c r="I2" s="1675"/>
      <c r="J2" s="1675"/>
    </row>
    <row r="3" spans="1:10" ht="40.5" thickBot="1">
      <c r="A3" s="462" t="s">
        <v>28</v>
      </c>
      <c r="B3" s="1646" t="s">
        <v>158</v>
      </c>
      <c r="C3" s="1646" t="s">
        <v>159</v>
      </c>
      <c r="D3" s="1646" t="s">
        <v>160</v>
      </c>
      <c r="E3" s="1646" t="s">
        <v>159</v>
      </c>
      <c r="F3" s="1646" t="s">
        <v>160</v>
      </c>
      <c r="G3" s="1646" t="s">
        <v>161</v>
      </c>
      <c r="H3" s="463" t="s">
        <v>162</v>
      </c>
      <c r="I3" s="1675"/>
      <c r="J3" s="1675"/>
    </row>
    <row r="4" spans="1:10">
      <c r="A4" s="464"/>
      <c r="B4" s="465"/>
      <c r="C4" s="465"/>
      <c r="D4" s="465"/>
      <c r="E4" s="465"/>
      <c r="F4" s="1625"/>
      <c r="G4" s="465"/>
      <c r="H4" s="466"/>
      <c r="I4" s="1675"/>
      <c r="J4" s="55"/>
    </row>
    <row r="5" spans="1:10">
      <c r="A5" s="1630">
        <v>1980</v>
      </c>
      <c r="B5" s="56">
        <v>26973</v>
      </c>
      <c r="C5" s="467">
        <v>1954</v>
      </c>
      <c r="D5" s="468">
        <f>IF(OR(B5="",C5=""),"",ROUND((C5/B5)*100,0))</f>
        <v>7</v>
      </c>
      <c r="E5" s="467">
        <v>10340</v>
      </c>
      <c r="F5" s="468">
        <f>IF(OR(B5="",E5=""),"",ROUND((E5/B5)*100,0))</f>
        <v>38</v>
      </c>
      <c r="G5" s="467">
        <v>1024</v>
      </c>
      <c r="H5" s="469">
        <v>0</v>
      </c>
      <c r="I5" s="470">
        <f>E5/B5</f>
        <v>0.38334630927223518</v>
      </c>
      <c r="J5" s="55"/>
    </row>
    <row r="6" spans="1:10">
      <c r="A6" s="1630">
        <v>1981</v>
      </c>
      <c r="B6" s="56">
        <v>30057</v>
      </c>
      <c r="C6" s="467">
        <v>2241</v>
      </c>
      <c r="D6" s="468">
        <f>IF(OR(B6="",C6=""),"",ROUND((C6/B6)*100,0))</f>
        <v>7</v>
      </c>
      <c r="E6" s="467">
        <v>10246</v>
      </c>
      <c r="F6" s="468">
        <f t="shared" ref="F6:F54" si="0">IF(OR(B6="",E6=""),"",ROUND((E6/B6)*100,0))</f>
        <v>34</v>
      </c>
      <c r="G6" s="467">
        <v>1065</v>
      </c>
      <c r="H6" s="469">
        <v>0</v>
      </c>
      <c r="I6" s="470">
        <f t="shared" ref="I6:I14" si="1">E6/B6</f>
        <v>0.34088565059719866</v>
      </c>
      <c r="J6" s="55"/>
    </row>
    <row r="7" spans="1:10">
      <c r="A7" s="1630">
        <v>1982</v>
      </c>
      <c r="B7" s="56">
        <v>46195</v>
      </c>
      <c r="C7" s="467">
        <v>3687</v>
      </c>
      <c r="D7" s="468">
        <f>IF(OR(B7="",C7=""),"",ROUND((C7/B7)*100,0))</f>
        <v>8</v>
      </c>
      <c r="E7" s="467">
        <v>15998</v>
      </c>
      <c r="F7" s="468">
        <f t="shared" si="0"/>
        <v>35</v>
      </c>
      <c r="G7" s="471">
        <v>573</v>
      </c>
      <c r="H7" s="469">
        <v>0</v>
      </c>
      <c r="I7" s="470">
        <f t="shared" si="1"/>
        <v>0.34631453620521702</v>
      </c>
      <c r="J7" s="55"/>
    </row>
    <row r="8" spans="1:10">
      <c r="A8" s="1630">
        <v>1983</v>
      </c>
      <c r="B8" s="56">
        <v>30589</v>
      </c>
      <c r="C8" s="467">
        <v>1877</v>
      </c>
      <c r="D8" s="468">
        <f>IF(OR(B8="",C8=""),"",ROUND((C8/B8)*100,0))</f>
        <v>6</v>
      </c>
      <c r="E8" s="467">
        <v>11888</v>
      </c>
      <c r="F8" s="468">
        <f t="shared" si="0"/>
        <v>39</v>
      </c>
      <c r="G8" s="467">
        <v>1923</v>
      </c>
      <c r="H8" s="469">
        <v>0</v>
      </c>
      <c r="I8" s="470">
        <f t="shared" si="1"/>
        <v>0.38863643793520547</v>
      </c>
      <c r="J8" s="55"/>
    </row>
    <row r="9" spans="1:10">
      <c r="A9" s="1630">
        <v>1984</v>
      </c>
      <c r="B9" s="56">
        <v>43452</v>
      </c>
      <c r="C9" s="467">
        <v>3123</v>
      </c>
      <c r="D9" s="468">
        <f t="shared" ref="D9:D14" si="2">IF(OR(B9="",C9=""),"",ROUND((C9/B9)*100,0))</f>
        <v>7</v>
      </c>
      <c r="E9" s="467">
        <v>16616</v>
      </c>
      <c r="F9" s="468">
        <f t="shared" si="0"/>
        <v>38</v>
      </c>
      <c r="G9" s="467">
        <v>2521</v>
      </c>
      <c r="H9" s="469">
        <v>0</v>
      </c>
      <c r="I9" s="470">
        <f t="shared" si="1"/>
        <v>0.38239896897726228</v>
      </c>
      <c r="J9" s="55"/>
    </row>
    <row r="10" spans="1:10">
      <c r="A10" s="1630">
        <v>1985</v>
      </c>
      <c r="B10" s="56">
        <v>34533</v>
      </c>
      <c r="C10" s="467">
        <v>2510</v>
      </c>
      <c r="D10" s="468">
        <f t="shared" si="2"/>
        <v>7</v>
      </c>
      <c r="E10" s="467">
        <v>11614</v>
      </c>
      <c r="F10" s="468">
        <f t="shared" si="0"/>
        <v>34</v>
      </c>
      <c r="G10" s="471">
        <v>944</v>
      </c>
      <c r="H10" s="469">
        <v>0</v>
      </c>
      <c r="I10" s="470">
        <f t="shared" si="1"/>
        <v>0.33631598760605796</v>
      </c>
      <c r="J10" s="55"/>
    </row>
    <row r="11" spans="1:10">
      <c r="A11" s="1630">
        <v>1986</v>
      </c>
      <c r="B11" s="56">
        <v>39155</v>
      </c>
      <c r="C11" s="467">
        <v>2708</v>
      </c>
      <c r="D11" s="468">
        <f t="shared" si="2"/>
        <v>7</v>
      </c>
      <c r="E11" s="467">
        <v>14653</v>
      </c>
      <c r="F11" s="468">
        <f>IF(OR(B11="",E11=""),"",ROUND((E11/B11)*100,0))</f>
        <v>37</v>
      </c>
      <c r="G11" s="471">
        <v>776</v>
      </c>
      <c r="H11" s="469">
        <v>0</v>
      </c>
      <c r="I11" s="470">
        <f t="shared" si="1"/>
        <v>0.37423062188737072</v>
      </c>
      <c r="J11" s="55"/>
    </row>
    <row r="12" spans="1:10">
      <c r="A12" s="1630">
        <v>1987</v>
      </c>
      <c r="B12" s="56">
        <v>54832</v>
      </c>
      <c r="C12" s="467">
        <v>6442</v>
      </c>
      <c r="D12" s="468">
        <f t="shared" si="2"/>
        <v>12</v>
      </c>
      <c r="E12" s="467">
        <v>19514</v>
      </c>
      <c r="F12" s="468">
        <f t="shared" si="0"/>
        <v>36</v>
      </c>
      <c r="G12" s="467">
        <v>1005</v>
      </c>
      <c r="H12" s="469">
        <v>0</v>
      </c>
      <c r="I12" s="470">
        <f t="shared" si="1"/>
        <v>0.35588707324190255</v>
      </c>
      <c r="J12" s="55"/>
    </row>
    <row r="13" spans="1:10">
      <c r="A13" s="1630">
        <v>1988</v>
      </c>
      <c r="B13" s="56">
        <v>70451</v>
      </c>
      <c r="C13" s="467">
        <v>8536</v>
      </c>
      <c r="D13" s="468">
        <f t="shared" si="2"/>
        <v>12</v>
      </c>
      <c r="E13" s="467">
        <v>29396</v>
      </c>
      <c r="F13" s="468">
        <f t="shared" si="0"/>
        <v>42</v>
      </c>
      <c r="G13" s="467">
        <v>1253</v>
      </c>
      <c r="H13" s="472">
        <v>3700</v>
      </c>
      <c r="I13" s="470">
        <f t="shared" si="1"/>
        <v>0.41725454571262294</v>
      </c>
      <c r="J13" s="55"/>
    </row>
    <row r="14" spans="1:10">
      <c r="A14" s="1630">
        <v>1989</v>
      </c>
      <c r="B14" s="56">
        <v>69180</v>
      </c>
      <c r="C14" s="467">
        <v>9375</v>
      </c>
      <c r="D14" s="468">
        <f t="shared" si="2"/>
        <v>14</v>
      </c>
      <c r="E14" s="467">
        <v>31574</v>
      </c>
      <c r="F14" s="468">
        <f t="shared" si="0"/>
        <v>46</v>
      </c>
      <c r="G14" s="471">
        <v>865</v>
      </c>
      <c r="H14" s="472">
        <v>2520</v>
      </c>
      <c r="I14" s="470">
        <f t="shared" si="1"/>
        <v>0.45640358485111304</v>
      </c>
      <c r="J14" s="55"/>
    </row>
    <row r="15" spans="1:10">
      <c r="A15" s="464"/>
      <c r="B15" s="56"/>
      <c r="C15" s="471"/>
      <c r="D15" s="468" t="str">
        <f>IF(OR(B15="",C15=""),"",ROUND((C15/B15)*100,0))</f>
        <v/>
      </c>
      <c r="E15" s="471"/>
      <c r="F15" s="468" t="str">
        <f>IF(OR(B15="",E15=""),"",ROUND((E15/B15)*100,0))</f>
        <v/>
      </c>
      <c r="G15" s="471"/>
      <c r="H15" s="473"/>
      <c r="I15" s="470"/>
      <c r="J15" s="1675"/>
    </row>
    <row r="16" spans="1:10">
      <c r="A16" s="1630">
        <v>1990</v>
      </c>
      <c r="B16" s="56">
        <v>71273</v>
      </c>
      <c r="C16" s="467">
        <v>10856</v>
      </c>
      <c r="D16" s="468">
        <f>IF(OR(B16="",C16=""),"",ROUND((C16/B16)*100,0))</f>
        <v>15</v>
      </c>
      <c r="E16" s="467">
        <v>36904</v>
      </c>
      <c r="F16" s="468">
        <f t="shared" si="0"/>
        <v>52</v>
      </c>
      <c r="G16" s="467">
        <v>1847</v>
      </c>
      <c r="H16" s="472">
        <v>1425</v>
      </c>
      <c r="I16" s="470">
        <f t="shared" ref="I16:I25" si="3">E16/B16</f>
        <v>0.51778373297040958</v>
      </c>
      <c r="J16" s="55"/>
    </row>
    <row r="17" spans="1:10">
      <c r="A17" s="1630">
        <v>1991</v>
      </c>
      <c r="B17" s="56">
        <v>52516</v>
      </c>
      <c r="C17" s="467">
        <v>8323</v>
      </c>
      <c r="D17" s="468">
        <f>IF(OR(B17="",C17=""),"",ROUND((C17/B17)*100,0))</f>
        <v>16</v>
      </c>
      <c r="E17" s="467">
        <v>25044</v>
      </c>
      <c r="F17" s="468">
        <f t="shared" si="0"/>
        <v>48</v>
      </c>
      <c r="G17" s="467">
        <v>2776</v>
      </c>
      <c r="H17" s="472">
        <v>2992</v>
      </c>
      <c r="I17" s="470">
        <f t="shared" si="3"/>
        <v>0.4768832355853454</v>
      </c>
      <c r="J17" s="55"/>
    </row>
    <row r="18" spans="1:10">
      <c r="A18" s="1630">
        <v>1992</v>
      </c>
      <c r="B18" s="56">
        <v>42004</v>
      </c>
      <c r="C18" s="467">
        <v>7424</v>
      </c>
      <c r="D18" s="468">
        <f>IF(OR(B18="",C18=""),"",ROUND((C18/B18)*100,0))</f>
        <v>18</v>
      </c>
      <c r="E18" s="467">
        <v>19589</v>
      </c>
      <c r="F18" s="468">
        <f>IF(OR(B18="",E18=""),"",ROUND((E18/B18)*100,0))</f>
        <v>47</v>
      </c>
      <c r="G18" s="467">
        <v>4535</v>
      </c>
      <c r="H18" s="472">
        <v>2206</v>
      </c>
      <c r="I18" s="470">
        <f t="shared" si="3"/>
        <v>0.46636034663365394</v>
      </c>
      <c r="J18" s="55"/>
    </row>
    <row r="19" spans="1:10">
      <c r="A19" s="1630">
        <v>1993</v>
      </c>
      <c r="B19" s="56">
        <v>31966</v>
      </c>
      <c r="C19" s="467">
        <v>8161</v>
      </c>
      <c r="D19" s="468">
        <f>IF(OR(B19="",C19=""),"",ROUND((C19/B19)*100,0))</f>
        <v>26</v>
      </c>
      <c r="E19" s="467">
        <v>18173</v>
      </c>
      <c r="F19" s="468">
        <f t="shared" si="0"/>
        <v>57</v>
      </c>
      <c r="G19" s="467">
        <v>4635</v>
      </c>
      <c r="H19" s="472">
        <v>1386</v>
      </c>
      <c r="I19" s="470">
        <f t="shared" si="3"/>
        <v>0.56851029218544702</v>
      </c>
      <c r="J19" s="55"/>
    </row>
    <row r="20" spans="1:10">
      <c r="A20" s="1630">
        <v>1994</v>
      </c>
      <c r="B20" s="56">
        <v>26102</v>
      </c>
      <c r="C20" s="467">
        <v>4273</v>
      </c>
      <c r="D20" s="468">
        <f t="shared" ref="D20:D23" si="4">IF(OR(B20="",C20=""),"",ROUND((C20/B20)*100,0))</f>
        <v>16</v>
      </c>
      <c r="E20" s="467">
        <v>11321</v>
      </c>
      <c r="F20" s="468">
        <f t="shared" si="0"/>
        <v>43</v>
      </c>
      <c r="G20" s="467">
        <v>3675</v>
      </c>
      <c r="H20" s="472">
        <v>3193</v>
      </c>
      <c r="I20" s="470">
        <f t="shared" si="3"/>
        <v>0.43372155390391542</v>
      </c>
      <c r="J20" s="55"/>
    </row>
    <row r="21" spans="1:10">
      <c r="A21" s="1630">
        <v>1995</v>
      </c>
      <c r="B21" s="56">
        <v>20592</v>
      </c>
      <c r="C21" s="467">
        <v>3380</v>
      </c>
      <c r="D21" s="468">
        <f t="shared" si="4"/>
        <v>16</v>
      </c>
      <c r="E21" s="467">
        <v>10379</v>
      </c>
      <c r="F21" s="468">
        <f t="shared" si="0"/>
        <v>50</v>
      </c>
      <c r="G21" s="467">
        <v>3112</v>
      </c>
      <c r="H21" s="472">
        <v>1504</v>
      </c>
      <c r="I21" s="470">
        <f t="shared" si="3"/>
        <v>0.50403069153069158</v>
      </c>
      <c r="J21" s="55"/>
    </row>
    <row r="22" spans="1:10">
      <c r="A22" s="1630">
        <v>1996</v>
      </c>
      <c r="B22" s="56">
        <v>21605</v>
      </c>
      <c r="C22" s="467">
        <v>5041</v>
      </c>
      <c r="D22" s="468">
        <f t="shared" si="4"/>
        <v>23</v>
      </c>
      <c r="E22" s="467">
        <v>11501</v>
      </c>
      <c r="F22" s="468">
        <f t="shared" si="0"/>
        <v>53</v>
      </c>
      <c r="G22" s="467">
        <v>3044</v>
      </c>
      <c r="H22" s="472">
        <v>4386</v>
      </c>
      <c r="I22" s="470">
        <f t="shared" si="3"/>
        <v>0.53233047905577413</v>
      </c>
      <c r="J22" s="55"/>
    </row>
    <row r="23" spans="1:10">
      <c r="A23" s="1630">
        <v>1997</v>
      </c>
      <c r="B23" s="56">
        <v>26885</v>
      </c>
      <c r="C23" s="467">
        <v>4022</v>
      </c>
      <c r="D23" s="468">
        <f t="shared" si="4"/>
        <v>15</v>
      </c>
      <c r="E23" s="467">
        <v>15928</v>
      </c>
      <c r="F23" s="468">
        <f>IF(OR(B23="",E23=""),"",ROUND((E23/B23)*100,0))</f>
        <v>59</v>
      </c>
      <c r="G23" s="467">
        <v>2670</v>
      </c>
      <c r="H23" s="473">
        <v>539</v>
      </c>
      <c r="I23" s="470">
        <f t="shared" si="3"/>
        <v>0.59244932118281568</v>
      </c>
      <c r="J23" s="55"/>
    </row>
    <row r="24" spans="1:10">
      <c r="A24" s="1630">
        <v>1998</v>
      </c>
      <c r="B24" s="56">
        <v>34461</v>
      </c>
      <c r="C24" s="467">
        <v>6125</v>
      </c>
      <c r="D24" s="468">
        <f t="shared" ref="D24:D31" si="5">IF(OR(B24="",C24=""),"",ROUND((C24/B24)*100,0))</f>
        <v>18</v>
      </c>
      <c r="E24" s="467">
        <v>18288</v>
      </c>
      <c r="F24" s="468">
        <f t="shared" si="0"/>
        <v>53</v>
      </c>
      <c r="G24" s="467">
        <v>4530</v>
      </c>
      <c r="H24" s="472">
        <v>7590</v>
      </c>
      <c r="I24" s="470">
        <f t="shared" si="3"/>
        <v>0.53068686341081217</v>
      </c>
      <c r="J24" s="55"/>
    </row>
    <row r="25" spans="1:10">
      <c r="A25" s="1630">
        <v>1999</v>
      </c>
      <c r="B25" s="56">
        <v>40410</v>
      </c>
      <c r="C25" s="467">
        <v>6367</v>
      </c>
      <c r="D25" s="468">
        <f t="shared" si="5"/>
        <v>16</v>
      </c>
      <c r="E25" s="467">
        <v>20636</v>
      </c>
      <c r="F25" s="468">
        <f t="shared" si="0"/>
        <v>51</v>
      </c>
      <c r="G25" s="467">
        <v>4562</v>
      </c>
      <c r="H25" s="472">
        <v>7689</v>
      </c>
      <c r="I25" s="470">
        <f t="shared" si="3"/>
        <v>0.51066567681267017</v>
      </c>
      <c r="J25" s="55"/>
    </row>
    <row r="26" spans="1:10">
      <c r="A26" s="464"/>
      <c r="B26" s="56"/>
      <c r="C26" s="471"/>
      <c r="D26" s="468" t="str">
        <f t="shared" si="5"/>
        <v/>
      </c>
      <c r="E26" s="471"/>
      <c r="F26" s="468" t="str">
        <f t="shared" si="0"/>
        <v/>
      </c>
      <c r="G26" s="471"/>
      <c r="H26" s="473"/>
      <c r="I26" s="470"/>
      <c r="J26" s="1675"/>
    </row>
    <row r="27" spans="1:10">
      <c r="A27" s="1630">
        <v>2000</v>
      </c>
      <c r="B27" s="56">
        <v>39073</v>
      </c>
      <c r="C27" s="467">
        <v>5119</v>
      </c>
      <c r="D27" s="468">
        <f t="shared" si="5"/>
        <v>13</v>
      </c>
      <c r="E27" s="467">
        <v>16548</v>
      </c>
      <c r="F27" s="468">
        <f t="shared" si="0"/>
        <v>42</v>
      </c>
      <c r="G27" s="467">
        <v>4296</v>
      </c>
      <c r="H27" s="473">
        <v>0</v>
      </c>
      <c r="I27" s="470">
        <f>E27/B27</f>
        <v>0.42351495917897269</v>
      </c>
      <c r="J27" s="55"/>
    </row>
    <row r="28" spans="1:10">
      <c r="A28" s="1630">
        <v>2001</v>
      </c>
      <c r="B28" s="56">
        <v>53973</v>
      </c>
      <c r="C28" s="467">
        <v>5538</v>
      </c>
      <c r="D28" s="468">
        <f t="shared" si="5"/>
        <v>10</v>
      </c>
      <c r="E28" s="467">
        <v>21247</v>
      </c>
      <c r="F28" s="468">
        <f>IF(OR(B28="",E28=""),"",ROUND((E28/B28)*100,0))</f>
        <v>39</v>
      </c>
      <c r="G28" s="467">
        <v>6155</v>
      </c>
      <c r="H28" s="473">
        <v>0</v>
      </c>
      <c r="I28" s="470">
        <f t="shared" ref="I28:I54" si="6">E28/B28</f>
        <v>0.39365979285939268</v>
      </c>
      <c r="J28" s="55"/>
    </row>
    <row r="29" spans="1:10">
      <c r="A29" s="1630">
        <v>2002</v>
      </c>
      <c r="B29" s="56">
        <v>83136</v>
      </c>
      <c r="C29" s="467">
        <v>12262</v>
      </c>
      <c r="D29" s="468">
        <f t="shared" si="5"/>
        <v>15</v>
      </c>
      <c r="E29" s="467">
        <v>31358</v>
      </c>
      <c r="F29" s="468">
        <f t="shared" si="0"/>
        <v>38</v>
      </c>
      <c r="G29" s="467">
        <v>6219</v>
      </c>
      <c r="H29" s="473">
        <v>0</v>
      </c>
      <c r="I29" s="470">
        <f t="shared" si="6"/>
        <v>0.37718918398768281</v>
      </c>
      <c r="J29" s="55"/>
    </row>
    <row r="30" spans="1:10">
      <c r="A30" s="1630">
        <v>2003</v>
      </c>
      <c r="B30" s="56">
        <v>87749</v>
      </c>
      <c r="C30" s="467">
        <v>10786</v>
      </c>
      <c r="D30" s="468">
        <f t="shared" si="5"/>
        <v>12</v>
      </c>
      <c r="E30" s="467">
        <v>28315</v>
      </c>
      <c r="F30" s="468">
        <f t="shared" si="0"/>
        <v>32</v>
      </c>
      <c r="G30" s="467">
        <v>5336</v>
      </c>
      <c r="H30" s="473">
        <v>0</v>
      </c>
      <c r="I30" s="470">
        <f t="shared" si="6"/>
        <v>0.3226817399628486</v>
      </c>
      <c r="J30" s="55"/>
    </row>
    <row r="31" spans="1:10">
      <c r="A31" s="1630">
        <v>2004</v>
      </c>
      <c r="B31" s="56">
        <v>95970</v>
      </c>
      <c r="C31" s="467">
        <v>13026</v>
      </c>
      <c r="D31" s="468">
        <f t="shared" si="5"/>
        <v>14</v>
      </c>
      <c r="E31" s="467">
        <v>36947</v>
      </c>
      <c r="F31" s="468">
        <f t="shared" si="0"/>
        <v>38</v>
      </c>
      <c r="G31" s="467">
        <v>11231</v>
      </c>
      <c r="H31" s="473">
        <v>0</v>
      </c>
      <c r="I31" s="470">
        <f t="shared" si="6"/>
        <v>0.38498489111180578</v>
      </c>
      <c r="J31" s="55"/>
    </row>
    <row r="32" spans="1:10">
      <c r="A32" s="1630">
        <v>2005</v>
      </c>
      <c r="B32" s="56">
        <v>36633</v>
      </c>
      <c r="C32" s="467">
        <v>4386</v>
      </c>
      <c r="D32" s="468">
        <f t="shared" ref="D32:D34" si="7">IF(OR(B32="",C32=""),"",ROUND((C32/B32)*100,0))</f>
        <v>12</v>
      </c>
      <c r="E32" s="467">
        <v>15821</v>
      </c>
      <c r="F32" s="468">
        <f t="shared" si="0"/>
        <v>43</v>
      </c>
      <c r="G32" s="467">
        <v>6792</v>
      </c>
      <c r="H32" s="473">
        <v>0</v>
      </c>
      <c r="I32" s="470">
        <f t="shared" si="6"/>
        <v>0.4318783610405918</v>
      </c>
      <c r="J32" s="55"/>
    </row>
    <row r="33" spans="1:13">
      <c r="A33" s="1630">
        <v>2006</v>
      </c>
      <c r="B33" s="56">
        <v>37041</v>
      </c>
      <c r="C33" s="467">
        <v>5523</v>
      </c>
      <c r="D33" s="468">
        <f t="shared" si="7"/>
        <v>15</v>
      </c>
      <c r="E33" s="467">
        <v>17036</v>
      </c>
      <c r="F33" s="468">
        <f>IF(OR(B33="",E33=""),"",ROUND((E33/B33)*100,0))</f>
        <v>46</v>
      </c>
      <c r="G33" s="467">
        <v>7359</v>
      </c>
      <c r="H33" s="473">
        <v>0</v>
      </c>
      <c r="I33" s="470">
        <f t="shared" si="6"/>
        <v>0.459922788261656</v>
      </c>
      <c r="J33" s="55"/>
      <c r="K33" s="1675"/>
      <c r="L33" s="1675"/>
      <c r="M33" s="1675"/>
    </row>
    <row r="34" spans="1:13">
      <c r="A34" s="1630">
        <v>2007</v>
      </c>
      <c r="B34" s="56">
        <v>23098</v>
      </c>
      <c r="C34" s="467">
        <v>2130</v>
      </c>
      <c r="D34" s="468">
        <f t="shared" si="7"/>
        <v>9</v>
      </c>
      <c r="E34" s="467">
        <v>10248</v>
      </c>
      <c r="F34" s="468">
        <f t="shared" si="0"/>
        <v>44</v>
      </c>
      <c r="G34" s="467">
        <v>6106</v>
      </c>
      <c r="H34" s="473">
        <v>0</v>
      </c>
      <c r="I34" s="470">
        <f t="shared" si="6"/>
        <v>0.44367477703697289</v>
      </c>
      <c r="J34" s="55"/>
      <c r="K34" s="1675"/>
      <c r="L34" s="1675"/>
      <c r="M34" s="1675"/>
    </row>
    <row r="35" spans="1:13">
      <c r="A35" s="1630">
        <v>2008</v>
      </c>
      <c r="B35" s="56">
        <v>14672</v>
      </c>
      <c r="C35" s="471">
        <v>279</v>
      </c>
      <c r="D35" s="468">
        <f>IF(OR(B35="",C35=""),"",ROUND((C35/B35)*100,0))</f>
        <v>2</v>
      </c>
      <c r="E35" s="467">
        <v>8392</v>
      </c>
      <c r="F35" s="468">
        <f t="shared" si="0"/>
        <v>57</v>
      </c>
      <c r="G35" s="467">
        <v>5223</v>
      </c>
      <c r="H35" s="473">
        <v>0</v>
      </c>
      <c r="I35" s="470">
        <f t="shared" si="6"/>
        <v>0.5719738276990185</v>
      </c>
      <c r="J35" s="55"/>
      <c r="K35" s="1675"/>
      <c r="L35" s="1675"/>
      <c r="M35" s="1675"/>
    </row>
    <row r="36" spans="1:13">
      <c r="A36" s="1630">
        <v>2009</v>
      </c>
      <c r="B36" s="56">
        <v>28514</v>
      </c>
      <c r="C36" s="467">
        <v>3110</v>
      </c>
      <c r="D36" s="468">
        <f>IF(OR(B36="",C36=""),"",ROUND((C36/B36)*100,0))</f>
        <v>11</v>
      </c>
      <c r="E36" s="467">
        <v>14936</v>
      </c>
      <c r="F36" s="468">
        <f t="shared" si="0"/>
        <v>52</v>
      </c>
      <c r="G36" s="467">
        <v>2853</v>
      </c>
      <c r="H36" s="473">
        <v>0</v>
      </c>
      <c r="I36" s="470">
        <f t="shared" si="6"/>
        <v>0.52381286385635129</v>
      </c>
      <c r="J36" s="55"/>
      <c r="K36" s="1675"/>
      <c r="L36" s="1675"/>
      <c r="M36" s="1675"/>
    </row>
    <row r="37" spans="1:13">
      <c r="A37" s="1630"/>
      <c r="B37" s="56"/>
      <c r="C37" s="471"/>
      <c r="D37" s="468" t="str">
        <f>IF(OR(B37="",C37=""),"",ROUND((C37/B37)*100,0))</f>
        <v/>
      </c>
      <c r="E37" s="471"/>
      <c r="F37" s="468" t="str">
        <f t="shared" si="0"/>
        <v/>
      </c>
      <c r="G37" s="471"/>
      <c r="H37" s="473"/>
      <c r="I37" s="470"/>
      <c r="J37" s="55"/>
      <c r="K37" s="1675"/>
      <c r="L37" s="1675"/>
      <c r="M37" s="1675"/>
    </row>
    <row r="38" spans="1:13">
      <c r="A38" s="1630">
        <v>2010</v>
      </c>
      <c r="B38" s="56">
        <v>67059</v>
      </c>
      <c r="C38" s="467">
        <v>9844</v>
      </c>
      <c r="D38" s="468">
        <f>IF(OR(B38="",C38=""),"",ROUND((C38/B38)*100,0))</f>
        <v>15</v>
      </c>
      <c r="E38" s="467">
        <v>27820</v>
      </c>
      <c r="F38" s="468">
        <f t="shared" si="0"/>
        <v>41</v>
      </c>
      <c r="G38" s="467">
        <v>8239</v>
      </c>
      <c r="H38" s="473">
        <v>0</v>
      </c>
      <c r="I38" s="470">
        <f t="shared" si="6"/>
        <v>0.41485855738976124</v>
      </c>
      <c r="J38" s="55"/>
      <c r="K38" s="1675"/>
      <c r="L38" s="1675"/>
      <c r="M38" s="460"/>
    </row>
    <row r="39" spans="1:13">
      <c r="A39" s="1630">
        <v>2011</v>
      </c>
      <c r="B39" s="56">
        <v>45147</v>
      </c>
      <c r="C39" s="467">
        <v>5043</v>
      </c>
      <c r="D39" s="468">
        <f t="shared" ref="D39:D40" si="8">IF(OR(B39="",C39=""),"",ROUND((C39/B39)*100,0))</f>
        <v>11</v>
      </c>
      <c r="E39" s="467">
        <v>23335</v>
      </c>
      <c r="F39" s="468">
        <f>IF(OR(B39="",E39=""),"",ROUND((E39/B39)*100,0))</f>
        <v>52</v>
      </c>
      <c r="G39" s="467">
        <v>3908</v>
      </c>
      <c r="H39" s="473">
        <v>0</v>
      </c>
      <c r="I39" s="470">
        <f t="shared" si="6"/>
        <v>0.51686712295390613</v>
      </c>
      <c r="J39" s="55"/>
      <c r="K39" s="1675"/>
      <c r="L39" s="1675"/>
      <c r="M39" s="460"/>
    </row>
    <row r="40" spans="1:13">
      <c r="A40" s="1630">
        <v>2012</v>
      </c>
      <c r="B40" s="57">
        <v>37213</v>
      </c>
      <c r="C40" s="467">
        <v>5132</v>
      </c>
      <c r="D40" s="468">
        <f t="shared" si="8"/>
        <v>14</v>
      </c>
      <c r="E40" s="467">
        <v>21539</v>
      </c>
      <c r="F40" s="468">
        <f t="shared" si="0"/>
        <v>58</v>
      </c>
      <c r="G40" s="467">
        <v>2954</v>
      </c>
      <c r="H40" s="473">
        <v>0</v>
      </c>
      <c r="I40" s="470">
        <f t="shared" si="6"/>
        <v>0.5788031064412974</v>
      </c>
      <c r="J40" s="55"/>
      <c r="K40" s="1675"/>
      <c r="L40" s="1675"/>
      <c r="M40" s="460"/>
    </row>
    <row r="41" spans="1:13">
      <c r="A41" s="1630">
        <v>2013</v>
      </c>
      <c r="B41" s="57">
        <v>29561</v>
      </c>
      <c r="C41" s="467">
        <v>2409</v>
      </c>
      <c r="D41" s="468">
        <f>IF(OR(B41="",C41=""),"",ROUND((C41/B41)*100,0))</f>
        <v>8</v>
      </c>
      <c r="E41" s="467">
        <v>18762</v>
      </c>
      <c r="F41" s="468">
        <f t="shared" si="0"/>
        <v>63</v>
      </c>
      <c r="G41" s="467">
        <v>2888</v>
      </c>
      <c r="H41" s="473">
        <v>0</v>
      </c>
      <c r="I41" s="470">
        <f t="shared" si="6"/>
        <v>0.63468759514224826</v>
      </c>
      <c r="J41" s="55"/>
      <c r="K41" s="1675"/>
      <c r="L41" s="1675"/>
      <c r="M41" s="460"/>
    </row>
    <row r="42" spans="1:13">
      <c r="A42" s="1630">
        <v>2014</v>
      </c>
      <c r="B42" s="57">
        <v>31669</v>
      </c>
      <c r="C42" s="467">
        <v>3527</v>
      </c>
      <c r="D42" s="468">
        <f>IF(OR(B42="",C42=""),"",ROUND((C42/B42)*100,0))</f>
        <v>11</v>
      </c>
      <c r="E42" s="467">
        <v>17638</v>
      </c>
      <c r="F42" s="468">
        <f t="shared" si="0"/>
        <v>56</v>
      </c>
      <c r="G42" s="467">
        <v>4136</v>
      </c>
      <c r="H42" s="473">
        <v>0</v>
      </c>
      <c r="I42" s="470">
        <f t="shared" si="6"/>
        <v>0.55694843537844585</v>
      </c>
      <c r="J42" s="55"/>
      <c r="K42" s="1675"/>
      <c r="L42" s="1675"/>
      <c r="M42" s="460"/>
    </row>
    <row r="43" spans="1:13">
      <c r="A43" s="1630">
        <v>2015</v>
      </c>
      <c r="B43" s="57">
        <v>53088</v>
      </c>
      <c r="C43" s="467">
        <v>6283</v>
      </c>
      <c r="D43" s="468">
        <f>IF(OR(B43="",C43=""),"",ROUND((C43/B43)*100,0))</f>
        <v>12</v>
      </c>
      <c r="E43" s="467">
        <v>26360</v>
      </c>
      <c r="F43" s="468">
        <f t="shared" si="0"/>
        <v>50</v>
      </c>
      <c r="G43" s="467">
        <v>5354</v>
      </c>
      <c r="H43" s="473">
        <v>0</v>
      </c>
      <c r="I43" s="470">
        <f t="shared" si="6"/>
        <v>0.49653405666063893</v>
      </c>
      <c r="J43" s="55"/>
      <c r="K43" s="1675"/>
      <c r="L43" s="1675"/>
      <c r="M43" s="460"/>
    </row>
    <row r="44" spans="1:13">
      <c r="A44" s="1630">
        <v>2016</v>
      </c>
      <c r="B44" s="57">
        <v>32478</v>
      </c>
      <c r="C44" s="467">
        <v>4217</v>
      </c>
      <c r="D44" s="468">
        <f>IF(OR(B44="",C44=""),"",ROUND((C44/B44)*100,0))</f>
        <v>13</v>
      </c>
      <c r="E44" s="467">
        <v>12794</v>
      </c>
      <c r="F44" s="468">
        <f t="shared" si="0"/>
        <v>39</v>
      </c>
      <c r="G44" s="467">
        <v>1696</v>
      </c>
      <c r="H44" s="473">
        <v>0</v>
      </c>
      <c r="I44" s="470">
        <f t="shared" si="6"/>
        <v>0.39392819754911018</v>
      </c>
      <c r="J44" s="55"/>
      <c r="K44" s="1675"/>
      <c r="L44" s="1675"/>
      <c r="M44" s="460"/>
    </row>
    <row r="45" spans="1:13">
      <c r="A45" s="1630">
        <v>2017</v>
      </c>
      <c r="B45" s="57">
        <v>36628</v>
      </c>
      <c r="C45" s="467">
        <v>5163</v>
      </c>
      <c r="D45" s="468">
        <f t="shared" ref="D45:D50" si="9">IF(OR(B45="",C45=""),"",ROUND((C45/B45)*100,0))</f>
        <v>14</v>
      </c>
      <c r="E45" s="467">
        <v>20036</v>
      </c>
      <c r="F45" s="468">
        <f>IF(OR(B45="",E45=""),"",ROUND((E45/B45)*100,0))</f>
        <v>55</v>
      </c>
      <c r="G45" s="467">
        <v>529</v>
      </c>
      <c r="H45" s="473">
        <v>0</v>
      </c>
      <c r="I45" s="470">
        <f t="shared" si="6"/>
        <v>0.54701321393469482</v>
      </c>
      <c r="J45" s="55"/>
      <c r="K45" s="1675"/>
      <c r="L45" s="1675"/>
      <c r="M45" s="460"/>
    </row>
    <row r="46" spans="1:13">
      <c r="A46" s="1630">
        <v>2018</v>
      </c>
      <c r="B46" s="57">
        <v>26542</v>
      </c>
      <c r="C46" s="467">
        <v>2360</v>
      </c>
      <c r="D46" s="468">
        <f t="shared" si="9"/>
        <v>9</v>
      </c>
      <c r="E46" s="467">
        <v>12880</v>
      </c>
      <c r="F46" s="468">
        <f t="shared" si="0"/>
        <v>49</v>
      </c>
      <c r="G46" s="467">
        <v>152</v>
      </c>
      <c r="H46" s="473">
        <v>0</v>
      </c>
      <c r="I46" s="470">
        <f t="shared" si="6"/>
        <v>0.48526863084922012</v>
      </c>
      <c r="J46" s="55"/>
      <c r="K46" s="1675"/>
      <c r="L46" s="1675"/>
      <c r="M46" s="460"/>
    </row>
    <row r="47" spans="1:13">
      <c r="A47" s="1630">
        <v>2019</v>
      </c>
      <c r="B47" s="57">
        <v>20617</v>
      </c>
      <c r="C47" s="467">
        <v>2367</v>
      </c>
      <c r="D47" s="468">
        <f t="shared" si="9"/>
        <v>11</v>
      </c>
      <c r="E47" s="467">
        <v>8386</v>
      </c>
      <c r="F47" s="468">
        <f t="shared" si="0"/>
        <v>41</v>
      </c>
      <c r="G47" s="467">
        <v>208</v>
      </c>
      <c r="H47" s="473">
        <v>0</v>
      </c>
      <c r="I47" s="470">
        <f t="shared" si="6"/>
        <v>0.40675170975408642</v>
      </c>
      <c r="J47" s="55"/>
      <c r="K47" s="1675"/>
      <c r="L47" s="1675"/>
      <c r="M47" s="460"/>
    </row>
    <row r="48" spans="1:13">
      <c r="A48" s="1630"/>
      <c r="B48" s="57"/>
      <c r="C48" s="467"/>
      <c r="D48" s="468" t="str">
        <f t="shared" si="9"/>
        <v/>
      </c>
      <c r="E48" s="467"/>
      <c r="F48" s="468" t="str">
        <f t="shared" si="0"/>
        <v/>
      </c>
      <c r="G48" s="467"/>
      <c r="H48" s="473"/>
      <c r="I48" s="470"/>
      <c r="J48" s="55"/>
      <c r="K48" s="1675"/>
      <c r="L48" s="1675"/>
      <c r="M48" s="460"/>
    </row>
    <row r="49" spans="1:10">
      <c r="A49" s="1630">
        <v>2020</v>
      </c>
      <c r="B49" s="57">
        <v>35012</v>
      </c>
      <c r="C49" s="467">
        <v>2621</v>
      </c>
      <c r="D49" s="468">
        <f t="shared" si="9"/>
        <v>7</v>
      </c>
      <c r="E49" s="467">
        <v>16026</v>
      </c>
      <c r="F49" s="468">
        <f t="shared" si="0"/>
        <v>46</v>
      </c>
      <c r="G49" s="467">
        <v>329</v>
      </c>
      <c r="H49" s="473">
        <v>0</v>
      </c>
      <c r="I49" s="470">
        <f t="shared" si="6"/>
        <v>0.45772877870444417</v>
      </c>
      <c r="J49" s="55"/>
    </row>
    <row r="50" spans="1:10">
      <c r="A50" s="1630">
        <v>2021</v>
      </c>
      <c r="B50" s="57">
        <v>30025</v>
      </c>
      <c r="C50" s="467">
        <v>3387</v>
      </c>
      <c r="D50" s="468">
        <f t="shared" si="9"/>
        <v>11</v>
      </c>
      <c r="E50" s="467">
        <v>12793</v>
      </c>
      <c r="F50" s="468">
        <v>43</v>
      </c>
      <c r="G50" s="467">
        <v>657</v>
      </c>
      <c r="H50" s="473">
        <v>0</v>
      </c>
      <c r="I50" s="470">
        <f t="shared" si="6"/>
        <v>0.4260782681099084</v>
      </c>
      <c r="J50" s="55"/>
    </row>
    <row r="51" spans="1:10">
      <c r="A51" s="1630">
        <v>2022</v>
      </c>
      <c r="B51" s="57">
        <v>38629</v>
      </c>
      <c r="C51" s="467">
        <v>3393</v>
      </c>
      <c r="D51" s="468">
        <f>IF(OR(B51="",C51=""),"",ROUND((C51/B51)*100,0))</f>
        <v>9</v>
      </c>
      <c r="E51" s="467">
        <v>18788</v>
      </c>
      <c r="F51" s="468">
        <f t="shared" si="0"/>
        <v>49</v>
      </c>
      <c r="G51" s="467">
        <v>2762</v>
      </c>
      <c r="H51" s="473">
        <v>0</v>
      </c>
      <c r="I51" s="470">
        <f t="shared" si="6"/>
        <v>0.4863703435242952</v>
      </c>
      <c r="J51" s="55"/>
    </row>
    <row r="52" spans="1:10">
      <c r="A52" s="1630">
        <v>2023</v>
      </c>
      <c r="B52" s="57">
        <v>24089</v>
      </c>
      <c r="C52" s="467">
        <v>1785</v>
      </c>
      <c r="D52" s="468">
        <f>IF(OR(B52="",C52=""),"",ROUND((C52/B52)*100,0))</f>
        <v>7</v>
      </c>
      <c r="E52" s="467">
        <v>11085</v>
      </c>
      <c r="F52" s="468">
        <f t="shared" si="0"/>
        <v>46</v>
      </c>
      <c r="G52" s="467">
        <v>2107</v>
      </c>
      <c r="H52" s="473">
        <v>0</v>
      </c>
      <c r="I52" s="85">
        <f t="shared" si="6"/>
        <v>0.46016854165801818</v>
      </c>
      <c r="J52" s="1675"/>
    </row>
    <row r="53" spans="1:10">
      <c r="A53" s="1625">
        <v>2024</v>
      </c>
      <c r="B53" s="57">
        <v>22592</v>
      </c>
      <c r="C53" s="467">
        <v>1945</v>
      </c>
      <c r="D53" s="468">
        <f>IF(OR(B53="",C53=""),"",ROUND((C53/B53)*100,0))</f>
        <v>9</v>
      </c>
      <c r="E53" s="467">
        <v>10180</v>
      </c>
      <c r="F53" s="468">
        <f t="shared" si="0"/>
        <v>45</v>
      </c>
      <c r="G53" s="467">
        <v>3918</v>
      </c>
      <c r="H53" s="473">
        <v>0</v>
      </c>
      <c r="I53" s="85">
        <f t="shared" si="6"/>
        <v>0.45060198300283288</v>
      </c>
      <c r="J53" s="1675"/>
    </row>
    <row r="54" spans="1:10" ht="13.5" thickBot="1">
      <c r="A54" s="1622">
        <v>2025</v>
      </c>
      <c r="B54" s="530">
        <v>32716</v>
      </c>
      <c r="C54" s="531">
        <v>3857</v>
      </c>
      <c r="D54" s="532">
        <f>IF(OR(B54="",C54=""),"",ROUND((C54/B54)*100,0))</f>
        <v>12</v>
      </c>
      <c r="E54" s="531">
        <v>11835</v>
      </c>
      <c r="F54" s="532">
        <f t="shared" si="0"/>
        <v>36</v>
      </c>
      <c r="G54" s="531">
        <v>4246</v>
      </c>
      <c r="H54" s="533">
        <v>0</v>
      </c>
      <c r="I54" s="470">
        <f t="shared" si="6"/>
        <v>0.36174960264090966</v>
      </c>
      <c r="J54" s="1675"/>
    </row>
    <row r="55" spans="1:10" ht="13.5" thickTop="1">
      <c r="A55" s="1625"/>
      <c r="B55" s="57"/>
      <c r="C55" s="467"/>
      <c r="D55" s="468"/>
      <c r="E55" s="467"/>
      <c r="F55" s="468"/>
      <c r="G55" s="467"/>
      <c r="H55" s="471"/>
      <c r="I55" s="1675"/>
      <c r="J55" s="1675"/>
    </row>
    <row r="56" spans="1:10">
      <c r="A56" s="419" t="s">
        <v>163</v>
      </c>
      <c r="B56" s="246">
        <f>MIN(B5:B54)</f>
        <v>14672</v>
      </c>
      <c r="C56" s="1675"/>
      <c r="D56" s="1675"/>
      <c r="E56" s="1675"/>
      <c r="F56" s="1675"/>
      <c r="G56" s="1675"/>
      <c r="H56" s="1675"/>
      <c r="I56" s="1675"/>
      <c r="J56" s="1675"/>
    </row>
    <row r="57" spans="1:10">
      <c r="A57" s="419" t="s">
        <v>164</v>
      </c>
      <c r="B57" s="246">
        <f>MAX(B5:B54)</f>
        <v>95970</v>
      </c>
      <c r="C57" s="1675"/>
      <c r="D57" s="1675"/>
      <c r="E57" s="1675"/>
      <c r="F57" s="1675"/>
      <c r="G57" s="1675"/>
      <c r="H57" s="1675"/>
      <c r="I57" s="1675"/>
      <c r="J57" s="1675"/>
    </row>
    <row r="58" spans="1:10">
      <c r="A58" s="47" t="s">
        <v>63</v>
      </c>
      <c r="B58" s="246">
        <f>AVERAGE(B43:B54)</f>
        <v>32037.81818181818</v>
      </c>
      <c r="C58" s="1675"/>
      <c r="D58" s="1675"/>
      <c r="E58" s="1675"/>
      <c r="F58" s="1675"/>
      <c r="G58" s="1675"/>
      <c r="H58" s="1675"/>
      <c r="I58" s="1675"/>
      <c r="J58" s="1675"/>
    </row>
  </sheetData>
  <mergeCells count="8">
    <mergeCell ref="H1:H2"/>
    <mergeCell ref="C2:D2"/>
    <mergeCell ref="E2:F2"/>
    <mergeCell ref="A1:A2"/>
    <mergeCell ref="B1:B2"/>
    <mergeCell ref="C1:D1"/>
    <mergeCell ref="E1:F1"/>
    <mergeCell ref="G1:G2"/>
  </mergeCells>
  <pageMargins left="0.7" right="0.7" top="0.75" bottom="0.75" header="0.3" footer="0.3"/>
  <pageSetup scale="74"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6FF33"/>
  </sheetPr>
  <dimension ref="A1:L63"/>
  <sheetViews>
    <sheetView showGridLines="0" zoomScaleNormal="100" workbookViewId="0">
      <pane ySplit="6" topLeftCell="A57" activePane="bottomLeft" state="frozen"/>
      <selection pane="bottomLeft" activeCell="A63" sqref="A63"/>
      <selection activeCell="J33" sqref="J33"/>
    </sheetView>
  </sheetViews>
  <sheetFormatPr defaultColWidth="8.83203125" defaultRowHeight="12.75"/>
  <cols>
    <col min="1" max="1" width="8.83203125" style="74" customWidth="1"/>
    <col min="2" max="4" width="12.83203125" style="74" customWidth="1"/>
    <col min="5" max="5" width="1.83203125" style="74" customWidth="1"/>
    <col min="6" max="6" width="14.6640625" style="74" customWidth="1"/>
    <col min="7" max="8" width="12.83203125" style="74" customWidth="1"/>
    <col min="9" max="9" width="11.33203125" style="74" customWidth="1"/>
    <col min="10" max="10" width="2.1640625" style="74" customWidth="1"/>
    <col min="11" max="11" width="1.6640625" style="74" customWidth="1"/>
    <col min="12" max="16384" width="8.83203125" style="74"/>
  </cols>
  <sheetData>
    <row r="1" spans="1:10" ht="15.75">
      <c r="A1" s="295" t="s">
        <v>141</v>
      </c>
      <c r="B1" s="1675"/>
      <c r="C1" s="1675"/>
      <c r="D1" s="1675"/>
      <c r="E1" s="1675"/>
      <c r="F1" s="1675"/>
      <c r="G1" s="1675"/>
      <c r="H1" s="1675"/>
      <c r="I1" s="1675"/>
      <c r="J1" s="1675"/>
    </row>
    <row r="2" spans="1:10" ht="40.5" customHeight="1">
      <c r="A2" s="1759" t="s">
        <v>165</v>
      </c>
      <c r="B2" s="1759"/>
      <c r="C2" s="1759"/>
      <c r="D2" s="1759"/>
      <c r="E2" s="1759"/>
      <c r="F2" s="1759"/>
      <c r="G2" s="1759"/>
      <c r="H2" s="1759"/>
      <c r="I2" s="1759"/>
      <c r="J2" s="1759"/>
    </row>
    <row r="4" spans="1:10" ht="13.5" customHeight="1">
      <c r="A4" s="1760"/>
      <c r="B4" s="1762"/>
      <c r="C4" s="1762" t="s">
        <v>166</v>
      </c>
      <c r="D4" s="1762"/>
      <c r="E4" s="1635"/>
      <c r="F4" s="1762" t="s">
        <v>167</v>
      </c>
      <c r="G4" s="1762"/>
      <c r="H4" s="1762"/>
      <c r="I4" s="1762"/>
      <c r="J4" s="849"/>
    </row>
    <row r="5" spans="1:10" ht="12.75" customHeight="1" thickBot="1">
      <c r="A5" s="1761"/>
      <c r="B5" s="1763"/>
      <c r="C5" s="1763"/>
      <c r="D5" s="1763"/>
      <c r="E5" s="1636"/>
      <c r="F5" s="1763"/>
      <c r="G5" s="1763"/>
      <c r="H5" s="1744"/>
      <c r="I5" s="1744"/>
      <c r="J5" s="941"/>
    </row>
    <row r="6" spans="1:10" ht="48" customHeight="1">
      <c r="A6" s="1678" t="s">
        <v>28</v>
      </c>
      <c r="B6" s="1647" t="s">
        <v>168</v>
      </c>
      <c r="C6" s="1647" t="s">
        <v>159</v>
      </c>
      <c r="D6" s="1647" t="s">
        <v>160</v>
      </c>
      <c r="E6" s="1647"/>
      <c r="F6" s="1647" t="s">
        <v>159</v>
      </c>
      <c r="G6" s="1647" t="s">
        <v>160</v>
      </c>
      <c r="H6" s="1647" t="s">
        <v>169</v>
      </c>
      <c r="I6" s="1647" t="s">
        <v>170</v>
      </c>
      <c r="J6" s="941"/>
    </row>
    <row r="7" spans="1:10">
      <c r="A7" s="1634">
        <f>IF(T4Manip!A5="","",T4Manip!A5)</f>
        <v>1980</v>
      </c>
      <c r="B7" s="824">
        <f>IF(T4Manip!B5="","",T4Manip!B5)</f>
        <v>26973</v>
      </c>
      <c r="C7" s="824">
        <f>IF(T4Manip!C5="","",T4Manip!C5)</f>
        <v>1954</v>
      </c>
      <c r="D7" s="824">
        <f>IF(T4Manip!D5="","",T4Manip!D5)</f>
        <v>7</v>
      </c>
      <c r="E7" s="1625"/>
      <c r="F7" s="824">
        <f>IF(T4Manip!E5="","",T4Manip!E5)</f>
        <v>10340</v>
      </c>
      <c r="G7" s="824">
        <f>IF(T4Manip!F5="","",T4Manip!F5)</f>
        <v>38</v>
      </c>
      <c r="H7" s="824">
        <f>IF(T4Manip!G5="","",T4Manip!G5)</f>
        <v>1024</v>
      </c>
      <c r="I7" s="824">
        <f>IF(T4Manip!H5="","",T4Manip!H5)</f>
        <v>0</v>
      </c>
      <c r="J7" s="941"/>
    </row>
    <row r="8" spans="1:10">
      <c r="A8" s="1634">
        <f>IF(T4Manip!A6="","",T4Manip!A6)</f>
        <v>1981</v>
      </c>
      <c r="B8" s="824">
        <f>IF(T4Manip!B6="","",T4Manip!B6)</f>
        <v>30057</v>
      </c>
      <c r="C8" s="824">
        <f>IF(T4Manip!C6="","",T4Manip!C6)</f>
        <v>2241</v>
      </c>
      <c r="D8" s="824">
        <f>IF(T4Manip!D6="","",T4Manip!D6)</f>
        <v>7</v>
      </c>
      <c r="E8" s="1625"/>
      <c r="F8" s="824">
        <f>IF(T4Manip!E6="","",T4Manip!E6)</f>
        <v>10246</v>
      </c>
      <c r="G8" s="824">
        <f>IF(T4Manip!F6="","",T4Manip!F6)</f>
        <v>34</v>
      </c>
      <c r="H8" s="824">
        <f>IF(T4Manip!G6="","",T4Manip!G6)</f>
        <v>1065</v>
      </c>
      <c r="I8" s="824">
        <f>IF(T4Manip!H6="","",T4Manip!H6)</f>
        <v>0</v>
      </c>
      <c r="J8" s="941"/>
    </row>
    <row r="9" spans="1:10">
      <c r="A9" s="1634">
        <f>IF(T4Manip!A7="","",T4Manip!A7)</f>
        <v>1982</v>
      </c>
      <c r="B9" s="824">
        <f>IF(T4Manip!B7="","",T4Manip!B7)</f>
        <v>46195</v>
      </c>
      <c r="C9" s="824">
        <f>IF(T4Manip!C7="","",T4Manip!C7)</f>
        <v>3687</v>
      </c>
      <c r="D9" s="824">
        <f>IF(T4Manip!D7="","",T4Manip!D7)</f>
        <v>8</v>
      </c>
      <c r="E9" s="1625"/>
      <c r="F9" s="824">
        <f>IF(T4Manip!E7="","",T4Manip!E7)</f>
        <v>15998</v>
      </c>
      <c r="G9" s="824">
        <f>IF(T4Manip!F7="","",T4Manip!F7)</f>
        <v>35</v>
      </c>
      <c r="H9" s="824">
        <f>IF(T4Manip!G7="","",T4Manip!G7)</f>
        <v>573</v>
      </c>
      <c r="I9" s="824">
        <f>IF(T4Manip!H7="","",T4Manip!H7)</f>
        <v>0</v>
      </c>
      <c r="J9" s="941"/>
    </row>
    <row r="10" spans="1:10">
      <c r="A10" s="1634">
        <f>IF(T4Manip!A8="","",T4Manip!A8)</f>
        <v>1983</v>
      </c>
      <c r="B10" s="824">
        <f>IF(T4Manip!B8="","",T4Manip!B8)</f>
        <v>30589</v>
      </c>
      <c r="C10" s="824">
        <f>IF(T4Manip!C8="","",T4Manip!C8)</f>
        <v>1877</v>
      </c>
      <c r="D10" s="824">
        <f>IF(T4Manip!D8="","",T4Manip!D8)</f>
        <v>6</v>
      </c>
      <c r="E10" s="1625"/>
      <c r="F10" s="824">
        <f>IF(T4Manip!E8="","",T4Manip!E8)</f>
        <v>11888</v>
      </c>
      <c r="G10" s="824">
        <f>IF(T4Manip!F8="","",T4Manip!F8)</f>
        <v>39</v>
      </c>
      <c r="H10" s="824">
        <f>IF(T4Manip!G8="","",T4Manip!G8)</f>
        <v>1923</v>
      </c>
      <c r="I10" s="824">
        <f>IF(T4Manip!H8="","",T4Manip!H8)</f>
        <v>0</v>
      </c>
      <c r="J10" s="941"/>
    </row>
    <row r="11" spans="1:10">
      <c r="A11" s="1634">
        <f>IF(T4Manip!A9="","",T4Manip!A9)</f>
        <v>1984</v>
      </c>
      <c r="B11" s="824">
        <f>IF(T4Manip!B9="","",T4Manip!B9)</f>
        <v>43452</v>
      </c>
      <c r="C11" s="824">
        <f>IF(T4Manip!C9="","",T4Manip!C9)</f>
        <v>3123</v>
      </c>
      <c r="D11" s="824">
        <f>IF(T4Manip!D9="","",T4Manip!D9)</f>
        <v>7</v>
      </c>
      <c r="E11" s="1625"/>
      <c r="F11" s="824">
        <f>IF(T4Manip!E9="","",T4Manip!E9)</f>
        <v>16616</v>
      </c>
      <c r="G11" s="824">
        <f>IF(T4Manip!F9="","",T4Manip!F9)</f>
        <v>38</v>
      </c>
      <c r="H11" s="824">
        <f>IF(T4Manip!G9="","",T4Manip!G9)</f>
        <v>2521</v>
      </c>
      <c r="I11" s="824">
        <f>IF(T4Manip!H9="","",T4Manip!H9)</f>
        <v>0</v>
      </c>
      <c r="J11" s="941"/>
    </row>
    <row r="12" spans="1:10">
      <c r="A12" s="1634">
        <f>IF(T4Manip!A10="","",T4Manip!A10)</f>
        <v>1985</v>
      </c>
      <c r="B12" s="824">
        <f>IF(T4Manip!B10="","",T4Manip!B10)</f>
        <v>34533</v>
      </c>
      <c r="C12" s="824">
        <f>IF(T4Manip!C10="","",T4Manip!C10)</f>
        <v>2510</v>
      </c>
      <c r="D12" s="824">
        <f>IF(T4Manip!D10="","",T4Manip!D10)</f>
        <v>7</v>
      </c>
      <c r="E12" s="1625"/>
      <c r="F12" s="824">
        <f>IF(T4Manip!E10="","",T4Manip!E10)</f>
        <v>11614</v>
      </c>
      <c r="G12" s="824">
        <f>IF(T4Manip!F10="","",T4Manip!F10)</f>
        <v>34</v>
      </c>
      <c r="H12" s="824">
        <f>IF(T4Manip!G10="","",T4Manip!G10)</f>
        <v>944</v>
      </c>
      <c r="I12" s="824">
        <f>IF(T4Manip!H10="","",T4Manip!H10)</f>
        <v>0</v>
      </c>
      <c r="J12" s="941"/>
    </row>
    <row r="13" spans="1:10">
      <c r="A13" s="1634">
        <f>IF(T4Manip!A11="","",T4Manip!A11)</f>
        <v>1986</v>
      </c>
      <c r="B13" s="824">
        <f>IF(T4Manip!B11="","",T4Manip!B11)</f>
        <v>39155</v>
      </c>
      <c r="C13" s="824">
        <f>IF(T4Manip!C11="","",T4Manip!C11)</f>
        <v>2708</v>
      </c>
      <c r="D13" s="824">
        <f>IF(T4Manip!D11="","",T4Manip!D11)</f>
        <v>7</v>
      </c>
      <c r="E13" s="1625"/>
      <c r="F13" s="824">
        <f>IF(T4Manip!E11="","",T4Manip!E11)</f>
        <v>14653</v>
      </c>
      <c r="G13" s="824">
        <f>IF(T4Manip!F11="","",T4Manip!F11)</f>
        <v>37</v>
      </c>
      <c r="H13" s="824">
        <f>IF(T4Manip!G11="","",T4Manip!G11)</f>
        <v>776</v>
      </c>
      <c r="I13" s="824">
        <f>IF(T4Manip!H11="","",T4Manip!H11)</f>
        <v>0</v>
      </c>
      <c r="J13" s="941"/>
    </row>
    <row r="14" spans="1:10">
      <c r="A14" s="1634">
        <f>IF(T4Manip!A12="","",T4Manip!A12)</f>
        <v>1987</v>
      </c>
      <c r="B14" s="824">
        <f>IF(T4Manip!B12="","",T4Manip!B12)</f>
        <v>54832</v>
      </c>
      <c r="C14" s="824">
        <f>IF(T4Manip!C12="","",T4Manip!C12)</f>
        <v>6442</v>
      </c>
      <c r="D14" s="824">
        <f>IF(T4Manip!D12="","",T4Manip!D12)</f>
        <v>12</v>
      </c>
      <c r="E14" s="1625"/>
      <c r="F14" s="824">
        <f>IF(T4Manip!E12="","",T4Manip!E12)</f>
        <v>19514</v>
      </c>
      <c r="G14" s="824">
        <f>IF(T4Manip!F12="","",T4Manip!F12)</f>
        <v>36</v>
      </c>
      <c r="H14" s="824">
        <f>IF(T4Manip!G12="","",T4Manip!G12)</f>
        <v>1005</v>
      </c>
      <c r="I14" s="824">
        <f>IF(T4Manip!H12="","",T4Manip!H12)</f>
        <v>0</v>
      </c>
      <c r="J14" s="941"/>
    </row>
    <row r="15" spans="1:10">
      <c r="A15" s="1634">
        <f>IF(T4Manip!A13="","",T4Manip!A13)</f>
        <v>1988</v>
      </c>
      <c r="B15" s="824">
        <f>IF(T4Manip!B13="","",T4Manip!B13)</f>
        <v>70451</v>
      </c>
      <c r="C15" s="824">
        <f>IF(T4Manip!C13="","",T4Manip!C13)</f>
        <v>8536</v>
      </c>
      <c r="D15" s="824">
        <f>IF(T4Manip!D13="","",T4Manip!D13)</f>
        <v>12</v>
      </c>
      <c r="E15" s="1625"/>
      <c r="F15" s="824">
        <f>IF(T4Manip!E13="","",T4Manip!E13)</f>
        <v>29396</v>
      </c>
      <c r="G15" s="824">
        <f>IF(T4Manip!F13="","",T4Manip!F13)</f>
        <v>42</v>
      </c>
      <c r="H15" s="824">
        <f>IF(T4Manip!G13="","",T4Manip!G13)</f>
        <v>1253</v>
      </c>
      <c r="I15" s="824">
        <f>IF(T4Manip!H13="","",T4Manip!H13)</f>
        <v>3700</v>
      </c>
      <c r="J15" s="941"/>
    </row>
    <row r="16" spans="1:10">
      <c r="A16" s="1634">
        <f>IF(T4Manip!A14="","",T4Manip!A14)</f>
        <v>1989</v>
      </c>
      <c r="B16" s="824">
        <f>IF(T4Manip!B14="","",T4Manip!B14)</f>
        <v>69180</v>
      </c>
      <c r="C16" s="824">
        <f>IF(T4Manip!C14="","",T4Manip!C14)</f>
        <v>9375</v>
      </c>
      <c r="D16" s="824">
        <f>IF(T4Manip!D14="","",T4Manip!D14)</f>
        <v>14</v>
      </c>
      <c r="E16" s="1625"/>
      <c r="F16" s="824">
        <f>IF(T4Manip!E14="","",T4Manip!E14)</f>
        <v>31574</v>
      </c>
      <c r="G16" s="824">
        <f>IF(T4Manip!F14="","",T4Manip!F14)</f>
        <v>46</v>
      </c>
      <c r="H16" s="824">
        <f>IF(T4Manip!G14="","",T4Manip!G14)</f>
        <v>865</v>
      </c>
      <c r="I16" s="824">
        <f>IF(T4Manip!H14="","",T4Manip!H14)</f>
        <v>2520</v>
      </c>
      <c r="J16" s="941"/>
    </row>
    <row r="17" spans="1:10">
      <c r="A17" s="1634" t="str">
        <f>IF(T4Manip!A15="","",T4Manip!A15)</f>
        <v/>
      </c>
      <c r="B17" s="824" t="str">
        <f>IF(T4Manip!B15="","",T4Manip!B15)</f>
        <v/>
      </c>
      <c r="C17" s="824" t="str">
        <f>IF(T4Manip!C15="","",T4Manip!C15)</f>
        <v/>
      </c>
      <c r="D17" s="824" t="str">
        <f>IF(T4Manip!D15="","",T4Manip!D15)</f>
        <v/>
      </c>
      <c r="E17" s="1625"/>
      <c r="F17" s="824" t="str">
        <f>IF(T4Manip!E15="","",T4Manip!E15)</f>
        <v/>
      </c>
      <c r="G17" s="824" t="str">
        <f>IF(T4Manip!F15="","",T4Manip!F15)</f>
        <v/>
      </c>
      <c r="H17" s="824" t="str">
        <f>IF(T4Manip!G15="","",T4Manip!G15)</f>
        <v/>
      </c>
      <c r="I17" s="824" t="str">
        <f>IF(T4Manip!H15="","",T4Manip!H15)</f>
        <v/>
      </c>
      <c r="J17" s="941"/>
    </row>
    <row r="18" spans="1:10">
      <c r="A18" s="1634">
        <f>IF(T4Manip!A16="","",T4Manip!A16)</f>
        <v>1990</v>
      </c>
      <c r="B18" s="824">
        <f>IF(T4Manip!B16="","",T4Manip!B16)</f>
        <v>71273</v>
      </c>
      <c r="C18" s="824">
        <f>IF(T4Manip!C16="","",T4Manip!C16)</f>
        <v>10856</v>
      </c>
      <c r="D18" s="824">
        <f>IF(T4Manip!D16="","",T4Manip!D16)</f>
        <v>15</v>
      </c>
      <c r="E18" s="1625"/>
      <c r="F18" s="824">
        <f>IF(T4Manip!E16="","",T4Manip!E16)</f>
        <v>36904</v>
      </c>
      <c r="G18" s="824">
        <f>IF(T4Manip!F16="","",T4Manip!F16)</f>
        <v>52</v>
      </c>
      <c r="H18" s="824">
        <f>IF(T4Manip!G16="","",T4Manip!G16)</f>
        <v>1847</v>
      </c>
      <c r="I18" s="824">
        <f>IF(T4Manip!H16="","",T4Manip!H16)</f>
        <v>1425</v>
      </c>
      <c r="J18" s="941"/>
    </row>
    <row r="19" spans="1:10">
      <c r="A19" s="1634">
        <f>IF(T4Manip!A17="","",T4Manip!A17)</f>
        <v>1991</v>
      </c>
      <c r="B19" s="824">
        <f>IF(T4Manip!B17="","",T4Manip!B17)</f>
        <v>52516</v>
      </c>
      <c r="C19" s="824">
        <f>IF(T4Manip!C17="","",T4Manip!C17)</f>
        <v>8323</v>
      </c>
      <c r="D19" s="824">
        <f>IF(T4Manip!D17="","",T4Manip!D17)</f>
        <v>16</v>
      </c>
      <c r="E19" s="1625"/>
      <c r="F19" s="824">
        <f>IF(T4Manip!E17="","",T4Manip!E17)</f>
        <v>25044</v>
      </c>
      <c r="G19" s="824">
        <f>IF(T4Manip!F17="","",T4Manip!F17)</f>
        <v>48</v>
      </c>
      <c r="H19" s="824">
        <f>IF(T4Manip!G17="","",T4Manip!G17)</f>
        <v>2776</v>
      </c>
      <c r="I19" s="824">
        <f>IF(T4Manip!H17="","",T4Manip!H17)</f>
        <v>2992</v>
      </c>
      <c r="J19" s="941"/>
    </row>
    <row r="20" spans="1:10">
      <c r="A20" s="1634">
        <f>IF(T4Manip!A18="","",T4Manip!A18)</f>
        <v>1992</v>
      </c>
      <c r="B20" s="824">
        <f>IF(T4Manip!B18="","",T4Manip!B18)</f>
        <v>42004</v>
      </c>
      <c r="C20" s="824">
        <f>IF(T4Manip!C18="","",T4Manip!C18)</f>
        <v>7424</v>
      </c>
      <c r="D20" s="824">
        <f>IF(T4Manip!D18="","",T4Manip!D18)</f>
        <v>18</v>
      </c>
      <c r="E20" s="1625"/>
      <c r="F20" s="824">
        <f>IF(T4Manip!E18="","",T4Manip!E18)</f>
        <v>19589</v>
      </c>
      <c r="G20" s="824">
        <f>IF(T4Manip!F18="","",T4Manip!F18)</f>
        <v>47</v>
      </c>
      <c r="H20" s="824">
        <f>IF(T4Manip!G18="","",T4Manip!G18)</f>
        <v>4535</v>
      </c>
      <c r="I20" s="824">
        <f>IF(T4Manip!H18="","",T4Manip!H18)</f>
        <v>2206</v>
      </c>
      <c r="J20" s="941"/>
    </row>
    <row r="21" spans="1:10">
      <c r="A21" s="1634">
        <f>IF(T4Manip!A19="","",T4Manip!A19)</f>
        <v>1993</v>
      </c>
      <c r="B21" s="824">
        <f>IF(T4Manip!B19="","",T4Manip!B19)</f>
        <v>31966</v>
      </c>
      <c r="C21" s="824">
        <f>IF(T4Manip!C19="","",T4Manip!C19)</f>
        <v>8161</v>
      </c>
      <c r="D21" s="824">
        <f>IF(T4Manip!D19="","",T4Manip!D19)</f>
        <v>26</v>
      </c>
      <c r="E21" s="1625"/>
      <c r="F21" s="824">
        <f>IF(T4Manip!E19="","",T4Manip!E19)</f>
        <v>18173</v>
      </c>
      <c r="G21" s="824">
        <f>IF(T4Manip!F19="","",T4Manip!F19)</f>
        <v>57</v>
      </c>
      <c r="H21" s="824">
        <f>IF(T4Manip!G19="","",T4Manip!G19)</f>
        <v>4635</v>
      </c>
      <c r="I21" s="824">
        <f>IF(T4Manip!H19="","",T4Manip!H19)</f>
        <v>1386</v>
      </c>
      <c r="J21" s="941"/>
    </row>
    <row r="22" spans="1:10" ht="14.25">
      <c r="A22" s="1634">
        <f>IF(T4Manip!A20="","",T4Manip!A20)</f>
        <v>1994</v>
      </c>
      <c r="B22" s="824">
        <f>IF(T4Manip!B20="","",T4Manip!B20)</f>
        <v>26102</v>
      </c>
      <c r="C22" s="824">
        <f>IF(T4Manip!C20="","",T4Manip!C20)</f>
        <v>4273</v>
      </c>
      <c r="D22" s="824">
        <f>IF(T4Manip!D20="","",T4Manip!D20)</f>
        <v>16</v>
      </c>
      <c r="E22" s="1625"/>
      <c r="F22" s="824">
        <f>IF(T4Manip!E20="","",T4Manip!E20)</f>
        <v>11321</v>
      </c>
      <c r="G22" s="824">
        <f>IF(T4Manip!F20="","",T4Manip!F20)</f>
        <v>43</v>
      </c>
      <c r="H22" s="824">
        <f>IF(T4Manip!G20="","",T4Manip!G20)</f>
        <v>3675</v>
      </c>
      <c r="I22" s="824">
        <f>IF(T4Manip!H20="","",T4Manip!H20)</f>
        <v>3193</v>
      </c>
      <c r="J22" s="1161">
        <v>3</v>
      </c>
    </row>
    <row r="23" spans="1:10" ht="14.25">
      <c r="A23" s="1634">
        <f>IF(T4Manip!A21="","",T4Manip!A21)</f>
        <v>1995</v>
      </c>
      <c r="B23" s="824">
        <f>IF(T4Manip!B21="","",T4Manip!B21)</f>
        <v>20592</v>
      </c>
      <c r="C23" s="824">
        <f>IF(T4Manip!C21="","",T4Manip!C21)</f>
        <v>3380</v>
      </c>
      <c r="D23" s="824">
        <f>IF(T4Manip!D21="","",T4Manip!D21)</f>
        <v>16</v>
      </c>
      <c r="E23" s="1625"/>
      <c r="F23" s="824">
        <f>IF(T4Manip!E21="","",T4Manip!E21)</f>
        <v>10379</v>
      </c>
      <c r="G23" s="824">
        <f>IF(T4Manip!F21="","",T4Manip!F21)</f>
        <v>50</v>
      </c>
      <c r="H23" s="824">
        <f>IF(T4Manip!G21="","",T4Manip!G21)</f>
        <v>3112</v>
      </c>
      <c r="I23" s="824">
        <f>IF(T4Manip!H21="","",T4Manip!H21)</f>
        <v>1504</v>
      </c>
      <c r="J23" s="1161">
        <v>4</v>
      </c>
    </row>
    <row r="24" spans="1:10" ht="14.25">
      <c r="A24" s="1634">
        <f>IF(T4Manip!A22="","",T4Manip!A22)</f>
        <v>1996</v>
      </c>
      <c r="B24" s="824">
        <f>IF(T4Manip!B22="","",T4Manip!B22)</f>
        <v>21605</v>
      </c>
      <c r="C24" s="824">
        <f>IF(T4Manip!C22="","",T4Manip!C22)</f>
        <v>5041</v>
      </c>
      <c r="D24" s="824">
        <f>IF(T4Manip!D22="","",T4Manip!D22)</f>
        <v>23</v>
      </c>
      <c r="E24" s="1625"/>
      <c r="F24" s="824">
        <f>IF(T4Manip!E22="","",T4Manip!E22)</f>
        <v>11501</v>
      </c>
      <c r="G24" s="824">
        <f>IF(T4Manip!F22="","",T4Manip!F22)</f>
        <v>53</v>
      </c>
      <c r="H24" s="824">
        <f>IF(T4Manip!G22="","",T4Manip!G22)</f>
        <v>3044</v>
      </c>
      <c r="I24" s="824">
        <f>IF(T4Manip!H22="","",T4Manip!H22)</f>
        <v>4386</v>
      </c>
      <c r="J24" s="1161">
        <v>5</v>
      </c>
    </row>
    <row r="25" spans="1:10">
      <c r="A25" s="1634">
        <f>IF(T4Manip!A23="","",T4Manip!A23)</f>
        <v>1997</v>
      </c>
      <c r="B25" s="824">
        <f>IF(T4Manip!B23="","",T4Manip!B23)</f>
        <v>26885</v>
      </c>
      <c r="C25" s="824">
        <f>IF(T4Manip!C23="","",T4Manip!C23)</f>
        <v>4022</v>
      </c>
      <c r="D25" s="824">
        <f>IF(T4Manip!D23="","",T4Manip!D23)</f>
        <v>15</v>
      </c>
      <c r="E25" s="1625"/>
      <c r="F25" s="824">
        <f>IF(T4Manip!E23="","",T4Manip!E23)</f>
        <v>15928</v>
      </c>
      <c r="G25" s="824">
        <f>IF(T4Manip!F23="","",T4Manip!F23)</f>
        <v>59</v>
      </c>
      <c r="H25" s="824">
        <f>IF(T4Manip!G23="","",T4Manip!G23)</f>
        <v>2670</v>
      </c>
      <c r="I25" s="824">
        <f>IF(T4Manip!H23="","",T4Manip!H23)</f>
        <v>539</v>
      </c>
      <c r="J25" s="941"/>
    </row>
    <row r="26" spans="1:10">
      <c r="A26" s="1634">
        <f>IF(T4Manip!A24="","",T4Manip!A24)</f>
        <v>1998</v>
      </c>
      <c r="B26" s="824">
        <f>IF(T4Manip!B24="","",T4Manip!B24)</f>
        <v>34461</v>
      </c>
      <c r="C26" s="824">
        <f>IF(T4Manip!C24="","",T4Manip!C24)</f>
        <v>6125</v>
      </c>
      <c r="D26" s="824">
        <f>IF(T4Manip!D24="","",T4Manip!D24)</f>
        <v>18</v>
      </c>
      <c r="E26" s="1625"/>
      <c r="F26" s="824">
        <f>IF(T4Manip!E24="","",T4Manip!E24)</f>
        <v>18288</v>
      </c>
      <c r="G26" s="824">
        <f>IF(T4Manip!F24="","",T4Manip!F24)</f>
        <v>53</v>
      </c>
      <c r="H26" s="824">
        <f>IF(T4Manip!G24="","",T4Manip!G24)</f>
        <v>4530</v>
      </c>
      <c r="I26" s="824">
        <f>IF(T4Manip!H24="","",T4Manip!H24)</f>
        <v>7590</v>
      </c>
      <c r="J26" s="941"/>
    </row>
    <row r="27" spans="1:10">
      <c r="A27" s="1634">
        <f>IF(T4Manip!A25="","",T4Manip!A25)</f>
        <v>1999</v>
      </c>
      <c r="B27" s="824">
        <f>IF(T4Manip!B25="","",T4Manip!B25)</f>
        <v>40410</v>
      </c>
      <c r="C27" s="824">
        <f>IF(T4Manip!C25="","",T4Manip!C25)</f>
        <v>6367</v>
      </c>
      <c r="D27" s="824">
        <f>IF(T4Manip!D25="","",T4Manip!D25)</f>
        <v>16</v>
      </c>
      <c r="E27" s="1625"/>
      <c r="F27" s="824">
        <f>IF(T4Manip!E25="","",T4Manip!E25)</f>
        <v>20636</v>
      </c>
      <c r="G27" s="824">
        <f>IF(T4Manip!F25="","",T4Manip!F25)</f>
        <v>51</v>
      </c>
      <c r="H27" s="824">
        <f>IF(T4Manip!G25="","",T4Manip!G25)</f>
        <v>4562</v>
      </c>
      <c r="I27" s="824">
        <f>IF(T4Manip!H25="","",T4Manip!H25)</f>
        <v>7689</v>
      </c>
      <c r="J27" s="941"/>
    </row>
    <row r="28" spans="1:10">
      <c r="A28" s="1634" t="str">
        <f>IF(T4Manip!A26="","",T4Manip!A26)</f>
        <v/>
      </c>
      <c r="B28" s="824" t="str">
        <f>IF(T4Manip!B26="","",T4Manip!B26)</f>
        <v/>
      </c>
      <c r="C28" s="824" t="str">
        <f>IF(T4Manip!C26="","",T4Manip!C26)</f>
        <v/>
      </c>
      <c r="D28" s="824" t="str">
        <f>IF(T4Manip!D26="","",T4Manip!D26)</f>
        <v/>
      </c>
      <c r="E28" s="1625"/>
      <c r="F28" s="824" t="str">
        <f>IF(T4Manip!E26="","",T4Manip!E26)</f>
        <v/>
      </c>
      <c r="G28" s="824" t="str">
        <f>IF(T4Manip!F26="","",T4Manip!F26)</f>
        <v/>
      </c>
      <c r="H28" s="824" t="str">
        <f>IF(T4Manip!G26="","",T4Manip!G26)</f>
        <v/>
      </c>
      <c r="I28" s="824" t="str">
        <f>IF(T4Manip!H26="","",T4Manip!H26)</f>
        <v/>
      </c>
      <c r="J28" s="941"/>
    </row>
    <row r="29" spans="1:10">
      <c r="A29" s="1634">
        <f>IF(T4Manip!A27="","",T4Manip!A27)</f>
        <v>2000</v>
      </c>
      <c r="B29" s="824">
        <f>IF(T4Manip!B27="","",T4Manip!B27)</f>
        <v>39073</v>
      </c>
      <c r="C29" s="824">
        <f>IF(T4Manip!C27="","",T4Manip!C27)</f>
        <v>5119</v>
      </c>
      <c r="D29" s="824">
        <f>IF(T4Manip!D27="","",T4Manip!D27)</f>
        <v>13</v>
      </c>
      <c r="E29" s="1625"/>
      <c r="F29" s="824">
        <f>IF(T4Manip!E27="","",T4Manip!E27)</f>
        <v>16548</v>
      </c>
      <c r="G29" s="824">
        <f>IF(T4Manip!F27="","",T4Manip!F27)</f>
        <v>42</v>
      </c>
      <c r="H29" s="824">
        <f>IF(T4Manip!G27="","",T4Manip!G27)</f>
        <v>4296</v>
      </c>
      <c r="I29" s="824">
        <f>IF(T4Manip!H27="","",T4Manip!H27)</f>
        <v>0</v>
      </c>
      <c r="J29" s="941"/>
    </row>
    <row r="30" spans="1:10">
      <c r="A30" s="1634">
        <f>IF(T4Manip!A28="","",T4Manip!A28)</f>
        <v>2001</v>
      </c>
      <c r="B30" s="824">
        <f>IF(T4Manip!B28="","",T4Manip!B28)</f>
        <v>53973</v>
      </c>
      <c r="C30" s="824">
        <f>IF(T4Manip!C28="","",T4Manip!C28)</f>
        <v>5538</v>
      </c>
      <c r="D30" s="824">
        <f>IF(T4Manip!D28="","",T4Manip!D28)</f>
        <v>10</v>
      </c>
      <c r="E30" s="1625"/>
      <c r="F30" s="824">
        <f>IF(T4Manip!E28="","",T4Manip!E28)</f>
        <v>21247</v>
      </c>
      <c r="G30" s="824">
        <f>IF(T4Manip!F28="","",T4Manip!F28)</f>
        <v>39</v>
      </c>
      <c r="H30" s="824">
        <f>IF(T4Manip!G28="","",T4Manip!G28)</f>
        <v>6155</v>
      </c>
      <c r="I30" s="824">
        <f>IF(T4Manip!H28="","",T4Manip!H28)</f>
        <v>0</v>
      </c>
      <c r="J30" s="941"/>
    </row>
    <row r="31" spans="1:10">
      <c r="A31" s="1634">
        <f>IF(T4Manip!A29="","",T4Manip!A29)</f>
        <v>2002</v>
      </c>
      <c r="B31" s="824">
        <f>IF(T4Manip!B29="","",T4Manip!B29)</f>
        <v>83136</v>
      </c>
      <c r="C31" s="824">
        <f>IF(T4Manip!C29="","",T4Manip!C29)</f>
        <v>12262</v>
      </c>
      <c r="D31" s="824">
        <f>IF(T4Manip!D29="","",T4Manip!D29)</f>
        <v>15</v>
      </c>
      <c r="E31" s="1625"/>
      <c r="F31" s="824">
        <f>IF(T4Manip!E29="","",T4Manip!E29)</f>
        <v>31358</v>
      </c>
      <c r="G31" s="824">
        <f>IF(T4Manip!F29="","",T4Manip!F29)</f>
        <v>38</v>
      </c>
      <c r="H31" s="824">
        <f>IF(T4Manip!G29="","",T4Manip!G29)</f>
        <v>6219</v>
      </c>
      <c r="I31" s="824">
        <f>IF(T4Manip!H29="","",T4Manip!H29)</f>
        <v>0</v>
      </c>
      <c r="J31" s="941"/>
    </row>
    <row r="32" spans="1:10">
      <c r="A32" s="1634">
        <f>IF(T4Manip!A30="","",T4Manip!A30)</f>
        <v>2003</v>
      </c>
      <c r="B32" s="824">
        <f>IF(T4Manip!B30="","",T4Manip!B30)</f>
        <v>87749</v>
      </c>
      <c r="C32" s="824">
        <f>IF(T4Manip!C30="","",T4Manip!C30)</f>
        <v>10786</v>
      </c>
      <c r="D32" s="824">
        <f>IF(T4Manip!D30="","",T4Manip!D30)</f>
        <v>12</v>
      </c>
      <c r="E32" s="1625"/>
      <c r="F32" s="824">
        <f>IF(T4Manip!E30="","",T4Manip!E30)</f>
        <v>28315</v>
      </c>
      <c r="G32" s="824">
        <f>IF(T4Manip!F30="","",T4Manip!F30)</f>
        <v>32</v>
      </c>
      <c r="H32" s="824">
        <f>IF(T4Manip!G30="","",T4Manip!G30)</f>
        <v>5336</v>
      </c>
      <c r="I32" s="824">
        <f>IF(T4Manip!H30="","",T4Manip!H30)</f>
        <v>0</v>
      </c>
      <c r="J32" s="941"/>
    </row>
    <row r="33" spans="1:10">
      <c r="A33" s="1634">
        <f>IF(T4Manip!A31="","",T4Manip!A31)</f>
        <v>2004</v>
      </c>
      <c r="B33" s="824">
        <f>IF(T4Manip!B31="","",T4Manip!B31)</f>
        <v>95970</v>
      </c>
      <c r="C33" s="824">
        <f>IF(T4Manip!C31="","",T4Manip!C31)</f>
        <v>13026</v>
      </c>
      <c r="D33" s="824">
        <f>IF(T4Manip!D31="","",T4Manip!D31)</f>
        <v>14</v>
      </c>
      <c r="E33" s="1625"/>
      <c r="F33" s="824">
        <f>IF(T4Manip!E31="","",T4Manip!E31)</f>
        <v>36947</v>
      </c>
      <c r="G33" s="824">
        <f>IF(T4Manip!F31="","",T4Manip!F31)</f>
        <v>38</v>
      </c>
      <c r="H33" s="824">
        <f>IF(T4Manip!G31="","",T4Manip!G31)</f>
        <v>11231</v>
      </c>
      <c r="I33" s="824">
        <f>IF(T4Manip!H31="","",T4Manip!H31)</f>
        <v>0</v>
      </c>
      <c r="J33" s="941"/>
    </row>
    <row r="34" spans="1:10">
      <c r="A34" s="1634">
        <f>IF(T4Manip!A32="","",T4Manip!A32)</f>
        <v>2005</v>
      </c>
      <c r="B34" s="824">
        <f>IF(T4Manip!B32="","",T4Manip!B32)</f>
        <v>36633</v>
      </c>
      <c r="C34" s="824">
        <f>IF(T4Manip!C32="","",T4Manip!C32)</f>
        <v>4386</v>
      </c>
      <c r="D34" s="824">
        <f>IF(T4Manip!D32="","",T4Manip!D32)</f>
        <v>12</v>
      </c>
      <c r="E34" s="1625"/>
      <c r="F34" s="824">
        <f>IF(T4Manip!E32="","",T4Manip!E32)</f>
        <v>15821</v>
      </c>
      <c r="G34" s="824">
        <f>IF(T4Manip!F32="","",T4Manip!F32)</f>
        <v>43</v>
      </c>
      <c r="H34" s="824">
        <f>IF(T4Manip!G32="","",T4Manip!G32)</f>
        <v>6792</v>
      </c>
      <c r="I34" s="824">
        <f>IF(T4Manip!H32="","",T4Manip!H32)</f>
        <v>0</v>
      </c>
      <c r="J34" s="941"/>
    </row>
    <row r="35" spans="1:10">
      <c r="A35" s="1634">
        <f>IF(T4Manip!A33="","",T4Manip!A33)</f>
        <v>2006</v>
      </c>
      <c r="B35" s="824">
        <f>IF(T4Manip!B33="","",T4Manip!B33)</f>
        <v>37041</v>
      </c>
      <c r="C35" s="824">
        <f>IF(T4Manip!C33="","",T4Manip!C33)</f>
        <v>5523</v>
      </c>
      <c r="D35" s="824">
        <f>IF(T4Manip!D33="","",T4Manip!D33)</f>
        <v>15</v>
      </c>
      <c r="E35" s="1625"/>
      <c r="F35" s="824">
        <f>IF(T4Manip!E33="","",T4Manip!E33)</f>
        <v>17036</v>
      </c>
      <c r="G35" s="824">
        <f>IF(T4Manip!F33="","",T4Manip!F33)</f>
        <v>46</v>
      </c>
      <c r="H35" s="824">
        <f>IF(T4Manip!G33="","",T4Manip!G33)</f>
        <v>7359</v>
      </c>
      <c r="I35" s="824">
        <f>IF(T4Manip!H33="","",T4Manip!H33)</f>
        <v>0</v>
      </c>
      <c r="J35" s="941"/>
    </row>
    <row r="36" spans="1:10">
      <c r="A36" s="1634">
        <f>IF(T4Manip!A34="","",T4Manip!A34)</f>
        <v>2007</v>
      </c>
      <c r="B36" s="824">
        <f>IF(T4Manip!B34="","",T4Manip!B34)</f>
        <v>23098</v>
      </c>
      <c r="C36" s="824">
        <f>IF(T4Manip!C34="","",T4Manip!C34)</f>
        <v>2130</v>
      </c>
      <c r="D36" s="824">
        <f>IF(T4Manip!D34="","",T4Manip!D34)</f>
        <v>9</v>
      </c>
      <c r="E36" s="1625"/>
      <c r="F36" s="824">
        <f>IF(T4Manip!E34="","",T4Manip!E34)</f>
        <v>10248</v>
      </c>
      <c r="G36" s="824">
        <f>IF(T4Manip!F34="","",T4Manip!F34)</f>
        <v>44</v>
      </c>
      <c r="H36" s="824">
        <f>IF(T4Manip!G34="","",T4Manip!G34)</f>
        <v>6106</v>
      </c>
      <c r="I36" s="824">
        <f>IF(T4Manip!H34="","",T4Manip!H34)</f>
        <v>0</v>
      </c>
      <c r="J36" s="941"/>
    </row>
    <row r="37" spans="1:10">
      <c r="A37" s="1634">
        <f>IF(T4Manip!A35="","",T4Manip!A35)</f>
        <v>2008</v>
      </c>
      <c r="B37" s="824">
        <f>IF(T4Manip!B35="","",T4Manip!B35)</f>
        <v>14672</v>
      </c>
      <c r="C37" s="824">
        <f>IF(T4Manip!C35="","",T4Manip!C35)</f>
        <v>279</v>
      </c>
      <c r="D37" s="824">
        <f>IF(T4Manip!D35="","",T4Manip!D35)</f>
        <v>2</v>
      </c>
      <c r="E37" s="1625"/>
      <c r="F37" s="824">
        <f>IF(T4Manip!E35="","",T4Manip!E35)</f>
        <v>8392</v>
      </c>
      <c r="G37" s="824">
        <f>IF(T4Manip!F35="","",T4Manip!F35)</f>
        <v>57</v>
      </c>
      <c r="H37" s="824">
        <f>IF(T4Manip!G35="","",T4Manip!G35)</f>
        <v>5223</v>
      </c>
      <c r="I37" s="824">
        <f>IF(T4Manip!H35="","",T4Manip!H35)</f>
        <v>0</v>
      </c>
      <c r="J37" s="941"/>
    </row>
    <row r="38" spans="1:10">
      <c r="A38" s="1634">
        <f>IF(T4Manip!A36="","",T4Manip!A36)</f>
        <v>2009</v>
      </c>
      <c r="B38" s="824">
        <f>IF(T4Manip!B36="","",T4Manip!B36)</f>
        <v>28514</v>
      </c>
      <c r="C38" s="824">
        <f>IF(T4Manip!C36="","",T4Manip!C36)</f>
        <v>3110</v>
      </c>
      <c r="D38" s="824">
        <f>IF(T4Manip!D36="","",T4Manip!D36)</f>
        <v>11</v>
      </c>
      <c r="E38" s="1625"/>
      <c r="F38" s="824">
        <f>IF(T4Manip!E36="","",T4Manip!E36)</f>
        <v>14936</v>
      </c>
      <c r="G38" s="824">
        <f>IF(T4Manip!F36="","",T4Manip!F36)</f>
        <v>52</v>
      </c>
      <c r="H38" s="824">
        <f>IF(T4Manip!G36="","",T4Manip!G36)</f>
        <v>2853</v>
      </c>
      <c r="I38" s="824">
        <f>IF(T4Manip!H36="","",T4Manip!H36)</f>
        <v>0</v>
      </c>
      <c r="J38" s="941"/>
    </row>
    <row r="39" spans="1:10">
      <c r="A39" s="1634" t="str">
        <f>IF(T4Manip!A37="","",T4Manip!A37)</f>
        <v/>
      </c>
      <c r="B39" s="824" t="str">
        <f>IF(T4Manip!B37="","",T4Manip!B37)</f>
        <v/>
      </c>
      <c r="C39" s="824" t="str">
        <f>IF(T4Manip!C37="","",T4Manip!C37)</f>
        <v/>
      </c>
      <c r="D39" s="824" t="str">
        <f>IF(T4Manip!D37="","",T4Manip!D37)</f>
        <v/>
      </c>
      <c r="E39" s="1625"/>
      <c r="F39" s="824" t="str">
        <f>IF(T4Manip!E37="","",T4Manip!E37)</f>
        <v/>
      </c>
      <c r="G39" s="824" t="str">
        <f>IF(T4Manip!F37="","",T4Manip!F37)</f>
        <v/>
      </c>
      <c r="H39" s="824" t="str">
        <f>IF(T4Manip!G37="","",T4Manip!G37)</f>
        <v/>
      </c>
      <c r="I39" s="824" t="str">
        <f>IF(T4Manip!H37="","",T4Manip!H37)</f>
        <v/>
      </c>
      <c r="J39" s="941"/>
    </row>
    <row r="40" spans="1:10">
      <c r="A40" s="1634">
        <f>IF(T4Manip!A38="","",T4Manip!A38)</f>
        <v>2010</v>
      </c>
      <c r="B40" s="824">
        <f>IF(T4Manip!B38="","",T4Manip!B38)</f>
        <v>67059</v>
      </c>
      <c r="C40" s="824">
        <f>IF(T4Manip!C38="","",T4Manip!C38)</f>
        <v>9844</v>
      </c>
      <c r="D40" s="824">
        <f>IF(T4Manip!D38="","",T4Manip!D38)</f>
        <v>15</v>
      </c>
      <c r="E40" s="1625"/>
      <c r="F40" s="824">
        <f>IF(T4Manip!E38="","",T4Manip!E38)</f>
        <v>27820</v>
      </c>
      <c r="G40" s="824">
        <f>IF(T4Manip!F38="","",T4Manip!F38)</f>
        <v>41</v>
      </c>
      <c r="H40" s="824">
        <f>IF(T4Manip!G38="","",T4Manip!G38)</f>
        <v>8239</v>
      </c>
      <c r="I40" s="824">
        <f>IF(T4Manip!H38="","",T4Manip!H38)</f>
        <v>0</v>
      </c>
      <c r="J40" s="941"/>
    </row>
    <row r="41" spans="1:10">
      <c r="A41" s="1634">
        <f>IF(T4Manip!A39="","",T4Manip!A39)</f>
        <v>2011</v>
      </c>
      <c r="B41" s="824">
        <f>IF(T4Manip!B39="","",T4Manip!B39)</f>
        <v>45147</v>
      </c>
      <c r="C41" s="824">
        <f>IF(T4Manip!C39="","",T4Manip!C39)</f>
        <v>5043</v>
      </c>
      <c r="D41" s="824">
        <f>IF(T4Manip!D39="","",T4Manip!D39)</f>
        <v>11</v>
      </c>
      <c r="E41" s="1625"/>
      <c r="F41" s="824">
        <f>IF(T4Manip!E39="","",T4Manip!E39)</f>
        <v>23335</v>
      </c>
      <c r="G41" s="824">
        <f>IF(T4Manip!F39="","",T4Manip!F39)</f>
        <v>52</v>
      </c>
      <c r="H41" s="824">
        <f>IF(T4Manip!G39="","",T4Manip!G39)</f>
        <v>3908</v>
      </c>
      <c r="I41" s="824">
        <f>IF(T4Manip!H39="","",T4Manip!H39)</f>
        <v>0</v>
      </c>
      <c r="J41" s="941"/>
    </row>
    <row r="42" spans="1:10">
      <c r="A42" s="1634">
        <f>IF(T4Manip!A40="","",T4Manip!A40)</f>
        <v>2012</v>
      </c>
      <c r="B42" s="824">
        <f>IF(T4Manip!B40="","",T4Manip!B40)</f>
        <v>37213</v>
      </c>
      <c r="C42" s="824">
        <f>IF(T4Manip!C40="","",T4Manip!C40)</f>
        <v>5132</v>
      </c>
      <c r="D42" s="824">
        <f>IF(T4Manip!D40="","",T4Manip!D40)</f>
        <v>14</v>
      </c>
      <c r="E42" s="1317"/>
      <c r="F42" s="824">
        <f>IF(T4Manip!E40="","",T4Manip!E40)</f>
        <v>21539</v>
      </c>
      <c r="G42" s="824">
        <f>IF(T4Manip!F40="","",T4Manip!F40)</f>
        <v>58</v>
      </c>
      <c r="H42" s="824">
        <f>IF(T4Manip!G40="","",T4Manip!G40)</f>
        <v>2954</v>
      </c>
      <c r="I42" s="824">
        <f>IF(T4Manip!H40="","",T4Manip!H40)</f>
        <v>0</v>
      </c>
      <c r="J42" s="941"/>
    </row>
    <row r="43" spans="1:10">
      <c r="A43" s="1634">
        <f>IF(T4Manip!A41="","",T4Manip!A41)</f>
        <v>2013</v>
      </c>
      <c r="B43" s="824">
        <f>IF(T4Manip!B41="","",T4Manip!B41)</f>
        <v>29561</v>
      </c>
      <c r="C43" s="824">
        <f>IF(T4Manip!C41="","",T4Manip!C41)</f>
        <v>2409</v>
      </c>
      <c r="D43" s="824">
        <f>IF(T4Manip!D41="","",T4Manip!D41)</f>
        <v>8</v>
      </c>
      <c r="E43" s="1625"/>
      <c r="F43" s="824">
        <f>IF(T4Manip!E41="","",T4Manip!E41)</f>
        <v>18762</v>
      </c>
      <c r="G43" s="824">
        <f>IF(T4Manip!F41="","",T4Manip!F41)</f>
        <v>63</v>
      </c>
      <c r="H43" s="824">
        <f>IF(T4Manip!G41="","",T4Manip!G41)</f>
        <v>2888</v>
      </c>
      <c r="I43" s="824">
        <f>IF(T4Manip!H41="","",T4Manip!H41)</f>
        <v>0</v>
      </c>
      <c r="J43" s="941"/>
    </row>
    <row r="44" spans="1:10">
      <c r="A44" s="1634">
        <f>IF(T4Manip!A42="","",T4Manip!A42)</f>
        <v>2014</v>
      </c>
      <c r="B44" s="824">
        <f>IF(T4Manip!B42="","",T4Manip!B42)</f>
        <v>31669</v>
      </c>
      <c r="C44" s="824">
        <f>IF(T4Manip!C42="","",T4Manip!C42)</f>
        <v>3527</v>
      </c>
      <c r="D44" s="824">
        <f>IF(T4Manip!D42="","",T4Manip!D42)</f>
        <v>11</v>
      </c>
      <c r="E44" s="1625"/>
      <c r="F44" s="824">
        <f>IF(T4Manip!E42="","",T4Manip!E42)</f>
        <v>17638</v>
      </c>
      <c r="G44" s="824">
        <f>IF(T4Manip!F42="","",T4Manip!F42)</f>
        <v>56</v>
      </c>
      <c r="H44" s="824">
        <f>IF(T4Manip!G42="","",T4Manip!G42)</f>
        <v>4136</v>
      </c>
      <c r="I44" s="824">
        <f>IF(T4Manip!H42="","",T4Manip!H42)</f>
        <v>0</v>
      </c>
      <c r="J44" s="941"/>
    </row>
    <row r="45" spans="1:10">
      <c r="A45" s="1634">
        <f>IF(T4Manip!A43="","",T4Manip!A43)</f>
        <v>2015</v>
      </c>
      <c r="B45" s="824">
        <f>IF(T4Manip!B43="","",T4Manip!B43)</f>
        <v>53088</v>
      </c>
      <c r="C45" s="824">
        <f>IF(T4Manip!C43="","",T4Manip!C43)</f>
        <v>6283</v>
      </c>
      <c r="D45" s="824">
        <f>IF(T4Manip!D43="","",T4Manip!D43)</f>
        <v>12</v>
      </c>
      <c r="E45" s="1625"/>
      <c r="F45" s="824">
        <f>IF(T4Manip!E43="","",T4Manip!E43)</f>
        <v>26360</v>
      </c>
      <c r="G45" s="824">
        <f>IF(T4Manip!F43="","",T4Manip!F43)</f>
        <v>50</v>
      </c>
      <c r="H45" s="824">
        <f>IF(T4Manip!G43="","",T4Manip!G43)</f>
        <v>5354</v>
      </c>
      <c r="I45" s="824">
        <f>IF(T4Manip!H43="","",T4Manip!H43)</f>
        <v>0</v>
      </c>
      <c r="J45" s="941"/>
    </row>
    <row r="46" spans="1:10">
      <c r="A46" s="1634">
        <f>IF(T4Manip!A44="","",T4Manip!A44)</f>
        <v>2016</v>
      </c>
      <c r="B46" s="824">
        <f>IF(T4Manip!B44="","",T4Manip!B44)</f>
        <v>32478</v>
      </c>
      <c r="C46" s="824">
        <f>IF(T4Manip!C44="","",T4Manip!C44)</f>
        <v>4217</v>
      </c>
      <c r="D46" s="824">
        <f>IF(T4Manip!D44="","",T4Manip!D44)</f>
        <v>13</v>
      </c>
      <c r="E46" s="1625"/>
      <c r="F46" s="824">
        <f>IF(T4Manip!E44="","",T4Manip!E44)</f>
        <v>12794</v>
      </c>
      <c r="G46" s="824">
        <f>IF(T4Manip!F44="","",T4Manip!F44)</f>
        <v>39</v>
      </c>
      <c r="H46" s="824">
        <f>IF(T4Manip!G44="","",T4Manip!G44)</f>
        <v>1696</v>
      </c>
      <c r="I46" s="824">
        <f>IF(T4Manip!H44="","",T4Manip!H44)</f>
        <v>0</v>
      </c>
      <c r="J46" s="941"/>
    </row>
    <row r="47" spans="1:10">
      <c r="A47" s="1634">
        <f>IF(T4Manip!A45="","",T4Manip!A45)</f>
        <v>2017</v>
      </c>
      <c r="B47" s="824">
        <f>IF(T4Manip!B45="","",T4Manip!B45)</f>
        <v>36628</v>
      </c>
      <c r="C47" s="824">
        <f>IF(T4Manip!C45="","",T4Manip!C45)</f>
        <v>5163</v>
      </c>
      <c r="D47" s="824">
        <f>IF(T4Manip!D45="","",T4Manip!D45)</f>
        <v>14</v>
      </c>
      <c r="E47" s="1625"/>
      <c r="F47" s="824">
        <f>IF(T4Manip!E45="","",T4Manip!E45)</f>
        <v>20036</v>
      </c>
      <c r="G47" s="824">
        <f>IF(T4Manip!F45="","",T4Manip!F45)</f>
        <v>55</v>
      </c>
      <c r="H47" s="824">
        <f>IF(T4Manip!G45="","",T4Manip!G45)</f>
        <v>529</v>
      </c>
      <c r="I47" s="824">
        <f>IF(T4Manip!H45="","",T4Manip!H45)</f>
        <v>0</v>
      </c>
      <c r="J47" s="941"/>
    </row>
    <row r="48" spans="1:10">
      <c r="A48" s="1634">
        <f>IF(T4Manip!A46="","",T4Manip!A46)</f>
        <v>2018</v>
      </c>
      <c r="B48" s="824">
        <f>IF(T4Manip!B46="","",T4Manip!B46)</f>
        <v>26542</v>
      </c>
      <c r="C48" s="824">
        <f>IF(T4Manip!C46="","",T4Manip!C46)</f>
        <v>2360</v>
      </c>
      <c r="D48" s="824">
        <f>IF(T4Manip!D46="","",T4Manip!D46)</f>
        <v>9</v>
      </c>
      <c r="E48" s="1625"/>
      <c r="F48" s="824">
        <f>IF(T4Manip!E46="","",T4Manip!E46)</f>
        <v>12880</v>
      </c>
      <c r="G48" s="824">
        <f>IF(T4Manip!F46="","",T4Manip!F46)</f>
        <v>49</v>
      </c>
      <c r="H48" s="824">
        <f>IF(T4Manip!G46="","",T4Manip!G46)</f>
        <v>152</v>
      </c>
      <c r="I48" s="824">
        <f>IF(T4Manip!H46="","",T4Manip!H46)</f>
        <v>0</v>
      </c>
      <c r="J48" s="941"/>
    </row>
    <row r="49" spans="1:12">
      <c r="A49" s="1634">
        <f>IF(T4Manip!A47="","",T4Manip!A47)</f>
        <v>2019</v>
      </c>
      <c r="B49" s="824">
        <f>IF(T4Manip!B47="","",T4Manip!B47)</f>
        <v>20617</v>
      </c>
      <c r="C49" s="824">
        <f>IF(T4Manip!C47="","",T4Manip!C47)</f>
        <v>2367</v>
      </c>
      <c r="D49" s="824">
        <f>IF(T4Manip!D47="","",T4Manip!D47)</f>
        <v>11</v>
      </c>
      <c r="E49" s="1625"/>
      <c r="F49" s="824">
        <f>IF(T4Manip!E47="","",T4Manip!E47)</f>
        <v>8386</v>
      </c>
      <c r="G49" s="824">
        <f>IF(T4Manip!F47="","",T4Manip!F47)</f>
        <v>41</v>
      </c>
      <c r="H49" s="824">
        <f>IF(T4Manip!G47="","",T4Manip!G47)</f>
        <v>208</v>
      </c>
      <c r="I49" s="824">
        <f>IF(T4Manip!H47="","",T4Manip!H47)</f>
        <v>0</v>
      </c>
      <c r="J49" s="941"/>
      <c r="K49" s="1675"/>
      <c r="L49" s="1675"/>
    </row>
    <row r="50" spans="1:12">
      <c r="A50" s="1634" t="str">
        <f>IF(T4Manip!A48="","",T4Manip!A48)</f>
        <v/>
      </c>
      <c r="B50" s="824" t="str">
        <f>IF(T4Manip!B48="","",T4Manip!B48)</f>
        <v/>
      </c>
      <c r="C50" s="824" t="str">
        <f>IF(T4Manip!C48="","",T4Manip!C48)</f>
        <v/>
      </c>
      <c r="D50" s="824" t="str">
        <f>IF(T4Manip!D48="","",T4Manip!D48)</f>
        <v/>
      </c>
      <c r="E50" s="1625"/>
      <c r="F50" s="824" t="str">
        <f>IF(T4Manip!E48="","",T4Manip!E48)</f>
        <v/>
      </c>
      <c r="G50" s="824" t="str">
        <f>IF(T4Manip!F48="","",T4Manip!F48)</f>
        <v/>
      </c>
      <c r="H50" s="824" t="str">
        <f>IF(T4Manip!G48="","",T4Manip!G48)</f>
        <v/>
      </c>
      <c r="I50" s="824" t="str">
        <f>IF(T4Manip!H48="","",T4Manip!H48)</f>
        <v/>
      </c>
      <c r="J50" s="941"/>
      <c r="K50" s="1675"/>
      <c r="L50" s="1675"/>
    </row>
    <row r="51" spans="1:12" ht="12.75" customHeight="1">
      <c r="A51" s="1634">
        <f>IF(T4Manip!A49="","",T4Manip!A49)</f>
        <v>2020</v>
      </c>
      <c r="B51" s="824">
        <f>IF(T4Manip!B49="","",T4Manip!B49)</f>
        <v>35012</v>
      </c>
      <c r="C51" s="824">
        <f>IF(T4Manip!C49="","",T4Manip!C49)</f>
        <v>2621</v>
      </c>
      <c r="D51" s="824">
        <f>IF(T4Manip!D49="","",T4Manip!D49)</f>
        <v>7</v>
      </c>
      <c r="E51" s="1625"/>
      <c r="F51" s="824">
        <f>IF(T4Manip!E49="","",T4Manip!E49)</f>
        <v>16026</v>
      </c>
      <c r="G51" s="824">
        <f>IF(T4Manip!F49="","",T4Manip!F49)</f>
        <v>46</v>
      </c>
      <c r="H51" s="824">
        <f>IF(T4Manip!G49="","",T4Manip!G49)</f>
        <v>329</v>
      </c>
      <c r="I51" s="824">
        <f>IF(T4Manip!H49="","",T4Manip!H49)</f>
        <v>0</v>
      </c>
      <c r="J51" s="941"/>
      <c r="K51" s="1675"/>
      <c r="L51" s="295"/>
    </row>
    <row r="52" spans="1:12" ht="12.75" customHeight="1">
      <c r="A52" s="1634">
        <f>IF(T4Manip!A50="","",T4Manip!A50)</f>
        <v>2021</v>
      </c>
      <c r="B52" s="824">
        <f>IF(T4Manip!B50="","",T4Manip!B50)</f>
        <v>30025</v>
      </c>
      <c r="C52" s="824">
        <f>IF(T4Manip!C50="","",T4Manip!C50)</f>
        <v>3387</v>
      </c>
      <c r="D52" s="824">
        <f>IF(T4Manip!D50="","",T4Manip!D50)</f>
        <v>11</v>
      </c>
      <c r="E52" s="1625"/>
      <c r="F52" s="824">
        <f>IF(T4Manip!E50="","",T4Manip!E50)</f>
        <v>12793</v>
      </c>
      <c r="G52" s="824">
        <f>IF(T4Manip!F50="","",T4Manip!F50)</f>
        <v>43</v>
      </c>
      <c r="H52" s="824">
        <f>IF(T4Manip!G50="","",T4Manip!G50)</f>
        <v>657</v>
      </c>
      <c r="I52" s="824">
        <f>IF(T4Manip!H50="","",T4Manip!H50)</f>
        <v>0</v>
      </c>
      <c r="J52" s="941"/>
      <c r="K52" s="1675"/>
      <c r="L52" s="1675"/>
    </row>
    <row r="53" spans="1:12" ht="12.75" customHeight="1">
      <c r="A53" s="1634">
        <v>2022</v>
      </c>
      <c r="B53" s="824">
        <f>IF(T4Manip!B51="","",T4Manip!B51)</f>
        <v>38629</v>
      </c>
      <c r="C53" s="824">
        <f>IF(T4Manip!C51="","",T4Manip!C51)</f>
        <v>3393</v>
      </c>
      <c r="D53" s="824">
        <f>IF(T4Manip!D51="","",T4Manip!D51)</f>
        <v>9</v>
      </c>
      <c r="E53" s="1625"/>
      <c r="F53" s="824">
        <f>IF(T4Manip!E51="","",T4Manip!E51)</f>
        <v>18788</v>
      </c>
      <c r="G53" s="824">
        <f>IF(T4Manip!F51="","",T4Manip!F51)</f>
        <v>49</v>
      </c>
      <c r="H53" s="824">
        <f>IF(T4Manip!G51="","",T4Manip!G51)</f>
        <v>2762</v>
      </c>
      <c r="I53" s="824">
        <f>IF(T4Manip!H51="","",T4Manip!H51)</f>
        <v>0</v>
      </c>
      <c r="J53" s="941"/>
      <c r="K53" s="1675"/>
      <c r="L53" s="1675"/>
    </row>
    <row r="54" spans="1:12" s="475" customFormat="1" ht="12.75" customHeight="1">
      <c r="A54" s="1634">
        <v>2023</v>
      </c>
      <c r="B54" s="824">
        <f>IF(T4Manip!B52="","",T4Manip!B52)</f>
        <v>24089</v>
      </c>
      <c r="C54" s="824">
        <f>IF(T4Manip!C52="","",T4Manip!C52)</f>
        <v>1785</v>
      </c>
      <c r="D54" s="824">
        <f>IF(T4Manip!D52="","",T4Manip!D52)</f>
        <v>7</v>
      </c>
      <c r="E54" s="1625"/>
      <c r="F54" s="824">
        <f>IF(T4Manip!E52="","",T4Manip!E52)</f>
        <v>11085</v>
      </c>
      <c r="G54" s="824">
        <f>IF(T4Manip!F52="","",T4Manip!F52)</f>
        <v>46</v>
      </c>
      <c r="H54" s="824">
        <f>IF(T4Manip!G52="","",T4Manip!G52)</f>
        <v>2107</v>
      </c>
      <c r="I54" s="824">
        <f>IF(T4Manip!H52="","",T4Manip!H52)</f>
        <v>0</v>
      </c>
      <c r="J54" s="941"/>
    </row>
    <row r="55" spans="1:12" s="475" customFormat="1" ht="12.75" customHeight="1">
      <c r="A55" s="1634">
        <v>2024</v>
      </c>
      <c r="B55" s="824">
        <f>IF(T4Manip!B53="","",T4Manip!B53)</f>
        <v>22592</v>
      </c>
      <c r="C55" s="824">
        <f>IF(T4Manip!C53="","",T4Manip!C53)</f>
        <v>1945</v>
      </c>
      <c r="D55" s="824">
        <f>IF(T4Manip!D53="","",T4Manip!D53)</f>
        <v>9</v>
      </c>
      <c r="E55" s="1625"/>
      <c r="F55" s="824">
        <f>IF(T4Manip!E53="","",T4Manip!E53)</f>
        <v>10180</v>
      </c>
      <c r="G55" s="824">
        <f>IF(T4Manip!F53="","",T4Manip!F53)</f>
        <v>45</v>
      </c>
      <c r="H55" s="824">
        <f>IF(T4Manip!G53="","",T4Manip!G53)</f>
        <v>3918</v>
      </c>
      <c r="I55" s="824">
        <f>IF(T4Manip!H53="","",T4Manip!H53)</f>
        <v>0</v>
      </c>
      <c r="J55" s="941"/>
    </row>
    <row r="56" spans="1:12" s="475" customFormat="1" ht="12.75" customHeight="1">
      <c r="A56" s="1700">
        <v>2025</v>
      </c>
      <c r="B56" s="1162">
        <f>IF(T4Manip!B54="","",T4Manip!B54)</f>
        <v>32716</v>
      </c>
      <c r="C56" s="1162">
        <f>IF(T4Manip!C54="","",T4Manip!C54)</f>
        <v>3857</v>
      </c>
      <c r="D56" s="1162">
        <f>IF(T4Manip!D54="","",T4Manip!D54)</f>
        <v>12</v>
      </c>
      <c r="E56" s="1701"/>
      <c r="F56" s="1162">
        <f>IF(T4Manip!E54="","",T4Manip!E54)</f>
        <v>11835</v>
      </c>
      <c r="G56" s="1162">
        <f>IF(T4Manip!F54="","",T4Manip!F54)</f>
        <v>36</v>
      </c>
      <c r="H56" s="1162">
        <f>IF(T4Manip!G54="","",T4Manip!G54)</f>
        <v>4246</v>
      </c>
      <c r="I56" s="1162">
        <f>IF(T4Manip!H54="","",T4Manip!H54)</f>
        <v>0</v>
      </c>
      <c r="J56" s="942"/>
    </row>
    <row r="57" spans="1:12" s="475" customFormat="1" ht="21.75" customHeight="1">
      <c r="A57" s="474" t="s">
        <v>171</v>
      </c>
      <c r="B57" s="441"/>
      <c r="C57" s="441"/>
      <c r="D57" s="441"/>
      <c r="E57" s="441"/>
      <c r="F57" s="441"/>
      <c r="G57" s="441"/>
      <c r="H57" s="441"/>
      <c r="I57" s="441"/>
      <c r="J57" s="441"/>
    </row>
    <row r="58" spans="1:12" s="475" customFormat="1" ht="35.25" customHeight="1">
      <c r="A58" s="1757" t="s">
        <v>172</v>
      </c>
      <c r="B58" s="1757"/>
      <c r="C58" s="1757"/>
      <c r="D58" s="1757"/>
      <c r="E58" s="1757"/>
      <c r="F58" s="1757"/>
      <c r="G58" s="1757"/>
      <c r="H58" s="1757"/>
      <c r="I58" s="1757"/>
      <c r="J58" s="1757"/>
    </row>
    <row r="59" spans="1:12" ht="36.75" customHeight="1">
      <c r="A59" s="1757" t="s">
        <v>173</v>
      </c>
      <c r="B59" s="1757"/>
      <c r="C59" s="1757"/>
      <c r="D59" s="1757"/>
      <c r="E59" s="1757"/>
      <c r="F59" s="1757"/>
      <c r="G59" s="1757"/>
      <c r="H59" s="1757"/>
      <c r="I59" s="1757"/>
      <c r="J59" s="1757"/>
      <c r="K59" s="1675"/>
      <c r="L59" s="1675"/>
    </row>
    <row r="60" spans="1:12" ht="35.25" customHeight="1">
      <c r="A60" s="1757" t="s">
        <v>174</v>
      </c>
      <c r="B60" s="1757"/>
      <c r="C60" s="1757"/>
      <c r="D60" s="1757"/>
      <c r="E60" s="1757"/>
      <c r="F60" s="1757"/>
      <c r="G60" s="1757"/>
      <c r="H60" s="1757"/>
      <c r="I60" s="1757"/>
      <c r="J60" s="1757"/>
      <c r="K60" s="1675"/>
      <c r="L60" s="1675"/>
    </row>
    <row r="61" spans="1:12" ht="21.75" customHeight="1">
      <c r="A61" s="1758" t="s">
        <v>175</v>
      </c>
      <c r="B61" s="1758"/>
      <c r="C61" s="1758"/>
      <c r="D61" s="1758"/>
      <c r="E61" s="1758"/>
      <c r="F61" s="1758"/>
      <c r="G61" s="1758"/>
      <c r="H61" s="1758"/>
      <c r="I61" s="1758"/>
      <c r="J61" s="1758"/>
      <c r="K61" s="1675"/>
      <c r="L61" s="1675"/>
    </row>
    <row r="62" spans="1:12" ht="15.75">
      <c r="A62" s="295" t="s">
        <v>153</v>
      </c>
      <c r="B62" s="1675"/>
      <c r="C62" s="1675"/>
      <c r="D62" s="1675"/>
      <c r="E62" s="1675"/>
      <c r="F62" s="1675"/>
      <c r="G62" s="1675"/>
      <c r="H62" s="1675"/>
      <c r="I62" s="1675"/>
      <c r="J62" s="1675"/>
      <c r="K62" s="1675"/>
      <c r="L62" s="1675"/>
    </row>
    <row r="63" spans="1:12" ht="15.75">
      <c r="A63" s="295"/>
      <c r="B63" s="1675"/>
      <c r="C63" s="1675"/>
      <c r="D63" s="1675"/>
      <c r="E63" s="1675"/>
      <c r="F63" s="1675"/>
      <c r="G63" s="1675"/>
      <c r="H63" s="1675"/>
      <c r="I63" s="1675"/>
      <c r="J63" s="1675"/>
      <c r="K63" s="1675"/>
      <c r="L63" s="1675"/>
    </row>
  </sheetData>
  <mergeCells count="11">
    <mergeCell ref="A58:J58"/>
    <mergeCell ref="A59:J59"/>
    <mergeCell ref="A60:J60"/>
    <mergeCell ref="A61:J61"/>
    <mergeCell ref="A2:J2"/>
    <mergeCell ref="A4:A5"/>
    <mergeCell ref="B4:B5"/>
    <mergeCell ref="C4:D5"/>
    <mergeCell ref="F4:G5"/>
    <mergeCell ref="H4:H5"/>
    <mergeCell ref="I4:I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071F6-08DF-4BC5-B2A6-D50FD2019999}">
  <sheetPr>
    <tabColor rgb="FF66FF33"/>
  </sheetPr>
  <dimension ref="A1:R54"/>
  <sheetViews>
    <sheetView zoomScale="90" zoomScaleNormal="90" workbookViewId="0">
      <pane ySplit="4" topLeftCell="A5" activePane="bottomLeft" state="frozen"/>
      <selection pane="bottomLeft" activeCell="H90" sqref="H90"/>
      <selection activeCell="J33" sqref="J33"/>
    </sheetView>
  </sheetViews>
  <sheetFormatPr defaultRowHeight="12.75"/>
  <sheetData>
    <row r="1" spans="1:18">
      <c r="R1" s="180" t="s">
        <v>176</v>
      </c>
    </row>
    <row r="2" spans="1:18">
      <c r="B2" t="s">
        <v>177</v>
      </c>
      <c r="C2" t="s">
        <v>178</v>
      </c>
      <c r="F2" t="s">
        <v>179</v>
      </c>
      <c r="G2" t="s">
        <v>180</v>
      </c>
      <c r="H2" t="s">
        <v>181</v>
      </c>
      <c r="J2" t="s">
        <v>182</v>
      </c>
      <c r="M2" t="s">
        <v>183</v>
      </c>
      <c r="O2" t="s">
        <v>184</v>
      </c>
      <c r="R2" s="180" t="s">
        <v>185</v>
      </c>
    </row>
    <row r="3" spans="1:18">
      <c r="F3" t="s">
        <v>186</v>
      </c>
      <c r="G3" t="s">
        <v>181</v>
      </c>
      <c r="H3" t="s">
        <v>187</v>
      </c>
      <c r="I3" t="s">
        <v>183</v>
      </c>
      <c r="J3" t="s">
        <v>188</v>
      </c>
      <c r="K3" t="s">
        <v>189</v>
      </c>
      <c r="L3" t="s">
        <v>190</v>
      </c>
      <c r="M3" t="s">
        <v>36</v>
      </c>
      <c r="O3" t="s">
        <v>191</v>
      </c>
    </row>
    <row r="4" spans="1:18">
      <c r="A4" t="s">
        <v>28</v>
      </c>
      <c r="B4" t="s">
        <v>115</v>
      </c>
      <c r="C4" t="s">
        <v>189</v>
      </c>
      <c r="D4" t="s">
        <v>192</v>
      </c>
      <c r="E4" t="s">
        <v>193</v>
      </c>
      <c r="F4" t="s">
        <v>194</v>
      </c>
      <c r="G4" t="s">
        <v>195</v>
      </c>
      <c r="H4" t="s">
        <v>196</v>
      </c>
      <c r="I4" t="s">
        <v>197</v>
      </c>
      <c r="J4" t="s">
        <v>198</v>
      </c>
      <c r="K4" t="s">
        <v>198</v>
      </c>
      <c r="L4" t="s">
        <v>199</v>
      </c>
      <c r="M4" t="s">
        <v>195</v>
      </c>
      <c r="O4" t="s">
        <v>200</v>
      </c>
      <c r="P4" t="s">
        <v>126</v>
      </c>
    </row>
    <row r="5" spans="1:18">
      <c r="A5">
        <v>1979</v>
      </c>
      <c r="B5" s="59">
        <v>58483</v>
      </c>
      <c r="C5">
        <v>156</v>
      </c>
      <c r="D5">
        <v>0</v>
      </c>
      <c r="E5">
        <v>93</v>
      </c>
      <c r="G5">
        <v>249</v>
      </c>
      <c r="H5" s="59">
        <v>58234</v>
      </c>
      <c r="I5">
        <v>0</v>
      </c>
      <c r="J5">
        <v>489</v>
      </c>
      <c r="K5">
        <v>0</v>
      </c>
      <c r="L5" s="59">
        <v>1601</v>
      </c>
      <c r="M5" s="59">
        <v>2090</v>
      </c>
      <c r="O5" s="59">
        <v>56144</v>
      </c>
      <c r="P5" s="693">
        <v>0.96</v>
      </c>
    </row>
    <row r="6" spans="1:18">
      <c r="A6">
        <v>1980</v>
      </c>
      <c r="B6" s="59">
        <v>57692</v>
      </c>
      <c r="C6">
        <v>18</v>
      </c>
      <c r="D6">
        <v>0</v>
      </c>
      <c r="E6">
        <v>104</v>
      </c>
      <c r="G6">
        <v>122</v>
      </c>
      <c r="H6" s="59">
        <v>57570</v>
      </c>
      <c r="I6">
        <v>0</v>
      </c>
      <c r="J6">
        <v>29</v>
      </c>
      <c r="K6">
        <v>0</v>
      </c>
      <c r="L6" s="59">
        <v>1826</v>
      </c>
      <c r="M6" s="59">
        <v>1855</v>
      </c>
      <c r="O6" s="59">
        <v>55715</v>
      </c>
      <c r="P6" s="693">
        <v>0.96599999999999997</v>
      </c>
    </row>
    <row r="7" spans="1:18">
      <c r="A7">
        <v>1981</v>
      </c>
      <c r="B7" s="59">
        <v>67401</v>
      </c>
      <c r="C7">
        <v>623</v>
      </c>
      <c r="D7">
        <v>207</v>
      </c>
      <c r="E7">
        <v>118</v>
      </c>
      <c r="G7">
        <v>948</v>
      </c>
      <c r="H7" s="59">
        <v>66453</v>
      </c>
      <c r="I7">
        <v>0</v>
      </c>
      <c r="J7" s="59">
        <v>1595</v>
      </c>
      <c r="K7">
        <v>0</v>
      </c>
      <c r="L7" s="59">
        <v>1803</v>
      </c>
      <c r="M7" s="59">
        <v>3398</v>
      </c>
      <c r="O7" s="59">
        <v>63055</v>
      </c>
      <c r="P7" s="693">
        <v>0.93600000000000005</v>
      </c>
    </row>
    <row r="8" spans="1:18">
      <c r="A8">
        <v>1982</v>
      </c>
      <c r="B8" s="59">
        <v>77246</v>
      </c>
      <c r="C8">
        <v>693</v>
      </c>
      <c r="D8">
        <v>559</v>
      </c>
      <c r="E8">
        <v>106</v>
      </c>
      <c r="G8" s="59">
        <v>1358</v>
      </c>
      <c r="H8" s="59">
        <v>75888</v>
      </c>
      <c r="I8">
        <v>0</v>
      </c>
      <c r="J8" s="59">
        <v>3308</v>
      </c>
      <c r="K8">
        <v>0</v>
      </c>
      <c r="L8" s="59">
        <v>2000</v>
      </c>
      <c r="M8" s="59">
        <v>5308</v>
      </c>
      <c r="O8" s="59">
        <v>70580</v>
      </c>
      <c r="P8" s="693">
        <v>0.91400000000000003</v>
      </c>
    </row>
    <row r="9" spans="1:18">
      <c r="A9">
        <v>1983</v>
      </c>
      <c r="B9" s="59">
        <v>62912</v>
      </c>
      <c r="C9" s="59">
        <v>2371</v>
      </c>
      <c r="D9">
        <v>548</v>
      </c>
      <c r="E9">
        <v>102</v>
      </c>
      <c r="G9" s="59">
        <v>3021</v>
      </c>
      <c r="H9" s="59">
        <v>59891</v>
      </c>
      <c r="I9">
        <v>0</v>
      </c>
      <c r="J9">
        <v>31</v>
      </c>
      <c r="K9">
        <v>0</v>
      </c>
      <c r="L9" s="59">
        <v>2500</v>
      </c>
      <c r="M9" s="59">
        <v>2531</v>
      </c>
      <c r="O9" s="59">
        <v>57360</v>
      </c>
      <c r="P9" s="693">
        <v>0.91200000000000003</v>
      </c>
    </row>
    <row r="10" spans="1:18">
      <c r="A10">
        <v>1984</v>
      </c>
      <c r="B10" s="59">
        <v>52357</v>
      </c>
      <c r="C10" s="59">
        <v>1432</v>
      </c>
      <c r="D10">
        <v>285</v>
      </c>
      <c r="E10">
        <v>96</v>
      </c>
      <c r="G10" s="59">
        <v>1813</v>
      </c>
      <c r="H10" s="59">
        <v>50544</v>
      </c>
      <c r="I10">
        <v>0</v>
      </c>
      <c r="J10">
        <v>75</v>
      </c>
      <c r="K10">
        <v>0</v>
      </c>
      <c r="L10" s="59">
        <v>3400</v>
      </c>
      <c r="M10" s="59">
        <v>3475</v>
      </c>
      <c r="O10" s="59">
        <v>47069</v>
      </c>
      <c r="P10" s="693">
        <v>0.89900000000000002</v>
      </c>
    </row>
    <row r="11" spans="1:18">
      <c r="A11">
        <v>1985</v>
      </c>
      <c r="B11" s="59">
        <v>92284</v>
      </c>
      <c r="C11" s="59">
        <v>2867</v>
      </c>
      <c r="D11">
        <v>364</v>
      </c>
      <c r="E11">
        <v>121</v>
      </c>
      <c r="G11" s="59">
        <v>3352</v>
      </c>
      <c r="H11" s="59">
        <v>88932</v>
      </c>
      <c r="I11">
        <v>0</v>
      </c>
      <c r="J11">
        <v>111</v>
      </c>
      <c r="K11">
        <v>0</v>
      </c>
      <c r="L11" s="59">
        <v>3024</v>
      </c>
      <c r="M11" s="59">
        <v>3135</v>
      </c>
      <c r="O11" s="59">
        <v>85797</v>
      </c>
      <c r="P11" s="693">
        <v>0.93</v>
      </c>
    </row>
    <row r="12" spans="1:18">
      <c r="A12">
        <v>1986</v>
      </c>
      <c r="B12" s="59">
        <v>128413</v>
      </c>
      <c r="C12" s="59">
        <v>1216</v>
      </c>
      <c r="D12" s="59">
        <v>1288</v>
      </c>
      <c r="E12">
        <v>150</v>
      </c>
      <c r="G12" s="59">
        <v>2654</v>
      </c>
      <c r="H12" s="59">
        <v>125759</v>
      </c>
      <c r="I12">
        <v>0</v>
      </c>
      <c r="J12">
        <v>359</v>
      </c>
      <c r="K12">
        <v>0</v>
      </c>
      <c r="L12" s="59">
        <v>7078</v>
      </c>
      <c r="M12" s="59">
        <v>7437</v>
      </c>
      <c r="O12" s="59">
        <v>118322</v>
      </c>
      <c r="P12" s="693">
        <v>0.92100000000000004</v>
      </c>
    </row>
    <row r="13" spans="1:18">
      <c r="A13">
        <v>1987</v>
      </c>
      <c r="B13" s="59">
        <v>110772</v>
      </c>
      <c r="C13" s="59">
        <v>1211</v>
      </c>
      <c r="D13">
        <v>395</v>
      </c>
      <c r="E13">
        <v>127</v>
      </c>
      <c r="G13" s="59">
        <v>1733</v>
      </c>
      <c r="H13" s="59">
        <v>109039</v>
      </c>
      <c r="I13">
        <v>0</v>
      </c>
      <c r="J13">
        <v>279</v>
      </c>
      <c r="K13">
        <v>0</v>
      </c>
      <c r="L13" s="59">
        <v>6410</v>
      </c>
      <c r="M13" s="59">
        <v>6689</v>
      </c>
      <c r="O13" s="59">
        <v>102350</v>
      </c>
      <c r="P13" s="693">
        <v>0.92400000000000004</v>
      </c>
    </row>
    <row r="14" spans="1:18">
      <c r="A14">
        <v>1988</v>
      </c>
      <c r="B14" s="59">
        <v>106003</v>
      </c>
      <c r="C14" s="59">
        <v>5262</v>
      </c>
      <c r="D14" s="59">
        <v>1434</v>
      </c>
      <c r="E14">
        <v>90</v>
      </c>
      <c r="G14" s="59">
        <v>6786</v>
      </c>
      <c r="H14" s="59">
        <v>99217</v>
      </c>
      <c r="I14">
        <v>0</v>
      </c>
      <c r="J14">
        <v>204</v>
      </c>
      <c r="K14">
        <v>0</v>
      </c>
      <c r="L14" s="59">
        <v>6696</v>
      </c>
      <c r="M14" s="59">
        <v>6900</v>
      </c>
      <c r="O14" s="59">
        <v>92317</v>
      </c>
      <c r="P14" s="693">
        <v>0.871</v>
      </c>
    </row>
    <row r="15" spans="1:18">
      <c r="A15">
        <v>1989</v>
      </c>
      <c r="B15" s="59">
        <v>90031</v>
      </c>
      <c r="C15" s="59">
        <v>1524</v>
      </c>
      <c r="D15">
        <v>544</v>
      </c>
      <c r="E15">
        <v>79</v>
      </c>
      <c r="G15" s="59">
        <v>2147</v>
      </c>
      <c r="H15" s="59">
        <v>87884</v>
      </c>
      <c r="I15">
        <v>0</v>
      </c>
      <c r="J15">
        <v>86</v>
      </c>
      <c r="K15">
        <v>0</v>
      </c>
      <c r="L15" s="59">
        <v>6658</v>
      </c>
      <c r="M15" s="59">
        <v>6744</v>
      </c>
      <c r="O15" s="59">
        <v>81140</v>
      </c>
      <c r="P15" s="693">
        <v>0.90100000000000002</v>
      </c>
    </row>
    <row r="16" spans="1:18">
      <c r="A16">
        <v>1990</v>
      </c>
      <c r="B16" s="59">
        <v>105715</v>
      </c>
      <c r="C16" s="59">
        <v>2108</v>
      </c>
      <c r="D16" s="59">
        <v>3117</v>
      </c>
      <c r="E16">
        <v>124</v>
      </c>
      <c r="G16" s="59">
        <v>5349</v>
      </c>
      <c r="H16" s="59">
        <v>100366</v>
      </c>
      <c r="I16">
        <v>0</v>
      </c>
      <c r="J16">
        <v>4</v>
      </c>
      <c r="K16">
        <v>0</v>
      </c>
      <c r="L16" s="59">
        <v>6819</v>
      </c>
      <c r="M16" s="59">
        <v>6823</v>
      </c>
      <c r="O16" s="59">
        <v>93543</v>
      </c>
      <c r="P16" s="693">
        <v>0.88500000000000001</v>
      </c>
    </row>
    <row r="17" spans="1:16">
      <c r="A17">
        <v>1991</v>
      </c>
      <c r="B17" s="59">
        <v>64479</v>
      </c>
      <c r="C17">
        <v>913</v>
      </c>
      <c r="D17" s="59">
        <v>1539</v>
      </c>
      <c r="E17">
        <v>104</v>
      </c>
      <c r="G17" s="59">
        <v>2556</v>
      </c>
      <c r="H17" s="59">
        <v>61923</v>
      </c>
      <c r="I17">
        <v>0</v>
      </c>
      <c r="J17">
        <v>5</v>
      </c>
      <c r="K17">
        <v>0</v>
      </c>
      <c r="L17" s="59">
        <v>3852</v>
      </c>
      <c r="M17" s="59">
        <v>3857</v>
      </c>
      <c r="O17" s="59">
        <v>58066</v>
      </c>
      <c r="P17" s="693">
        <v>0.90100000000000002</v>
      </c>
    </row>
    <row r="18" spans="1:16">
      <c r="A18">
        <v>1992</v>
      </c>
      <c r="B18" s="59">
        <v>95691</v>
      </c>
      <c r="C18">
        <v>324</v>
      </c>
      <c r="D18" s="59">
        <v>1183</v>
      </c>
      <c r="E18">
        <v>73</v>
      </c>
      <c r="G18" s="59">
        <v>1580</v>
      </c>
      <c r="H18" s="59">
        <v>94111</v>
      </c>
      <c r="I18">
        <v>0</v>
      </c>
      <c r="J18">
        <v>48</v>
      </c>
      <c r="K18">
        <v>0</v>
      </c>
      <c r="L18" s="59">
        <v>5776</v>
      </c>
      <c r="M18" s="59">
        <v>5824</v>
      </c>
      <c r="O18" s="59">
        <v>88287</v>
      </c>
      <c r="P18" s="693">
        <v>0.92300000000000004</v>
      </c>
    </row>
    <row r="19" spans="1:16">
      <c r="A19">
        <v>1993</v>
      </c>
      <c r="B19" s="59">
        <v>119963</v>
      </c>
      <c r="C19">
        <v>470</v>
      </c>
      <c r="D19">
        <v>412</v>
      </c>
      <c r="E19">
        <v>141</v>
      </c>
      <c r="G19" s="59">
        <v>1023</v>
      </c>
      <c r="H19" s="59">
        <v>118940</v>
      </c>
      <c r="I19">
        <v>0</v>
      </c>
      <c r="J19">
        <v>0</v>
      </c>
      <c r="K19">
        <v>0</v>
      </c>
      <c r="L19" s="59">
        <v>7296</v>
      </c>
      <c r="M19" s="59">
        <v>7296</v>
      </c>
      <c r="O19" s="59">
        <v>111644</v>
      </c>
      <c r="P19" s="693">
        <v>0.93100000000000005</v>
      </c>
    </row>
    <row r="20" spans="1:16">
      <c r="A20">
        <v>1994</v>
      </c>
      <c r="B20" s="59">
        <v>24095</v>
      </c>
      <c r="C20">
        <v>492</v>
      </c>
      <c r="D20">
        <v>408</v>
      </c>
      <c r="E20">
        <v>35</v>
      </c>
      <c r="G20">
        <v>935</v>
      </c>
      <c r="H20" s="59">
        <v>23160</v>
      </c>
      <c r="I20">
        <v>0</v>
      </c>
      <c r="J20">
        <v>10</v>
      </c>
      <c r="K20">
        <v>0</v>
      </c>
      <c r="L20" s="59">
        <v>1151</v>
      </c>
      <c r="M20" s="59">
        <v>1161</v>
      </c>
      <c r="O20" s="59">
        <v>21999</v>
      </c>
      <c r="P20" s="693">
        <v>0.91300000000000003</v>
      </c>
    </row>
    <row r="21" spans="1:16">
      <c r="A21">
        <v>1995</v>
      </c>
      <c r="B21" s="59">
        <v>12792</v>
      </c>
      <c r="C21">
        <v>1</v>
      </c>
      <c r="D21">
        <v>9</v>
      </c>
      <c r="E21">
        <v>1</v>
      </c>
      <c r="G21">
        <v>11</v>
      </c>
      <c r="H21" s="59">
        <v>12781</v>
      </c>
      <c r="I21">
        <v>0</v>
      </c>
      <c r="J21">
        <v>13</v>
      </c>
      <c r="K21">
        <v>0</v>
      </c>
      <c r="L21">
        <v>620</v>
      </c>
      <c r="M21">
        <v>633</v>
      </c>
      <c r="O21" s="59">
        <v>12148</v>
      </c>
      <c r="P21" s="693">
        <v>0.95</v>
      </c>
    </row>
    <row r="22" spans="1:16">
      <c r="A22">
        <v>1996</v>
      </c>
      <c r="B22" s="59">
        <v>55551</v>
      </c>
      <c r="C22">
        <v>34</v>
      </c>
      <c r="D22">
        <v>10</v>
      </c>
      <c r="E22">
        <v>12</v>
      </c>
      <c r="G22">
        <v>56</v>
      </c>
      <c r="H22" s="59">
        <v>55495</v>
      </c>
      <c r="I22">
        <v>0</v>
      </c>
      <c r="J22">
        <v>0</v>
      </c>
      <c r="K22">
        <v>0</v>
      </c>
      <c r="L22" s="59">
        <v>2911</v>
      </c>
      <c r="M22" s="59">
        <v>2911</v>
      </c>
      <c r="O22" s="59">
        <v>52584</v>
      </c>
      <c r="P22" s="693">
        <v>0.94699999999999995</v>
      </c>
    </row>
    <row r="23" spans="1:16">
      <c r="A23">
        <v>1997</v>
      </c>
      <c r="B23" s="59">
        <v>124321</v>
      </c>
      <c r="C23">
        <v>34</v>
      </c>
      <c r="D23">
        <v>16</v>
      </c>
      <c r="E23">
        <v>19</v>
      </c>
      <c r="G23">
        <v>69</v>
      </c>
      <c r="H23" s="59">
        <v>124252</v>
      </c>
      <c r="I23">
        <v>0</v>
      </c>
      <c r="J23">
        <v>14</v>
      </c>
      <c r="K23">
        <v>0</v>
      </c>
      <c r="L23" s="59">
        <v>8309</v>
      </c>
      <c r="M23" s="59">
        <v>8323</v>
      </c>
      <c r="O23" s="59">
        <v>115929</v>
      </c>
      <c r="P23" s="693">
        <v>0.93200000000000005</v>
      </c>
    </row>
    <row r="24" spans="1:16">
      <c r="A24">
        <v>1998</v>
      </c>
      <c r="B24" s="59">
        <v>44308</v>
      </c>
      <c r="C24">
        <v>27</v>
      </c>
      <c r="D24">
        <v>14</v>
      </c>
      <c r="E24">
        <v>0</v>
      </c>
      <c r="G24">
        <v>41</v>
      </c>
      <c r="H24" s="59">
        <v>44267</v>
      </c>
      <c r="I24">
        <v>0</v>
      </c>
      <c r="J24">
        <v>1</v>
      </c>
      <c r="K24">
        <v>0</v>
      </c>
      <c r="L24" s="59">
        <v>2202</v>
      </c>
      <c r="M24" s="59">
        <v>2203</v>
      </c>
      <c r="O24" s="59">
        <v>42064</v>
      </c>
      <c r="P24" s="693">
        <v>0.94899999999999995</v>
      </c>
    </row>
    <row r="25" spans="1:16">
      <c r="A25">
        <v>1999</v>
      </c>
      <c r="B25" s="59">
        <v>43067</v>
      </c>
      <c r="C25">
        <v>28</v>
      </c>
      <c r="D25">
        <v>16</v>
      </c>
      <c r="E25">
        <v>0</v>
      </c>
      <c r="G25">
        <v>44</v>
      </c>
      <c r="H25" s="59">
        <v>43023</v>
      </c>
      <c r="I25">
        <v>0</v>
      </c>
      <c r="J25">
        <v>1</v>
      </c>
      <c r="K25">
        <v>0</v>
      </c>
      <c r="L25" s="59">
        <v>2044</v>
      </c>
      <c r="M25" s="59">
        <v>2045</v>
      </c>
      <c r="O25" s="59">
        <v>40978</v>
      </c>
      <c r="P25" s="693">
        <v>0.95099999999999996</v>
      </c>
    </row>
    <row r="26" spans="1:16">
      <c r="A26">
        <v>2000</v>
      </c>
      <c r="B26" s="59">
        <v>186715</v>
      </c>
      <c r="C26">
        <v>245</v>
      </c>
      <c r="D26">
        <v>124</v>
      </c>
      <c r="E26">
        <v>6</v>
      </c>
      <c r="G26">
        <v>375</v>
      </c>
      <c r="H26" s="59">
        <v>186340</v>
      </c>
      <c r="I26">
        <v>0</v>
      </c>
      <c r="J26">
        <v>31</v>
      </c>
      <c r="K26" s="59">
        <v>1348</v>
      </c>
      <c r="L26" s="59">
        <v>10158</v>
      </c>
      <c r="M26" s="59">
        <v>11537</v>
      </c>
      <c r="O26" s="59">
        <v>174803</v>
      </c>
      <c r="P26" s="693">
        <v>0.93600000000000005</v>
      </c>
    </row>
    <row r="27" spans="1:16">
      <c r="A27">
        <v>2001</v>
      </c>
      <c r="B27" s="59">
        <v>439885</v>
      </c>
      <c r="C27" s="59">
        <v>2054</v>
      </c>
      <c r="D27" s="59">
        <v>22719</v>
      </c>
      <c r="E27">
        <v>484</v>
      </c>
      <c r="G27" s="59">
        <v>25257</v>
      </c>
      <c r="H27" s="59">
        <v>414628</v>
      </c>
      <c r="I27">
        <v>168</v>
      </c>
      <c r="J27">
        <v>160</v>
      </c>
      <c r="K27" s="59">
        <v>43630</v>
      </c>
      <c r="L27" s="59">
        <v>10426</v>
      </c>
      <c r="M27" s="59">
        <v>54384</v>
      </c>
      <c r="O27" s="59">
        <v>360245</v>
      </c>
      <c r="P27" s="693">
        <v>0.81899999999999995</v>
      </c>
    </row>
    <row r="28" spans="1:16">
      <c r="A28">
        <v>2002</v>
      </c>
      <c r="B28" s="59">
        <v>335306</v>
      </c>
      <c r="C28" s="59">
        <v>10070</v>
      </c>
      <c r="D28" s="59">
        <v>16268</v>
      </c>
      <c r="E28">
        <v>81</v>
      </c>
      <c r="G28" s="59">
        <v>26419</v>
      </c>
      <c r="H28" s="59">
        <v>308887</v>
      </c>
      <c r="I28" s="59">
        <v>1716</v>
      </c>
      <c r="J28">
        <v>48</v>
      </c>
      <c r="K28" s="59">
        <v>24209</v>
      </c>
      <c r="L28" s="59">
        <v>9707</v>
      </c>
      <c r="M28" s="59">
        <v>35680</v>
      </c>
      <c r="O28" s="59">
        <v>273207</v>
      </c>
      <c r="P28" s="693">
        <v>0.81499999999999995</v>
      </c>
    </row>
    <row r="29" spans="1:16">
      <c r="A29">
        <v>2003</v>
      </c>
      <c r="B29" s="59">
        <v>242605</v>
      </c>
      <c r="C29" s="59">
        <v>3161</v>
      </c>
      <c r="D29" s="59">
        <v>9611</v>
      </c>
      <c r="E29">
        <v>332</v>
      </c>
      <c r="G29" s="59">
        <v>13104</v>
      </c>
      <c r="H29" s="59">
        <v>229501</v>
      </c>
      <c r="I29" s="59">
        <v>1860</v>
      </c>
      <c r="J29">
        <v>857</v>
      </c>
      <c r="K29" s="59">
        <v>8348</v>
      </c>
      <c r="L29" s="59">
        <v>9075</v>
      </c>
      <c r="M29" s="59">
        <v>20140</v>
      </c>
      <c r="O29" s="59">
        <v>209361</v>
      </c>
      <c r="P29" s="693">
        <v>0.86299999999999999</v>
      </c>
    </row>
    <row r="30" spans="1:16">
      <c r="A30">
        <v>2004</v>
      </c>
      <c r="B30" s="59">
        <v>221675</v>
      </c>
      <c r="C30" s="59">
        <v>6223</v>
      </c>
      <c r="D30" s="59">
        <v>17146</v>
      </c>
      <c r="E30">
        <v>9</v>
      </c>
      <c r="G30" s="59">
        <v>23379</v>
      </c>
      <c r="H30" s="59">
        <v>198296</v>
      </c>
      <c r="I30" s="59">
        <v>1596</v>
      </c>
      <c r="J30">
        <v>2</v>
      </c>
      <c r="K30" s="59">
        <v>8368</v>
      </c>
      <c r="L30" s="59">
        <v>9112</v>
      </c>
      <c r="M30" s="59">
        <v>19078</v>
      </c>
      <c r="O30" s="59">
        <v>179218</v>
      </c>
      <c r="P30" s="693">
        <v>0.80800000000000005</v>
      </c>
    </row>
    <row r="31" spans="1:16">
      <c r="A31">
        <v>2005</v>
      </c>
      <c r="B31" s="59">
        <v>106910</v>
      </c>
      <c r="C31" s="59">
        <v>2267</v>
      </c>
      <c r="D31" s="59">
        <v>7224</v>
      </c>
      <c r="E31">
        <v>22</v>
      </c>
      <c r="G31" s="59">
        <v>9513</v>
      </c>
      <c r="H31" s="59">
        <v>97397</v>
      </c>
      <c r="I31">
        <v>464</v>
      </c>
      <c r="J31">
        <v>1</v>
      </c>
      <c r="K31">
        <v>0</v>
      </c>
      <c r="L31" s="59">
        <v>6072</v>
      </c>
      <c r="M31" s="59">
        <v>6537</v>
      </c>
      <c r="O31" s="59">
        <v>90860</v>
      </c>
      <c r="P31" s="693">
        <v>0.85</v>
      </c>
    </row>
    <row r="32" spans="1:16">
      <c r="A32">
        <v>2006</v>
      </c>
      <c r="B32" s="59">
        <v>132583</v>
      </c>
      <c r="C32" s="59">
        <v>2222</v>
      </c>
      <c r="D32" s="59">
        <v>4187</v>
      </c>
      <c r="E32">
        <v>17</v>
      </c>
      <c r="G32" s="59">
        <v>6425</v>
      </c>
      <c r="H32" s="59">
        <v>126158</v>
      </c>
      <c r="I32" s="59">
        <v>1362</v>
      </c>
      <c r="J32">
        <v>0</v>
      </c>
      <c r="K32">
        <v>0</v>
      </c>
      <c r="L32" s="59">
        <v>7967</v>
      </c>
      <c r="M32" s="59">
        <v>9329</v>
      </c>
      <c r="O32" s="59">
        <v>116829</v>
      </c>
      <c r="P32" s="693">
        <v>0.88100000000000001</v>
      </c>
    </row>
    <row r="33" spans="1:16">
      <c r="A33">
        <v>2007</v>
      </c>
      <c r="B33" s="59">
        <v>86247</v>
      </c>
      <c r="C33" s="59">
        <v>1483</v>
      </c>
      <c r="D33" s="59">
        <v>3927</v>
      </c>
      <c r="E33">
        <v>7</v>
      </c>
      <c r="G33" s="59">
        <v>5418</v>
      </c>
      <c r="H33" s="59">
        <v>80829</v>
      </c>
      <c r="I33" s="59">
        <v>1445</v>
      </c>
      <c r="J33">
        <v>3</v>
      </c>
      <c r="K33">
        <v>0</v>
      </c>
      <c r="L33" s="59">
        <v>5942</v>
      </c>
      <c r="M33" s="59">
        <v>7390</v>
      </c>
      <c r="O33" s="59">
        <v>73439</v>
      </c>
      <c r="P33" s="693">
        <v>0.85199999999999998</v>
      </c>
    </row>
    <row r="34" spans="1:16">
      <c r="A34">
        <v>2008</v>
      </c>
      <c r="B34" s="59">
        <v>178627</v>
      </c>
      <c r="C34" s="59">
        <v>6134</v>
      </c>
      <c r="D34" s="59">
        <v>19612</v>
      </c>
      <c r="E34">
        <v>158</v>
      </c>
      <c r="F34">
        <v>830</v>
      </c>
      <c r="G34" s="59">
        <v>26734</v>
      </c>
      <c r="H34" s="59">
        <v>151893</v>
      </c>
      <c r="I34" s="59">
        <v>2068</v>
      </c>
      <c r="J34">
        <v>0</v>
      </c>
      <c r="K34" s="59">
        <v>12314</v>
      </c>
      <c r="L34" s="59">
        <v>8247</v>
      </c>
      <c r="M34" s="59">
        <v>22629</v>
      </c>
      <c r="O34" s="59">
        <v>129265</v>
      </c>
      <c r="P34" s="693">
        <v>0.72399999999999998</v>
      </c>
    </row>
    <row r="35" spans="1:16">
      <c r="A35">
        <v>2009</v>
      </c>
      <c r="B35" s="59">
        <v>169296</v>
      </c>
      <c r="C35" s="59">
        <v>4310</v>
      </c>
      <c r="D35" s="59">
        <v>15246</v>
      </c>
      <c r="E35">
        <v>233</v>
      </c>
      <c r="F35" s="59">
        <v>2018</v>
      </c>
      <c r="G35" s="59">
        <v>21807</v>
      </c>
      <c r="H35" s="59">
        <v>147489</v>
      </c>
      <c r="I35">
        <v>644</v>
      </c>
      <c r="J35">
        <v>0</v>
      </c>
      <c r="K35">
        <v>0</v>
      </c>
      <c r="L35" s="59">
        <v>11083</v>
      </c>
      <c r="M35" s="59">
        <v>11727</v>
      </c>
      <c r="O35" s="59">
        <v>135762</v>
      </c>
      <c r="P35" s="693">
        <v>0.80200000000000005</v>
      </c>
    </row>
    <row r="36" spans="1:16">
      <c r="A36">
        <v>2010</v>
      </c>
      <c r="B36" s="59">
        <v>315346</v>
      </c>
      <c r="C36" s="59">
        <v>8933</v>
      </c>
      <c r="D36" s="59">
        <v>23535</v>
      </c>
      <c r="E36">
        <v>349</v>
      </c>
      <c r="F36" s="59">
        <v>5139</v>
      </c>
      <c r="G36" s="59">
        <v>37956</v>
      </c>
      <c r="H36" s="59">
        <v>277390</v>
      </c>
      <c r="I36" s="59">
        <v>3692</v>
      </c>
      <c r="J36">
        <v>0</v>
      </c>
      <c r="K36" s="59">
        <v>25008</v>
      </c>
      <c r="L36" s="59">
        <v>12807</v>
      </c>
      <c r="M36" s="59">
        <v>41507</v>
      </c>
      <c r="O36" s="59">
        <v>235883</v>
      </c>
      <c r="P36" s="693">
        <v>0.748</v>
      </c>
    </row>
    <row r="37" spans="1:16">
      <c r="A37">
        <v>2011</v>
      </c>
      <c r="B37" s="59">
        <v>221158</v>
      </c>
      <c r="C37" s="59">
        <v>3706</v>
      </c>
      <c r="D37" s="59">
        <v>9506</v>
      </c>
      <c r="E37">
        <v>224</v>
      </c>
      <c r="F37" s="59">
        <v>2291</v>
      </c>
      <c r="G37" s="59">
        <v>15727</v>
      </c>
      <c r="H37" s="59">
        <v>205431</v>
      </c>
      <c r="I37" s="59">
        <v>2564</v>
      </c>
      <c r="J37">
        <v>7</v>
      </c>
      <c r="K37">
        <v>0</v>
      </c>
      <c r="L37" s="59">
        <v>13235</v>
      </c>
      <c r="M37" s="59">
        <v>15806</v>
      </c>
      <c r="O37" s="59">
        <v>189626</v>
      </c>
      <c r="P37" s="693">
        <v>0.85699999999999998</v>
      </c>
    </row>
    <row r="38" spans="1:16">
      <c r="A38">
        <v>2012</v>
      </c>
      <c r="B38" s="59">
        <v>203090</v>
      </c>
      <c r="C38" s="59">
        <v>4596</v>
      </c>
      <c r="D38" s="59">
        <v>10422</v>
      </c>
      <c r="E38">
        <v>225</v>
      </c>
      <c r="F38" s="59">
        <v>1399</v>
      </c>
      <c r="G38" s="59">
        <v>16642</v>
      </c>
      <c r="H38" s="59">
        <v>186448</v>
      </c>
      <c r="I38" s="59">
        <v>1282</v>
      </c>
      <c r="J38">
        <v>2</v>
      </c>
      <c r="K38">
        <v>818</v>
      </c>
      <c r="L38" s="59">
        <v>15475</v>
      </c>
      <c r="M38" s="59">
        <v>17577</v>
      </c>
      <c r="O38" s="59">
        <v>168872</v>
      </c>
      <c r="P38" s="693">
        <v>0.83199999999999996</v>
      </c>
    </row>
    <row r="39" spans="1:16">
      <c r="A39">
        <v>2013</v>
      </c>
      <c r="B39" s="59">
        <v>123136</v>
      </c>
      <c r="C39" s="59">
        <v>1756</v>
      </c>
      <c r="D39" s="59">
        <v>5343</v>
      </c>
      <c r="E39">
        <v>96</v>
      </c>
      <c r="F39" s="59">
        <v>3007</v>
      </c>
      <c r="G39" s="59">
        <v>10202</v>
      </c>
      <c r="H39" s="59">
        <v>112934</v>
      </c>
      <c r="I39" s="59">
        <v>1093</v>
      </c>
      <c r="J39">
        <v>0</v>
      </c>
      <c r="K39">
        <v>0</v>
      </c>
      <c r="L39" s="59">
        <v>6735</v>
      </c>
      <c r="M39" s="59">
        <v>7828</v>
      </c>
      <c r="O39" s="59">
        <v>105106</v>
      </c>
      <c r="P39" s="693">
        <v>0.85399999999999998</v>
      </c>
    </row>
    <row r="40" spans="1:16">
      <c r="A40">
        <v>2014</v>
      </c>
      <c r="B40" s="59">
        <v>242635</v>
      </c>
      <c r="C40" s="59">
        <v>3623</v>
      </c>
      <c r="D40" s="59">
        <v>13572</v>
      </c>
      <c r="E40">
        <v>475</v>
      </c>
      <c r="F40">
        <v>19</v>
      </c>
      <c r="G40" s="59">
        <v>17689</v>
      </c>
      <c r="H40" s="59">
        <v>224946</v>
      </c>
      <c r="I40" s="59">
        <v>4208</v>
      </c>
      <c r="J40">
        <v>0</v>
      </c>
      <c r="K40" s="59">
        <v>13807</v>
      </c>
      <c r="L40" s="59">
        <v>10688</v>
      </c>
      <c r="M40" s="59">
        <v>28703</v>
      </c>
      <c r="O40" s="59">
        <v>196243</v>
      </c>
      <c r="P40" s="693">
        <v>0.80900000000000005</v>
      </c>
    </row>
    <row r="41" spans="1:16">
      <c r="A41">
        <v>2015</v>
      </c>
      <c r="B41" s="59">
        <v>288993</v>
      </c>
      <c r="C41" s="59">
        <v>6528</v>
      </c>
      <c r="D41" s="59">
        <v>15689</v>
      </c>
      <c r="E41">
        <v>288</v>
      </c>
      <c r="F41">
        <v>929</v>
      </c>
      <c r="G41" s="59">
        <v>23435</v>
      </c>
      <c r="H41" s="59">
        <v>265558</v>
      </c>
      <c r="I41" s="59">
        <v>1647</v>
      </c>
      <c r="J41">
        <v>7</v>
      </c>
      <c r="K41" s="59">
        <v>20320</v>
      </c>
      <c r="L41" s="59">
        <v>9845</v>
      </c>
      <c r="M41" s="59">
        <v>31819</v>
      </c>
      <c r="O41" s="59">
        <v>233740</v>
      </c>
      <c r="P41" s="693">
        <v>0.80900000000000005</v>
      </c>
    </row>
    <row r="42" spans="1:16">
      <c r="A42">
        <v>2016</v>
      </c>
      <c r="B42" s="59">
        <v>187816</v>
      </c>
      <c r="C42" s="59">
        <v>3285</v>
      </c>
      <c r="D42" s="59">
        <v>10167</v>
      </c>
      <c r="E42">
        <v>223</v>
      </c>
      <c r="F42" s="59">
        <v>1527</v>
      </c>
      <c r="G42" s="59">
        <v>15202</v>
      </c>
      <c r="H42" s="59">
        <v>172614</v>
      </c>
      <c r="I42" s="59">
        <v>1480</v>
      </c>
      <c r="J42">
        <v>0</v>
      </c>
      <c r="K42" s="59">
        <v>1993</v>
      </c>
      <c r="L42" s="59">
        <v>12942</v>
      </c>
      <c r="M42" s="59">
        <v>16415</v>
      </c>
      <c r="O42" s="59">
        <v>156200</v>
      </c>
      <c r="P42" s="693">
        <v>0.83199999999999996</v>
      </c>
    </row>
    <row r="43" spans="1:16">
      <c r="A43">
        <v>2017</v>
      </c>
      <c r="B43" s="59">
        <v>115821</v>
      </c>
      <c r="C43">
        <v>463</v>
      </c>
      <c r="D43" s="59">
        <v>7198</v>
      </c>
      <c r="E43">
        <v>620</v>
      </c>
      <c r="F43">
        <v>16</v>
      </c>
      <c r="G43" s="59">
        <v>8297</v>
      </c>
      <c r="H43" s="59">
        <v>107524</v>
      </c>
      <c r="I43">
        <v>18</v>
      </c>
      <c r="J43">
        <v>0</v>
      </c>
      <c r="K43">
        <v>0</v>
      </c>
      <c r="L43" s="59">
        <v>8126</v>
      </c>
      <c r="M43" s="59">
        <v>8144</v>
      </c>
      <c r="O43" s="59">
        <v>99380</v>
      </c>
      <c r="P43" s="693">
        <v>0.85799999999999998</v>
      </c>
    </row>
    <row r="44" spans="1:16">
      <c r="A44">
        <v>2018</v>
      </c>
      <c r="B44" s="59">
        <v>115081</v>
      </c>
      <c r="C44">
        <v>311</v>
      </c>
      <c r="D44" s="59">
        <v>5868</v>
      </c>
      <c r="E44">
        <v>381</v>
      </c>
      <c r="F44">
        <v>476</v>
      </c>
      <c r="G44" s="59">
        <v>7036</v>
      </c>
      <c r="H44" s="59">
        <v>108045</v>
      </c>
      <c r="I44">
        <v>611</v>
      </c>
      <c r="J44">
        <v>0</v>
      </c>
      <c r="K44">
        <v>0</v>
      </c>
      <c r="L44" s="59">
        <v>10451</v>
      </c>
      <c r="M44" s="59">
        <v>11062</v>
      </c>
      <c r="O44" s="59">
        <v>96983</v>
      </c>
      <c r="P44" s="693">
        <v>0.84299999999999997</v>
      </c>
    </row>
    <row r="45" spans="1:16">
      <c r="A45">
        <v>2019</v>
      </c>
      <c r="B45" s="59">
        <v>73105</v>
      </c>
      <c r="C45">
        <v>203</v>
      </c>
      <c r="D45" s="59">
        <v>1478</v>
      </c>
      <c r="E45">
        <v>101</v>
      </c>
      <c r="F45">
        <v>88</v>
      </c>
      <c r="G45" s="59">
        <v>1870</v>
      </c>
      <c r="H45" s="59">
        <v>71235</v>
      </c>
      <c r="I45">
        <v>282</v>
      </c>
      <c r="J45">
        <v>0</v>
      </c>
      <c r="K45">
        <v>0</v>
      </c>
      <c r="L45" s="59">
        <v>4629</v>
      </c>
      <c r="M45" s="59">
        <v>4911</v>
      </c>
      <c r="O45" s="59">
        <v>66324</v>
      </c>
      <c r="P45" s="693">
        <v>0.90700000000000003</v>
      </c>
    </row>
    <row r="46" spans="1:16">
      <c r="A46">
        <v>2020</v>
      </c>
      <c r="B46" s="59">
        <v>81301</v>
      </c>
      <c r="C46">
        <v>83</v>
      </c>
      <c r="D46" s="59">
        <v>1381</v>
      </c>
      <c r="E46">
        <v>3</v>
      </c>
      <c r="F46">
        <v>119</v>
      </c>
      <c r="G46" s="59">
        <v>1587</v>
      </c>
      <c r="H46" s="59">
        <v>79714</v>
      </c>
      <c r="I46">
        <v>535</v>
      </c>
      <c r="J46">
        <v>0</v>
      </c>
      <c r="K46">
        <v>0</v>
      </c>
      <c r="L46" s="59">
        <v>4188</v>
      </c>
      <c r="M46" s="59">
        <v>4723</v>
      </c>
      <c r="O46" s="59">
        <v>74992</v>
      </c>
      <c r="P46" s="693">
        <v>0.92200000000000004</v>
      </c>
    </row>
    <row r="47" spans="1:16">
      <c r="A47">
        <v>2021</v>
      </c>
      <c r="B47" s="59">
        <v>91756</v>
      </c>
      <c r="C47">
        <v>309</v>
      </c>
      <c r="D47" s="59">
        <v>4088</v>
      </c>
      <c r="E47">
        <v>73</v>
      </c>
      <c r="F47">
        <v>53</v>
      </c>
      <c r="G47" s="59">
        <v>4523</v>
      </c>
      <c r="H47" s="59">
        <v>87233</v>
      </c>
      <c r="I47">
        <v>780</v>
      </c>
      <c r="J47">
        <v>0</v>
      </c>
      <c r="K47">
        <v>0</v>
      </c>
      <c r="L47" s="59">
        <v>4393</v>
      </c>
      <c r="M47" s="59">
        <v>5173</v>
      </c>
      <c r="O47" s="59">
        <v>82060</v>
      </c>
      <c r="P47" s="693">
        <v>0.89400000000000002</v>
      </c>
    </row>
    <row r="48" spans="1:16">
      <c r="A48">
        <v>2022</v>
      </c>
      <c r="B48" s="59">
        <v>185379</v>
      </c>
      <c r="C48">
        <v>733</v>
      </c>
      <c r="D48" s="59">
        <v>10371</v>
      </c>
      <c r="E48">
        <v>259</v>
      </c>
      <c r="F48">
        <v>280</v>
      </c>
      <c r="G48" s="59">
        <v>11642</v>
      </c>
      <c r="H48" s="59">
        <v>173737</v>
      </c>
      <c r="I48" s="59">
        <v>1247</v>
      </c>
      <c r="J48">
        <v>0</v>
      </c>
      <c r="K48">
        <v>0</v>
      </c>
      <c r="L48" s="59">
        <v>16027</v>
      </c>
      <c r="M48" s="59">
        <v>17274</v>
      </c>
      <c r="O48" s="59">
        <v>156464</v>
      </c>
      <c r="P48" s="693">
        <v>0.84399999999999997</v>
      </c>
    </row>
    <row r="49" spans="1:16">
      <c r="A49">
        <v>2023</v>
      </c>
      <c r="B49" s="59">
        <v>141179</v>
      </c>
      <c r="C49">
        <v>389</v>
      </c>
      <c r="D49" s="59">
        <v>3352</v>
      </c>
      <c r="E49">
        <v>192</v>
      </c>
      <c r="F49" s="59">
        <v>460</v>
      </c>
      <c r="G49" s="59">
        <v>4393</v>
      </c>
      <c r="H49" s="59">
        <v>136786</v>
      </c>
      <c r="I49" s="59">
        <v>1088</v>
      </c>
      <c r="J49">
        <v>0</v>
      </c>
      <c r="K49">
        <v>0</v>
      </c>
      <c r="L49" s="59">
        <v>11780</v>
      </c>
      <c r="M49" s="59">
        <v>12868</v>
      </c>
      <c r="O49" s="59">
        <v>123918</v>
      </c>
      <c r="P49" s="693">
        <v>0.878</v>
      </c>
    </row>
    <row r="50" spans="1:16">
      <c r="A50">
        <v>2024</v>
      </c>
      <c r="B50" s="59">
        <v>116332</v>
      </c>
      <c r="C50">
        <v>289</v>
      </c>
      <c r="D50" s="59">
        <v>4307</v>
      </c>
      <c r="E50">
        <v>123</v>
      </c>
      <c r="F50" s="59">
        <v>403</v>
      </c>
      <c r="G50" s="59">
        <v>5122</v>
      </c>
      <c r="H50" s="59">
        <v>111210</v>
      </c>
      <c r="I50" s="59">
        <v>1485</v>
      </c>
      <c r="J50" s="59">
        <v>0</v>
      </c>
      <c r="K50" s="59">
        <v>0</v>
      </c>
      <c r="L50" s="59">
        <v>6363</v>
      </c>
      <c r="M50" s="59">
        <v>7848</v>
      </c>
      <c r="O50" s="59">
        <v>103362</v>
      </c>
      <c r="P50" s="693">
        <v>0.88900000000000001</v>
      </c>
    </row>
    <row r="51" spans="1:16">
      <c r="A51">
        <v>2025</v>
      </c>
      <c r="B51" s="59">
        <v>154703</v>
      </c>
      <c r="C51">
        <v>484</v>
      </c>
      <c r="D51" s="59">
        <v>7411</v>
      </c>
      <c r="E51">
        <v>227</v>
      </c>
      <c r="F51" s="59">
        <v>520</v>
      </c>
      <c r="G51" s="59">
        <v>8642</v>
      </c>
      <c r="H51" s="59">
        <v>146061</v>
      </c>
      <c r="I51" s="59">
        <v>935</v>
      </c>
      <c r="J51" s="59">
        <v>0</v>
      </c>
      <c r="K51" s="59">
        <v>0</v>
      </c>
      <c r="L51" s="59">
        <v>9649</v>
      </c>
      <c r="M51" s="59">
        <v>10584</v>
      </c>
      <c r="O51" s="59">
        <v>135478</v>
      </c>
      <c r="P51" s="693">
        <v>0.87599999999999989</v>
      </c>
    </row>
    <row r="52" spans="1:16">
      <c r="A52" s="2077"/>
      <c r="B52" s="2077"/>
      <c r="C52" s="2077"/>
      <c r="D52" s="2077"/>
      <c r="E52" s="2077"/>
    </row>
    <row r="53" spans="1:16">
      <c r="A53" s="2077"/>
      <c r="B53" s="2077"/>
      <c r="C53" s="2077"/>
      <c r="D53" s="2077"/>
      <c r="E53" s="2077"/>
    </row>
    <row r="54" spans="1:16">
      <c r="A54" s="2077"/>
      <c r="B54" s="2077"/>
      <c r="C54" s="2077"/>
      <c r="D54" s="2077"/>
      <c r="E54" s="2077"/>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237D-EFB8-4AC1-97B7-AFC41233BFCB}">
  <sheetPr>
    <tabColor rgb="FF66FF33"/>
  </sheetPr>
  <dimension ref="A1:Q48"/>
  <sheetViews>
    <sheetView showGridLines="0" topLeftCell="A23" zoomScale="110" zoomScaleNormal="110" workbookViewId="0">
      <selection activeCell="A2" sqref="A2"/>
    </sheetView>
  </sheetViews>
  <sheetFormatPr defaultColWidth="10.83203125" defaultRowHeight="12.75"/>
  <cols>
    <col min="1" max="15" width="10.83203125" style="47" customWidth="1"/>
    <col min="16" max="16" width="1.6640625" style="47" customWidth="1"/>
    <col min="17" max="16384" width="10.83203125" style="47"/>
  </cols>
  <sheetData>
    <row r="1" spans="1:15" ht="15.75">
      <c r="A1" s="7" t="s">
        <v>141</v>
      </c>
    </row>
    <row r="2" spans="1:15" ht="15.75">
      <c r="A2" s="60" t="s">
        <v>201</v>
      </c>
    </row>
    <row r="4" spans="1:15" ht="25.5" customHeight="1" thickBot="1">
      <c r="A4" s="1163"/>
      <c r="B4" s="1173"/>
      <c r="C4" s="1774" t="s">
        <v>202</v>
      </c>
      <c r="D4" s="1775"/>
      <c r="E4" s="1775"/>
      <c r="F4" s="1775"/>
      <c r="G4" s="1776"/>
      <c r="H4" s="1183"/>
      <c r="I4" s="1774" t="s">
        <v>203</v>
      </c>
      <c r="J4" s="1775"/>
      <c r="K4" s="1775"/>
      <c r="L4" s="1775"/>
      <c r="M4" s="1776"/>
      <c r="N4" s="1184"/>
      <c r="O4" s="1164"/>
    </row>
    <row r="5" spans="1:15" ht="16.5" customHeight="1" thickBot="1">
      <c r="A5" s="1165"/>
      <c r="B5" s="1174"/>
      <c r="C5" s="1777" t="s">
        <v>204</v>
      </c>
      <c r="D5" s="1778"/>
      <c r="E5" s="1778"/>
      <c r="F5" s="1549"/>
      <c r="G5" s="1178"/>
      <c r="H5" s="1723" t="s">
        <v>205</v>
      </c>
      <c r="I5" s="1639"/>
      <c r="J5" s="1778" t="s">
        <v>206</v>
      </c>
      <c r="K5" s="1778"/>
      <c r="L5" s="1778"/>
      <c r="M5" s="1693"/>
      <c r="N5" s="1770" t="s">
        <v>207</v>
      </c>
      <c r="O5" s="1771"/>
    </row>
    <row r="6" spans="1:15" ht="13.5" customHeight="1" thickBot="1">
      <c r="A6" s="1764" t="s">
        <v>208</v>
      </c>
      <c r="B6" s="1766" t="s">
        <v>209</v>
      </c>
      <c r="C6" s="1768" t="s">
        <v>189</v>
      </c>
      <c r="D6" s="1726" t="s">
        <v>210</v>
      </c>
      <c r="E6" s="1726" t="s">
        <v>211</v>
      </c>
      <c r="F6" s="1725" t="s">
        <v>179</v>
      </c>
      <c r="G6" s="1751" t="s">
        <v>212</v>
      </c>
      <c r="H6" s="1723"/>
      <c r="I6" s="1731" t="s">
        <v>213</v>
      </c>
      <c r="J6" s="1726" t="s">
        <v>214</v>
      </c>
      <c r="K6" s="1726" t="s">
        <v>215</v>
      </c>
      <c r="L6" s="1726" t="s">
        <v>216</v>
      </c>
      <c r="M6" s="1751" t="s">
        <v>217</v>
      </c>
      <c r="N6" s="1772"/>
      <c r="O6" s="1773"/>
    </row>
    <row r="7" spans="1:15" ht="15" thickBot="1">
      <c r="A7" s="1765"/>
      <c r="B7" s="1767"/>
      <c r="C7" s="1769"/>
      <c r="D7" s="1727"/>
      <c r="E7" s="1727"/>
      <c r="F7" s="1779"/>
      <c r="G7" s="1730"/>
      <c r="H7" s="1727"/>
      <c r="I7" s="1732"/>
      <c r="J7" s="1727"/>
      <c r="K7" s="1727"/>
      <c r="L7" s="1727"/>
      <c r="M7" s="1730"/>
      <c r="N7" s="1637" t="s">
        <v>218</v>
      </c>
      <c r="O7" s="859" t="s">
        <v>219</v>
      </c>
    </row>
    <row r="8" spans="1:15">
      <c r="A8" s="1166" t="s">
        <v>220</v>
      </c>
      <c r="B8" s="1175">
        <f>AVERAGE(T5Manip!B6:B10)</f>
        <v>63521.599999999999</v>
      </c>
      <c r="C8" s="1179">
        <f>ROUND(AVERAGE(T5Manip!C6:C10),0)</f>
        <v>1027</v>
      </c>
      <c r="D8" s="436">
        <f>ROUND(AVERAGE(T5Manip!D6:D10),0)</f>
        <v>320</v>
      </c>
      <c r="E8" s="1551">
        <f>ROUND(AVERAGE(T5Manip!E6:E10),0)</f>
        <v>105</v>
      </c>
      <c r="F8" s="1550"/>
      <c r="G8" s="1180">
        <f>ROUND(AVERAGE(T5Manip!G6:G10),0)</f>
        <v>1452</v>
      </c>
      <c r="H8" s="1550">
        <f>ROUND(AVERAGE(T5Manip!H6:H10),0)</f>
        <v>62069</v>
      </c>
      <c r="I8" s="1179">
        <f>ROUND(AVERAGE(T5Manip!I6:I10),0)</f>
        <v>0</v>
      </c>
      <c r="J8" s="1550">
        <f>ROUND(AVERAGE(T5Manip!J6:J10),0)</f>
        <v>1008</v>
      </c>
      <c r="K8" s="1550">
        <f>ROUND(AVERAGE(T5Manip!K6:K10),0)</f>
        <v>0</v>
      </c>
      <c r="L8" s="1550">
        <f>ROUND(AVERAGE(T5Manip!L6:L10),0)</f>
        <v>2306</v>
      </c>
      <c r="M8" s="1180">
        <f>ROUND(AVERAGE(T5Manip!M6:M10),0)</f>
        <v>3313</v>
      </c>
      <c r="N8" s="1550">
        <f>ROUND(AVERAGE(T5Manip!O6:O10),0)</f>
        <v>58756</v>
      </c>
      <c r="O8" s="1167">
        <f>ROUND(AVERAGE(T5Manip!P6:P10),3)</f>
        <v>0.92500000000000004</v>
      </c>
    </row>
    <row r="9" spans="1:15">
      <c r="A9" s="1166" t="s">
        <v>221</v>
      </c>
      <c r="B9" s="1175">
        <f>AVERAGE(T5Manip!B11:B15)</f>
        <v>105500.6</v>
      </c>
      <c r="C9" s="1179">
        <f>ROUND(AVERAGE(T5Manip!C11:C15),0)</f>
        <v>2416</v>
      </c>
      <c r="D9" s="1552">
        <f>ROUND(AVERAGE(T5Manip!D11:D15),0)</f>
        <v>805</v>
      </c>
      <c r="E9" s="1551">
        <f>ROUND(AVERAGE(T5Manip!E11:E15),0)</f>
        <v>113</v>
      </c>
      <c r="F9" s="1550"/>
      <c r="G9" s="1180">
        <f>ROUND(AVERAGE(T5Manip!G11:G15),0)</f>
        <v>3334</v>
      </c>
      <c r="H9" s="1550">
        <f>ROUND(AVERAGE(T5Manip!H11:H15),0)</f>
        <v>102166</v>
      </c>
      <c r="I9" s="1179">
        <f>ROUND(AVERAGE(T5Manip!I11:I15),0)</f>
        <v>0</v>
      </c>
      <c r="J9" s="1550">
        <f>ROUND(AVERAGE(T5Manip!J11:J15),0)</f>
        <v>208</v>
      </c>
      <c r="K9" s="1550">
        <f>ROUND(AVERAGE(T5Manip!K11:K15),0)</f>
        <v>0</v>
      </c>
      <c r="L9" s="1550">
        <f>ROUND(AVERAGE(T5Manip!L11:L15),0)</f>
        <v>5973</v>
      </c>
      <c r="M9" s="1180">
        <f>ROUND(AVERAGE(T5Manip!M11:M15),0)</f>
        <v>6181</v>
      </c>
      <c r="N9" s="1550">
        <f>ROUND(AVERAGE(T5Manip!O11:O15),0)</f>
        <v>95985</v>
      </c>
      <c r="O9" s="1167">
        <f>ROUND(AVERAGE(T5Manip!P11:P15),3)</f>
        <v>0.90900000000000003</v>
      </c>
    </row>
    <row r="10" spans="1:15">
      <c r="A10" s="1166" t="s">
        <v>222</v>
      </c>
      <c r="B10" s="1175">
        <f>AVERAGE(T5Manip!B16:B20)</f>
        <v>81988.600000000006</v>
      </c>
      <c r="C10" s="1179">
        <f>ROUND(AVERAGE(T5Manip!C16:C20),0)</f>
        <v>861</v>
      </c>
      <c r="D10" s="1550">
        <f>ROUND(AVERAGE(T5Manip!D16:D20),0)</f>
        <v>1332</v>
      </c>
      <c r="E10" s="1551">
        <f>ROUND(AVERAGE(T5Manip!E16:E20),0)</f>
        <v>95</v>
      </c>
      <c r="F10" s="1550"/>
      <c r="G10" s="1180">
        <f>ROUND(AVERAGE(T5Manip!G16:G20),0)</f>
        <v>2289</v>
      </c>
      <c r="H10" s="1550">
        <f>ROUND(AVERAGE(T5Manip!H16:H20),0)</f>
        <v>79700</v>
      </c>
      <c r="I10" s="1179">
        <f>ROUND(AVERAGE(T5Manip!I16:I20),0)</f>
        <v>0</v>
      </c>
      <c r="J10" s="1550">
        <f>ROUND(AVERAGE(T5Manip!J16:J20),0)</f>
        <v>13</v>
      </c>
      <c r="K10" s="1550">
        <f>ROUND(AVERAGE(T5Manip!K16:K20),0)</f>
        <v>0</v>
      </c>
      <c r="L10" s="1550">
        <f>ROUND(AVERAGE(T5Manip!L16:L20),0)</f>
        <v>4979</v>
      </c>
      <c r="M10" s="1180">
        <f>ROUND(AVERAGE(T5Manip!M16:M20),0)</f>
        <v>4992</v>
      </c>
      <c r="N10" s="1550">
        <f>ROUND(AVERAGE(T5Manip!O16:O20),0)</f>
        <v>74708</v>
      </c>
      <c r="O10" s="1167">
        <f>ROUND(AVERAGE(T5Manip!P16:P20),3)</f>
        <v>0.91100000000000003</v>
      </c>
    </row>
    <row r="11" spans="1:15">
      <c r="A11" s="832">
        <v>1995</v>
      </c>
      <c r="B11" s="1176">
        <f>IF(T5Manip!B21="","",T5Manip!B21)</f>
        <v>12792</v>
      </c>
      <c r="C11" s="1181">
        <f>ROUND(IF(T5Manip!C21="","",T5Manip!C21),0)</f>
        <v>1</v>
      </c>
      <c r="D11" s="437">
        <f>ROUND(IF(T5Manip!D21="","",T5Manip!D21),0)</f>
        <v>9</v>
      </c>
      <c r="E11" s="1548">
        <f>ROUND(IF(T5Manip!E21="","",T5Manip!E21),0)</f>
        <v>1</v>
      </c>
      <c r="F11" s="1547"/>
      <c r="G11" s="1182">
        <f>ROUND(IF(T5Manip!G21="","",T5Manip!G21),0)</f>
        <v>11</v>
      </c>
      <c r="H11" s="1547">
        <f>ROUND(IF(T5Manip!H21="","",T5Manip!H21),0)</f>
        <v>12781</v>
      </c>
      <c r="I11" s="1181">
        <f>ROUND(IF(T5Manip!I21="","",T5Manip!I21),0)</f>
        <v>0</v>
      </c>
      <c r="J11" s="1547">
        <f>ROUND(IF(T5Manip!J21="","",T5Manip!J21),0)</f>
        <v>13</v>
      </c>
      <c r="K11" s="1547">
        <f>ROUND(IF(T5Manip!K21="","",T5Manip!K21),0)</f>
        <v>0</v>
      </c>
      <c r="L11" s="1547">
        <f>ROUND(IF(T5Manip!L21="","",T5Manip!L21),0)</f>
        <v>620</v>
      </c>
      <c r="M11" s="1182">
        <f>ROUND(IF(T5Manip!M21="","",T5Manip!M21),0)</f>
        <v>633</v>
      </c>
      <c r="N11" s="1547">
        <f>ROUND(IF(T5Manip!O21="","",T5Manip!O21),0)</f>
        <v>12148</v>
      </c>
      <c r="O11" s="1168">
        <f>ROUND(IF(T5Manip!P21="","",T5Manip!P21),3)</f>
        <v>0.95</v>
      </c>
    </row>
    <row r="12" spans="1:15">
      <c r="A12" s="832">
        <v>1996</v>
      </c>
      <c r="B12" s="1176">
        <f>IF(T5Manip!B22="","",T5Manip!B22)</f>
        <v>55551</v>
      </c>
      <c r="C12" s="1181">
        <f>ROUND(IF(T5Manip!C22="","",T5Manip!C22),0)</f>
        <v>34</v>
      </c>
      <c r="D12" s="437">
        <f>ROUND(IF(T5Manip!D22="","",T5Manip!D22),0)</f>
        <v>10</v>
      </c>
      <c r="E12" s="1548">
        <f>ROUND(IF(T5Manip!E22="","",T5Manip!E22),0)</f>
        <v>12</v>
      </c>
      <c r="F12" s="1547"/>
      <c r="G12" s="1182">
        <f>ROUND(IF(T5Manip!G22="","",T5Manip!G22),0)</f>
        <v>56</v>
      </c>
      <c r="H12" s="1547">
        <f>ROUND(IF(T5Manip!H22="","",T5Manip!H22),0)</f>
        <v>55495</v>
      </c>
      <c r="I12" s="1181">
        <f>ROUND(IF(T5Manip!I22="","",T5Manip!I22),0)</f>
        <v>0</v>
      </c>
      <c r="J12" s="1547">
        <f>ROUND(IF(T5Manip!J22="","",T5Manip!J22),0)</f>
        <v>0</v>
      </c>
      <c r="K12" s="1547">
        <f>ROUND(IF(T5Manip!K22="","",T5Manip!K22),0)</f>
        <v>0</v>
      </c>
      <c r="L12" s="1547">
        <f>ROUND(IF(T5Manip!L22="","",T5Manip!L22),0)</f>
        <v>2911</v>
      </c>
      <c r="M12" s="1182">
        <f>ROUND(IF(T5Manip!M22="","",T5Manip!M22),0)</f>
        <v>2911</v>
      </c>
      <c r="N12" s="1547">
        <f>ROUND(IF(T5Manip!O22="","",T5Manip!O22),0)</f>
        <v>52584</v>
      </c>
      <c r="O12" s="1168">
        <f>ROUND(IF(T5Manip!P22="","",T5Manip!P22),3)</f>
        <v>0.94699999999999995</v>
      </c>
    </row>
    <row r="13" spans="1:15">
      <c r="A13" s="832">
        <v>1997</v>
      </c>
      <c r="B13" s="1176">
        <f>IF(T5Manip!B23="","",T5Manip!B23)</f>
        <v>124321</v>
      </c>
      <c r="C13" s="1181">
        <f>ROUND(IF(T5Manip!C23="","",T5Manip!C23),0)</f>
        <v>34</v>
      </c>
      <c r="D13" s="437">
        <f>ROUND(IF(T5Manip!D23="","",T5Manip!D23),0)</f>
        <v>16</v>
      </c>
      <c r="E13" s="1548">
        <f>ROUND(IF(T5Manip!E23="","",T5Manip!E23),0)</f>
        <v>19</v>
      </c>
      <c r="F13" s="1547"/>
      <c r="G13" s="1182">
        <f>ROUND(IF(T5Manip!G23="","",T5Manip!G23),0)</f>
        <v>69</v>
      </c>
      <c r="H13" s="1547">
        <f>ROUND(IF(T5Manip!H23="","",T5Manip!H23),0)</f>
        <v>124252</v>
      </c>
      <c r="I13" s="1181">
        <f>ROUND(IF(T5Manip!I23="","",T5Manip!I23),0)</f>
        <v>0</v>
      </c>
      <c r="J13" s="1547">
        <f>ROUND(IF(T5Manip!J23="","",T5Manip!J23),0)</f>
        <v>14</v>
      </c>
      <c r="K13" s="1547">
        <f>ROUND(IF(T5Manip!K23="","",T5Manip!K23),0)</f>
        <v>0</v>
      </c>
      <c r="L13" s="1547">
        <f>ROUND(IF(T5Manip!L23="","",T5Manip!L23),0)</f>
        <v>8309</v>
      </c>
      <c r="M13" s="1182">
        <f>ROUND(IF(T5Manip!M23="","",T5Manip!M23),0)</f>
        <v>8323</v>
      </c>
      <c r="N13" s="1547">
        <f>ROUND(IF(T5Manip!O23="","",T5Manip!O23),0)</f>
        <v>115929</v>
      </c>
      <c r="O13" s="1168">
        <f>ROUND(IF(T5Manip!P23="","",T5Manip!P23),3)</f>
        <v>0.93200000000000005</v>
      </c>
    </row>
    <row r="14" spans="1:15">
      <c r="A14" s="832">
        <v>1998</v>
      </c>
      <c r="B14" s="1176">
        <f>IF(T5Manip!B24="","",T5Manip!B24)</f>
        <v>44308</v>
      </c>
      <c r="C14" s="1181">
        <f>ROUND(IF(T5Manip!C24="","",T5Manip!C24),0)</f>
        <v>27</v>
      </c>
      <c r="D14" s="437">
        <f>ROUND(IF(T5Manip!D24="","",T5Manip!D24),0)</f>
        <v>14</v>
      </c>
      <c r="E14" s="1548">
        <f>ROUND(IF(T5Manip!E24="","",T5Manip!E24),0)</f>
        <v>0</v>
      </c>
      <c r="F14" s="1547"/>
      <c r="G14" s="1182">
        <f>ROUND(IF(T5Manip!G24="","",T5Manip!G24),0)</f>
        <v>41</v>
      </c>
      <c r="H14" s="1547">
        <f>ROUND(IF(T5Manip!H24="","",T5Manip!H24),0)</f>
        <v>44267</v>
      </c>
      <c r="I14" s="1181">
        <f>ROUND(IF(T5Manip!I24="","",T5Manip!I24),0)</f>
        <v>0</v>
      </c>
      <c r="J14" s="1547">
        <f>ROUND(IF(T5Manip!J24="","",T5Manip!J24),0)</f>
        <v>1</v>
      </c>
      <c r="K14" s="1547">
        <f>ROUND(IF(T5Manip!K24="","",T5Manip!K24),0)</f>
        <v>0</v>
      </c>
      <c r="L14" s="1547">
        <f>ROUND(IF(T5Manip!L24="","",T5Manip!L24),0)</f>
        <v>2202</v>
      </c>
      <c r="M14" s="1182">
        <f>ROUND(IF(T5Manip!M24="","",T5Manip!M24),0)</f>
        <v>2203</v>
      </c>
      <c r="N14" s="1547">
        <f>ROUND(IF(T5Manip!O24="","",T5Manip!O24),0)</f>
        <v>42064</v>
      </c>
      <c r="O14" s="1168">
        <f>ROUND(IF(T5Manip!P24="","",T5Manip!P24),3)</f>
        <v>0.94899999999999995</v>
      </c>
    </row>
    <row r="15" spans="1:15">
      <c r="A15" s="832">
        <v>1999</v>
      </c>
      <c r="B15" s="1176">
        <f>IF(T5Manip!B25="","",T5Manip!B25)</f>
        <v>43067</v>
      </c>
      <c r="C15" s="1181">
        <f>ROUND(IF(T5Manip!C25="","",T5Manip!C25),0)</f>
        <v>28</v>
      </c>
      <c r="D15" s="437">
        <f>ROUND(IF(T5Manip!D25="","",T5Manip!D25),0)</f>
        <v>16</v>
      </c>
      <c r="E15" s="1548">
        <f>ROUND(IF(T5Manip!E25="","",T5Manip!E25),0)</f>
        <v>0</v>
      </c>
      <c r="F15" s="1547"/>
      <c r="G15" s="1182">
        <f>ROUND(IF(T5Manip!G25="","",T5Manip!G25),0)</f>
        <v>44</v>
      </c>
      <c r="H15" s="1547">
        <f>ROUND(IF(T5Manip!H25="","",T5Manip!H25),0)</f>
        <v>43023</v>
      </c>
      <c r="I15" s="1181">
        <f>ROUND(IF(T5Manip!I25="","",T5Manip!I25),0)</f>
        <v>0</v>
      </c>
      <c r="J15" s="1547">
        <f>ROUND(IF(T5Manip!J25="","",T5Manip!J25),0)</f>
        <v>1</v>
      </c>
      <c r="K15" s="1547">
        <f>ROUND(IF(T5Manip!K25="","",T5Manip!K25),0)</f>
        <v>0</v>
      </c>
      <c r="L15" s="1547">
        <f>ROUND(IF(T5Manip!L25="","",T5Manip!L25),0)</f>
        <v>2044</v>
      </c>
      <c r="M15" s="1182">
        <f>ROUND(IF(T5Manip!M25="","",T5Manip!M25),0)</f>
        <v>2045</v>
      </c>
      <c r="N15" s="1547">
        <f>ROUND(IF(T5Manip!O25="","",T5Manip!O25),0)</f>
        <v>40978</v>
      </c>
      <c r="O15" s="1168">
        <f>ROUND(IF(T5Manip!P25="","",T5Manip!P25),3)</f>
        <v>0.95099999999999996</v>
      </c>
    </row>
    <row r="16" spans="1:15">
      <c r="A16" s="832">
        <v>2000</v>
      </c>
      <c r="B16" s="1176">
        <f>IF(T5Manip!B26="","",T5Manip!B26)</f>
        <v>186715</v>
      </c>
      <c r="C16" s="1181">
        <f>ROUND(IF(T5Manip!C26="","",T5Manip!C26),0)</f>
        <v>245</v>
      </c>
      <c r="D16" s="437">
        <f>ROUND(IF(T5Manip!D26="","",T5Manip!D26),0)</f>
        <v>124</v>
      </c>
      <c r="E16" s="1548">
        <f>ROUND(IF(T5Manip!E26="","",T5Manip!E26),0)</f>
        <v>6</v>
      </c>
      <c r="F16" s="1547"/>
      <c r="G16" s="1182">
        <f>ROUND(IF(T5Manip!G26="","",T5Manip!G26),0)</f>
        <v>375</v>
      </c>
      <c r="H16" s="1547">
        <f>ROUND(IF(T5Manip!H26="","",T5Manip!H26),0)</f>
        <v>186340</v>
      </c>
      <c r="I16" s="1181">
        <f>ROUND(IF(T5Manip!I26="","",T5Manip!I26),0)</f>
        <v>0</v>
      </c>
      <c r="J16" s="1547">
        <f>ROUND(IF(T5Manip!J26="","",T5Manip!J26),0)</f>
        <v>31</v>
      </c>
      <c r="K16" s="1547">
        <f>ROUND(IF(T5Manip!K26="","",T5Manip!K26),0)</f>
        <v>1348</v>
      </c>
      <c r="L16" s="1547">
        <f>ROUND(IF(T5Manip!L26="","",T5Manip!L26),0)</f>
        <v>10158</v>
      </c>
      <c r="M16" s="1182">
        <f>ROUND(IF(T5Manip!M26="","",T5Manip!M26),0)</f>
        <v>11537</v>
      </c>
      <c r="N16" s="1547">
        <f>ROUND(IF(T5Manip!O26="","",T5Manip!O26),0)</f>
        <v>174803</v>
      </c>
      <c r="O16" s="1168">
        <f>ROUND(IF(T5Manip!P26="","",T5Manip!P26),3)</f>
        <v>0.93600000000000005</v>
      </c>
    </row>
    <row r="17" spans="1:16">
      <c r="A17" s="832">
        <v>2001</v>
      </c>
      <c r="B17" s="1176">
        <f>IF(T5Manip!B27="","",T5Manip!B27)</f>
        <v>439885</v>
      </c>
      <c r="C17" s="1181">
        <f>ROUND(IF(T5Manip!C27="","",T5Manip!C27),0)</f>
        <v>2054</v>
      </c>
      <c r="D17" s="437">
        <f>ROUND(IF(T5Manip!D27="","",T5Manip!D27),0)</f>
        <v>22719</v>
      </c>
      <c r="E17" s="1548">
        <f>ROUND(IF(T5Manip!E27="","",T5Manip!E27),0)</f>
        <v>484</v>
      </c>
      <c r="F17" s="1547"/>
      <c r="G17" s="1182">
        <f>ROUND(IF(T5Manip!G27="","",T5Manip!G27),0)</f>
        <v>25257</v>
      </c>
      <c r="H17" s="1547">
        <f>ROUND(IF(T5Manip!H27="","",T5Manip!H27),0)</f>
        <v>414628</v>
      </c>
      <c r="I17" s="1181">
        <f>ROUND(IF(T5Manip!I27="","",T5Manip!I27),0)</f>
        <v>168</v>
      </c>
      <c r="J17" s="1547">
        <f>ROUND(IF(T5Manip!J27="","",T5Manip!J27),0)</f>
        <v>160</v>
      </c>
      <c r="K17" s="1547">
        <f>ROUND(IF(T5Manip!K27="","",T5Manip!K27),0)</f>
        <v>43630</v>
      </c>
      <c r="L17" s="1547">
        <f>ROUND(IF(T5Manip!L27="","",T5Manip!L27),0)</f>
        <v>10426</v>
      </c>
      <c r="M17" s="1182">
        <f>ROUND(IF(T5Manip!M27="","",T5Manip!M27),0)</f>
        <v>54384</v>
      </c>
      <c r="N17" s="1547">
        <f>ROUND(IF(T5Manip!O27="","",T5Manip!O27),0)</f>
        <v>360245</v>
      </c>
      <c r="O17" s="1168">
        <f>ROUND(IF(T5Manip!P27="","",T5Manip!P27),3)</f>
        <v>0.81899999999999995</v>
      </c>
      <c r="P17" s="168"/>
    </row>
    <row r="18" spans="1:16">
      <c r="A18" s="832">
        <v>2002</v>
      </c>
      <c r="B18" s="1176">
        <f>IF(T5Manip!B28="","",T5Manip!B28)</f>
        <v>335306</v>
      </c>
      <c r="C18" s="1181">
        <f>ROUND(IF(T5Manip!C28="","",T5Manip!C28),0)</f>
        <v>10070</v>
      </c>
      <c r="D18" s="437">
        <f>ROUND(IF(T5Manip!D28="","",T5Manip!D28),0)</f>
        <v>16268</v>
      </c>
      <c r="E18" s="1548">
        <f>ROUND(IF(T5Manip!E28="","",T5Manip!E28),0)</f>
        <v>81</v>
      </c>
      <c r="F18" s="1547"/>
      <c r="G18" s="1182">
        <f>ROUND(IF(T5Manip!G28="","",T5Manip!G28),0)</f>
        <v>26419</v>
      </c>
      <c r="H18" s="1547">
        <f>ROUND(IF(T5Manip!H28="","",T5Manip!H28),0)</f>
        <v>308887</v>
      </c>
      <c r="I18" s="1181">
        <f>ROUND(IF(T5Manip!I28="","",T5Manip!I28),0)</f>
        <v>1716</v>
      </c>
      <c r="J18" s="1547">
        <f>ROUND(IF(T5Manip!J28="","",T5Manip!J28),0)</f>
        <v>48</v>
      </c>
      <c r="K18" s="1547">
        <f>ROUND(IF(T5Manip!K28="","",T5Manip!K28),0)</f>
        <v>24209</v>
      </c>
      <c r="L18" s="1547">
        <f>ROUND(IF(T5Manip!L28="","",T5Manip!L28),0)</f>
        <v>9707</v>
      </c>
      <c r="M18" s="1182">
        <f>ROUND(IF(T5Manip!M28="","",T5Manip!M28),0)</f>
        <v>35680</v>
      </c>
      <c r="N18" s="1547">
        <f>ROUND(IF(T5Manip!O28="","",T5Manip!O28),0)</f>
        <v>273207</v>
      </c>
      <c r="O18" s="1168">
        <f>ROUND(IF(T5Manip!P28="","",T5Manip!P28),3)</f>
        <v>0.81499999999999995</v>
      </c>
    </row>
    <row r="19" spans="1:16">
      <c r="A19" s="832">
        <v>2003</v>
      </c>
      <c r="B19" s="1176">
        <f>IF(T5Manip!B29="","",T5Manip!B29)</f>
        <v>242605</v>
      </c>
      <c r="C19" s="1181">
        <f>ROUND(IF(T5Manip!C29="","",T5Manip!C29),0)</f>
        <v>3161</v>
      </c>
      <c r="D19" s="437">
        <f>ROUND(IF(T5Manip!D29="","",T5Manip!D29),0)</f>
        <v>9611</v>
      </c>
      <c r="E19" s="1548">
        <f>ROUND(IF(T5Manip!E29="","",T5Manip!E29),0)</f>
        <v>332</v>
      </c>
      <c r="F19" s="1547"/>
      <c r="G19" s="1182">
        <f>ROUND(IF(T5Manip!G29="","",T5Manip!G29),0)</f>
        <v>13104</v>
      </c>
      <c r="H19" s="1547">
        <f>ROUND(IF(T5Manip!H29="","",T5Manip!H29),0)</f>
        <v>229501</v>
      </c>
      <c r="I19" s="1181">
        <f>ROUND(IF(T5Manip!I29="","",T5Manip!I29),0)</f>
        <v>1860</v>
      </c>
      <c r="J19" s="1547">
        <f>ROUND(IF(T5Manip!J29="","",T5Manip!J29),0)</f>
        <v>857</v>
      </c>
      <c r="K19" s="1547">
        <f>ROUND(IF(T5Manip!K29="","",T5Manip!K29),0)</f>
        <v>8348</v>
      </c>
      <c r="L19" s="1547">
        <f>ROUND(IF(T5Manip!L29="","",T5Manip!L29),0)</f>
        <v>9075</v>
      </c>
      <c r="M19" s="1182">
        <f>ROUND(IF(T5Manip!M29="","",T5Manip!M29),0)</f>
        <v>20140</v>
      </c>
      <c r="N19" s="1547">
        <f>ROUND(IF(T5Manip!O29="","",T5Manip!O29),0)</f>
        <v>209361</v>
      </c>
      <c r="O19" s="1168">
        <f>ROUND(IF(T5Manip!P29="","",T5Manip!P29),3)</f>
        <v>0.86299999999999999</v>
      </c>
    </row>
    <row r="20" spans="1:16">
      <c r="A20" s="832">
        <v>2004</v>
      </c>
      <c r="B20" s="1176">
        <f>IF(T5Manip!B30="","",T5Manip!B30)</f>
        <v>221675</v>
      </c>
      <c r="C20" s="1181">
        <f>ROUND(IF(T5Manip!C30="","",T5Manip!C30),0)</f>
        <v>6223</v>
      </c>
      <c r="D20" s="437">
        <f>ROUND(IF(T5Manip!D30="","",T5Manip!D30),0)</f>
        <v>17146</v>
      </c>
      <c r="E20" s="1548">
        <f>ROUND(IF(T5Manip!E30="","",T5Manip!E30),0)</f>
        <v>9</v>
      </c>
      <c r="F20" s="1547"/>
      <c r="G20" s="1182">
        <f>ROUND(IF(T5Manip!G30="","",T5Manip!G30),0)</f>
        <v>23379</v>
      </c>
      <c r="H20" s="1547">
        <f>ROUND(IF(T5Manip!H30="","",T5Manip!H30),0)</f>
        <v>198296</v>
      </c>
      <c r="I20" s="1181">
        <f>ROUND(IF(T5Manip!I30="","",T5Manip!I30),0)</f>
        <v>1596</v>
      </c>
      <c r="J20" s="1547">
        <f>ROUND(IF(T5Manip!J30="","",T5Manip!J30),0)</f>
        <v>2</v>
      </c>
      <c r="K20" s="1547">
        <f>ROUND(IF(T5Manip!K30="","",T5Manip!K30),0)</f>
        <v>8368</v>
      </c>
      <c r="L20" s="1547">
        <f>ROUND(IF(T5Manip!L30="","",T5Manip!L30),0)</f>
        <v>9112</v>
      </c>
      <c r="M20" s="1182">
        <f>ROUND(IF(T5Manip!M30="","",T5Manip!M30),0)</f>
        <v>19078</v>
      </c>
      <c r="N20" s="1547">
        <f>ROUND(IF(T5Manip!O30="","",T5Manip!O30),0)</f>
        <v>179218</v>
      </c>
      <c r="O20" s="1168">
        <f>ROUND(IF(T5Manip!P30="","",T5Manip!P30),3)</f>
        <v>0.80800000000000005</v>
      </c>
    </row>
    <row r="21" spans="1:16">
      <c r="A21" s="832">
        <v>2005</v>
      </c>
      <c r="B21" s="1176">
        <f>IF(T5Manip!B31="","",T5Manip!B31)</f>
        <v>106910</v>
      </c>
      <c r="C21" s="1181">
        <f>ROUND(IF(T5Manip!C31="","",T5Manip!C31),0)</f>
        <v>2267</v>
      </c>
      <c r="D21" s="437">
        <f>ROUND(IF(T5Manip!D31="","",T5Manip!D31),0)</f>
        <v>7224</v>
      </c>
      <c r="E21" s="1548">
        <f>ROUND(IF(T5Manip!E31="","",T5Manip!E31),0)</f>
        <v>22</v>
      </c>
      <c r="F21" s="1547"/>
      <c r="G21" s="1182">
        <f>ROUND(IF(T5Manip!G31="","",T5Manip!G31),0)</f>
        <v>9513</v>
      </c>
      <c r="H21" s="1547">
        <f>ROUND(IF(T5Manip!H31="","",T5Manip!H31),0)</f>
        <v>97397</v>
      </c>
      <c r="I21" s="1181">
        <f>ROUND(IF(T5Manip!I31="","",T5Manip!I31),0)</f>
        <v>464</v>
      </c>
      <c r="J21" s="1547">
        <f>ROUND(IF(T5Manip!J31="","",T5Manip!J31),0)</f>
        <v>1</v>
      </c>
      <c r="K21" s="1547">
        <f>ROUND(IF(T5Manip!K31="","",T5Manip!K31),0)</f>
        <v>0</v>
      </c>
      <c r="L21" s="1547">
        <f>ROUND(IF(T5Manip!L31="","",T5Manip!L31),0)</f>
        <v>6072</v>
      </c>
      <c r="M21" s="1182">
        <f>ROUND(IF(T5Manip!M31="","",T5Manip!M31),0)</f>
        <v>6537</v>
      </c>
      <c r="N21" s="1547">
        <f>ROUND(IF(T5Manip!O31="","",T5Manip!O31),0)</f>
        <v>90860</v>
      </c>
      <c r="O21" s="1168">
        <f>ROUND(IF(T5Manip!P31="","",T5Manip!P31),3)</f>
        <v>0.85</v>
      </c>
    </row>
    <row r="22" spans="1:16">
      <c r="A22" s="832">
        <v>2006</v>
      </c>
      <c r="B22" s="1176">
        <f>IF(T5Manip!B32="","",T5Manip!B32)</f>
        <v>132583</v>
      </c>
      <c r="C22" s="1181">
        <f>ROUND(IF(T5Manip!C32="","",T5Manip!C32),0)</f>
        <v>2222</v>
      </c>
      <c r="D22" s="437">
        <f>ROUND(IF(T5Manip!D32="","",T5Manip!D32),0)</f>
        <v>4187</v>
      </c>
      <c r="E22" s="1548">
        <f>ROUND(IF(T5Manip!E32="","",T5Manip!E32),0)</f>
        <v>17</v>
      </c>
      <c r="F22" s="1547"/>
      <c r="G22" s="1182">
        <f>ROUND(IF(T5Manip!G32="","",T5Manip!G32),0)</f>
        <v>6425</v>
      </c>
      <c r="H22" s="1547">
        <f>ROUND(IF(T5Manip!H32="","",T5Manip!H32),0)</f>
        <v>126158</v>
      </c>
      <c r="I22" s="1181">
        <f>ROUND(IF(T5Manip!I32="","",T5Manip!I32),0)</f>
        <v>1362</v>
      </c>
      <c r="J22" s="1547">
        <f>ROUND(IF(T5Manip!J32="","",T5Manip!J32),0)</f>
        <v>0</v>
      </c>
      <c r="K22" s="1547">
        <f>ROUND(IF(T5Manip!K32="","",T5Manip!K32),0)</f>
        <v>0</v>
      </c>
      <c r="L22" s="1547">
        <f>ROUND(IF(T5Manip!L32="","",T5Manip!L32),0)</f>
        <v>7967</v>
      </c>
      <c r="M22" s="1182">
        <f>ROUND(IF(T5Manip!M32="","",T5Manip!M32),0)</f>
        <v>9329</v>
      </c>
      <c r="N22" s="1547">
        <f>ROUND(IF(T5Manip!O32="","",T5Manip!O32),0)</f>
        <v>116829</v>
      </c>
      <c r="O22" s="1168">
        <f>ROUND(IF(T5Manip!P32="","",T5Manip!P32),3)</f>
        <v>0.88100000000000001</v>
      </c>
    </row>
    <row r="23" spans="1:16">
      <c r="A23" s="832">
        <v>2007</v>
      </c>
      <c r="B23" s="1176">
        <f>IF(T5Manip!B33="","",T5Manip!B33)</f>
        <v>86247</v>
      </c>
      <c r="C23" s="1181">
        <f>ROUND(IF(T5Manip!C33="","",T5Manip!C33),0)</f>
        <v>1483</v>
      </c>
      <c r="D23" s="437">
        <f>ROUND(IF(T5Manip!D33="","",T5Manip!D33),0)</f>
        <v>3927</v>
      </c>
      <c r="E23" s="1548">
        <f>ROUND(IF(T5Manip!E33="","",T5Manip!E33),0)</f>
        <v>7</v>
      </c>
      <c r="F23" s="1547"/>
      <c r="G23" s="1182">
        <f>ROUND(IF(T5Manip!G33="","",T5Manip!G33),0)</f>
        <v>5418</v>
      </c>
      <c r="H23" s="1547">
        <f>ROUND(IF(T5Manip!H33="","",T5Manip!H33),0)</f>
        <v>80829</v>
      </c>
      <c r="I23" s="1181">
        <f>ROUND(IF(T5Manip!I33="","",T5Manip!I33),0)</f>
        <v>1445</v>
      </c>
      <c r="J23" s="1547">
        <f>ROUND(IF(T5Manip!J33="","",T5Manip!J33),0)</f>
        <v>3</v>
      </c>
      <c r="K23" s="1547">
        <f>ROUND(IF(T5Manip!K33="","",T5Manip!K33),0)</f>
        <v>0</v>
      </c>
      <c r="L23" s="1547">
        <f>ROUND(IF(T5Manip!L33="","",T5Manip!L33),0)</f>
        <v>5942</v>
      </c>
      <c r="M23" s="1182">
        <f>ROUND(IF(T5Manip!M33="","",T5Manip!M33),0)</f>
        <v>7390</v>
      </c>
      <c r="N23" s="1547">
        <f>ROUND(IF(T5Manip!O33="","",T5Manip!O33),0)</f>
        <v>73439</v>
      </c>
      <c r="O23" s="1168">
        <f>ROUND(IF(T5Manip!P33="","",T5Manip!P33),3)</f>
        <v>0.85199999999999998</v>
      </c>
    </row>
    <row r="24" spans="1:16">
      <c r="A24" s="832">
        <v>2008</v>
      </c>
      <c r="B24" s="1176">
        <f>IF(T5Manip!B34="","",T5Manip!B34)</f>
        <v>178627</v>
      </c>
      <c r="C24" s="1181">
        <f>ROUND(IF(T5Manip!C34="","",T5Manip!C34),0)</f>
        <v>6134</v>
      </c>
      <c r="D24" s="437">
        <f>ROUND(IF(T5Manip!D34="","",T5Manip!D34),0)</f>
        <v>19612</v>
      </c>
      <c r="E24" s="1548">
        <f>ROUND(IF(T5Manip!E34="","",T5Manip!E34),0)</f>
        <v>158</v>
      </c>
      <c r="F24" s="1547">
        <f>ROUND(IF(T5Manip!F34="","",T5Manip!F34),0)</f>
        <v>830</v>
      </c>
      <c r="G24" s="1182">
        <f>ROUND(IF(T5Manip!G34="","",T5Manip!G34),0)</f>
        <v>26734</v>
      </c>
      <c r="H24" s="1547">
        <f>ROUND(IF(T5Manip!H34="","",T5Manip!H34),0)</f>
        <v>151893</v>
      </c>
      <c r="I24" s="1181">
        <f>ROUND(IF(T5Manip!I34="","",T5Manip!I34),0)</f>
        <v>2068</v>
      </c>
      <c r="J24" s="1547">
        <f>ROUND(IF(T5Manip!J34="","",T5Manip!J34),0)</f>
        <v>0</v>
      </c>
      <c r="K24" s="1547">
        <f>ROUND(IF(T5Manip!K34="","",T5Manip!K34),0)</f>
        <v>12314</v>
      </c>
      <c r="L24" s="1547">
        <f>ROUND(IF(T5Manip!L34="","",T5Manip!L34),0)</f>
        <v>8247</v>
      </c>
      <c r="M24" s="1182">
        <f>ROUND(IF(T5Manip!M34="","",T5Manip!M34),0)</f>
        <v>22629</v>
      </c>
      <c r="N24" s="1547">
        <f>ROUND(IF(T5Manip!O34="","",T5Manip!O34),0)</f>
        <v>129265</v>
      </c>
      <c r="O24" s="1168">
        <f>ROUND(IF(T5Manip!P34="","",T5Manip!P34),3)</f>
        <v>0.72399999999999998</v>
      </c>
    </row>
    <row r="25" spans="1:16">
      <c r="A25" s="832">
        <v>2009</v>
      </c>
      <c r="B25" s="1176">
        <f>IF(T5Manip!B35="","",T5Manip!B35)</f>
        <v>169296</v>
      </c>
      <c r="C25" s="1181">
        <f>ROUND(IF(T5Manip!C35="","",T5Manip!C35),0)</f>
        <v>4310</v>
      </c>
      <c r="D25" s="437">
        <f>ROUND(IF(T5Manip!D35="","",T5Manip!D35),0)</f>
        <v>15246</v>
      </c>
      <c r="E25" s="1548">
        <f>ROUND(IF(T5Manip!E35="","",T5Manip!E35),0)</f>
        <v>233</v>
      </c>
      <c r="F25" s="1547">
        <f>ROUND(IF(T5Manip!F35="","",T5Manip!F35),0)</f>
        <v>2018</v>
      </c>
      <c r="G25" s="1182">
        <f>ROUND(IF(T5Manip!G35="","",T5Manip!G35),0)</f>
        <v>21807</v>
      </c>
      <c r="H25" s="1547">
        <f>ROUND(IF(T5Manip!H35="","",T5Manip!H35),0)</f>
        <v>147489</v>
      </c>
      <c r="I25" s="1181">
        <f>ROUND(IF(T5Manip!I35="","",T5Manip!I35),0)</f>
        <v>644</v>
      </c>
      <c r="J25" s="1547">
        <f>ROUND(IF(T5Manip!J35="","",T5Manip!J35),0)</f>
        <v>0</v>
      </c>
      <c r="K25" s="1547">
        <f>ROUND(IF(T5Manip!K35="","",T5Manip!K35),0)</f>
        <v>0</v>
      </c>
      <c r="L25" s="1547">
        <f>ROUND(IF(T5Manip!L35="","",T5Manip!L35),0)</f>
        <v>11083</v>
      </c>
      <c r="M25" s="1182">
        <f>ROUND(IF(T5Manip!M35="","",T5Manip!M35),0)</f>
        <v>11727</v>
      </c>
      <c r="N25" s="1547">
        <f>ROUND(IF(T5Manip!O35="","",T5Manip!O35),0)</f>
        <v>135762</v>
      </c>
      <c r="O25" s="1168">
        <f>ROUND(IF(T5Manip!P35="","",T5Manip!P35),3)</f>
        <v>0.80200000000000005</v>
      </c>
    </row>
    <row r="26" spans="1:16">
      <c r="A26" s="832">
        <v>2010</v>
      </c>
      <c r="B26" s="1176">
        <f>IF(T5Manip!B36="","",T5Manip!B36)</f>
        <v>315346</v>
      </c>
      <c r="C26" s="1181">
        <f>ROUND(IF(T5Manip!C36="","",T5Manip!C36),0)</f>
        <v>8933</v>
      </c>
      <c r="D26" s="437">
        <f>ROUND(IF(T5Manip!D36="","",T5Manip!D36),0)</f>
        <v>23535</v>
      </c>
      <c r="E26" s="1548">
        <f>ROUND(IF(T5Manip!E36="","",T5Manip!E36),0)</f>
        <v>349</v>
      </c>
      <c r="F26" s="1547">
        <f>ROUND(IF(T5Manip!F36="","",T5Manip!F36),0)</f>
        <v>5139</v>
      </c>
      <c r="G26" s="1182">
        <f>ROUND(IF(T5Manip!G36="","",T5Manip!G36),0)</f>
        <v>37956</v>
      </c>
      <c r="H26" s="1547">
        <f>ROUND(IF(T5Manip!H36="","",T5Manip!H36),0)</f>
        <v>277390</v>
      </c>
      <c r="I26" s="1181">
        <f>ROUND(IF(T5Manip!I36="","",T5Manip!I36),0)</f>
        <v>3692</v>
      </c>
      <c r="J26" s="1547">
        <f>ROUND(IF(T5Manip!J36="","",T5Manip!J36),0)</f>
        <v>0</v>
      </c>
      <c r="K26" s="1547">
        <f>ROUND(IF(T5Manip!K36="","",T5Manip!K36),0)</f>
        <v>25008</v>
      </c>
      <c r="L26" s="1547">
        <f>ROUND(IF(T5Manip!L36="","",T5Manip!L36),0)</f>
        <v>12807</v>
      </c>
      <c r="M26" s="1182">
        <f>ROUND(IF(T5Manip!M36="","",T5Manip!M36),0)</f>
        <v>41507</v>
      </c>
      <c r="N26" s="1547">
        <f>ROUND(IF(T5Manip!O36="","",T5Manip!O36),0)</f>
        <v>235883</v>
      </c>
      <c r="O26" s="1168">
        <f>ROUND(IF(T5Manip!P36="","",T5Manip!P36),3)</f>
        <v>0.748</v>
      </c>
    </row>
    <row r="27" spans="1:16">
      <c r="A27" s="832">
        <v>2011</v>
      </c>
      <c r="B27" s="1176">
        <f>IF(T5Manip!B37="","",T5Manip!B37)</f>
        <v>221158</v>
      </c>
      <c r="C27" s="1181">
        <f>ROUND(IF(T5Manip!C37="","",T5Manip!C37),0)</f>
        <v>3706</v>
      </c>
      <c r="D27" s="437">
        <f>ROUND(IF(T5Manip!D37="","",T5Manip!D37),0)</f>
        <v>9506</v>
      </c>
      <c r="E27" s="1548">
        <f>ROUND(IF(T5Manip!E37="","",T5Manip!E37),0)</f>
        <v>224</v>
      </c>
      <c r="F27" s="1547">
        <f>ROUND(IF(T5Manip!F37="","",T5Manip!F37),0)</f>
        <v>2291</v>
      </c>
      <c r="G27" s="1182">
        <f>ROUND(IF(T5Manip!G37="","",T5Manip!G37),0)</f>
        <v>15727</v>
      </c>
      <c r="H27" s="1547">
        <f>ROUND(IF(T5Manip!H37="","",T5Manip!H37),0)</f>
        <v>205431</v>
      </c>
      <c r="I27" s="1181">
        <f>ROUND(IF(T5Manip!I37="","",T5Manip!I37),0)</f>
        <v>2564</v>
      </c>
      <c r="J27" s="1547">
        <f>ROUND(IF(T5Manip!J37="","",T5Manip!J37),0)</f>
        <v>7</v>
      </c>
      <c r="K27" s="1547">
        <f>ROUND(IF(T5Manip!K37="","",T5Manip!K37),0)</f>
        <v>0</v>
      </c>
      <c r="L27" s="1547">
        <f>ROUND(IF(T5Manip!L37="","",T5Manip!L37),0)</f>
        <v>13235</v>
      </c>
      <c r="M27" s="1182">
        <f>ROUND(IF(T5Manip!M37="","",T5Manip!M37),0)</f>
        <v>15806</v>
      </c>
      <c r="N27" s="1547">
        <f>ROUND(IF(T5Manip!O37="","",T5Manip!O37),0)</f>
        <v>189626</v>
      </c>
      <c r="O27" s="1168">
        <f>ROUND(IF(T5Manip!P37="","",T5Manip!P37),3)</f>
        <v>0.85699999999999998</v>
      </c>
    </row>
    <row r="28" spans="1:16">
      <c r="A28" s="832">
        <v>2012</v>
      </c>
      <c r="B28" s="1176">
        <f>IF(T5Manip!B38="","",T5Manip!B38)</f>
        <v>203090</v>
      </c>
      <c r="C28" s="1181">
        <f>ROUND(IF(T5Manip!C38="","",T5Manip!C38),0)</f>
        <v>4596</v>
      </c>
      <c r="D28" s="437">
        <f>ROUND(IF(T5Manip!D38="","",T5Manip!D38),0)</f>
        <v>10422</v>
      </c>
      <c r="E28" s="1548">
        <f>ROUND(IF(T5Manip!E38="","",T5Manip!E38),0)</f>
        <v>225</v>
      </c>
      <c r="F28" s="1547">
        <f>ROUND(IF(T5Manip!F38="","",T5Manip!F38),0)</f>
        <v>1399</v>
      </c>
      <c r="G28" s="1182">
        <f>ROUND(IF(T5Manip!G38="","",T5Manip!G38),0)</f>
        <v>16642</v>
      </c>
      <c r="H28" s="1547">
        <f>ROUND(IF(T5Manip!H38="","",T5Manip!H38),0)</f>
        <v>186448</v>
      </c>
      <c r="I28" s="1181">
        <f>ROUND(IF(T5Manip!I38="","",T5Manip!I38),0)</f>
        <v>1282</v>
      </c>
      <c r="J28" s="1547">
        <f>ROUND(IF(T5Manip!J38="","",T5Manip!J38),0)</f>
        <v>2</v>
      </c>
      <c r="K28" s="1547">
        <f>ROUND(IF(T5Manip!K38="","",T5Manip!K38),0)</f>
        <v>818</v>
      </c>
      <c r="L28" s="1547">
        <f>ROUND(IF(T5Manip!L38="","",T5Manip!L38),0)</f>
        <v>15475</v>
      </c>
      <c r="M28" s="1182">
        <f>ROUND(IF(T5Manip!M38="","",T5Manip!M38),0)</f>
        <v>17577</v>
      </c>
      <c r="N28" s="1547">
        <f>ROUND(IF(T5Manip!O38="","",T5Manip!O38),0)</f>
        <v>168872</v>
      </c>
      <c r="O28" s="1168">
        <f>ROUND(IF(T5Manip!P38="","",T5Manip!P38),3)</f>
        <v>0.83199999999999996</v>
      </c>
    </row>
    <row r="29" spans="1:16">
      <c r="A29" s="832">
        <v>2013</v>
      </c>
      <c r="B29" s="1176">
        <f>IF(T5Manip!B39="","",T5Manip!B39)</f>
        <v>123136</v>
      </c>
      <c r="C29" s="1181">
        <f>ROUND(IF(T5Manip!C39="","",T5Manip!C39),0)</f>
        <v>1756</v>
      </c>
      <c r="D29" s="437">
        <f>ROUND(IF(T5Manip!D39="","",T5Manip!D39),0)</f>
        <v>5343</v>
      </c>
      <c r="E29" s="1548">
        <f>ROUND(IF(T5Manip!E39="","",T5Manip!E39),0)</f>
        <v>96</v>
      </c>
      <c r="F29" s="1547">
        <f>ROUND(IF(T5Manip!F39="","",T5Manip!F39),0)</f>
        <v>3007</v>
      </c>
      <c r="G29" s="1182">
        <f>ROUND(IF(T5Manip!G39="","",T5Manip!G39),0)</f>
        <v>10202</v>
      </c>
      <c r="H29" s="1547">
        <f>ROUND(IF(T5Manip!H39="","",T5Manip!H39),0)</f>
        <v>112934</v>
      </c>
      <c r="I29" s="1181">
        <f>ROUND(IF(T5Manip!I39="","",T5Manip!I39),0)</f>
        <v>1093</v>
      </c>
      <c r="J29" s="1547">
        <f>ROUND(IF(T5Manip!J39="","",T5Manip!J39),0)</f>
        <v>0</v>
      </c>
      <c r="K29" s="1547">
        <f>ROUND(IF(T5Manip!K39="","",T5Manip!K39),0)</f>
        <v>0</v>
      </c>
      <c r="L29" s="1547">
        <f>ROUND(IF(T5Manip!L39="","",T5Manip!L39),0)</f>
        <v>6735</v>
      </c>
      <c r="M29" s="1182">
        <f>ROUND(IF(T5Manip!M39="","",T5Manip!M39),0)</f>
        <v>7828</v>
      </c>
      <c r="N29" s="1547">
        <f>ROUND(IF(T5Manip!O39="","",T5Manip!O39),0)</f>
        <v>105106</v>
      </c>
      <c r="O29" s="1168">
        <f>ROUND(IF(T5Manip!P39="","",T5Manip!P39),3)</f>
        <v>0.85399999999999998</v>
      </c>
    </row>
    <row r="30" spans="1:16">
      <c r="A30" s="832">
        <v>2014</v>
      </c>
      <c r="B30" s="1176">
        <f>IF(T5Manip!B40="","",T5Manip!B40)</f>
        <v>242635</v>
      </c>
      <c r="C30" s="1181">
        <f>ROUND(IF(T5Manip!C40="","",T5Manip!C40),0)</f>
        <v>3623</v>
      </c>
      <c r="D30" s="437">
        <f>ROUND(IF(T5Manip!D40="","",T5Manip!D40),0)</f>
        <v>13572</v>
      </c>
      <c r="E30" s="1548">
        <f>ROUND(IF(T5Manip!E40="","",T5Manip!E40),0)</f>
        <v>475</v>
      </c>
      <c r="F30" s="1547">
        <f>ROUND(IF(T5Manip!F40="","",T5Manip!F40),0)</f>
        <v>19</v>
      </c>
      <c r="G30" s="1182">
        <f>ROUND(IF(T5Manip!G40="","",T5Manip!G40),0)</f>
        <v>17689</v>
      </c>
      <c r="H30" s="1547">
        <f>ROUND(IF(T5Manip!H40="","",T5Manip!H40),0)</f>
        <v>224946</v>
      </c>
      <c r="I30" s="1181">
        <f>ROUND(IF(T5Manip!I40="","",T5Manip!I40),0)</f>
        <v>4208</v>
      </c>
      <c r="J30" s="1547">
        <f>ROUND(IF(T5Manip!J40="","",T5Manip!J40),0)</f>
        <v>0</v>
      </c>
      <c r="K30" s="1547">
        <f>ROUND(IF(T5Manip!K40="","",T5Manip!K40),0)</f>
        <v>13807</v>
      </c>
      <c r="L30" s="1547">
        <f>ROUND(IF(T5Manip!L40="","",T5Manip!L40),0)</f>
        <v>10688</v>
      </c>
      <c r="M30" s="1182">
        <f>ROUND(IF(T5Manip!M40="","",T5Manip!M40),0)</f>
        <v>28703</v>
      </c>
      <c r="N30" s="1547">
        <f>ROUND(IF(T5Manip!O40="","",T5Manip!O40),0)</f>
        <v>196243</v>
      </c>
      <c r="O30" s="1168">
        <f>ROUND(IF(T5Manip!P40="","",T5Manip!P40),3)</f>
        <v>0.80900000000000005</v>
      </c>
    </row>
    <row r="31" spans="1:16">
      <c r="A31" s="832">
        <v>2015</v>
      </c>
      <c r="B31" s="1176">
        <f>IF(T5Manip!B41="","",T5Manip!B41)</f>
        <v>288993</v>
      </c>
      <c r="C31" s="1181">
        <f>ROUND(IF(T5Manip!C41="","",T5Manip!C41),0)</f>
        <v>6528</v>
      </c>
      <c r="D31" s="437">
        <f>ROUND(IF(T5Manip!D41="","",T5Manip!D41),0)</f>
        <v>15689</v>
      </c>
      <c r="E31" s="1548">
        <f>ROUND(IF(T5Manip!E41="","",T5Manip!E41),0)</f>
        <v>288</v>
      </c>
      <c r="F31" s="1547">
        <f>ROUND(IF(T5Manip!F41="","",T5Manip!F41),0)</f>
        <v>929</v>
      </c>
      <c r="G31" s="1182">
        <f>ROUND(IF(T5Manip!G41="","",T5Manip!G41),0)</f>
        <v>23435</v>
      </c>
      <c r="H31" s="1547">
        <f>ROUND(IF(T5Manip!H41="","",T5Manip!H41),0)</f>
        <v>265558</v>
      </c>
      <c r="I31" s="1181">
        <f>ROUND(IF(T5Manip!I41="","",T5Manip!I41),0)</f>
        <v>1647</v>
      </c>
      <c r="J31" s="1547">
        <f>ROUND(IF(T5Manip!J41="","",T5Manip!J41),0)</f>
        <v>7</v>
      </c>
      <c r="K31" s="1547">
        <f>ROUND(IF(T5Manip!K41="","",T5Manip!K41),0)</f>
        <v>20320</v>
      </c>
      <c r="L31" s="1547">
        <f>ROUND(IF(T5Manip!L41="","",T5Manip!L41),0)</f>
        <v>9845</v>
      </c>
      <c r="M31" s="1182">
        <f>ROUND(IF(T5Manip!M41="","",T5Manip!M41),0)</f>
        <v>31819</v>
      </c>
      <c r="N31" s="1547">
        <f>ROUND(IF(T5Manip!O41="","",T5Manip!O41),0)</f>
        <v>233740</v>
      </c>
      <c r="O31" s="1168">
        <f>ROUND(IF(T5Manip!P41="","",T5Manip!P41),3)</f>
        <v>0.80900000000000005</v>
      </c>
    </row>
    <row r="32" spans="1:16">
      <c r="A32" s="832">
        <v>2016</v>
      </c>
      <c r="B32" s="1176">
        <f>IF(T5Manip!B42="","",T5Manip!B42)</f>
        <v>187816</v>
      </c>
      <c r="C32" s="1181">
        <f>ROUND(IF(T5Manip!C42="","",T5Manip!C42),0)</f>
        <v>3285</v>
      </c>
      <c r="D32" s="437">
        <f>ROUND(IF(T5Manip!D42="","",T5Manip!D42),0)</f>
        <v>10167</v>
      </c>
      <c r="E32" s="1548">
        <f>ROUND(IF(T5Manip!E42="","",T5Manip!E42),0)</f>
        <v>223</v>
      </c>
      <c r="F32" s="1547">
        <f>ROUND(IF(T5Manip!F42="","",T5Manip!F42),0)</f>
        <v>1527</v>
      </c>
      <c r="G32" s="1182">
        <f>ROUND(IF(T5Manip!G42="","",T5Manip!G42),0)</f>
        <v>15202</v>
      </c>
      <c r="H32" s="1547">
        <f>ROUND(IF(T5Manip!H42="","",T5Manip!H42),0)</f>
        <v>172614</v>
      </c>
      <c r="I32" s="1181">
        <f>ROUND(IF(T5Manip!I42="","",T5Manip!I42),0)</f>
        <v>1480</v>
      </c>
      <c r="J32" s="1547">
        <f>ROUND(IF(T5Manip!J42="","",T5Manip!J42),0)</f>
        <v>0</v>
      </c>
      <c r="K32" s="1547">
        <f>ROUND(IF(T5Manip!K42="","",T5Manip!K42),0)</f>
        <v>1993</v>
      </c>
      <c r="L32" s="1547">
        <f>ROUND(IF(T5Manip!L42="","",T5Manip!L42),0)</f>
        <v>12942</v>
      </c>
      <c r="M32" s="1182">
        <f>ROUND(IF(T5Manip!M42="","",T5Manip!M42),0)</f>
        <v>16415</v>
      </c>
      <c r="N32" s="1547">
        <f>ROUND(IF(T5Manip!O42="","",T5Manip!O42),0)</f>
        <v>156200</v>
      </c>
      <c r="O32" s="1168">
        <f>ROUND(IF(T5Manip!P42="","",T5Manip!P42),3)</f>
        <v>0.83199999999999996</v>
      </c>
    </row>
    <row r="33" spans="1:17" ht="15.75">
      <c r="A33" s="832">
        <v>2017</v>
      </c>
      <c r="B33" s="1176">
        <f>IF(T5Manip!B43="","",T5Manip!B43)</f>
        <v>115821</v>
      </c>
      <c r="C33" s="1181">
        <f>ROUND(IF(T5Manip!C43="","",T5Manip!C43),0)</f>
        <v>463</v>
      </c>
      <c r="D33" s="437">
        <f>ROUND(IF(T5Manip!D43="","",T5Manip!D43),0)</f>
        <v>7198</v>
      </c>
      <c r="E33" s="1548">
        <f>ROUND(IF(T5Manip!E43="","",T5Manip!E43),0)</f>
        <v>620</v>
      </c>
      <c r="F33" s="1547">
        <f>ROUND(IF(T5Manip!F43="","",T5Manip!F43),0)</f>
        <v>16</v>
      </c>
      <c r="G33" s="1182">
        <f>ROUND(IF(T5Manip!G43="","",T5Manip!G43),0)</f>
        <v>8297</v>
      </c>
      <c r="H33" s="1547">
        <f>ROUND(IF(T5Manip!H43="","",T5Manip!H43),0)</f>
        <v>107524</v>
      </c>
      <c r="I33" s="1181">
        <f>ROUND(IF(T5Manip!I43="","",T5Manip!I43),0)</f>
        <v>18</v>
      </c>
      <c r="J33" s="1547">
        <f>ROUND(IF(T5Manip!J43="","",T5Manip!J43),0)</f>
        <v>0</v>
      </c>
      <c r="K33" s="1547">
        <f>ROUND(IF(T5Manip!K43="","",T5Manip!K43),0)</f>
        <v>0</v>
      </c>
      <c r="L33" s="1547">
        <f>ROUND(IF(T5Manip!L43="","",T5Manip!L43),0)</f>
        <v>8126</v>
      </c>
      <c r="M33" s="1182">
        <f>ROUND(IF(T5Manip!M43="","",T5Manip!M43),0)</f>
        <v>8144</v>
      </c>
      <c r="N33" s="1547">
        <f>ROUND(IF(T5Manip!O43="","",T5Manip!O43),0)</f>
        <v>99380</v>
      </c>
      <c r="O33" s="1168">
        <f>ROUND(IF(T5Manip!P43="","",T5Manip!P43),3)</f>
        <v>0.85799999999999998</v>
      </c>
      <c r="Q33" s="7"/>
    </row>
    <row r="34" spans="1:17">
      <c r="A34" s="832">
        <v>2018</v>
      </c>
      <c r="B34" s="1176">
        <f>IF(T5Manip!B44="","",T5Manip!B44)</f>
        <v>115081</v>
      </c>
      <c r="C34" s="1181">
        <f>ROUND(IF(T5Manip!C44="","",T5Manip!C44),0)</f>
        <v>311</v>
      </c>
      <c r="D34" s="437">
        <f>ROUND(IF(T5Manip!D44="","",T5Manip!D44),0)</f>
        <v>5868</v>
      </c>
      <c r="E34" s="1548">
        <f>ROUND(IF(T5Manip!E44="","",T5Manip!E44),0)</f>
        <v>381</v>
      </c>
      <c r="F34" s="1547">
        <f>ROUND(IF(T5Manip!F44="","",T5Manip!F44),0)</f>
        <v>476</v>
      </c>
      <c r="G34" s="1182">
        <f>ROUND(IF(T5Manip!G44="","",T5Manip!G44),0)</f>
        <v>7036</v>
      </c>
      <c r="H34" s="1547">
        <f>ROUND(IF(T5Manip!H44="","",T5Manip!H44),0)</f>
        <v>108045</v>
      </c>
      <c r="I34" s="1181">
        <f>ROUND(IF(T5Manip!I44="","",T5Manip!I44),0)</f>
        <v>611</v>
      </c>
      <c r="J34" s="1547">
        <f>ROUND(IF(T5Manip!J44="","",T5Manip!J44),0)</f>
        <v>0</v>
      </c>
      <c r="K34" s="1547">
        <f>ROUND(IF(T5Manip!K44="","",T5Manip!K44),0)</f>
        <v>0</v>
      </c>
      <c r="L34" s="1547">
        <f>ROUND(IF(T5Manip!L44="","",T5Manip!L44),0)</f>
        <v>10451</v>
      </c>
      <c r="M34" s="1182">
        <f>ROUND(IF(T5Manip!M44="","",T5Manip!M44),0)</f>
        <v>11062</v>
      </c>
      <c r="N34" s="1547">
        <f>ROUND(IF(T5Manip!O44="","",T5Manip!O44),0)</f>
        <v>96983</v>
      </c>
      <c r="O34" s="1168">
        <f>ROUND(IF(T5Manip!P44="","",T5Manip!P44),3)</f>
        <v>0.84299999999999997</v>
      </c>
    </row>
    <row r="35" spans="1:17">
      <c r="A35" s="832">
        <v>2019</v>
      </c>
      <c r="B35" s="1176">
        <f>IF(T5Manip!B45="","",T5Manip!B45)</f>
        <v>73105</v>
      </c>
      <c r="C35" s="1181">
        <f>ROUND(IF(T5Manip!C45="","",T5Manip!C45),0)</f>
        <v>203</v>
      </c>
      <c r="D35" s="437">
        <f>ROUND(IF(T5Manip!D45="","",T5Manip!D45),0)</f>
        <v>1478</v>
      </c>
      <c r="E35" s="1548">
        <f>ROUND(IF(T5Manip!E45="","",T5Manip!E45),0)</f>
        <v>101</v>
      </c>
      <c r="F35" s="1547">
        <f>ROUND(IF(T5Manip!F45="","",T5Manip!F45),0)</f>
        <v>88</v>
      </c>
      <c r="G35" s="1182">
        <f>ROUND(IF(T5Manip!G45="","",T5Manip!G45),0)</f>
        <v>1870</v>
      </c>
      <c r="H35" s="1547">
        <f>ROUND(IF(T5Manip!H45="","",T5Manip!H45),0)</f>
        <v>71235</v>
      </c>
      <c r="I35" s="1181">
        <f>ROUND(IF(T5Manip!I45="","",T5Manip!I45),0)</f>
        <v>282</v>
      </c>
      <c r="J35" s="1547">
        <f>ROUND(IF(T5Manip!J45="","",T5Manip!J45),0)</f>
        <v>0</v>
      </c>
      <c r="K35" s="1547">
        <f>ROUND(IF(T5Manip!K45="","",T5Manip!K45),0)</f>
        <v>0</v>
      </c>
      <c r="L35" s="1547">
        <f>ROUND(IF(T5Manip!L45="","",T5Manip!L45),0)</f>
        <v>4629</v>
      </c>
      <c r="M35" s="1182">
        <f>ROUND(IF(T5Manip!M45="","",T5Manip!M45),0)</f>
        <v>4911</v>
      </c>
      <c r="N35" s="1547">
        <f>ROUND(IF(T5Manip!O45="","",T5Manip!O45),0)</f>
        <v>66324</v>
      </c>
      <c r="O35" s="1168">
        <f>ROUND(IF(T5Manip!P45="","",T5Manip!P45),3)</f>
        <v>0.90700000000000003</v>
      </c>
    </row>
    <row r="36" spans="1:17">
      <c r="A36" s="832">
        <v>2020</v>
      </c>
      <c r="B36" s="1176">
        <f>IF(T5Manip!B46="","",T5Manip!B46)</f>
        <v>81301</v>
      </c>
      <c r="C36" s="1181">
        <f>ROUND(IF(T5Manip!C46="","",T5Manip!C46),0)</f>
        <v>83</v>
      </c>
      <c r="D36" s="437">
        <f>ROUND(IF(T5Manip!D46="","",T5Manip!D46),0)</f>
        <v>1381</v>
      </c>
      <c r="E36" s="1548">
        <f>ROUND(IF(T5Manip!E46="","",T5Manip!E46),0)</f>
        <v>3</v>
      </c>
      <c r="F36" s="1547">
        <f>ROUND(IF(T5Manip!F46="","",T5Manip!F46),0)</f>
        <v>119</v>
      </c>
      <c r="G36" s="1182">
        <f>ROUND(IF(T5Manip!G46="","",T5Manip!G46),0)</f>
        <v>1587</v>
      </c>
      <c r="H36" s="1547">
        <f>ROUND(IF(T5Manip!H46="","",T5Manip!H46),0)</f>
        <v>79714</v>
      </c>
      <c r="I36" s="1181">
        <f>ROUND(IF(T5Manip!I46="","",T5Manip!I46),0)</f>
        <v>535</v>
      </c>
      <c r="J36" s="1547">
        <f>ROUND(IF(T5Manip!J46="","",T5Manip!J46),0)</f>
        <v>0</v>
      </c>
      <c r="K36" s="1547">
        <f>ROUND(IF(T5Manip!K46="","",T5Manip!K46),0)</f>
        <v>0</v>
      </c>
      <c r="L36" s="1547">
        <f>ROUND(IF(T5Manip!L46="","",T5Manip!L46),0)</f>
        <v>4188</v>
      </c>
      <c r="M36" s="1182">
        <f>ROUND(IF(T5Manip!M46="","",T5Manip!M46),0)</f>
        <v>4723</v>
      </c>
      <c r="N36" s="1547">
        <f>ROUND(IF(T5Manip!O46="","",T5Manip!O46),0)</f>
        <v>74992</v>
      </c>
      <c r="O36" s="1168">
        <f>ROUND(IF(T5Manip!P46="","",T5Manip!P46),3)</f>
        <v>0.92200000000000004</v>
      </c>
    </row>
    <row r="37" spans="1:17">
      <c r="A37" s="832">
        <v>2021</v>
      </c>
      <c r="B37" s="1176">
        <f>IF(T5Manip!B47="","",T5Manip!B47)</f>
        <v>91756</v>
      </c>
      <c r="C37" s="1181">
        <f>ROUND(IF(T5Manip!C47="","",T5Manip!C47),0)</f>
        <v>309</v>
      </c>
      <c r="D37" s="437">
        <f>ROUND(IF(T5Manip!D47="","",T5Manip!D47),0)</f>
        <v>4088</v>
      </c>
      <c r="E37" s="1548">
        <f>ROUND(IF(T5Manip!E47="","",T5Manip!E47),0)</f>
        <v>73</v>
      </c>
      <c r="F37" s="1547">
        <f>ROUND(IF(T5Manip!F47="","",T5Manip!F47),0)</f>
        <v>53</v>
      </c>
      <c r="G37" s="1182">
        <f>ROUND(IF(T5Manip!G47="","",T5Manip!G47),0)</f>
        <v>4523</v>
      </c>
      <c r="H37" s="1547">
        <f>ROUND(IF(T5Manip!H47="","",T5Manip!H47),0)</f>
        <v>87233</v>
      </c>
      <c r="I37" s="1181">
        <f>ROUND(IF(T5Manip!I47="","",T5Manip!I47),0)</f>
        <v>780</v>
      </c>
      <c r="J37" s="1547">
        <f>ROUND(IF(T5Manip!J47="","",T5Manip!J47),0)</f>
        <v>0</v>
      </c>
      <c r="K37" s="1547">
        <f>ROUND(IF(T5Manip!K47="","",T5Manip!K47),0)</f>
        <v>0</v>
      </c>
      <c r="L37" s="1547">
        <f>ROUND(IF(T5Manip!L47="","",T5Manip!L47),0)</f>
        <v>4393</v>
      </c>
      <c r="M37" s="1182">
        <f>ROUND(IF(T5Manip!M47="","",T5Manip!M47),0)</f>
        <v>5173</v>
      </c>
      <c r="N37" s="1547">
        <f>ROUND(IF(T5Manip!O47="","",T5Manip!O47),0)</f>
        <v>82060</v>
      </c>
      <c r="O37" s="1168">
        <f>ROUND(IF(T5Manip!P47="","",T5Manip!P47),3)</f>
        <v>0.89400000000000002</v>
      </c>
    </row>
    <row r="38" spans="1:17">
      <c r="A38" s="832">
        <v>2022</v>
      </c>
      <c r="B38" s="1176">
        <f>IF(T5Manip!B48="","",T5Manip!B48)</f>
        <v>185379</v>
      </c>
      <c r="C38" s="1181">
        <f>ROUND(IF(T5Manip!C48="","",T5Manip!C48),0)</f>
        <v>733</v>
      </c>
      <c r="D38" s="437">
        <f>ROUND(IF(T5Manip!D48="","",T5Manip!D48),0)</f>
        <v>10371</v>
      </c>
      <c r="E38" s="1548">
        <f>ROUND(IF(T5Manip!E48="","",T5Manip!E48),0)</f>
        <v>259</v>
      </c>
      <c r="F38" s="1547">
        <f>ROUND(IF(T5Manip!F48="","",T5Manip!F48),0)</f>
        <v>280</v>
      </c>
      <c r="G38" s="1182">
        <f>ROUND(IF(T5Manip!G48="","",T5Manip!G48),0)</f>
        <v>11642</v>
      </c>
      <c r="H38" s="1547">
        <f>ROUND(IF(T5Manip!H48="","",T5Manip!H48),0)</f>
        <v>173737</v>
      </c>
      <c r="I38" s="1181">
        <f>ROUND(IF(T5Manip!I48="","",T5Manip!I48),0)</f>
        <v>1247</v>
      </c>
      <c r="J38" s="1547">
        <f>ROUND(IF(T5Manip!J48="","",T5Manip!J48),0)</f>
        <v>0</v>
      </c>
      <c r="K38" s="1547">
        <f>ROUND(IF(T5Manip!K48="","",T5Manip!K48),0)</f>
        <v>0</v>
      </c>
      <c r="L38" s="1547">
        <f>ROUND(IF(T5Manip!L48="","",T5Manip!L48),0)</f>
        <v>16027</v>
      </c>
      <c r="M38" s="1182">
        <f>ROUND(IF(T5Manip!M48="","",T5Manip!M48),0)</f>
        <v>17274</v>
      </c>
      <c r="N38" s="1547">
        <f>ROUND(IF(T5Manip!O48="","",T5Manip!O48),0)</f>
        <v>156464</v>
      </c>
      <c r="O38" s="1168">
        <f>ROUND(IF(T5Manip!P48="","",T5Manip!P48),3)</f>
        <v>0.84399999999999997</v>
      </c>
    </row>
    <row r="39" spans="1:17">
      <c r="A39" s="832">
        <v>2023</v>
      </c>
      <c r="B39" s="1176">
        <f>IF(T5Manip!B49="","",T5Manip!B49)</f>
        <v>141179</v>
      </c>
      <c r="C39" s="1548">
        <f>ROUND(IF(T5Manip!C49="","",T5Manip!C49),0)</f>
        <v>389</v>
      </c>
      <c r="D39" s="437">
        <f>ROUND(IF(T5Manip!D49="","",T5Manip!D49),0)</f>
        <v>3352</v>
      </c>
      <c r="E39" s="1548">
        <f>ROUND(IF(T5Manip!E49="","",T5Manip!E49),0)</f>
        <v>192</v>
      </c>
      <c r="F39" s="1547">
        <f>ROUND(IF(T5Manip!F49="","",T5Manip!F49),0)</f>
        <v>460</v>
      </c>
      <c r="G39" s="1547">
        <f>ROUND(IF(T5Manip!G49="","",T5Manip!G49),0)</f>
        <v>4393</v>
      </c>
      <c r="H39" s="1176">
        <f>ROUND(IF(T5Manip!H49="","",T5Manip!H49),0)</f>
        <v>136786</v>
      </c>
      <c r="I39" s="1548">
        <f>ROUND(IF(T5Manip!I49="","",T5Manip!I49),0)</f>
        <v>1088</v>
      </c>
      <c r="J39" s="1547">
        <f>ROUND(IF(T5Manip!J49="","",T5Manip!J49),0)</f>
        <v>0</v>
      </c>
      <c r="K39" s="1547">
        <f>ROUND(IF(T5Manip!K49="","",T5Manip!K49),0)</f>
        <v>0</v>
      </c>
      <c r="L39" s="1547">
        <f>ROUND(IF(T5Manip!L49="","",T5Manip!L49),0)</f>
        <v>11780</v>
      </c>
      <c r="M39" s="1547">
        <f>ROUND(IF(T5Manip!M49="","",T5Manip!M49),0)</f>
        <v>12868</v>
      </c>
      <c r="N39" s="1286">
        <f>ROUND(IF(T5Manip!O49="","",T5Manip!O49),0)</f>
        <v>123918</v>
      </c>
      <c r="O39" s="1168">
        <f>ROUND(IF(T5Manip!P49="","",T5Manip!P49),3)</f>
        <v>0.878</v>
      </c>
    </row>
    <row r="40" spans="1:17">
      <c r="A40" s="832">
        <v>2024</v>
      </c>
      <c r="B40" s="1176">
        <f>IF(T5Manip!B50="","",T5Manip!B50)</f>
        <v>116332</v>
      </c>
      <c r="C40" s="1181">
        <f>ROUND(IF(T5Manip!C50="","",T5Manip!C50),0)</f>
        <v>289</v>
      </c>
      <c r="D40" s="437">
        <f>ROUND(IF(T5Manip!D50="","",T5Manip!D50),0)</f>
        <v>4307</v>
      </c>
      <c r="E40" s="1548">
        <f>ROUND(IF(T5Manip!E50="","",T5Manip!E50),0)</f>
        <v>123</v>
      </c>
      <c r="F40" s="1547">
        <f>ROUND(IF(T5Manip!F50="","",T5Manip!F50),0)</f>
        <v>403</v>
      </c>
      <c r="G40" s="1547">
        <f>ROUND(IF(T5Manip!G50="","",T5Manip!G50),0)</f>
        <v>5122</v>
      </c>
      <c r="H40" s="1176">
        <f>ROUND(IF(T5Manip!H50="","",T5Manip!H50),0)</f>
        <v>111210</v>
      </c>
      <c r="I40" s="1548">
        <f>ROUND(IF(T5Manip!I50="","",T5Manip!I50),0)</f>
        <v>1485</v>
      </c>
      <c r="J40" s="1547">
        <f>ROUND(IF(T5Manip!J50="","",T5Manip!J50),0)</f>
        <v>0</v>
      </c>
      <c r="K40" s="1547">
        <f>ROUND(IF(T5Manip!K50="","",T5Manip!K50),0)</f>
        <v>0</v>
      </c>
      <c r="L40" s="1547">
        <f>ROUND(IF(T5Manip!L50="","",T5Manip!L50),0)</f>
        <v>6363</v>
      </c>
      <c r="M40" s="1547">
        <f>ROUND(IF(T5Manip!M50="","",T5Manip!M50),0)</f>
        <v>7848</v>
      </c>
      <c r="N40" s="1286">
        <f>ROUND(IF(T5Manip!O50="","",T5Manip!O50),0)</f>
        <v>103362</v>
      </c>
      <c r="O40" s="1168">
        <f>ROUND(IF(T5Manip!P50="","",T5Manip!P50),3)</f>
        <v>0.88900000000000001</v>
      </c>
    </row>
    <row r="41" spans="1:17">
      <c r="A41" s="833">
        <v>2025</v>
      </c>
      <c r="B41" s="1177">
        <f>IF(T5Manip!B51="","",T5Manip!B51)</f>
        <v>154703</v>
      </c>
      <c r="C41" s="1553">
        <f>ROUND(IF(T5Manip!C51="","",T5Manip!C51),0)</f>
        <v>484</v>
      </c>
      <c r="D41" s="1169">
        <f>ROUND(IF(T5Manip!D51="","",T5Manip!D51),0)</f>
        <v>7411</v>
      </c>
      <c r="E41" s="1170">
        <f>ROUND(IF(T5Manip!E51="","",T5Manip!E51),0)</f>
        <v>227</v>
      </c>
      <c r="F41" s="1171">
        <f>ROUND(IF(T5Manip!F51="","",T5Manip!F51),0)</f>
        <v>520</v>
      </c>
      <c r="G41" s="1171">
        <f>ROUND(IF(T5Manip!G51="","",T5Manip!G51),0)</f>
        <v>8642</v>
      </c>
      <c r="H41" s="1177">
        <f>ROUND(IF(T5Manip!H51="","",T5Manip!H51),0)</f>
        <v>146061</v>
      </c>
      <c r="I41" s="1170">
        <f>ROUND(IF(T5Manip!I51="","",T5Manip!I51),0)</f>
        <v>935</v>
      </c>
      <c r="J41" s="1171">
        <f>ROUND(IF(T5Manip!J51="","",T5Manip!J51),0)</f>
        <v>0</v>
      </c>
      <c r="K41" s="1171">
        <f>ROUND(IF(T5Manip!K51="","",T5Manip!K51),0)</f>
        <v>0</v>
      </c>
      <c r="L41" s="1171">
        <f>ROUND(IF(T5Manip!L51="","",T5Manip!L51),0)</f>
        <v>9649</v>
      </c>
      <c r="M41" s="1171">
        <f>ROUND(IF(T5Manip!M51="","",T5Manip!M51),0)</f>
        <v>10584</v>
      </c>
      <c r="N41" s="1287">
        <f>ROUND(IF(T5Manip!O51="","",T5Manip!O51),0)</f>
        <v>135478</v>
      </c>
      <c r="O41" s="1172">
        <f>ROUND(IF(T5Manip!P51="","",T5Manip!P51),3)</f>
        <v>0.876</v>
      </c>
    </row>
    <row r="42" spans="1:17" s="133" customFormat="1" ht="17.25" customHeight="1">
      <c r="A42" s="438" t="s">
        <v>223</v>
      </c>
    </row>
    <row r="43" spans="1:17" s="133" customFormat="1" ht="18.75">
      <c r="A43" s="438" t="s">
        <v>224</v>
      </c>
    </row>
    <row r="44" spans="1:17" s="133" customFormat="1" ht="18.75">
      <c r="A44" s="438" t="s">
        <v>225</v>
      </c>
    </row>
    <row r="45" spans="1:17" s="133" customFormat="1" ht="18.75">
      <c r="A45" s="438" t="s">
        <v>226</v>
      </c>
    </row>
    <row r="46" spans="1:17" s="133" customFormat="1" ht="18.75">
      <c r="A46" s="438" t="s">
        <v>227</v>
      </c>
    </row>
    <row r="47" spans="1:17" ht="15.75">
      <c r="A47" s="7"/>
    </row>
    <row r="48" spans="1:17" ht="15.75">
      <c r="A48" s="7" t="s">
        <v>87</v>
      </c>
    </row>
  </sheetData>
  <mergeCells count="18">
    <mergeCell ref="C4:G4"/>
    <mergeCell ref="I4:M4"/>
    <mergeCell ref="C5:E5"/>
    <mergeCell ref="H5:H7"/>
    <mergeCell ref="J5:L5"/>
    <mergeCell ref="F6:F7"/>
    <mergeCell ref="N5:O6"/>
    <mergeCell ref="G6:G7"/>
    <mergeCell ref="I6:I7"/>
    <mergeCell ref="J6:J7"/>
    <mergeCell ref="K6:K7"/>
    <mergeCell ref="L6:L7"/>
    <mergeCell ref="M6:M7"/>
    <mergeCell ref="A6:A7"/>
    <mergeCell ref="B6:B7"/>
    <mergeCell ref="C6:C7"/>
    <mergeCell ref="D6:D7"/>
    <mergeCell ref="E6:E7"/>
  </mergeCells>
  <phoneticPr fontId="143" type="noConversion"/>
  <pageMargins left="0.75" right="0.75" top="1" bottom="1" header="0.5" footer="0.5"/>
  <pageSetup orientation="landscape" r:id="rId1"/>
  <headerFooter alignWithMargins="0"/>
  <ignoredErrors>
    <ignoredError sqref="B8:E8 G8:O8 B9:E9 G9:O9 B10:E10 G10:O10"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8915-32A4-4848-8C85-AECEA0A50E08}">
  <sheetPr>
    <tabColor rgb="FF66FF33"/>
  </sheetPr>
  <dimension ref="A1:P77"/>
  <sheetViews>
    <sheetView zoomScale="80" zoomScaleNormal="80" workbookViewId="0">
      <pane ySplit="4" topLeftCell="A17" activePane="bottomLeft" state="frozen"/>
      <selection pane="bottomLeft" activeCell="I70" sqref="I70"/>
      <selection activeCell="J33" sqref="J33"/>
    </sheetView>
  </sheetViews>
  <sheetFormatPr defaultColWidth="9.33203125" defaultRowHeight="12.75"/>
  <cols>
    <col min="1" max="2" width="15.83203125" style="49" customWidth="1"/>
    <col min="3" max="3" width="17.1640625" style="49" bestFit="1" customWidth="1"/>
    <col min="4" max="15" width="15.83203125" style="49" customWidth="1"/>
    <col min="16" max="16384" width="9.33203125" style="49"/>
  </cols>
  <sheetData>
    <row r="1" spans="1:15">
      <c r="A1" s="48" t="s">
        <v>228</v>
      </c>
    </row>
    <row r="2" spans="1:15">
      <c r="A2" s="180" t="s">
        <v>229</v>
      </c>
    </row>
    <row r="3" spans="1:15">
      <c r="A3" s="180" t="s">
        <v>230</v>
      </c>
    </row>
    <row r="4" spans="1:15">
      <c r="A4" s="1619" t="s">
        <v>28</v>
      </c>
      <c r="B4" s="1619" t="s">
        <v>231</v>
      </c>
      <c r="C4" s="1619" t="s">
        <v>232</v>
      </c>
      <c r="D4" s="1619" t="s">
        <v>233</v>
      </c>
      <c r="E4" s="1619" t="s">
        <v>234</v>
      </c>
      <c r="F4" s="1619" t="s">
        <v>235</v>
      </c>
      <c r="G4" s="1619" t="s">
        <v>236</v>
      </c>
      <c r="H4" s="1619" t="s">
        <v>237</v>
      </c>
      <c r="I4" s="1619" t="s">
        <v>238</v>
      </c>
      <c r="J4" s="1619" t="s">
        <v>239</v>
      </c>
      <c r="L4" s="1642" t="s">
        <v>28</v>
      </c>
      <c r="M4" s="1619" t="s">
        <v>240</v>
      </c>
      <c r="N4" s="1619" t="s">
        <v>241</v>
      </c>
      <c r="O4" s="1619" t="s">
        <v>242</v>
      </c>
    </row>
    <row r="5" spans="1:15">
      <c r="A5" s="49">
        <v>1979</v>
      </c>
      <c r="B5" s="298">
        <v>58483</v>
      </c>
      <c r="C5" s="298">
        <v>17248</v>
      </c>
      <c r="D5" s="298">
        <v>8618</v>
      </c>
      <c r="E5" s="298">
        <v>28307</v>
      </c>
      <c r="F5" s="298">
        <v>17543</v>
      </c>
      <c r="G5" s="182">
        <f t="shared" ref="G5:G49" si="0">C5/B5</f>
        <v>0.2949233110476549</v>
      </c>
      <c r="H5" s="182">
        <f t="shared" ref="H5:H49" si="1">E5/B5</f>
        <v>0.48402099755484501</v>
      </c>
      <c r="I5" s="182">
        <f t="shared" ref="I5:I49" si="2">F5/E5</f>
        <v>0.61974070018016747</v>
      </c>
      <c r="J5" s="182">
        <f t="shared" ref="J5:J49" si="3">D5/C5</f>
        <v>0.49965213358070498</v>
      </c>
      <c r="L5" s="49">
        <v>1979</v>
      </c>
      <c r="M5" s="181">
        <f t="shared" ref="M5:M48" si="4">VLOOKUP(L5,$A$5:$I$48,2,FALSE)</f>
        <v>58483</v>
      </c>
      <c r="N5" s="181">
        <f t="shared" ref="N5:N48" si="5">VLOOKUP(L5,$A$5:$I$48,3,FALSE)</f>
        <v>17248</v>
      </c>
      <c r="O5" s="181">
        <f t="shared" ref="O5:O48" si="6">VLOOKUP(L5,$A$5:$I$48,5,FALSE)</f>
        <v>28307</v>
      </c>
    </row>
    <row r="6" spans="1:15">
      <c r="A6" s="49">
        <v>1980</v>
      </c>
      <c r="B6" s="298">
        <v>57692</v>
      </c>
      <c r="C6" s="298">
        <v>16954</v>
      </c>
      <c r="D6" s="298">
        <v>7419</v>
      </c>
      <c r="E6" s="298">
        <v>27339</v>
      </c>
      <c r="F6" s="298">
        <v>20979</v>
      </c>
      <c r="G6" s="182">
        <f t="shared" si="0"/>
        <v>0.29387090064480342</v>
      </c>
      <c r="H6" s="182">
        <f t="shared" si="1"/>
        <v>0.47387852735214586</v>
      </c>
      <c r="I6" s="182">
        <f t="shared" si="2"/>
        <v>0.76736530231537359</v>
      </c>
      <c r="J6" s="182">
        <f t="shared" si="3"/>
        <v>0.43759584758758996</v>
      </c>
      <c r="L6" s="49">
        <v>1980</v>
      </c>
      <c r="M6" s="181">
        <f t="shared" si="4"/>
        <v>57692</v>
      </c>
      <c r="N6" s="181">
        <f t="shared" si="5"/>
        <v>16954</v>
      </c>
      <c r="O6" s="181">
        <f t="shared" si="6"/>
        <v>27339</v>
      </c>
    </row>
    <row r="7" spans="1:15">
      <c r="A7" s="49">
        <v>1981</v>
      </c>
      <c r="B7" s="298">
        <v>67401</v>
      </c>
      <c r="C7" s="298">
        <v>14157</v>
      </c>
      <c r="D7" s="298">
        <v>5734</v>
      </c>
      <c r="E7" s="298">
        <v>35175</v>
      </c>
      <c r="F7" s="298">
        <v>24784</v>
      </c>
      <c r="G7" s="182">
        <f t="shared" si="0"/>
        <v>0.21004139404459873</v>
      </c>
      <c r="H7" s="182">
        <f t="shared" si="1"/>
        <v>0.52187653002180978</v>
      </c>
      <c r="I7" s="182">
        <f t="shared" si="2"/>
        <v>0.70459132906894106</v>
      </c>
      <c r="J7" s="182">
        <f t="shared" si="3"/>
        <v>0.40502931412022319</v>
      </c>
      <c r="L7" s="49">
        <v>1981</v>
      </c>
      <c r="M7" s="181">
        <f t="shared" si="4"/>
        <v>67401</v>
      </c>
      <c r="N7" s="181">
        <f t="shared" si="5"/>
        <v>14157</v>
      </c>
      <c r="O7" s="181">
        <f t="shared" si="6"/>
        <v>35175</v>
      </c>
    </row>
    <row r="8" spans="1:15">
      <c r="A8" s="49">
        <v>1982</v>
      </c>
      <c r="B8" s="298">
        <v>77246</v>
      </c>
      <c r="C8" s="298">
        <v>15840</v>
      </c>
      <c r="D8" s="298">
        <v>6578</v>
      </c>
      <c r="E8" s="298">
        <v>39954</v>
      </c>
      <c r="F8" s="298">
        <v>27633</v>
      </c>
      <c r="G8" s="182">
        <f t="shared" si="0"/>
        <v>0.20505916163943763</v>
      </c>
      <c r="H8" s="182">
        <f t="shared" si="1"/>
        <v>0.5172306656655361</v>
      </c>
      <c r="I8" s="182">
        <f t="shared" si="2"/>
        <v>0.69162036341793065</v>
      </c>
      <c r="J8" s="182">
        <f t="shared" si="3"/>
        <v>0.4152777777777778</v>
      </c>
      <c r="L8" s="49">
        <v>1982</v>
      </c>
      <c r="M8" s="181">
        <f t="shared" si="4"/>
        <v>77246</v>
      </c>
      <c r="N8" s="181">
        <f t="shared" si="5"/>
        <v>15840</v>
      </c>
      <c r="O8" s="181">
        <f t="shared" si="6"/>
        <v>39954</v>
      </c>
    </row>
    <row r="9" spans="1:15">
      <c r="A9" s="49">
        <v>1983</v>
      </c>
      <c r="B9" s="298">
        <v>62912</v>
      </c>
      <c r="C9" s="298">
        <v>16108</v>
      </c>
      <c r="D9" s="298">
        <v>7340</v>
      </c>
      <c r="E9" s="298">
        <v>28216</v>
      </c>
      <c r="F9" s="298">
        <v>21023</v>
      </c>
      <c r="G9" s="182">
        <f t="shared" si="0"/>
        <v>0.25604018311291965</v>
      </c>
      <c r="H9" s="182">
        <f t="shared" si="1"/>
        <v>0.44849949135300099</v>
      </c>
      <c r="I9" s="182">
        <f t="shared" si="2"/>
        <v>0.74507371703997727</v>
      </c>
      <c r="J9" s="182">
        <f t="shared" si="3"/>
        <v>0.45567419915569901</v>
      </c>
      <c r="L9" s="49">
        <v>1983</v>
      </c>
      <c r="M9" s="181">
        <f t="shared" si="4"/>
        <v>62912</v>
      </c>
      <c r="N9" s="181">
        <f t="shared" si="5"/>
        <v>16108</v>
      </c>
      <c r="O9" s="181">
        <f t="shared" si="6"/>
        <v>28216</v>
      </c>
    </row>
    <row r="10" spans="1:15">
      <c r="A10" s="49">
        <v>1984</v>
      </c>
      <c r="B10" s="298">
        <v>52357</v>
      </c>
      <c r="C10" s="298">
        <v>16816</v>
      </c>
      <c r="D10" s="298">
        <v>6663</v>
      </c>
      <c r="E10" s="298">
        <v>20995</v>
      </c>
      <c r="F10" s="298">
        <v>14136</v>
      </c>
      <c r="G10" s="182">
        <f t="shared" si="0"/>
        <v>0.32117959394159329</v>
      </c>
      <c r="H10" s="182">
        <f t="shared" si="1"/>
        <v>0.40099700135607463</v>
      </c>
      <c r="I10" s="182">
        <f t="shared" si="2"/>
        <v>0.67330316742081453</v>
      </c>
      <c r="J10" s="182">
        <f t="shared" si="3"/>
        <v>0.39622978116079927</v>
      </c>
      <c r="L10" s="49">
        <v>1984</v>
      </c>
      <c r="M10" s="181">
        <f t="shared" si="4"/>
        <v>52357</v>
      </c>
      <c r="N10" s="181">
        <f t="shared" si="5"/>
        <v>16816</v>
      </c>
      <c r="O10" s="181">
        <f t="shared" si="6"/>
        <v>20995</v>
      </c>
    </row>
    <row r="11" spans="1:15">
      <c r="A11" s="49">
        <v>1985</v>
      </c>
      <c r="B11" s="298">
        <v>92284</v>
      </c>
      <c r="C11" s="298">
        <v>28994</v>
      </c>
      <c r="D11" s="298">
        <v>10467</v>
      </c>
      <c r="E11" s="298">
        <v>40760</v>
      </c>
      <c r="F11" s="298">
        <v>14889</v>
      </c>
      <c r="G11" s="182">
        <f t="shared" si="0"/>
        <v>0.31418230679207665</v>
      </c>
      <c r="H11" s="182">
        <f t="shared" si="1"/>
        <v>0.44168003120801008</v>
      </c>
      <c r="I11" s="182">
        <f t="shared" si="2"/>
        <v>0.36528459273797842</v>
      </c>
      <c r="J11" s="182">
        <f t="shared" si="3"/>
        <v>0.36100572532248049</v>
      </c>
      <c r="L11" s="49">
        <v>1985</v>
      </c>
      <c r="M11" s="181">
        <f t="shared" si="4"/>
        <v>92284</v>
      </c>
      <c r="N11" s="181">
        <f t="shared" si="5"/>
        <v>28994</v>
      </c>
      <c r="O11" s="181">
        <f t="shared" si="6"/>
        <v>40760</v>
      </c>
    </row>
    <row r="12" spans="1:15">
      <c r="A12" s="49">
        <v>1986</v>
      </c>
      <c r="B12" s="298">
        <v>128413</v>
      </c>
      <c r="C12" s="298">
        <v>29506</v>
      </c>
      <c r="D12" s="298">
        <v>8389</v>
      </c>
      <c r="E12" s="298">
        <v>64732</v>
      </c>
      <c r="F12" s="298">
        <v>20154</v>
      </c>
      <c r="G12" s="182">
        <f t="shared" si="0"/>
        <v>0.22977424404071239</v>
      </c>
      <c r="H12" s="182">
        <f t="shared" si="1"/>
        <v>0.50409226480185032</v>
      </c>
      <c r="I12" s="182">
        <f t="shared" si="2"/>
        <v>0.3113452388308719</v>
      </c>
      <c r="J12" s="182">
        <f t="shared" si="3"/>
        <v>0.2843150545651732</v>
      </c>
      <c r="L12" s="48">
        <v>1986</v>
      </c>
      <c r="M12" s="181">
        <f t="shared" si="4"/>
        <v>128413</v>
      </c>
      <c r="N12" s="181">
        <f t="shared" si="5"/>
        <v>29506</v>
      </c>
      <c r="O12" s="181">
        <f t="shared" si="6"/>
        <v>64732</v>
      </c>
    </row>
    <row r="13" spans="1:15">
      <c r="A13" s="49">
        <v>1987</v>
      </c>
      <c r="B13" s="298">
        <v>110772</v>
      </c>
      <c r="C13" s="298">
        <v>25544</v>
      </c>
      <c r="D13" s="298">
        <v>8774</v>
      </c>
      <c r="E13" s="298">
        <v>52470</v>
      </c>
      <c r="F13" s="298">
        <v>15927</v>
      </c>
      <c r="G13" s="182">
        <f t="shared" si="0"/>
        <v>0.23059979056079152</v>
      </c>
      <c r="H13" s="182">
        <f t="shared" si="1"/>
        <v>0.47367565810854728</v>
      </c>
      <c r="I13" s="182">
        <f t="shared" si="2"/>
        <v>0.30354488279016578</v>
      </c>
      <c r="J13" s="182">
        <f t="shared" si="3"/>
        <v>0.34348575007829629</v>
      </c>
      <c r="L13" s="48">
        <v>1987</v>
      </c>
      <c r="M13" s="181">
        <f t="shared" si="4"/>
        <v>110772</v>
      </c>
      <c r="N13" s="181">
        <f t="shared" si="5"/>
        <v>25544</v>
      </c>
      <c r="O13" s="181">
        <f t="shared" si="6"/>
        <v>52470</v>
      </c>
    </row>
    <row r="14" spans="1:15">
      <c r="A14" s="49">
        <v>1988</v>
      </c>
      <c r="B14" s="298">
        <v>106003</v>
      </c>
      <c r="C14" s="298">
        <v>21098</v>
      </c>
      <c r="D14" s="298">
        <v>7546</v>
      </c>
      <c r="E14" s="298">
        <v>54126</v>
      </c>
      <c r="F14" s="298">
        <v>17385</v>
      </c>
      <c r="G14" s="182">
        <f t="shared" si="0"/>
        <v>0.19903210286501324</v>
      </c>
      <c r="H14" s="182">
        <f t="shared" si="1"/>
        <v>0.51060819033423588</v>
      </c>
      <c r="I14" s="182">
        <f t="shared" si="2"/>
        <v>0.32119498946901676</v>
      </c>
      <c r="J14" s="182">
        <f t="shared" si="3"/>
        <v>0.35766423357664234</v>
      </c>
      <c r="L14" s="49">
        <v>1988</v>
      </c>
      <c r="M14" s="181">
        <f t="shared" si="4"/>
        <v>106003</v>
      </c>
      <c r="N14" s="181">
        <f t="shared" si="5"/>
        <v>21098</v>
      </c>
      <c r="O14" s="181">
        <f t="shared" si="6"/>
        <v>54126</v>
      </c>
    </row>
    <row r="15" spans="1:15">
      <c r="A15" s="49">
        <v>1989</v>
      </c>
      <c r="B15" s="298">
        <v>90031</v>
      </c>
      <c r="C15" s="298">
        <v>18745</v>
      </c>
      <c r="D15" s="298">
        <v>7400</v>
      </c>
      <c r="E15" s="298">
        <v>35599</v>
      </c>
      <c r="F15" s="298">
        <v>14757</v>
      </c>
      <c r="G15" s="182">
        <f t="shared" si="0"/>
        <v>0.20820606235629949</v>
      </c>
      <c r="H15" s="182">
        <f t="shared" si="1"/>
        <v>0.39540824827004034</v>
      </c>
      <c r="I15" s="182">
        <f t="shared" si="2"/>
        <v>0.41453411612685748</v>
      </c>
      <c r="J15" s="182">
        <f t="shared" si="3"/>
        <v>0.39477193918378234</v>
      </c>
      <c r="L15" s="49">
        <v>1989</v>
      </c>
      <c r="M15" s="181">
        <f t="shared" si="4"/>
        <v>90031</v>
      </c>
      <c r="N15" s="181">
        <f t="shared" si="5"/>
        <v>18745</v>
      </c>
      <c r="O15" s="181">
        <f t="shared" si="6"/>
        <v>35599</v>
      </c>
    </row>
    <row r="16" spans="1:15">
      <c r="A16" s="49">
        <v>1990</v>
      </c>
      <c r="B16" s="298">
        <v>105715</v>
      </c>
      <c r="C16" s="298">
        <v>12052</v>
      </c>
      <c r="D16" s="298">
        <v>4342</v>
      </c>
      <c r="E16" s="298">
        <v>41439</v>
      </c>
      <c r="F16" s="298">
        <v>17638</v>
      </c>
      <c r="G16" s="182">
        <f t="shared" si="0"/>
        <v>0.11400463510381686</v>
      </c>
      <c r="H16" s="182">
        <f t="shared" si="1"/>
        <v>0.39198789197370287</v>
      </c>
      <c r="I16" s="182">
        <f t="shared" si="2"/>
        <v>0.42563768430705373</v>
      </c>
      <c r="J16" s="182">
        <f t="shared" si="3"/>
        <v>0.36027215399933621</v>
      </c>
      <c r="L16" s="49">
        <v>1990</v>
      </c>
      <c r="M16" s="181">
        <f t="shared" si="4"/>
        <v>105715</v>
      </c>
      <c r="N16" s="181">
        <f t="shared" si="5"/>
        <v>12052</v>
      </c>
      <c r="O16" s="181">
        <f t="shared" si="6"/>
        <v>41439</v>
      </c>
    </row>
    <row r="17" spans="1:15">
      <c r="A17" s="49">
        <v>1991</v>
      </c>
      <c r="B17" s="298">
        <v>64479</v>
      </c>
      <c r="C17" s="298">
        <v>8698</v>
      </c>
      <c r="D17" s="298">
        <v>2478</v>
      </c>
      <c r="E17" s="298">
        <v>23755</v>
      </c>
      <c r="F17" s="298">
        <v>13156</v>
      </c>
      <c r="G17" s="182">
        <f t="shared" si="0"/>
        <v>0.13489663301229857</v>
      </c>
      <c r="H17" s="182">
        <f t="shared" si="1"/>
        <v>0.36841452255773199</v>
      </c>
      <c r="I17" s="182">
        <f t="shared" si="2"/>
        <v>0.55382024836876442</v>
      </c>
      <c r="J17" s="182">
        <f t="shared" si="3"/>
        <v>0.28489307886870546</v>
      </c>
      <c r="L17" s="49">
        <v>1991</v>
      </c>
      <c r="M17" s="181">
        <f t="shared" si="4"/>
        <v>64479</v>
      </c>
      <c r="N17" s="181">
        <f t="shared" si="5"/>
        <v>8698</v>
      </c>
      <c r="O17" s="181">
        <f t="shared" si="6"/>
        <v>23755</v>
      </c>
    </row>
    <row r="18" spans="1:15">
      <c r="A18" s="49">
        <v>1992</v>
      </c>
      <c r="B18" s="298">
        <v>95691</v>
      </c>
      <c r="C18" s="298">
        <v>20734</v>
      </c>
      <c r="D18" s="298">
        <v>4261</v>
      </c>
      <c r="E18" s="298">
        <v>39700</v>
      </c>
      <c r="F18" s="298">
        <v>20647</v>
      </c>
      <c r="G18" s="182">
        <f t="shared" si="0"/>
        <v>0.21667659445506893</v>
      </c>
      <c r="H18" s="182">
        <f t="shared" si="1"/>
        <v>0.41487705217836579</v>
      </c>
      <c r="I18" s="182">
        <f t="shared" si="2"/>
        <v>0.52007556675062971</v>
      </c>
      <c r="J18" s="182">
        <f t="shared" si="3"/>
        <v>0.20550786148355357</v>
      </c>
      <c r="L18" s="49">
        <v>1992</v>
      </c>
      <c r="M18" s="181">
        <f t="shared" si="4"/>
        <v>95691</v>
      </c>
      <c r="N18" s="181">
        <f t="shared" si="5"/>
        <v>20734</v>
      </c>
      <c r="O18" s="181">
        <f t="shared" si="6"/>
        <v>39700</v>
      </c>
    </row>
    <row r="19" spans="1:15">
      <c r="A19" s="49">
        <v>1993</v>
      </c>
      <c r="B19" s="298">
        <v>119963</v>
      </c>
      <c r="C19" s="298">
        <v>26056</v>
      </c>
      <c r="D19" s="298">
        <v>4054</v>
      </c>
      <c r="E19" s="298">
        <v>41241</v>
      </c>
      <c r="F19" s="298">
        <v>17425</v>
      </c>
      <c r="G19" s="182">
        <f t="shared" si="0"/>
        <v>0.21720030342688995</v>
      </c>
      <c r="H19" s="182">
        <f t="shared" si="1"/>
        <v>0.34378099914140192</v>
      </c>
      <c r="I19" s="182">
        <f t="shared" si="2"/>
        <v>0.42251642782667731</v>
      </c>
      <c r="J19" s="182">
        <f t="shared" si="3"/>
        <v>0.15558796438440284</v>
      </c>
      <c r="L19" s="48">
        <v>1993</v>
      </c>
      <c r="M19" s="181">
        <f t="shared" si="4"/>
        <v>119963</v>
      </c>
      <c r="N19" s="181">
        <f t="shared" si="5"/>
        <v>26056</v>
      </c>
      <c r="O19" s="181">
        <f t="shared" si="6"/>
        <v>41241</v>
      </c>
    </row>
    <row r="20" spans="1:15">
      <c r="A20" s="49">
        <v>1994</v>
      </c>
      <c r="B20" s="298">
        <v>24095</v>
      </c>
      <c r="C20" s="298">
        <v>3458</v>
      </c>
      <c r="D20" s="298">
        <v>1056</v>
      </c>
      <c r="E20" s="298">
        <v>7787</v>
      </c>
      <c r="F20" s="298">
        <v>3757</v>
      </c>
      <c r="G20" s="182">
        <f t="shared" si="0"/>
        <v>0.14351525212699731</v>
      </c>
      <c r="H20" s="182">
        <f t="shared" si="1"/>
        <v>0.32317908279726082</v>
      </c>
      <c r="I20" s="182">
        <f t="shared" si="2"/>
        <v>0.48247078464106846</v>
      </c>
      <c r="J20" s="182">
        <f t="shared" si="3"/>
        <v>0.30537883169462116</v>
      </c>
      <c r="L20" s="49">
        <v>1994</v>
      </c>
      <c r="M20" s="181">
        <f t="shared" si="4"/>
        <v>24095</v>
      </c>
      <c r="N20" s="181">
        <f t="shared" si="5"/>
        <v>3458</v>
      </c>
      <c r="O20" s="181">
        <f t="shared" si="6"/>
        <v>7787</v>
      </c>
    </row>
    <row r="21" spans="1:15">
      <c r="A21" s="49">
        <v>1995</v>
      </c>
      <c r="B21" s="298">
        <v>12792</v>
      </c>
      <c r="C21" s="298">
        <v>1657</v>
      </c>
      <c r="D21" s="298">
        <v>226</v>
      </c>
      <c r="E21" s="298">
        <v>5292</v>
      </c>
      <c r="F21" s="298">
        <v>3415</v>
      </c>
      <c r="G21" s="182">
        <f t="shared" si="0"/>
        <v>0.12953408380237649</v>
      </c>
      <c r="H21" s="182">
        <f t="shared" si="1"/>
        <v>0.41369606003752346</v>
      </c>
      <c r="I21" s="182">
        <f t="shared" si="2"/>
        <v>0.64531368102796671</v>
      </c>
      <c r="J21" s="182">
        <f t="shared" si="3"/>
        <v>0.13639106819553409</v>
      </c>
      <c r="L21" s="49">
        <v>1995</v>
      </c>
      <c r="M21" s="181">
        <f t="shared" si="4"/>
        <v>12792</v>
      </c>
      <c r="N21" s="181">
        <f t="shared" si="5"/>
        <v>1657</v>
      </c>
      <c r="O21" s="181">
        <f t="shared" si="6"/>
        <v>5292</v>
      </c>
    </row>
    <row r="22" spans="1:15">
      <c r="A22" s="49">
        <v>1996</v>
      </c>
      <c r="B22" s="298">
        <v>55551</v>
      </c>
      <c r="C22" s="298">
        <v>3525</v>
      </c>
      <c r="D22" s="298">
        <v>580</v>
      </c>
      <c r="E22" s="298">
        <v>17280</v>
      </c>
      <c r="F22" s="298">
        <v>9286</v>
      </c>
      <c r="G22" s="182">
        <f t="shared" si="0"/>
        <v>6.3455203326672788E-2</v>
      </c>
      <c r="H22" s="182">
        <f t="shared" si="1"/>
        <v>0.31106550737160449</v>
      </c>
      <c r="I22" s="182">
        <f t="shared" si="2"/>
        <v>0.53738425925925926</v>
      </c>
      <c r="J22" s="182">
        <f t="shared" si="3"/>
        <v>0.16453900709219857</v>
      </c>
      <c r="L22" s="49">
        <v>1996</v>
      </c>
      <c r="M22" s="181">
        <f t="shared" si="4"/>
        <v>55551</v>
      </c>
      <c r="N22" s="181">
        <f t="shared" si="5"/>
        <v>3525</v>
      </c>
      <c r="O22" s="181">
        <f t="shared" si="6"/>
        <v>17280</v>
      </c>
    </row>
    <row r="23" spans="1:15">
      <c r="A23" s="49">
        <v>1997</v>
      </c>
      <c r="B23" s="298">
        <v>124321</v>
      </c>
      <c r="C23" s="298">
        <v>9683</v>
      </c>
      <c r="D23" s="298">
        <v>1033</v>
      </c>
      <c r="E23" s="298">
        <v>82938</v>
      </c>
      <c r="F23" s="298">
        <v>8705</v>
      </c>
      <c r="G23" s="182">
        <f t="shared" si="0"/>
        <v>7.7887082632861704E-2</v>
      </c>
      <c r="H23" s="182">
        <f t="shared" si="1"/>
        <v>0.66712783841828815</v>
      </c>
      <c r="I23" s="182">
        <f t="shared" si="2"/>
        <v>0.10495792037425547</v>
      </c>
      <c r="J23" s="182">
        <f t="shared" si="3"/>
        <v>0.10668181348755551</v>
      </c>
      <c r="L23" s="48">
        <v>1997</v>
      </c>
      <c r="M23" s="181">
        <f t="shared" si="4"/>
        <v>124321</v>
      </c>
      <c r="N23" s="181">
        <f t="shared" si="5"/>
        <v>9683</v>
      </c>
      <c r="O23" s="181">
        <f t="shared" si="6"/>
        <v>82938</v>
      </c>
    </row>
    <row r="24" spans="1:15">
      <c r="A24" s="49">
        <v>1998</v>
      </c>
      <c r="B24" s="298">
        <v>44308</v>
      </c>
      <c r="C24" s="298">
        <v>4531</v>
      </c>
      <c r="D24" s="298">
        <v>535</v>
      </c>
      <c r="E24" s="298">
        <v>26928</v>
      </c>
      <c r="F24" s="298">
        <v>13814</v>
      </c>
      <c r="G24" s="182">
        <f t="shared" si="0"/>
        <v>0.10226144262887063</v>
      </c>
      <c r="H24" s="182">
        <f t="shared" si="1"/>
        <v>0.60774577954319764</v>
      </c>
      <c r="I24" s="182">
        <f t="shared" si="2"/>
        <v>0.51299762329174092</v>
      </c>
      <c r="J24" s="182">
        <f t="shared" si="3"/>
        <v>0.11807548002648421</v>
      </c>
      <c r="L24" s="49">
        <v>1998</v>
      </c>
      <c r="M24" s="181">
        <f t="shared" si="4"/>
        <v>44308</v>
      </c>
      <c r="N24" s="181">
        <f t="shared" si="5"/>
        <v>4531</v>
      </c>
      <c r="O24" s="181">
        <f t="shared" si="6"/>
        <v>26928</v>
      </c>
    </row>
    <row r="25" spans="1:15">
      <c r="A25" s="49">
        <v>1999</v>
      </c>
      <c r="B25" s="298">
        <v>43067</v>
      </c>
      <c r="C25" s="298">
        <v>4936</v>
      </c>
      <c r="D25" s="298">
        <v>435</v>
      </c>
      <c r="E25" s="298">
        <v>13796</v>
      </c>
      <c r="F25" s="298">
        <v>5848</v>
      </c>
      <c r="G25" s="182">
        <f t="shared" si="0"/>
        <v>0.11461211600529407</v>
      </c>
      <c r="H25" s="182">
        <f t="shared" si="1"/>
        <v>0.3203380778786542</v>
      </c>
      <c r="I25" s="182">
        <f t="shared" si="2"/>
        <v>0.42389098289359234</v>
      </c>
      <c r="J25" s="182">
        <f t="shared" si="3"/>
        <v>8.812803889789303E-2</v>
      </c>
      <c r="L25" s="49">
        <v>1999</v>
      </c>
      <c r="M25" s="181">
        <f t="shared" si="4"/>
        <v>43067</v>
      </c>
      <c r="N25" s="181">
        <f t="shared" si="5"/>
        <v>4936</v>
      </c>
      <c r="O25" s="181">
        <f t="shared" si="6"/>
        <v>13796</v>
      </c>
    </row>
    <row r="26" spans="1:15">
      <c r="A26" s="49">
        <v>2000</v>
      </c>
      <c r="B26" s="298">
        <v>186715</v>
      </c>
      <c r="C26" s="298">
        <v>22332</v>
      </c>
      <c r="D26" s="298">
        <v>1448</v>
      </c>
      <c r="E26" s="298">
        <v>64702</v>
      </c>
      <c r="F26" s="298">
        <v>14033</v>
      </c>
      <c r="G26" s="182">
        <f t="shared" si="0"/>
        <v>0.11960474519990359</v>
      </c>
      <c r="H26" s="182">
        <f t="shared" si="1"/>
        <v>0.34652813110890929</v>
      </c>
      <c r="I26" s="182">
        <f t="shared" si="2"/>
        <v>0.21688664956261011</v>
      </c>
      <c r="J26" s="182">
        <f t="shared" si="3"/>
        <v>6.4839691921905779E-2</v>
      </c>
      <c r="L26" s="48">
        <v>2000</v>
      </c>
      <c r="M26" s="181">
        <f t="shared" si="4"/>
        <v>186715</v>
      </c>
      <c r="N26" s="181">
        <f t="shared" si="5"/>
        <v>22332</v>
      </c>
      <c r="O26" s="181">
        <f t="shared" si="6"/>
        <v>64702</v>
      </c>
    </row>
    <row r="27" spans="1:15">
      <c r="A27" s="49">
        <v>2001</v>
      </c>
      <c r="B27" s="298">
        <v>439885</v>
      </c>
      <c r="C27" s="298">
        <v>52029</v>
      </c>
      <c r="D27" s="298">
        <v>6245</v>
      </c>
      <c r="E27" s="298">
        <v>262212</v>
      </c>
      <c r="F27" s="298">
        <v>63626</v>
      </c>
      <c r="G27" s="182">
        <f t="shared" si="0"/>
        <v>0.11827864100844539</v>
      </c>
      <c r="H27" s="182">
        <f t="shared" si="1"/>
        <v>0.59609216045102698</v>
      </c>
      <c r="I27" s="182">
        <f t="shared" si="2"/>
        <v>0.24265098469940355</v>
      </c>
      <c r="J27" s="182">
        <f t="shared" si="3"/>
        <v>0.12002921447654193</v>
      </c>
      <c r="L27" s="49">
        <v>2001</v>
      </c>
      <c r="M27" s="181">
        <f t="shared" si="4"/>
        <v>439885</v>
      </c>
      <c r="N27" s="181">
        <f t="shared" si="5"/>
        <v>52029</v>
      </c>
      <c r="O27" s="181">
        <f t="shared" si="6"/>
        <v>262212</v>
      </c>
    </row>
    <row r="28" spans="1:15">
      <c r="A28" s="49">
        <v>2002</v>
      </c>
      <c r="B28" s="298">
        <v>335306</v>
      </c>
      <c r="C28" s="298">
        <v>37420</v>
      </c>
      <c r="D28" s="298">
        <v>2949</v>
      </c>
      <c r="E28" s="298">
        <v>174142</v>
      </c>
      <c r="F28" s="298">
        <v>53221</v>
      </c>
      <c r="G28" s="182">
        <f t="shared" si="0"/>
        <v>0.11159955384037268</v>
      </c>
      <c r="H28" s="182">
        <f t="shared" si="1"/>
        <v>0.51935247207028801</v>
      </c>
      <c r="I28" s="182">
        <f t="shared" si="2"/>
        <v>0.30561840337196083</v>
      </c>
      <c r="J28" s="182">
        <f t="shared" si="3"/>
        <v>7.8808123997862106E-2</v>
      </c>
      <c r="L28" s="49">
        <v>2002</v>
      </c>
      <c r="M28" s="181">
        <f t="shared" si="4"/>
        <v>335306</v>
      </c>
      <c r="N28" s="181">
        <f t="shared" si="5"/>
        <v>37420</v>
      </c>
      <c r="O28" s="181">
        <f t="shared" si="6"/>
        <v>174142</v>
      </c>
    </row>
    <row r="29" spans="1:15">
      <c r="A29" s="49">
        <v>2003</v>
      </c>
      <c r="B29" s="298">
        <v>242605</v>
      </c>
      <c r="C29" s="298">
        <v>23641</v>
      </c>
      <c r="D29" s="298">
        <v>2306</v>
      </c>
      <c r="E29" s="298">
        <v>138708</v>
      </c>
      <c r="F29" s="298">
        <v>51014</v>
      </c>
      <c r="G29" s="182">
        <f t="shared" si="0"/>
        <v>9.7446466478432026E-2</v>
      </c>
      <c r="H29" s="182">
        <f t="shared" si="1"/>
        <v>0.57174419323591852</v>
      </c>
      <c r="I29" s="182">
        <f t="shared" si="2"/>
        <v>0.36777979640684028</v>
      </c>
      <c r="J29" s="182">
        <f t="shared" si="3"/>
        <v>9.7542405143606445E-2</v>
      </c>
      <c r="L29" s="48">
        <v>2003</v>
      </c>
      <c r="M29" s="181">
        <f t="shared" si="4"/>
        <v>242605</v>
      </c>
      <c r="N29" s="181">
        <f t="shared" si="5"/>
        <v>23641</v>
      </c>
      <c r="O29" s="181">
        <f t="shared" si="6"/>
        <v>138708</v>
      </c>
    </row>
    <row r="30" spans="1:15">
      <c r="A30" s="49">
        <v>2004</v>
      </c>
      <c r="B30" s="298">
        <v>221675</v>
      </c>
      <c r="C30" s="298">
        <v>15329</v>
      </c>
      <c r="D30" s="298">
        <v>2427</v>
      </c>
      <c r="E30" s="298">
        <v>126334</v>
      </c>
      <c r="F30" s="298">
        <v>33220</v>
      </c>
      <c r="G30" s="182">
        <f t="shared" si="0"/>
        <v>6.9150783805120103E-2</v>
      </c>
      <c r="H30" s="182">
        <f t="shared" si="1"/>
        <v>0.56990639449644753</v>
      </c>
      <c r="I30" s="182">
        <f t="shared" si="2"/>
        <v>0.26295375749996042</v>
      </c>
      <c r="J30" s="182">
        <f t="shared" si="3"/>
        <v>0.15832735338247766</v>
      </c>
      <c r="L30" s="48">
        <v>2004</v>
      </c>
      <c r="M30" s="181">
        <f t="shared" si="4"/>
        <v>221675</v>
      </c>
      <c r="N30" s="181">
        <f t="shared" si="5"/>
        <v>15329</v>
      </c>
      <c r="O30" s="181">
        <f t="shared" si="6"/>
        <v>126334</v>
      </c>
    </row>
    <row r="31" spans="1:15">
      <c r="A31" s="49">
        <v>2005</v>
      </c>
      <c r="B31" s="298">
        <v>106910</v>
      </c>
      <c r="C31" s="298">
        <v>16629</v>
      </c>
      <c r="D31" s="298">
        <v>1909</v>
      </c>
      <c r="E31" s="298">
        <v>51483</v>
      </c>
      <c r="F31" s="298">
        <v>15697</v>
      </c>
      <c r="G31" s="182">
        <f t="shared" si="0"/>
        <v>0.15554204471050417</v>
      </c>
      <c r="H31" s="182">
        <f t="shared" si="1"/>
        <v>0.48155457861752876</v>
      </c>
      <c r="I31" s="182">
        <f t="shared" si="2"/>
        <v>0.30489676203795429</v>
      </c>
      <c r="J31" s="182">
        <f t="shared" si="3"/>
        <v>0.11479944674965421</v>
      </c>
      <c r="L31" s="48">
        <v>2005</v>
      </c>
      <c r="M31" s="181">
        <f t="shared" si="4"/>
        <v>106910</v>
      </c>
      <c r="N31" s="181">
        <f t="shared" si="5"/>
        <v>16629</v>
      </c>
      <c r="O31" s="181">
        <f t="shared" si="6"/>
        <v>51483</v>
      </c>
    </row>
    <row r="32" spans="1:15">
      <c r="A32" s="49">
        <v>2006</v>
      </c>
      <c r="B32" s="298">
        <v>132583</v>
      </c>
      <c r="C32" s="298">
        <v>15076</v>
      </c>
      <c r="D32" s="298">
        <v>1596</v>
      </c>
      <c r="E32" s="298">
        <v>53109</v>
      </c>
      <c r="F32" s="298">
        <v>16789</v>
      </c>
      <c r="G32" s="182">
        <f t="shared" si="0"/>
        <v>0.11370990247618473</v>
      </c>
      <c r="H32" s="182">
        <f t="shared" si="1"/>
        <v>0.40057171733932706</v>
      </c>
      <c r="I32" s="182">
        <f t="shared" si="2"/>
        <v>0.31612344423732325</v>
      </c>
      <c r="J32" s="182">
        <f t="shared" si="3"/>
        <v>0.10586362430352879</v>
      </c>
      <c r="L32" s="48">
        <v>2006</v>
      </c>
      <c r="M32" s="181">
        <f t="shared" si="4"/>
        <v>132583</v>
      </c>
      <c r="N32" s="181">
        <f t="shared" si="5"/>
        <v>15076</v>
      </c>
      <c r="O32" s="181">
        <f t="shared" si="6"/>
        <v>53109</v>
      </c>
    </row>
    <row r="33" spans="1:15">
      <c r="A33" s="49">
        <v>2007</v>
      </c>
      <c r="B33" s="298">
        <v>86247</v>
      </c>
      <c r="C33" s="298">
        <v>6355</v>
      </c>
      <c r="D33" s="298">
        <v>549</v>
      </c>
      <c r="E33" s="298">
        <v>45478</v>
      </c>
      <c r="F33" s="298">
        <v>10492</v>
      </c>
      <c r="G33" s="182">
        <f t="shared" si="0"/>
        <v>7.3683722332370985E-2</v>
      </c>
      <c r="H33" s="182">
        <f t="shared" si="1"/>
        <v>0.5272995002724733</v>
      </c>
      <c r="I33" s="182">
        <f t="shared" si="2"/>
        <v>0.23070495624257883</v>
      </c>
      <c r="J33" s="182">
        <f t="shared" si="3"/>
        <v>8.6388670338316292E-2</v>
      </c>
      <c r="L33" s="49">
        <v>2007</v>
      </c>
      <c r="M33" s="181">
        <f t="shared" si="4"/>
        <v>86247</v>
      </c>
      <c r="N33" s="181">
        <f t="shared" si="5"/>
        <v>6355</v>
      </c>
      <c r="O33" s="181">
        <f t="shared" si="6"/>
        <v>45478</v>
      </c>
    </row>
    <row r="34" spans="1:15">
      <c r="A34" s="49">
        <v>2008</v>
      </c>
      <c r="B34" s="298">
        <v>178627</v>
      </c>
      <c r="C34" s="298">
        <v>15415</v>
      </c>
      <c r="D34" s="298">
        <v>1234</v>
      </c>
      <c r="E34" s="298">
        <v>101003</v>
      </c>
      <c r="F34" s="298">
        <v>24072</v>
      </c>
      <c r="G34" s="182">
        <f t="shared" si="0"/>
        <v>8.6297144328684919E-2</v>
      </c>
      <c r="H34" s="182">
        <f t="shared" si="1"/>
        <v>0.56544083481220642</v>
      </c>
      <c r="I34" s="182">
        <f t="shared" si="2"/>
        <v>0.23832955456768612</v>
      </c>
      <c r="J34" s="182">
        <f t="shared" si="3"/>
        <v>8.005189750243269E-2</v>
      </c>
      <c r="L34" s="48">
        <v>2008</v>
      </c>
      <c r="M34" s="181">
        <f t="shared" si="4"/>
        <v>178627</v>
      </c>
      <c r="N34" s="181">
        <f t="shared" si="5"/>
        <v>15415</v>
      </c>
      <c r="O34" s="181">
        <f t="shared" si="6"/>
        <v>101003</v>
      </c>
    </row>
    <row r="35" spans="1:15">
      <c r="A35" s="49">
        <v>2009</v>
      </c>
      <c r="B35" s="298">
        <v>169296</v>
      </c>
      <c r="C35" s="298">
        <v>12612</v>
      </c>
      <c r="D35" s="298">
        <v>1382</v>
      </c>
      <c r="E35" s="298">
        <v>90117</v>
      </c>
      <c r="F35" s="298">
        <v>20516</v>
      </c>
      <c r="G35" s="182">
        <f t="shared" si="0"/>
        <v>7.4496739438616386E-2</v>
      </c>
      <c r="H35" s="182">
        <f t="shared" si="1"/>
        <v>0.5323043663169833</v>
      </c>
      <c r="I35" s="182">
        <f t="shared" si="2"/>
        <v>0.22765959807805408</v>
      </c>
      <c r="J35" s="182">
        <f t="shared" si="3"/>
        <v>0.10957817951157628</v>
      </c>
      <c r="L35" s="48">
        <v>2009</v>
      </c>
      <c r="M35" s="181">
        <f t="shared" si="4"/>
        <v>169296</v>
      </c>
      <c r="N35" s="181">
        <f t="shared" si="5"/>
        <v>12612</v>
      </c>
      <c r="O35" s="181">
        <f t="shared" si="6"/>
        <v>90117</v>
      </c>
    </row>
    <row r="36" spans="1:15">
      <c r="A36" s="49">
        <v>2010</v>
      </c>
      <c r="B36" s="298">
        <v>315346</v>
      </c>
      <c r="C36" s="298">
        <v>37277</v>
      </c>
      <c r="D36" s="298">
        <v>2926</v>
      </c>
      <c r="E36" s="298">
        <v>166291</v>
      </c>
      <c r="F36" s="298">
        <v>34968</v>
      </c>
      <c r="G36" s="182">
        <f t="shared" si="0"/>
        <v>0.11820983935106201</v>
      </c>
      <c r="H36" s="182">
        <f t="shared" si="1"/>
        <v>0.52732871195448805</v>
      </c>
      <c r="I36" s="182">
        <f t="shared" si="2"/>
        <v>0.2102819755729414</v>
      </c>
      <c r="J36" s="182">
        <f t="shared" si="3"/>
        <v>7.8493440995788283E-2</v>
      </c>
      <c r="L36" s="49">
        <v>2010</v>
      </c>
      <c r="M36" s="181">
        <f t="shared" si="4"/>
        <v>315346</v>
      </c>
      <c r="N36" s="181">
        <f t="shared" si="5"/>
        <v>37277</v>
      </c>
      <c r="O36" s="181">
        <f t="shared" si="6"/>
        <v>166291</v>
      </c>
    </row>
    <row r="37" spans="1:15">
      <c r="A37" s="49">
        <v>2011</v>
      </c>
      <c r="B37" s="298">
        <v>221158</v>
      </c>
      <c r="C37" s="298">
        <v>16069</v>
      </c>
      <c r="D37" s="298">
        <v>2236</v>
      </c>
      <c r="E37" s="298">
        <v>124001</v>
      </c>
      <c r="F37" s="298">
        <v>30780</v>
      </c>
      <c r="G37" s="182">
        <f t="shared" si="0"/>
        <v>7.2658461371508151E-2</v>
      </c>
      <c r="H37" s="182">
        <f t="shared" si="1"/>
        <v>0.56068964269888499</v>
      </c>
      <c r="I37" s="182">
        <f t="shared" si="2"/>
        <v>0.24822380464673671</v>
      </c>
      <c r="J37" s="182">
        <f t="shared" si="3"/>
        <v>0.13914991598730475</v>
      </c>
      <c r="L37" s="48">
        <v>2011</v>
      </c>
      <c r="M37" s="181">
        <f t="shared" si="4"/>
        <v>221158</v>
      </c>
      <c r="N37" s="181">
        <f t="shared" si="5"/>
        <v>16069</v>
      </c>
      <c r="O37" s="181">
        <f t="shared" si="6"/>
        <v>124001</v>
      </c>
    </row>
    <row r="38" spans="1:15">
      <c r="A38" s="49">
        <v>2012</v>
      </c>
      <c r="B38" s="298">
        <v>203090</v>
      </c>
      <c r="C38" s="298">
        <v>26336</v>
      </c>
      <c r="D38" s="298">
        <v>3547</v>
      </c>
      <c r="E38" s="298">
        <v>114106</v>
      </c>
      <c r="F38" s="298">
        <v>35288</v>
      </c>
      <c r="G38" s="182">
        <f t="shared" si="0"/>
        <v>0.12967649810428875</v>
      </c>
      <c r="H38" s="182">
        <f t="shared" si="1"/>
        <v>0.5618494263626963</v>
      </c>
      <c r="I38" s="182">
        <f t="shared" si="2"/>
        <v>0.30925630554046235</v>
      </c>
      <c r="J38" s="182">
        <f t="shared" si="3"/>
        <v>0.13468256379100851</v>
      </c>
      <c r="L38" s="48">
        <v>2012</v>
      </c>
      <c r="M38" s="181">
        <f t="shared" si="4"/>
        <v>203090</v>
      </c>
      <c r="N38" s="181">
        <f t="shared" si="5"/>
        <v>26336</v>
      </c>
      <c r="O38" s="181">
        <f t="shared" si="6"/>
        <v>114106</v>
      </c>
    </row>
    <row r="39" spans="1:15">
      <c r="A39" s="49">
        <v>2013</v>
      </c>
      <c r="B39" s="298">
        <v>123136</v>
      </c>
      <c r="C39" s="298">
        <v>18416</v>
      </c>
      <c r="D39" s="298">
        <v>2133</v>
      </c>
      <c r="E39" s="298">
        <v>68901</v>
      </c>
      <c r="F39" s="298">
        <v>22469</v>
      </c>
      <c r="G39" s="182">
        <f t="shared" si="0"/>
        <v>0.14955821205821207</v>
      </c>
      <c r="H39" s="182">
        <f t="shared" si="1"/>
        <v>0.55955204002079006</v>
      </c>
      <c r="I39" s="182">
        <f t="shared" si="2"/>
        <v>0.32610557176238369</v>
      </c>
      <c r="J39" s="182">
        <f t="shared" si="3"/>
        <v>0.11582319721980887</v>
      </c>
      <c r="L39" s="48">
        <v>2013</v>
      </c>
      <c r="M39" s="181">
        <f t="shared" si="4"/>
        <v>123136</v>
      </c>
      <c r="N39" s="181">
        <f t="shared" si="5"/>
        <v>18416</v>
      </c>
      <c r="O39" s="181">
        <f t="shared" si="6"/>
        <v>68901</v>
      </c>
    </row>
    <row r="40" spans="1:15">
      <c r="A40" s="49">
        <v>2014</v>
      </c>
      <c r="B40" s="298">
        <v>242635</v>
      </c>
      <c r="C40" s="298">
        <v>33131</v>
      </c>
      <c r="D40" s="298">
        <v>3656</v>
      </c>
      <c r="E40" s="298">
        <v>137860</v>
      </c>
      <c r="F40" s="298">
        <v>46015</v>
      </c>
      <c r="G40" s="182">
        <f t="shared" si="0"/>
        <v>0.13654666474333876</v>
      </c>
      <c r="H40" s="182">
        <f t="shared" si="1"/>
        <v>0.56817853978197708</v>
      </c>
      <c r="I40" s="182">
        <f t="shared" si="2"/>
        <v>0.33378064703322213</v>
      </c>
      <c r="J40" s="182">
        <f t="shared" si="3"/>
        <v>0.11034982342820923</v>
      </c>
      <c r="L40" s="48">
        <v>2014</v>
      </c>
      <c r="M40" s="181">
        <f t="shared" si="4"/>
        <v>242635</v>
      </c>
      <c r="N40" s="181">
        <f t="shared" si="5"/>
        <v>33131</v>
      </c>
      <c r="O40" s="181">
        <f t="shared" si="6"/>
        <v>137860</v>
      </c>
    </row>
    <row r="41" spans="1:15">
      <c r="A41" s="49">
        <v>2015</v>
      </c>
      <c r="B41" s="298">
        <v>288993</v>
      </c>
      <c r="C41" s="298">
        <v>38243</v>
      </c>
      <c r="D41" s="298">
        <v>3923</v>
      </c>
      <c r="E41" s="298">
        <v>166076</v>
      </c>
      <c r="F41" s="298">
        <v>30621</v>
      </c>
      <c r="G41" s="182">
        <f t="shared" si="0"/>
        <v>0.13233192499472304</v>
      </c>
      <c r="H41" s="182">
        <f t="shared" si="1"/>
        <v>0.57467135882183995</v>
      </c>
      <c r="I41" s="182">
        <f t="shared" si="2"/>
        <v>0.18437944073797538</v>
      </c>
      <c r="J41" s="182">
        <f t="shared" si="3"/>
        <v>0.1025808644719295</v>
      </c>
      <c r="L41" s="48">
        <v>2015</v>
      </c>
      <c r="M41" s="181">
        <f t="shared" si="4"/>
        <v>288993</v>
      </c>
      <c r="N41" s="181">
        <f t="shared" si="5"/>
        <v>38243</v>
      </c>
      <c r="O41" s="181">
        <f t="shared" si="6"/>
        <v>166076</v>
      </c>
    </row>
    <row r="42" spans="1:15">
      <c r="A42" s="49">
        <v>2016</v>
      </c>
      <c r="B42" s="298">
        <v>187816</v>
      </c>
      <c r="C42" s="298">
        <v>25542</v>
      </c>
      <c r="D42" s="298">
        <v>3403</v>
      </c>
      <c r="E42" s="298">
        <v>111594</v>
      </c>
      <c r="F42" s="298">
        <v>23861</v>
      </c>
      <c r="G42" s="182">
        <f t="shared" si="0"/>
        <v>0.13599480342462836</v>
      </c>
      <c r="H42" s="182">
        <f t="shared" si="1"/>
        <v>0.59416663117093327</v>
      </c>
      <c r="I42" s="182">
        <f t="shared" si="2"/>
        <v>0.21381973941251323</v>
      </c>
      <c r="J42" s="182">
        <f t="shared" si="3"/>
        <v>0.1332315402082844</v>
      </c>
      <c r="L42" s="48">
        <v>2016</v>
      </c>
      <c r="M42" s="181">
        <f t="shared" si="4"/>
        <v>187816</v>
      </c>
      <c r="N42" s="181">
        <f t="shared" si="5"/>
        <v>25542</v>
      </c>
      <c r="O42" s="181">
        <f t="shared" si="6"/>
        <v>111594</v>
      </c>
    </row>
    <row r="43" spans="1:15">
      <c r="A43" s="49">
        <v>2017</v>
      </c>
      <c r="B43" s="298">
        <v>115821</v>
      </c>
      <c r="C43" s="298">
        <v>12907</v>
      </c>
      <c r="D43" s="298">
        <v>1654</v>
      </c>
      <c r="E43" s="298">
        <v>60048</v>
      </c>
      <c r="F43" s="298">
        <v>7242</v>
      </c>
      <c r="G43" s="182">
        <f t="shared" si="0"/>
        <v>0.11143920359865654</v>
      </c>
      <c r="H43" s="182">
        <f t="shared" si="1"/>
        <v>0.51845520242443077</v>
      </c>
      <c r="I43" s="182">
        <f t="shared" si="2"/>
        <v>0.12060351718625099</v>
      </c>
      <c r="J43" s="182">
        <f t="shared" si="3"/>
        <v>0.12814751685132098</v>
      </c>
      <c r="L43" s="48">
        <v>2017</v>
      </c>
      <c r="M43" s="181">
        <f t="shared" si="4"/>
        <v>115821</v>
      </c>
      <c r="N43" s="181">
        <f t="shared" si="5"/>
        <v>12907</v>
      </c>
      <c r="O43" s="181">
        <f t="shared" si="6"/>
        <v>60048</v>
      </c>
    </row>
    <row r="44" spans="1:15">
      <c r="A44" s="49">
        <v>2018</v>
      </c>
      <c r="B44" s="298">
        <v>115081</v>
      </c>
      <c r="C44" s="298">
        <v>13016</v>
      </c>
      <c r="D44" s="298">
        <v>1407</v>
      </c>
      <c r="E44" s="298">
        <v>68494</v>
      </c>
      <c r="F44" s="298">
        <v>11521</v>
      </c>
      <c r="G44" s="182">
        <f t="shared" si="0"/>
        <v>0.1131029448823003</v>
      </c>
      <c r="H44" s="182">
        <f t="shared" si="1"/>
        <v>0.59518078570745825</v>
      </c>
      <c r="I44" s="182">
        <f t="shared" si="2"/>
        <v>0.16820451426402314</v>
      </c>
      <c r="J44" s="182">
        <f t="shared" si="3"/>
        <v>0.10809772587584511</v>
      </c>
      <c r="L44" s="48">
        <v>2018</v>
      </c>
      <c r="M44" s="181">
        <f t="shared" si="4"/>
        <v>115081</v>
      </c>
      <c r="N44" s="181">
        <f t="shared" si="5"/>
        <v>13016</v>
      </c>
      <c r="O44" s="181">
        <f t="shared" si="6"/>
        <v>68494</v>
      </c>
    </row>
    <row r="45" spans="1:15">
      <c r="A45" s="49">
        <v>2019</v>
      </c>
      <c r="B45" s="298">
        <v>73105</v>
      </c>
      <c r="C45" s="298">
        <v>14690</v>
      </c>
      <c r="D45" s="298">
        <v>1176</v>
      </c>
      <c r="E45" s="298">
        <v>43189</v>
      </c>
      <c r="F45" s="298">
        <v>7499</v>
      </c>
      <c r="G45" s="182">
        <f t="shared" si="0"/>
        <v>0.2009438478900212</v>
      </c>
      <c r="H45" s="182">
        <f t="shared" si="1"/>
        <v>0.59078038437863345</v>
      </c>
      <c r="I45" s="182">
        <f t="shared" si="2"/>
        <v>0.17363217485933918</v>
      </c>
      <c r="J45" s="182">
        <f t="shared" si="3"/>
        <v>8.0054458815520757E-2</v>
      </c>
      <c r="L45" s="48">
        <v>2019</v>
      </c>
      <c r="M45" s="181">
        <f t="shared" si="4"/>
        <v>73105</v>
      </c>
      <c r="N45" s="181">
        <f t="shared" si="5"/>
        <v>14690</v>
      </c>
      <c r="O45" s="181">
        <f t="shared" si="6"/>
        <v>43189</v>
      </c>
    </row>
    <row r="46" spans="1:15">
      <c r="A46" s="49">
        <v>2020</v>
      </c>
      <c r="B46" s="298">
        <v>81301</v>
      </c>
      <c r="C46" s="298">
        <v>12804</v>
      </c>
      <c r="D46" s="298">
        <v>1891</v>
      </c>
      <c r="E46" s="298">
        <v>51543</v>
      </c>
      <c r="F46" s="298">
        <v>14558</v>
      </c>
      <c r="G46" s="182">
        <f t="shared" si="0"/>
        <v>0.15748883777567313</v>
      </c>
      <c r="H46" s="182">
        <f t="shared" si="1"/>
        <v>0.63397744185188376</v>
      </c>
      <c r="I46" s="182">
        <f t="shared" si="2"/>
        <v>0.28244378480103993</v>
      </c>
      <c r="J46" s="182">
        <f t="shared" si="3"/>
        <v>0.14768822243049048</v>
      </c>
      <c r="L46" s="48">
        <v>2020</v>
      </c>
      <c r="M46" s="181">
        <f t="shared" si="4"/>
        <v>81301</v>
      </c>
      <c r="N46" s="181">
        <f t="shared" si="5"/>
        <v>12804</v>
      </c>
      <c r="O46" s="181">
        <f t="shared" si="6"/>
        <v>51543</v>
      </c>
    </row>
    <row r="47" spans="1:15">
      <c r="A47" s="49">
        <v>2021</v>
      </c>
      <c r="B47" s="298">
        <v>91756</v>
      </c>
      <c r="C47" s="298">
        <v>16923</v>
      </c>
      <c r="D47" s="298">
        <v>3095</v>
      </c>
      <c r="E47" s="298">
        <v>50944</v>
      </c>
      <c r="F47" s="298">
        <v>9256</v>
      </c>
      <c r="G47" s="182">
        <f t="shared" si="0"/>
        <v>0.1844348053533284</v>
      </c>
      <c r="H47" s="182">
        <f t="shared" si="1"/>
        <v>0.55521164828458081</v>
      </c>
      <c r="I47" s="182">
        <f t="shared" si="2"/>
        <v>0.1816896984924623</v>
      </c>
      <c r="J47" s="182">
        <f t="shared" si="3"/>
        <v>0.1828871949417952</v>
      </c>
      <c r="L47" s="48">
        <v>2021</v>
      </c>
      <c r="M47" s="181">
        <f t="shared" si="4"/>
        <v>91756</v>
      </c>
      <c r="N47" s="181">
        <f t="shared" si="5"/>
        <v>16923</v>
      </c>
      <c r="O47" s="181">
        <f t="shared" si="6"/>
        <v>50944</v>
      </c>
    </row>
    <row r="48" spans="1:15">
      <c r="A48" s="49">
        <v>2022</v>
      </c>
      <c r="B48" s="298">
        <v>185379</v>
      </c>
      <c r="C48" s="298">
        <v>29298</v>
      </c>
      <c r="D48" s="298">
        <v>5209</v>
      </c>
      <c r="E48" s="298">
        <v>102130</v>
      </c>
      <c r="F48" s="298">
        <v>22127</v>
      </c>
      <c r="G48" s="182">
        <f t="shared" si="0"/>
        <v>0.15804379136795429</v>
      </c>
      <c r="H48" s="182">
        <f t="shared" si="1"/>
        <v>0.5509254014748165</v>
      </c>
      <c r="I48" s="182">
        <f t="shared" si="2"/>
        <v>0.21665524331734065</v>
      </c>
      <c r="J48" s="182">
        <f t="shared" si="3"/>
        <v>0.17779370605502082</v>
      </c>
      <c r="L48" s="48">
        <v>2022</v>
      </c>
      <c r="M48" s="181">
        <f t="shared" si="4"/>
        <v>185379</v>
      </c>
      <c r="N48" s="181">
        <f t="shared" si="5"/>
        <v>29298</v>
      </c>
      <c r="O48" s="181">
        <f t="shared" si="6"/>
        <v>102130</v>
      </c>
    </row>
    <row r="49" spans="1:16">
      <c r="A49" s="49">
        <v>2023</v>
      </c>
      <c r="B49" s="298">
        <v>141179</v>
      </c>
      <c r="C49" s="298">
        <v>24462</v>
      </c>
      <c r="D49" s="298">
        <v>2785</v>
      </c>
      <c r="E49" s="298">
        <v>80928</v>
      </c>
      <c r="F49" s="298">
        <v>10629</v>
      </c>
      <c r="G49" s="182">
        <f t="shared" si="0"/>
        <v>0.17326939558999568</v>
      </c>
      <c r="H49" s="182">
        <f t="shared" si="1"/>
        <v>0.57322972963401075</v>
      </c>
      <c r="I49" s="182">
        <f t="shared" si="2"/>
        <v>0.13133896797153025</v>
      </c>
      <c r="J49" s="182">
        <f t="shared" si="3"/>
        <v>0.11385005314365138</v>
      </c>
      <c r="L49" s="48">
        <v>2023</v>
      </c>
      <c r="M49" s="181">
        <f>VLOOKUP(L49,$A$5:$I$49,2,FALSE)</f>
        <v>141179</v>
      </c>
      <c r="N49" s="181">
        <f>VLOOKUP(L49,$A$5:$I$451,3,FALSE)</f>
        <v>24462</v>
      </c>
      <c r="O49" s="181">
        <f>VLOOKUP(L49,$A$5:$I$49,5,FALSE)</f>
        <v>80928</v>
      </c>
    </row>
    <row r="50" spans="1:16">
      <c r="A50" s="49">
        <v>2024</v>
      </c>
      <c r="B50" s="298">
        <v>116332</v>
      </c>
      <c r="C50" s="298">
        <v>17663</v>
      </c>
      <c r="D50" s="298">
        <v>1990</v>
      </c>
      <c r="E50" s="298">
        <v>68564</v>
      </c>
      <c r="F50" s="298">
        <v>10190</v>
      </c>
      <c r="G50" s="182">
        <f t="shared" ref="G50" si="7">C50/B50</f>
        <v>0.1518326857614414</v>
      </c>
      <c r="H50" s="182">
        <f t="shared" ref="H50" si="8">E50/B50</f>
        <v>0.58938211326204315</v>
      </c>
      <c r="I50" s="182">
        <f t="shared" ref="I50" si="9">F50/E50</f>
        <v>0.14862026719561286</v>
      </c>
      <c r="J50" s="182">
        <f t="shared" ref="J50" si="10">D50/C50</f>
        <v>0.11266489271358207</v>
      </c>
      <c r="L50" s="48">
        <v>2024</v>
      </c>
      <c r="M50" s="181">
        <f>VLOOKUP(L50,$A$5:$I$50,2,FALSE)</f>
        <v>116332</v>
      </c>
      <c r="N50" s="181">
        <f>VLOOKUP(L50,$A$5:$I$451,3,FALSE)</f>
        <v>17663</v>
      </c>
      <c r="O50" s="181">
        <f>VLOOKUP(L50,$A$5:$I$50,5,FALSE)</f>
        <v>68564</v>
      </c>
    </row>
    <row r="51" spans="1:16">
      <c r="A51" s="49">
        <v>2025</v>
      </c>
      <c r="B51" s="298">
        <v>154703</v>
      </c>
      <c r="C51" s="298">
        <v>22193</v>
      </c>
      <c r="D51" s="298">
        <v>4002</v>
      </c>
      <c r="E51" s="298">
        <v>82973</v>
      </c>
      <c r="F51" s="298">
        <v>12864</v>
      </c>
      <c r="G51" s="182">
        <f t="shared" ref="G51" si="11">C51/B51</f>
        <v>0.14345552445653931</v>
      </c>
      <c r="H51" s="182">
        <f t="shared" ref="H51" si="12">E51/B51</f>
        <v>0.53633736902322515</v>
      </c>
      <c r="I51" s="182">
        <f t="shared" ref="I51" si="13">F51/E51</f>
        <v>0.15503838598098177</v>
      </c>
      <c r="J51" s="182">
        <f>D51/C51</f>
        <v>0.18032713017618168</v>
      </c>
      <c r="L51" s="48">
        <v>2025</v>
      </c>
      <c r="M51" s="181">
        <f>VLOOKUP(L51,$A$5:$I$51,2,FALSE)</f>
        <v>154703</v>
      </c>
      <c r="N51" s="181">
        <f>VLOOKUP(L51,$A$5:$I$51,3,FALSE)</f>
        <v>22193</v>
      </c>
      <c r="O51" s="181">
        <f>VLOOKUP(L51,$A$5:$I$51,5,FALSE)</f>
        <v>82973</v>
      </c>
    </row>
    <row r="52" spans="1:16">
      <c r="B52" s="183"/>
      <c r="C52" s="181"/>
      <c r="D52" s="181"/>
      <c r="E52" s="181"/>
      <c r="F52" s="181"/>
      <c r="G52" s="182"/>
      <c r="H52" s="182"/>
      <c r="I52" s="182"/>
      <c r="J52" s="182"/>
    </row>
    <row r="53" spans="1:16">
      <c r="A53" s="184" t="s">
        <v>57</v>
      </c>
      <c r="B53" s="185">
        <f t="shared" ref="B53:J53" si="14">AVERAGE(B6:B15)</f>
        <v>84511.1</v>
      </c>
      <c r="C53" s="185">
        <f t="shared" si="14"/>
        <v>20376.2</v>
      </c>
      <c r="D53" s="185">
        <f t="shared" si="14"/>
        <v>7631</v>
      </c>
      <c r="E53" s="185">
        <f t="shared" si="14"/>
        <v>39936.6</v>
      </c>
      <c r="F53" s="185">
        <f t="shared" si="14"/>
        <v>19166.7</v>
      </c>
      <c r="G53" s="186">
        <f t="shared" si="14"/>
        <v>0.24679857399982458</v>
      </c>
      <c r="H53" s="186">
        <f t="shared" si="14"/>
        <v>0.46879466084712523</v>
      </c>
      <c r="I53" s="186">
        <f t="shared" si="14"/>
        <v>0.52978576992179272</v>
      </c>
      <c r="J53" s="186">
        <f t="shared" si="14"/>
        <v>0.38510496225284629</v>
      </c>
      <c r="L53" s="187">
        <v>2026</v>
      </c>
      <c r="M53" s="188">
        <f>T1Manip!$H$70</f>
        <v>147300</v>
      </c>
      <c r="N53" s="392">
        <v>16300</v>
      </c>
      <c r="O53" s="392">
        <v>61600</v>
      </c>
      <c r="P53" s="49" t="s">
        <v>243</v>
      </c>
    </row>
    <row r="54" spans="1:16">
      <c r="A54" s="49" t="s">
        <v>58</v>
      </c>
      <c r="B54" s="181">
        <f t="shared" ref="B54:J54" si="15">MIN(B6:B15)</f>
        <v>52357</v>
      </c>
      <c r="C54" s="181">
        <f t="shared" si="15"/>
        <v>14157</v>
      </c>
      <c r="D54" s="181">
        <f t="shared" si="15"/>
        <v>5734</v>
      </c>
      <c r="E54" s="181">
        <f t="shared" si="15"/>
        <v>20995</v>
      </c>
      <c r="F54" s="181">
        <f t="shared" si="15"/>
        <v>14136</v>
      </c>
      <c r="G54" s="182">
        <f t="shared" si="15"/>
        <v>0.19903210286501324</v>
      </c>
      <c r="H54" s="182">
        <f t="shared" si="15"/>
        <v>0.39540824827004034</v>
      </c>
      <c r="I54" s="182">
        <f t="shared" si="15"/>
        <v>0.30354488279016578</v>
      </c>
      <c r="J54" s="182">
        <f t="shared" si="15"/>
        <v>0.2843150545651732</v>
      </c>
      <c r="M54" s="49">
        <f>RANK(M53,M6:M53)</f>
        <v>16</v>
      </c>
      <c r="P54" s="49" t="s">
        <v>244</v>
      </c>
    </row>
    <row r="55" spans="1:16">
      <c r="A55" s="49" t="s">
        <v>59</v>
      </c>
      <c r="B55" s="181">
        <f t="shared" ref="B55:J55" si="16">MAX(B6:B15)</f>
        <v>128413</v>
      </c>
      <c r="C55" s="181">
        <f t="shared" si="16"/>
        <v>29506</v>
      </c>
      <c r="D55" s="181">
        <f t="shared" si="16"/>
        <v>10467</v>
      </c>
      <c r="E55" s="181">
        <f t="shared" si="16"/>
        <v>64732</v>
      </c>
      <c r="F55" s="181">
        <f t="shared" si="16"/>
        <v>27633</v>
      </c>
      <c r="G55" s="182">
        <f t="shared" si="16"/>
        <v>0.32117959394159329</v>
      </c>
      <c r="H55" s="182">
        <f t="shared" si="16"/>
        <v>0.52187653002180978</v>
      </c>
      <c r="I55" s="182">
        <f t="shared" si="16"/>
        <v>0.76736530231537359</v>
      </c>
      <c r="J55" s="182">
        <f t="shared" si="16"/>
        <v>0.45567419915569901</v>
      </c>
      <c r="M55" s="49">
        <f>RANK(M53,M26:M53)</f>
        <v>16</v>
      </c>
      <c r="P55" s="49" t="s">
        <v>245</v>
      </c>
    </row>
    <row r="56" spans="1:16">
      <c r="A56" s="184" t="s">
        <v>60</v>
      </c>
      <c r="B56" s="185">
        <f t="shared" ref="B56:J56" si="17">AVERAGE(B16:B25)</f>
        <v>68998.2</v>
      </c>
      <c r="C56" s="185">
        <f t="shared" si="17"/>
        <v>9533</v>
      </c>
      <c r="D56" s="185">
        <f t="shared" si="17"/>
        <v>1900</v>
      </c>
      <c r="E56" s="185">
        <f t="shared" si="17"/>
        <v>30015.599999999999</v>
      </c>
      <c r="F56" s="185">
        <f t="shared" si="17"/>
        <v>11369.1</v>
      </c>
      <c r="G56" s="186">
        <f t="shared" si="17"/>
        <v>0.13140433465211471</v>
      </c>
      <c r="H56" s="186">
        <f t="shared" si="17"/>
        <v>0.41622128118977314</v>
      </c>
      <c r="I56" s="186">
        <f t="shared" si="17"/>
        <v>0.46290651787410086</v>
      </c>
      <c r="J56" s="186">
        <f t="shared" si="17"/>
        <v>0.19254552981302847</v>
      </c>
    </row>
    <row r="57" spans="1:16">
      <c r="A57" s="49" t="s">
        <v>58</v>
      </c>
      <c r="B57" s="181">
        <f t="shared" ref="B57:J57" si="18">MIN(B16:B25)</f>
        <v>12792</v>
      </c>
      <c r="C57" s="181">
        <f t="shared" si="18"/>
        <v>1657</v>
      </c>
      <c r="D57" s="181">
        <f t="shared" si="18"/>
        <v>226</v>
      </c>
      <c r="E57" s="181">
        <f t="shared" si="18"/>
        <v>5292</v>
      </c>
      <c r="F57" s="181">
        <f t="shared" si="18"/>
        <v>3415</v>
      </c>
      <c r="G57" s="183">
        <f t="shared" si="18"/>
        <v>6.3455203326672788E-2</v>
      </c>
      <c r="H57" s="183">
        <f t="shared" si="18"/>
        <v>0.31106550737160449</v>
      </c>
      <c r="I57" s="183">
        <f t="shared" si="18"/>
        <v>0.10495792037425547</v>
      </c>
      <c r="J57" s="183">
        <f t="shared" si="18"/>
        <v>8.812803889789303E-2</v>
      </c>
    </row>
    <row r="58" spans="1:16">
      <c r="A58" s="49" t="s">
        <v>59</v>
      </c>
      <c r="B58" s="181">
        <f t="shared" ref="B58:J58" si="19">MAX(B16:B25)</f>
        <v>124321</v>
      </c>
      <c r="C58" s="181">
        <f t="shared" si="19"/>
        <v>26056</v>
      </c>
      <c r="D58" s="181">
        <f t="shared" si="19"/>
        <v>4342</v>
      </c>
      <c r="E58" s="181">
        <f t="shared" si="19"/>
        <v>82938</v>
      </c>
      <c r="F58" s="181">
        <f t="shared" si="19"/>
        <v>20647</v>
      </c>
      <c r="G58" s="183">
        <f t="shared" si="19"/>
        <v>0.21720030342688995</v>
      </c>
      <c r="H58" s="183">
        <f t="shared" si="19"/>
        <v>0.66712783841828815</v>
      </c>
      <c r="I58" s="183">
        <f t="shared" si="19"/>
        <v>0.64531368102796671</v>
      </c>
      <c r="J58" s="183">
        <f t="shared" si="19"/>
        <v>0.36027215399933621</v>
      </c>
    </row>
    <row r="59" spans="1:16">
      <c r="A59" s="184" t="s">
        <v>246</v>
      </c>
      <c r="B59" s="185">
        <f t="shared" ref="B59:J59" si="20">AVERAGE(B26:B35)</f>
        <v>209984.9</v>
      </c>
      <c r="C59" s="185">
        <f t="shared" si="20"/>
        <v>21683.8</v>
      </c>
      <c r="D59" s="185">
        <f t="shared" si="20"/>
        <v>2204.5</v>
      </c>
      <c r="E59" s="185">
        <f t="shared" si="20"/>
        <v>110728.8</v>
      </c>
      <c r="F59" s="185">
        <f t="shared" si="20"/>
        <v>30268</v>
      </c>
      <c r="G59" s="186">
        <f t="shared" si="20"/>
        <v>0.10198097436186351</v>
      </c>
      <c r="H59" s="186">
        <f t="shared" si="20"/>
        <v>0.51107943487211094</v>
      </c>
      <c r="I59" s="186">
        <f t="shared" si="20"/>
        <v>0.27136039067043721</v>
      </c>
      <c r="J59" s="186">
        <f t="shared" si="20"/>
        <v>0.10162286073279023</v>
      </c>
    </row>
    <row r="60" spans="1:16">
      <c r="A60" s="49" t="s">
        <v>58</v>
      </c>
      <c r="B60" s="181">
        <f t="shared" ref="B60:J60" si="21">MIN(B26:B35)</f>
        <v>86247</v>
      </c>
      <c r="C60" s="181">
        <f t="shared" si="21"/>
        <v>6355</v>
      </c>
      <c r="D60" s="181">
        <f t="shared" si="21"/>
        <v>549</v>
      </c>
      <c r="E60" s="181">
        <f t="shared" si="21"/>
        <v>45478</v>
      </c>
      <c r="F60" s="181">
        <f t="shared" si="21"/>
        <v>10492</v>
      </c>
      <c r="G60" s="183">
        <f t="shared" si="21"/>
        <v>6.9150783805120103E-2</v>
      </c>
      <c r="H60" s="183">
        <f t="shared" si="21"/>
        <v>0.34652813110890929</v>
      </c>
      <c r="I60" s="183">
        <f t="shared" si="21"/>
        <v>0.21688664956261011</v>
      </c>
      <c r="J60" s="183">
        <f t="shared" si="21"/>
        <v>6.4839691921905779E-2</v>
      </c>
    </row>
    <row r="61" spans="1:16">
      <c r="A61" s="49" t="s">
        <v>59</v>
      </c>
      <c r="B61" s="181">
        <f t="shared" ref="B61:J61" si="22">MAX(B26:B35)</f>
        <v>439885</v>
      </c>
      <c r="C61" s="181">
        <f t="shared" si="22"/>
        <v>52029</v>
      </c>
      <c r="D61" s="181">
        <f t="shared" si="22"/>
        <v>6245</v>
      </c>
      <c r="E61" s="181">
        <f t="shared" si="22"/>
        <v>262212</v>
      </c>
      <c r="F61" s="181">
        <f t="shared" si="22"/>
        <v>63626</v>
      </c>
      <c r="G61" s="183">
        <f t="shared" si="22"/>
        <v>0.15554204471050417</v>
      </c>
      <c r="H61" s="183">
        <f t="shared" si="22"/>
        <v>0.59609216045102698</v>
      </c>
      <c r="I61" s="183">
        <f t="shared" si="22"/>
        <v>0.36777979640684028</v>
      </c>
      <c r="J61" s="183">
        <f t="shared" si="22"/>
        <v>0.15832735338247766</v>
      </c>
    </row>
    <row r="62" spans="1:16">
      <c r="A62" s="184" t="s">
        <v>247</v>
      </c>
      <c r="B62" s="185">
        <f t="shared" ref="B62:J62" si="23">AVERAGE(B36:B45)</f>
        <v>188618.1</v>
      </c>
      <c r="C62" s="185">
        <f t="shared" si="23"/>
        <v>23562.7</v>
      </c>
      <c r="D62" s="185">
        <f t="shared" si="23"/>
        <v>2606.1</v>
      </c>
      <c r="E62" s="185">
        <f t="shared" si="23"/>
        <v>106056</v>
      </c>
      <c r="F62" s="185">
        <f t="shared" si="23"/>
        <v>25026.400000000001</v>
      </c>
      <c r="G62" s="186">
        <f t="shared" si="23"/>
        <v>0.1300462400418739</v>
      </c>
      <c r="H62" s="186">
        <f t="shared" si="23"/>
        <v>0.56508527233221328</v>
      </c>
      <c r="I62" s="186">
        <f t="shared" si="23"/>
        <v>0.22882876910158476</v>
      </c>
      <c r="J62" s="186">
        <f t="shared" si="23"/>
        <v>0.11306110476450204</v>
      </c>
    </row>
    <row r="63" spans="1:16">
      <c r="A63" s="49" t="s">
        <v>58</v>
      </c>
      <c r="B63" s="181">
        <f t="shared" ref="B63:J63" si="24">MIN(B36:B45)</f>
        <v>73105</v>
      </c>
      <c r="C63" s="181">
        <f t="shared" si="24"/>
        <v>12907</v>
      </c>
      <c r="D63" s="181">
        <f t="shared" si="24"/>
        <v>1176</v>
      </c>
      <c r="E63" s="181">
        <f t="shared" si="24"/>
        <v>43189</v>
      </c>
      <c r="F63" s="181">
        <f t="shared" si="24"/>
        <v>7242</v>
      </c>
      <c r="G63" s="183">
        <f t="shared" si="24"/>
        <v>7.2658461371508151E-2</v>
      </c>
      <c r="H63" s="183">
        <f t="shared" si="24"/>
        <v>0.51845520242443077</v>
      </c>
      <c r="I63" s="183">
        <f t="shared" si="24"/>
        <v>0.12060351718625099</v>
      </c>
      <c r="J63" s="183">
        <f t="shared" si="24"/>
        <v>7.8493440995788283E-2</v>
      </c>
    </row>
    <row r="64" spans="1:16">
      <c r="A64" s="49" t="s">
        <v>59</v>
      </c>
      <c r="B64" s="181">
        <f t="shared" ref="B64:J64" si="25">MAX(B36:B45)</f>
        <v>315346</v>
      </c>
      <c r="C64" s="181">
        <f t="shared" si="25"/>
        <v>38243</v>
      </c>
      <c r="D64" s="181">
        <f t="shared" si="25"/>
        <v>3923</v>
      </c>
      <c r="E64" s="181">
        <f t="shared" si="25"/>
        <v>166291</v>
      </c>
      <c r="F64" s="181">
        <f t="shared" si="25"/>
        <v>46015</v>
      </c>
      <c r="G64" s="183">
        <f t="shared" si="25"/>
        <v>0.2009438478900212</v>
      </c>
      <c r="H64" s="183">
        <f t="shared" si="25"/>
        <v>0.59518078570745825</v>
      </c>
      <c r="I64" s="183">
        <f t="shared" si="25"/>
        <v>0.33378064703322213</v>
      </c>
      <c r="J64" s="183">
        <f t="shared" si="25"/>
        <v>0.13914991598730475</v>
      </c>
    </row>
    <row r="65" spans="1:13">
      <c r="B65" s="181"/>
      <c r="C65" s="181"/>
      <c r="D65" s="181"/>
      <c r="E65" s="181"/>
      <c r="F65" s="181"/>
    </row>
    <row r="66" spans="1:13">
      <c r="A66" s="184" t="s">
        <v>248</v>
      </c>
      <c r="B66" s="185">
        <f>AVERAGE(B41:B50)</f>
        <v>139676.29999999999</v>
      </c>
      <c r="C66" s="185">
        <f>AVERAGE(C41:C50)</f>
        <v>20554.8</v>
      </c>
      <c r="D66" s="185">
        <f t="shared" ref="D66:J66" si="26">AVERAGE(D41:D50)</f>
        <v>2653.3</v>
      </c>
      <c r="E66" s="185">
        <f t="shared" si="26"/>
        <v>80351</v>
      </c>
      <c r="F66" s="185">
        <f t="shared" si="26"/>
        <v>14750.4</v>
      </c>
      <c r="G66" s="185">
        <f t="shared" si="26"/>
        <v>0.15188822406387223</v>
      </c>
      <c r="H66" s="185">
        <f t="shared" si="26"/>
        <v>0.57759806970106298</v>
      </c>
      <c r="I66" s="185">
        <f t="shared" si="26"/>
        <v>0.1821387348238088</v>
      </c>
      <c r="J66" s="185">
        <f t="shared" si="26"/>
        <v>0.12869961755074405</v>
      </c>
    </row>
    <row r="67" spans="1:13">
      <c r="A67" s="48" t="s">
        <v>249</v>
      </c>
      <c r="B67" s="189">
        <f>B51/B66</f>
        <v>1.1075823171146431</v>
      </c>
      <c r="C67" s="189">
        <f t="shared" ref="C67:F67" si="27">C51/C66</f>
        <v>1.0796991456983285</v>
      </c>
      <c r="D67" s="189">
        <f t="shared" si="27"/>
        <v>1.508310405909622</v>
      </c>
      <c r="E67" s="189">
        <f t="shared" si="27"/>
        <v>1.0326318278552848</v>
      </c>
      <c r="F67" s="189">
        <f t="shared" si="27"/>
        <v>0.8721119427269769</v>
      </c>
    </row>
    <row r="69" spans="1:13">
      <c r="C69" s="182"/>
      <c r="E69" s="182"/>
      <c r="M69" s="181"/>
    </row>
    <row r="70" spans="1:13">
      <c r="A70" s="187" t="s">
        <v>64</v>
      </c>
      <c r="B70" s="188">
        <f>M53</f>
        <v>147300</v>
      </c>
      <c r="C70" s="188">
        <f>N53</f>
        <v>16300</v>
      </c>
      <c r="D70" s="392">
        <v>2400</v>
      </c>
      <c r="E70" s="188">
        <f>O53</f>
        <v>61600</v>
      </c>
      <c r="F70" s="392">
        <v>12500</v>
      </c>
      <c r="G70" s="190">
        <f>C70/B70</f>
        <v>0.11065852002715547</v>
      </c>
      <c r="H70" s="190">
        <f>E70/B70</f>
        <v>0.41819416157501699</v>
      </c>
      <c r="I70" s="190">
        <f>F70/E70</f>
        <v>0.20292207792207792</v>
      </c>
      <c r="J70" s="190">
        <f>D70/C70</f>
        <v>0.14723926380368099</v>
      </c>
    </row>
    <row r="71" spans="1:13">
      <c r="A71" s="49" t="s">
        <v>66</v>
      </c>
      <c r="B71" s="181">
        <f>AVERAGE(B42:B51)</f>
        <v>126247.3</v>
      </c>
      <c r="C71" s="181">
        <f>AVERAGE(C42:C51)</f>
        <v>18949.8</v>
      </c>
      <c r="D71" s="181">
        <f t="shared" ref="D71:J71" si="28">AVERAGE(D42:D51)</f>
        <v>2661.2</v>
      </c>
      <c r="E71" s="181">
        <f t="shared" si="28"/>
        <v>72040.7</v>
      </c>
      <c r="F71" s="181">
        <f t="shared" si="28"/>
        <v>12974.7</v>
      </c>
      <c r="G71" s="183">
        <f t="shared" si="28"/>
        <v>0.15300058401005384</v>
      </c>
      <c r="H71" s="183">
        <f t="shared" si="28"/>
        <v>0.57376467072120152</v>
      </c>
      <c r="I71" s="183">
        <f t="shared" si="28"/>
        <v>0.17920462934810946</v>
      </c>
      <c r="J71" s="183">
        <f t="shared" si="28"/>
        <v>0.13647424412116932</v>
      </c>
    </row>
    <row r="72" spans="1:13">
      <c r="A72" s="49" t="s">
        <v>67</v>
      </c>
      <c r="B72" s="191">
        <f>B70/B71</f>
        <v>1.1667576257076389</v>
      </c>
      <c r="C72" s="191">
        <f>C70/C71</f>
        <v>0.86016738962944206</v>
      </c>
      <c r="D72" s="191">
        <f t="shared" ref="D72:F72" si="29">D70/D71</f>
        <v>0.9018487900195401</v>
      </c>
      <c r="E72" s="191">
        <f t="shared" si="29"/>
        <v>0.85507220224123315</v>
      </c>
      <c r="F72" s="191">
        <f t="shared" si="29"/>
        <v>0.96341341225616006</v>
      </c>
      <c r="G72" s="49" t="s">
        <v>68</v>
      </c>
    </row>
    <row r="73" spans="1:13">
      <c r="A73" s="49" t="s">
        <v>67</v>
      </c>
      <c r="B73" s="393">
        <f>B70/B51</f>
        <v>0.95214701718777273</v>
      </c>
      <c r="C73" s="393">
        <f t="shared" ref="C73:F73" si="30">C70/C51</f>
        <v>0.73446582255666204</v>
      </c>
      <c r="D73" s="393">
        <f>D70/D51</f>
        <v>0.59970014992503751</v>
      </c>
      <c r="E73" s="393">
        <f t="shared" si="30"/>
        <v>0.742410181625348</v>
      </c>
      <c r="F73" s="393">
        <f t="shared" si="30"/>
        <v>0.97170398009950254</v>
      </c>
      <c r="G73" s="48" t="s">
        <v>100</v>
      </c>
    </row>
    <row r="74" spans="1:13">
      <c r="A74" s="49" t="s">
        <v>250</v>
      </c>
      <c r="B74" s="191">
        <f>B51/B70</f>
        <v>1.0502579769178546</v>
      </c>
      <c r="C74" s="191">
        <f t="shared" ref="C74:F74" si="31">C51/C70</f>
        <v>1.3615337423312883</v>
      </c>
      <c r="D74" s="191">
        <f t="shared" si="31"/>
        <v>1.6675</v>
      </c>
      <c r="E74" s="191">
        <f t="shared" si="31"/>
        <v>1.3469642857142856</v>
      </c>
      <c r="F74" s="191">
        <f t="shared" si="31"/>
        <v>1.02912</v>
      </c>
      <c r="G74" s="48" t="s">
        <v>251</v>
      </c>
    </row>
    <row r="77" spans="1:13">
      <c r="B77" s="181"/>
    </row>
  </sheetData>
  <pageMargins left="0.7" right="0.7" top="0.75" bottom="0.75" header="0.3" footer="0.3"/>
  <pageSetup scale="88" orientation="portrait" r:id="rId1"/>
  <colBreaks count="1" manualBreakCount="1">
    <brk id="8" max="1048575" man="1"/>
  </col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6BF35-1AC5-4360-8CB1-D5BE50E4F7AE}">
  <sheetPr>
    <tabColor rgb="FF66FF33"/>
  </sheetPr>
  <dimension ref="A1:T75"/>
  <sheetViews>
    <sheetView zoomScale="90" zoomScaleNormal="90" workbookViewId="0">
      <pane xSplit="1" ySplit="5" topLeftCell="B35" activePane="bottomRight" state="frozen"/>
      <selection pane="bottomRight" activeCell="B74" sqref="B74"/>
      <selection pane="bottomLeft" activeCell="J33" sqref="J33"/>
      <selection pane="topRight" activeCell="J33" sqref="J33"/>
    </sheetView>
  </sheetViews>
  <sheetFormatPr defaultColWidth="9.33203125" defaultRowHeight="12.75"/>
  <cols>
    <col min="1" max="15" width="15.83203125" style="49" customWidth="1"/>
    <col min="16" max="16" width="15.83203125" style="301" customWidth="1"/>
    <col min="17" max="17" width="15.83203125" style="49" customWidth="1"/>
    <col min="18" max="18" width="15.83203125" style="301" customWidth="1"/>
    <col min="19" max="19" width="9.33203125" style="49"/>
    <col min="20" max="20" width="14" style="49" bestFit="1" customWidth="1"/>
    <col min="21" max="258" width="9.33203125" style="49"/>
    <col min="259" max="259" width="8.6640625" style="49" customWidth="1"/>
    <col min="260" max="260" width="8" style="49" bestFit="1" customWidth="1"/>
    <col min="261" max="261" width="9.1640625" style="49" customWidth="1"/>
    <col min="262" max="262" width="6.33203125" style="49" customWidth="1"/>
    <col min="263" max="263" width="7.6640625" style="49" customWidth="1"/>
    <col min="264" max="264" width="6.33203125" style="49" customWidth="1"/>
    <col min="265" max="265" width="7" style="49" customWidth="1"/>
    <col min="266" max="266" width="8.33203125" style="49" customWidth="1"/>
    <col min="267" max="267" width="10" style="49" bestFit="1" customWidth="1"/>
    <col min="268" max="268" width="8.6640625" style="49" bestFit="1" customWidth="1"/>
    <col min="269" max="269" width="8.33203125" style="49" customWidth="1"/>
    <col min="270" max="270" width="8.1640625" style="49" customWidth="1"/>
    <col min="271" max="271" width="8.33203125" style="49" bestFit="1" customWidth="1"/>
    <col min="272" max="272" width="8.1640625" style="49" customWidth="1"/>
    <col min="273" max="514" width="9.33203125" style="49"/>
    <col min="515" max="515" width="8.6640625" style="49" customWidth="1"/>
    <col min="516" max="516" width="8" style="49" bestFit="1" customWidth="1"/>
    <col min="517" max="517" width="9.1640625" style="49" customWidth="1"/>
    <col min="518" max="518" width="6.33203125" style="49" customWidth="1"/>
    <col min="519" max="519" width="7.6640625" style="49" customWidth="1"/>
    <col min="520" max="520" width="6.33203125" style="49" customWidth="1"/>
    <col min="521" max="521" width="7" style="49" customWidth="1"/>
    <col min="522" max="522" width="8.33203125" style="49" customWidth="1"/>
    <col min="523" max="523" width="10" style="49" bestFit="1" customWidth="1"/>
    <col min="524" max="524" width="8.6640625" style="49" bestFit="1" customWidth="1"/>
    <col min="525" max="525" width="8.33203125" style="49" customWidth="1"/>
    <col min="526" max="526" width="8.1640625" style="49" customWidth="1"/>
    <col min="527" max="527" width="8.33203125" style="49" bestFit="1" customWidth="1"/>
    <col min="528" max="528" width="8.1640625" style="49" customWidth="1"/>
    <col min="529" max="770" width="9.33203125" style="49"/>
    <col min="771" max="771" width="8.6640625" style="49" customWidth="1"/>
    <col min="772" max="772" width="8" style="49" bestFit="1" customWidth="1"/>
    <col min="773" max="773" width="9.1640625" style="49" customWidth="1"/>
    <col min="774" max="774" width="6.33203125" style="49" customWidth="1"/>
    <col min="775" max="775" width="7.6640625" style="49" customWidth="1"/>
    <col min="776" max="776" width="6.33203125" style="49" customWidth="1"/>
    <col min="777" max="777" width="7" style="49" customWidth="1"/>
    <col min="778" max="778" width="8.33203125" style="49" customWidth="1"/>
    <col min="779" max="779" width="10" style="49" bestFit="1" customWidth="1"/>
    <col min="780" max="780" width="8.6640625" style="49" bestFit="1" customWidth="1"/>
    <col min="781" max="781" width="8.33203125" style="49" customWidth="1"/>
    <col min="782" max="782" width="8.1640625" style="49" customWidth="1"/>
    <col min="783" max="783" width="8.33203125" style="49" bestFit="1" customWidth="1"/>
    <col min="784" max="784" width="8.1640625" style="49" customWidth="1"/>
    <col min="785" max="1026" width="9.33203125" style="49"/>
    <col min="1027" max="1027" width="8.6640625" style="49" customWidth="1"/>
    <col min="1028" max="1028" width="8" style="49" bestFit="1" customWidth="1"/>
    <col min="1029" max="1029" width="9.1640625" style="49" customWidth="1"/>
    <col min="1030" max="1030" width="6.33203125" style="49" customWidth="1"/>
    <col min="1031" max="1031" width="7.6640625" style="49" customWidth="1"/>
    <col min="1032" max="1032" width="6.33203125" style="49" customWidth="1"/>
    <col min="1033" max="1033" width="7" style="49" customWidth="1"/>
    <col min="1034" max="1034" width="8.33203125" style="49" customWidth="1"/>
    <col min="1035" max="1035" width="10" style="49" bestFit="1" customWidth="1"/>
    <col min="1036" max="1036" width="8.6640625" style="49" bestFit="1" customWidth="1"/>
    <col min="1037" max="1037" width="8.33203125" style="49" customWidth="1"/>
    <col min="1038" max="1038" width="8.1640625" style="49" customWidth="1"/>
    <col min="1039" max="1039" width="8.33203125" style="49" bestFit="1" customWidth="1"/>
    <col min="1040" max="1040" width="8.1640625" style="49" customWidth="1"/>
    <col min="1041" max="1282" width="9.33203125" style="49"/>
    <col min="1283" max="1283" width="8.6640625" style="49" customWidth="1"/>
    <col min="1284" max="1284" width="8" style="49" bestFit="1" customWidth="1"/>
    <col min="1285" max="1285" width="9.1640625" style="49" customWidth="1"/>
    <col min="1286" max="1286" width="6.33203125" style="49" customWidth="1"/>
    <col min="1287" max="1287" width="7.6640625" style="49" customWidth="1"/>
    <col min="1288" max="1288" width="6.33203125" style="49" customWidth="1"/>
    <col min="1289" max="1289" width="7" style="49" customWidth="1"/>
    <col min="1290" max="1290" width="8.33203125" style="49" customWidth="1"/>
    <col min="1291" max="1291" width="10" style="49" bestFit="1" customWidth="1"/>
    <col min="1292" max="1292" width="8.6640625" style="49" bestFit="1" customWidth="1"/>
    <col min="1293" max="1293" width="8.33203125" style="49" customWidth="1"/>
    <col min="1294" max="1294" width="8.1640625" style="49" customWidth="1"/>
    <col min="1295" max="1295" width="8.33203125" style="49" bestFit="1" customWidth="1"/>
    <col min="1296" max="1296" width="8.1640625" style="49" customWidth="1"/>
    <col min="1297" max="1538" width="9.33203125" style="49"/>
    <col min="1539" max="1539" width="8.6640625" style="49" customWidth="1"/>
    <col min="1540" max="1540" width="8" style="49" bestFit="1" customWidth="1"/>
    <col min="1541" max="1541" width="9.1640625" style="49" customWidth="1"/>
    <col min="1542" max="1542" width="6.33203125" style="49" customWidth="1"/>
    <col min="1543" max="1543" width="7.6640625" style="49" customWidth="1"/>
    <col min="1544" max="1544" width="6.33203125" style="49" customWidth="1"/>
    <col min="1545" max="1545" width="7" style="49" customWidth="1"/>
    <col min="1546" max="1546" width="8.33203125" style="49" customWidth="1"/>
    <col min="1547" max="1547" width="10" style="49" bestFit="1" customWidth="1"/>
    <col min="1548" max="1548" width="8.6640625" style="49" bestFit="1" customWidth="1"/>
    <col min="1549" max="1549" width="8.33203125" style="49" customWidth="1"/>
    <col min="1550" max="1550" width="8.1640625" style="49" customWidth="1"/>
    <col min="1551" max="1551" width="8.33203125" style="49" bestFit="1" customWidth="1"/>
    <col min="1552" max="1552" width="8.1640625" style="49" customWidth="1"/>
    <col min="1553" max="1794" width="9.33203125" style="49"/>
    <col min="1795" max="1795" width="8.6640625" style="49" customWidth="1"/>
    <col min="1796" max="1796" width="8" style="49" bestFit="1" customWidth="1"/>
    <col min="1797" max="1797" width="9.1640625" style="49" customWidth="1"/>
    <col min="1798" max="1798" width="6.33203125" style="49" customWidth="1"/>
    <col min="1799" max="1799" width="7.6640625" style="49" customWidth="1"/>
    <col min="1800" max="1800" width="6.33203125" style="49" customWidth="1"/>
    <col min="1801" max="1801" width="7" style="49" customWidth="1"/>
    <col min="1802" max="1802" width="8.33203125" style="49" customWidth="1"/>
    <col min="1803" max="1803" width="10" style="49" bestFit="1" customWidth="1"/>
    <col min="1804" max="1804" width="8.6640625" style="49" bestFit="1" customWidth="1"/>
    <col min="1805" max="1805" width="8.33203125" style="49" customWidth="1"/>
    <col min="1806" max="1806" width="8.1640625" style="49" customWidth="1"/>
    <col min="1807" max="1807" width="8.33203125" style="49" bestFit="1" customWidth="1"/>
    <col min="1808" max="1808" width="8.1640625" style="49" customWidth="1"/>
    <col min="1809" max="2050" width="9.33203125" style="49"/>
    <col min="2051" max="2051" width="8.6640625" style="49" customWidth="1"/>
    <col min="2052" max="2052" width="8" style="49" bestFit="1" customWidth="1"/>
    <col min="2053" max="2053" width="9.1640625" style="49" customWidth="1"/>
    <col min="2054" max="2054" width="6.33203125" style="49" customWidth="1"/>
    <col min="2055" max="2055" width="7.6640625" style="49" customWidth="1"/>
    <col min="2056" max="2056" width="6.33203125" style="49" customWidth="1"/>
    <col min="2057" max="2057" width="7" style="49" customWidth="1"/>
    <col min="2058" max="2058" width="8.33203125" style="49" customWidth="1"/>
    <col min="2059" max="2059" width="10" style="49" bestFit="1" customWidth="1"/>
    <col min="2060" max="2060" width="8.6640625" style="49" bestFit="1" customWidth="1"/>
    <col min="2061" max="2061" width="8.33203125" style="49" customWidth="1"/>
    <col min="2062" max="2062" width="8.1640625" style="49" customWidth="1"/>
    <col min="2063" max="2063" width="8.33203125" style="49" bestFit="1" customWidth="1"/>
    <col min="2064" max="2064" width="8.1640625" style="49" customWidth="1"/>
    <col min="2065" max="2306" width="9.33203125" style="49"/>
    <col min="2307" max="2307" width="8.6640625" style="49" customWidth="1"/>
    <col min="2308" max="2308" width="8" style="49" bestFit="1" customWidth="1"/>
    <col min="2309" max="2309" width="9.1640625" style="49" customWidth="1"/>
    <col min="2310" max="2310" width="6.33203125" style="49" customWidth="1"/>
    <col min="2311" max="2311" width="7.6640625" style="49" customWidth="1"/>
    <col min="2312" max="2312" width="6.33203125" style="49" customWidth="1"/>
    <col min="2313" max="2313" width="7" style="49" customWidth="1"/>
    <col min="2314" max="2314" width="8.33203125" style="49" customWidth="1"/>
    <col min="2315" max="2315" width="10" style="49" bestFit="1" customWidth="1"/>
    <col min="2316" max="2316" width="8.6640625" style="49" bestFit="1" customWidth="1"/>
    <col min="2317" max="2317" width="8.33203125" style="49" customWidth="1"/>
    <col min="2318" max="2318" width="8.1640625" style="49" customWidth="1"/>
    <col min="2319" max="2319" width="8.33203125" style="49" bestFit="1" customWidth="1"/>
    <col min="2320" max="2320" width="8.1640625" style="49" customWidth="1"/>
    <col min="2321" max="2562" width="9.33203125" style="49"/>
    <col min="2563" max="2563" width="8.6640625" style="49" customWidth="1"/>
    <col min="2564" max="2564" width="8" style="49" bestFit="1" customWidth="1"/>
    <col min="2565" max="2565" width="9.1640625" style="49" customWidth="1"/>
    <col min="2566" max="2566" width="6.33203125" style="49" customWidth="1"/>
    <col min="2567" max="2567" width="7.6640625" style="49" customWidth="1"/>
    <col min="2568" max="2568" width="6.33203125" style="49" customWidth="1"/>
    <col min="2569" max="2569" width="7" style="49" customWidth="1"/>
    <col min="2570" max="2570" width="8.33203125" style="49" customWidth="1"/>
    <col min="2571" max="2571" width="10" style="49" bestFit="1" customWidth="1"/>
    <col min="2572" max="2572" width="8.6640625" style="49" bestFit="1" customWidth="1"/>
    <col min="2573" max="2573" width="8.33203125" style="49" customWidth="1"/>
    <col min="2574" max="2574" width="8.1640625" style="49" customWidth="1"/>
    <col min="2575" max="2575" width="8.33203125" style="49" bestFit="1" customWidth="1"/>
    <col min="2576" max="2576" width="8.1640625" style="49" customWidth="1"/>
    <col min="2577" max="2818" width="9.33203125" style="49"/>
    <col min="2819" max="2819" width="8.6640625" style="49" customWidth="1"/>
    <col min="2820" max="2820" width="8" style="49" bestFit="1" customWidth="1"/>
    <col min="2821" max="2821" width="9.1640625" style="49" customWidth="1"/>
    <col min="2822" max="2822" width="6.33203125" style="49" customWidth="1"/>
    <col min="2823" max="2823" width="7.6640625" style="49" customWidth="1"/>
    <col min="2824" max="2824" width="6.33203125" style="49" customWidth="1"/>
    <col min="2825" max="2825" width="7" style="49" customWidth="1"/>
    <col min="2826" max="2826" width="8.33203125" style="49" customWidth="1"/>
    <col min="2827" max="2827" width="10" style="49" bestFit="1" customWidth="1"/>
    <col min="2828" max="2828" width="8.6640625" style="49" bestFit="1" customWidth="1"/>
    <col min="2829" max="2829" width="8.33203125" style="49" customWidth="1"/>
    <col min="2830" max="2830" width="8.1640625" style="49" customWidth="1"/>
    <col min="2831" max="2831" width="8.33203125" style="49" bestFit="1" customWidth="1"/>
    <col min="2832" max="2832" width="8.1640625" style="49" customWidth="1"/>
    <col min="2833" max="3074" width="9.33203125" style="49"/>
    <col min="3075" max="3075" width="8.6640625" style="49" customWidth="1"/>
    <col min="3076" max="3076" width="8" style="49" bestFit="1" customWidth="1"/>
    <col min="3077" max="3077" width="9.1640625" style="49" customWidth="1"/>
    <col min="3078" max="3078" width="6.33203125" style="49" customWidth="1"/>
    <col min="3079" max="3079" width="7.6640625" style="49" customWidth="1"/>
    <col min="3080" max="3080" width="6.33203125" style="49" customWidth="1"/>
    <col min="3081" max="3081" width="7" style="49" customWidth="1"/>
    <col min="3082" max="3082" width="8.33203125" style="49" customWidth="1"/>
    <col min="3083" max="3083" width="10" style="49" bestFit="1" customWidth="1"/>
    <col min="3084" max="3084" width="8.6640625" style="49" bestFit="1" customWidth="1"/>
    <col min="3085" max="3085" width="8.33203125" style="49" customWidth="1"/>
    <col min="3086" max="3086" width="8.1640625" style="49" customWidth="1"/>
    <col min="3087" max="3087" width="8.33203125" style="49" bestFit="1" customWidth="1"/>
    <col min="3088" max="3088" width="8.1640625" style="49" customWidth="1"/>
    <col min="3089" max="3330" width="9.33203125" style="49"/>
    <col min="3331" max="3331" width="8.6640625" style="49" customWidth="1"/>
    <col min="3332" max="3332" width="8" style="49" bestFit="1" customWidth="1"/>
    <col min="3333" max="3333" width="9.1640625" style="49" customWidth="1"/>
    <col min="3334" max="3334" width="6.33203125" style="49" customWidth="1"/>
    <col min="3335" max="3335" width="7.6640625" style="49" customWidth="1"/>
    <col min="3336" max="3336" width="6.33203125" style="49" customWidth="1"/>
    <col min="3337" max="3337" width="7" style="49" customWidth="1"/>
    <col min="3338" max="3338" width="8.33203125" style="49" customWidth="1"/>
    <col min="3339" max="3339" width="10" style="49" bestFit="1" customWidth="1"/>
    <col min="3340" max="3340" width="8.6640625" style="49" bestFit="1" customWidth="1"/>
    <col min="3341" max="3341" width="8.33203125" style="49" customWidth="1"/>
    <col min="3342" max="3342" width="8.1640625" style="49" customWidth="1"/>
    <col min="3343" max="3343" width="8.33203125" style="49" bestFit="1" customWidth="1"/>
    <col min="3344" max="3344" width="8.1640625" style="49" customWidth="1"/>
    <col min="3345" max="3586" width="9.33203125" style="49"/>
    <col min="3587" max="3587" width="8.6640625" style="49" customWidth="1"/>
    <col min="3588" max="3588" width="8" style="49" bestFit="1" customWidth="1"/>
    <col min="3589" max="3589" width="9.1640625" style="49" customWidth="1"/>
    <col min="3590" max="3590" width="6.33203125" style="49" customWidth="1"/>
    <col min="3591" max="3591" width="7.6640625" style="49" customWidth="1"/>
    <col min="3592" max="3592" width="6.33203125" style="49" customWidth="1"/>
    <col min="3593" max="3593" width="7" style="49" customWidth="1"/>
    <col min="3594" max="3594" width="8.33203125" style="49" customWidth="1"/>
    <col min="3595" max="3595" width="10" style="49" bestFit="1" customWidth="1"/>
    <col min="3596" max="3596" width="8.6640625" style="49" bestFit="1" customWidth="1"/>
    <col min="3597" max="3597" width="8.33203125" style="49" customWidth="1"/>
    <col min="3598" max="3598" width="8.1640625" style="49" customWidth="1"/>
    <col min="3599" max="3599" width="8.33203125" style="49" bestFit="1" customWidth="1"/>
    <col min="3600" max="3600" width="8.1640625" style="49" customWidth="1"/>
    <col min="3601" max="3842" width="9.33203125" style="49"/>
    <col min="3843" max="3843" width="8.6640625" style="49" customWidth="1"/>
    <col min="3844" max="3844" width="8" style="49" bestFit="1" customWidth="1"/>
    <col min="3845" max="3845" width="9.1640625" style="49" customWidth="1"/>
    <col min="3846" max="3846" width="6.33203125" style="49" customWidth="1"/>
    <col min="3847" max="3847" width="7.6640625" style="49" customWidth="1"/>
    <col min="3848" max="3848" width="6.33203125" style="49" customWidth="1"/>
    <col min="3849" max="3849" width="7" style="49" customWidth="1"/>
    <col min="3850" max="3850" width="8.33203125" style="49" customWidth="1"/>
    <col min="3851" max="3851" width="10" style="49" bestFit="1" customWidth="1"/>
    <col min="3852" max="3852" width="8.6640625" style="49" bestFit="1" customWidth="1"/>
    <col min="3853" max="3853" width="8.33203125" style="49" customWidth="1"/>
    <col min="3854" max="3854" width="8.1640625" style="49" customWidth="1"/>
    <col min="3855" max="3855" width="8.33203125" style="49" bestFit="1" customWidth="1"/>
    <col min="3856" max="3856" width="8.1640625" style="49" customWidth="1"/>
    <col min="3857" max="4098" width="9.33203125" style="49"/>
    <col min="4099" max="4099" width="8.6640625" style="49" customWidth="1"/>
    <col min="4100" max="4100" width="8" style="49" bestFit="1" customWidth="1"/>
    <col min="4101" max="4101" width="9.1640625" style="49" customWidth="1"/>
    <col min="4102" max="4102" width="6.33203125" style="49" customWidth="1"/>
    <col min="4103" max="4103" width="7.6640625" style="49" customWidth="1"/>
    <col min="4104" max="4104" width="6.33203125" style="49" customWidth="1"/>
    <col min="4105" max="4105" width="7" style="49" customWidth="1"/>
    <col min="4106" max="4106" width="8.33203125" style="49" customWidth="1"/>
    <col min="4107" max="4107" width="10" style="49" bestFit="1" customWidth="1"/>
    <col min="4108" max="4108" width="8.6640625" style="49" bestFit="1" customWidth="1"/>
    <col min="4109" max="4109" width="8.33203125" style="49" customWidth="1"/>
    <col min="4110" max="4110" width="8.1640625" style="49" customWidth="1"/>
    <col min="4111" max="4111" width="8.33203125" style="49" bestFit="1" customWidth="1"/>
    <col min="4112" max="4112" width="8.1640625" style="49" customWidth="1"/>
    <col min="4113" max="4354" width="9.33203125" style="49"/>
    <col min="4355" max="4355" width="8.6640625" style="49" customWidth="1"/>
    <col min="4356" max="4356" width="8" style="49" bestFit="1" customWidth="1"/>
    <col min="4357" max="4357" width="9.1640625" style="49" customWidth="1"/>
    <col min="4358" max="4358" width="6.33203125" style="49" customWidth="1"/>
    <col min="4359" max="4359" width="7.6640625" style="49" customWidth="1"/>
    <col min="4360" max="4360" width="6.33203125" style="49" customWidth="1"/>
    <col min="4361" max="4361" width="7" style="49" customWidth="1"/>
    <col min="4362" max="4362" width="8.33203125" style="49" customWidth="1"/>
    <col min="4363" max="4363" width="10" style="49" bestFit="1" customWidth="1"/>
    <col min="4364" max="4364" width="8.6640625" style="49" bestFit="1" customWidth="1"/>
    <col min="4365" max="4365" width="8.33203125" style="49" customWidth="1"/>
    <col min="4366" max="4366" width="8.1640625" style="49" customWidth="1"/>
    <col min="4367" max="4367" width="8.33203125" style="49" bestFit="1" customWidth="1"/>
    <col min="4368" max="4368" width="8.1640625" style="49" customWidth="1"/>
    <col min="4369" max="4610" width="9.33203125" style="49"/>
    <col min="4611" max="4611" width="8.6640625" style="49" customWidth="1"/>
    <col min="4612" max="4612" width="8" style="49" bestFit="1" customWidth="1"/>
    <col min="4613" max="4613" width="9.1640625" style="49" customWidth="1"/>
    <col min="4614" max="4614" width="6.33203125" style="49" customWidth="1"/>
    <col min="4615" max="4615" width="7.6640625" style="49" customWidth="1"/>
    <col min="4616" max="4616" width="6.33203125" style="49" customWidth="1"/>
    <col min="4617" max="4617" width="7" style="49" customWidth="1"/>
    <col min="4618" max="4618" width="8.33203125" style="49" customWidth="1"/>
    <col min="4619" max="4619" width="10" style="49" bestFit="1" customWidth="1"/>
    <col min="4620" max="4620" width="8.6640625" style="49" bestFit="1" customWidth="1"/>
    <col min="4621" max="4621" width="8.33203125" style="49" customWidth="1"/>
    <col min="4622" max="4622" width="8.1640625" style="49" customWidth="1"/>
    <col min="4623" max="4623" width="8.33203125" style="49" bestFit="1" customWidth="1"/>
    <col min="4624" max="4624" width="8.1640625" style="49" customWidth="1"/>
    <col min="4625" max="4866" width="9.33203125" style="49"/>
    <col min="4867" max="4867" width="8.6640625" style="49" customWidth="1"/>
    <col min="4868" max="4868" width="8" style="49" bestFit="1" customWidth="1"/>
    <col min="4869" max="4869" width="9.1640625" style="49" customWidth="1"/>
    <col min="4870" max="4870" width="6.33203125" style="49" customWidth="1"/>
    <col min="4871" max="4871" width="7.6640625" style="49" customWidth="1"/>
    <col min="4872" max="4872" width="6.33203125" style="49" customWidth="1"/>
    <col min="4873" max="4873" width="7" style="49" customWidth="1"/>
    <col min="4874" max="4874" width="8.33203125" style="49" customWidth="1"/>
    <col min="4875" max="4875" width="10" style="49" bestFit="1" customWidth="1"/>
    <col min="4876" max="4876" width="8.6640625" style="49" bestFit="1" customWidth="1"/>
    <col min="4877" max="4877" width="8.33203125" style="49" customWidth="1"/>
    <col min="4878" max="4878" width="8.1640625" style="49" customWidth="1"/>
    <col min="4879" max="4879" width="8.33203125" style="49" bestFit="1" customWidth="1"/>
    <col min="4880" max="4880" width="8.1640625" style="49" customWidth="1"/>
    <col min="4881" max="5122" width="9.33203125" style="49"/>
    <col min="5123" max="5123" width="8.6640625" style="49" customWidth="1"/>
    <col min="5124" max="5124" width="8" style="49" bestFit="1" customWidth="1"/>
    <col min="5125" max="5125" width="9.1640625" style="49" customWidth="1"/>
    <col min="5126" max="5126" width="6.33203125" style="49" customWidth="1"/>
    <col min="5127" max="5127" width="7.6640625" style="49" customWidth="1"/>
    <col min="5128" max="5128" width="6.33203125" style="49" customWidth="1"/>
    <col min="5129" max="5129" width="7" style="49" customWidth="1"/>
    <col min="5130" max="5130" width="8.33203125" style="49" customWidth="1"/>
    <col min="5131" max="5131" width="10" style="49" bestFit="1" customWidth="1"/>
    <col min="5132" max="5132" width="8.6640625" style="49" bestFit="1" customWidth="1"/>
    <col min="5133" max="5133" width="8.33203125" style="49" customWidth="1"/>
    <col min="5134" max="5134" width="8.1640625" style="49" customWidth="1"/>
    <col min="5135" max="5135" width="8.33203125" style="49" bestFit="1" customWidth="1"/>
    <col min="5136" max="5136" width="8.1640625" style="49" customWidth="1"/>
    <col min="5137" max="5378" width="9.33203125" style="49"/>
    <col min="5379" max="5379" width="8.6640625" style="49" customWidth="1"/>
    <col min="5380" max="5380" width="8" style="49" bestFit="1" customWidth="1"/>
    <col min="5381" max="5381" width="9.1640625" style="49" customWidth="1"/>
    <col min="5382" max="5382" width="6.33203125" style="49" customWidth="1"/>
    <col min="5383" max="5383" width="7.6640625" style="49" customWidth="1"/>
    <col min="5384" max="5384" width="6.33203125" style="49" customWidth="1"/>
    <col min="5385" max="5385" width="7" style="49" customWidth="1"/>
    <col min="5386" max="5386" width="8.33203125" style="49" customWidth="1"/>
    <col min="5387" max="5387" width="10" style="49" bestFit="1" customWidth="1"/>
    <col min="5388" max="5388" width="8.6640625" style="49" bestFit="1" customWidth="1"/>
    <col min="5389" max="5389" width="8.33203125" style="49" customWidth="1"/>
    <col min="5390" max="5390" width="8.1640625" style="49" customWidth="1"/>
    <col min="5391" max="5391" width="8.33203125" style="49" bestFit="1" customWidth="1"/>
    <col min="5392" max="5392" width="8.1640625" style="49" customWidth="1"/>
    <col min="5393" max="5634" width="9.33203125" style="49"/>
    <col min="5635" max="5635" width="8.6640625" style="49" customWidth="1"/>
    <col min="5636" max="5636" width="8" style="49" bestFit="1" customWidth="1"/>
    <col min="5637" max="5637" width="9.1640625" style="49" customWidth="1"/>
    <col min="5638" max="5638" width="6.33203125" style="49" customWidth="1"/>
    <col min="5639" max="5639" width="7.6640625" style="49" customWidth="1"/>
    <col min="5640" max="5640" width="6.33203125" style="49" customWidth="1"/>
    <col min="5641" max="5641" width="7" style="49" customWidth="1"/>
    <col min="5642" max="5642" width="8.33203125" style="49" customWidth="1"/>
    <col min="5643" max="5643" width="10" style="49" bestFit="1" customWidth="1"/>
    <col min="5644" max="5644" width="8.6640625" style="49" bestFit="1" customWidth="1"/>
    <col min="5645" max="5645" width="8.33203125" style="49" customWidth="1"/>
    <col min="5646" max="5646" width="8.1640625" style="49" customWidth="1"/>
    <col min="5647" max="5647" width="8.33203125" style="49" bestFit="1" customWidth="1"/>
    <col min="5648" max="5648" width="8.1640625" style="49" customWidth="1"/>
    <col min="5649" max="5890" width="9.33203125" style="49"/>
    <col min="5891" max="5891" width="8.6640625" style="49" customWidth="1"/>
    <col min="5892" max="5892" width="8" style="49" bestFit="1" customWidth="1"/>
    <col min="5893" max="5893" width="9.1640625" style="49" customWidth="1"/>
    <col min="5894" max="5894" width="6.33203125" style="49" customWidth="1"/>
    <col min="5895" max="5895" width="7.6640625" style="49" customWidth="1"/>
    <col min="5896" max="5896" width="6.33203125" style="49" customWidth="1"/>
    <col min="5897" max="5897" width="7" style="49" customWidth="1"/>
    <col min="5898" max="5898" width="8.33203125" style="49" customWidth="1"/>
    <col min="5899" max="5899" width="10" style="49" bestFit="1" customWidth="1"/>
    <col min="5900" max="5900" width="8.6640625" style="49" bestFit="1" customWidth="1"/>
    <col min="5901" max="5901" width="8.33203125" style="49" customWidth="1"/>
    <col min="5902" max="5902" width="8.1640625" style="49" customWidth="1"/>
    <col min="5903" max="5903" width="8.33203125" style="49" bestFit="1" customWidth="1"/>
    <col min="5904" max="5904" width="8.1640625" style="49" customWidth="1"/>
    <col min="5905" max="6146" width="9.33203125" style="49"/>
    <col min="6147" max="6147" width="8.6640625" style="49" customWidth="1"/>
    <col min="6148" max="6148" width="8" style="49" bestFit="1" customWidth="1"/>
    <col min="6149" max="6149" width="9.1640625" style="49" customWidth="1"/>
    <col min="6150" max="6150" width="6.33203125" style="49" customWidth="1"/>
    <col min="6151" max="6151" width="7.6640625" style="49" customWidth="1"/>
    <col min="6152" max="6152" width="6.33203125" style="49" customWidth="1"/>
    <col min="6153" max="6153" width="7" style="49" customWidth="1"/>
    <col min="6154" max="6154" width="8.33203125" style="49" customWidth="1"/>
    <col min="6155" max="6155" width="10" style="49" bestFit="1" customWidth="1"/>
    <col min="6156" max="6156" width="8.6640625" style="49" bestFit="1" customWidth="1"/>
    <col min="6157" max="6157" width="8.33203125" style="49" customWidth="1"/>
    <col min="6158" max="6158" width="8.1640625" style="49" customWidth="1"/>
    <col min="6159" max="6159" width="8.33203125" style="49" bestFit="1" customWidth="1"/>
    <col min="6160" max="6160" width="8.1640625" style="49" customWidth="1"/>
    <col min="6161" max="6402" width="9.33203125" style="49"/>
    <col min="6403" max="6403" width="8.6640625" style="49" customWidth="1"/>
    <col min="6404" max="6404" width="8" style="49" bestFit="1" customWidth="1"/>
    <col min="6405" max="6405" width="9.1640625" style="49" customWidth="1"/>
    <col min="6406" max="6406" width="6.33203125" style="49" customWidth="1"/>
    <col min="6407" max="6407" width="7.6640625" style="49" customWidth="1"/>
    <col min="6408" max="6408" width="6.33203125" style="49" customWidth="1"/>
    <col min="6409" max="6409" width="7" style="49" customWidth="1"/>
    <col min="6410" max="6410" width="8.33203125" style="49" customWidth="1"/>
    <col min="6411" max="6411" width="10" style="49" bestFit="1" customWidth="1"/>
    <col min="6412" max="6412" width="8.6640625" style="49" bestFit="1" customWidth="1"/>
    <col min="6413" max="6413" width="8.33203125" style="49" customWidth="1"/>
    <col min="6414" max="6414" width="8.1640625" style="49" customWidth="1"/>
    <col min="6415" max="6415" width="8.33203125" style="49" bestFit="1" customWidth="1"/>
    <col min="6416" max="6416" width="8.1640625" style="49" customWidth="1"/>
    <col min="6417" max="6658" width="9.33203125" style="49"/>
    <col min="6659" max="6659" width="8.6640625" style="49" customWidth="1"/>
    <col min="6660" max="6660" width="8" style="49" bestFit="1" customWidth="1"/>
    <col min="6661" max="6661" width="9.1640625" style="49" customWidth="1"/>
    <col min="6662" max="6662" width="6.33203125" style="49" customWidth="1"/>
    <col min="6663" max="6663" width="7.6640625" style="49" customWidth="1"/>
    <col min="6664" max="6664" width="6.33203125" style="49" customWidth="1"/>
    <col min="6665" max="6665" width="7" style="49" customWidth="1"/>
    <col min="6666" max="6666" width="8.33203125" style="49" customWidth="1"/>
    <col min="6667" max="6667" width="10" style="49" bestFit="1" customWidth="1"/>
    <col min="6668" max="6668" width="8.6640625" style="49" bestFit="1" customWidth="1"/>
    <col min="6669" max="6669" width="8.33203125" style="49" customWidth="1"/>
    <col min="6670" max="6670" width="8.1640625" style="49" customWidth="1"/>
    <col min="6671" max="6671" width="8.33203125" style="49" bestFit="1" customWidth="1"/>
    <col min="6672" max="6672" width="8.1640625" style="49" customWidth="1"/>
    <col min="6673" max="6914" width="9.33203125" style="49"/>
    <col min="6915" max="6915" width="8.6640625" style="49" customWidth="1"/>
    <col min="6916" max="6916" width="8" style="49" bestFit="1" customWidth="1"/>
    <col min="6917" max="6917" width="9.1640625" style="49" customWidth="1"/>
    <col min="6918" max="6918" width="6.33203125" style="49" customWidth="1"/>
    <col min="6919" max="6919" width="7.6640625" style="49" customWidth="1"/>
    <col min="6920" max="6920" width="6.33203125" style="49" customWidth="1"/>
    <col min="6921" max="6921" width="7" style="49" customWidth="1"/>
    <col min="6922" max="6922" width="8.33203125" style="49" customWidth="1"/>
    <col min="6923" max="6923" width="10" style="49" bestFit="1" customWidth="1"/>
    <col min="6924" max="6924" width="8.6640625" style="49" bestFit="1" customWidth="1"/>
    <col min="6925" max="6925" width="8.33203125" style="49" customWidth="1"/>
    <col min="6926" max="6926" width="8.1640625" style="49" customWidth="1"/>
    <col min="6927" max="6927" width="8.33203125" style="49" bestFit="1" customWidth="1"/>
    <col min="6928" max="6928" width="8.1640625" style="49" customWidth="1"/>
    <col min="6929" max="7170" width="9.33203125" style="49"/>
    <col min="7171" max="7171" width="8.6640625" style="49" customWidth="1"/>
    <col min="7172" max="7172" width="8" style="49" bestFit="1" customWidth="1"/>
    <col min="7173" max="7173" width="9.1640625" style="49" customWidth="1"/>
    <col min="7174" max="7174" width="6.33203125" style="49" customWidth="1"/>
    <col min="7175" max="7175" width="7.6640625" style="49" customWidth="1"/>
    <col min="7176" max="7176" width="6.33203125" style="49" customWidth="1"/>
    <col min="7177" max="7177" width="7" style="49" customWidth="1"/>
    <col min="7178" max="7178" width="8.33203125" style="49" customWidth="1"/>
    <col min="7179" max="7179" width="10" style="49" bestFit="1" customWidth="1"/>
    <col min="7180" max="7180" width="8.6640625" style="49" bestFit="1" customWidth="1"/>
    <col min="7181" max="7181" width="8.33203125" style="49" customWidth="1"/>
    <col min="7182" max="7182" width="8.1640625" style="49" customWidth="1"/>
    <col min="7183" max="7183" width="8.33203125" style="49" bestFit="1" customWidth="1"/>
    <col min="7184" max="7184" width="8.1640625" style="49" customWidth="1"/>
    <col min="7185" max="7426" width="9.33203125" style="49"/>
    <col min="7427" max="7427" width="8.6640625" style="49" customWidth="1"/>
    <col min="7428" max="7428" width="8" style="49" bestFit="1" customWidth="1"/>
    <col min="7429" max="7429" width="9.1640625" style="49" customWidth="1"/>
    <col min="7430" max="7430" width="6.33203125" style="49" customWidth="1"/>
    <col min="7431" max="7431" width="7.6640625" style="49" customWidth="1"/>
    <col min="7432" max="7432" width="6.33203125" style="49" customWidth="1"/>
    <col min="7433" max="7433" width="7" style="49" customWidth="1"/>
    <col min="7434" max="7434" width="8.33203125" style="49" customWidth="1"/>
    <col min="7435" max="7435" width="10" style="49" bestFit="1" customWidth="1"/>
    <col min="7436" max="7436" width="8.6640625" style="49" bestFit="1" customWidth="1"/>
    <col min="7437" max="7437" width="8.33203125" style="49" customWidth="1"/>
    <col min="7438" max="7438" width="8.1640625" style="49" customWidth="1"/>
    <col min="7439" max="7439" width="8.33203125" style="49" bestFit="1" customWidth="1"/>
    <col min="7440" max="7440" width="8.1640625" style="49" customWidth="1"/>
    <col min="7441" max="7682" width="9.33203125" style="49"/>
    <col min="7683" max="7683" width="8.6640625" style="49" customWidth="1"/>
    <col min="7684" max="7684" width="8" style="49" bestFit="1" customWidth="1"/>
    <col min="7685" max="7685" width="9.1640625" style="49" customWidth="1"/>
    <col min="7686" max="7686" width="6.33203125" style="49" customWidth="1"/>
    <col min="7687" max="7687" width="7.6640625" style="49" customWidth="1"/>
    <col min="7688" max="7688" width="6.33203125" style="49" customWidth="1"/>
    <col min="7689" max="7689" width="7" style="49" customWidth="1"/>
    <col min="7690" max="7690" width="8.33203125" style="49" customWidth="1"/>
    <col min="7691" max="7691" width="10" style="49" bestFit="1" customWidth="1"/>
    <col min="7692" max="7692" width="8.6640625" style="49" bestFit="1" customWidth="1"/>
    <col min="7693" max="7693" width="8.33203125" style="49" customWidth="1"/>
    <col min="7694" max="7694" width="8.1640625" style="49" customWidth="1"/>
    <col min="7695" max="7695" width="8.33203125" style="49" bestFit="1" customWidth="1"/>
    <col min="7696" max="7696" width="8.1640625" style="49" customWidth="1"/>
    <col min="7697" max="7938" width="9.33203125" style="49"/>
    <col min="7939" max="7939" width="8.6640625" style="49" customWidth="1"/>
    <col min="7940" max="7940" width="8" style="49" bestFit="1" customWidth="1"/>
    <col min="7941" max="7941" width="9.1640625" style="49" customWidth="1"/>
    <col min="7942" max="7942" width="6.33203125" style="49" customWidth="1"/>
    <col min="7943" max="7943" width="7.6640625" style="49" customWidth="1"/>
    <col min="7944" max="7944" width="6.33203125" style="49" customWidth="1"/>
    <col min="7945" max="7945" width="7" style="49" customWidth="1"/>
    <col min="7946" max="7946" width="8.33203125" style="49" customWidth="1"/>
    <col min="7947" max="7947" width="10" style="49" bestFit="1" customWidth="1"/>
    <col min="7948" max="7948" width="8.6640625" style="49" bestFit="1" customWidth="1"/>
    <col min="7949" max="7949" width="8.33203125" style="49" customWidth="1"/>
    <col min="7950" max="7950" width="8.1640625" style="49" customWidth="1"/>
    <col min="7951" max="7951" width="8.33203125" style="49" bestFit="1" customWidth="1"/>
    <col min="7952" max="7952" width="8.1640625" style="49" customWidth="1"/>
    <col min="7953" max="8194" width="9.33203125" style="49"/>
    <col min="8195" max="8195" width="8.6640625" style="49" customWidth="1"/>
    <col min="8196" max="8196" width="8" style="49" bestFit="1" customWidth="1"/>
    <col min="8197" max="8197" width="9.1640625" style="49" customWidth="1"/>
    <col min="8198" max="8198" width="6.33203125" style="49" customWidth="1"/>
    <col min="8199" max="8199" width="7.6640625" style="49" customWidth="1"/>
    <col min="8200" max="8200" width="6.33203125" style="49" customWidth="1"/>
    <col min="8201" max="8201" width="7" style="49" customWidth="1"/>
    <col min="8202" max="8202" width="8.33203125" style="49" customWidth="1"/>
    <col min="8203" max="8203" width="10" style="49" bestFit="1" customWidth="1"/>
    <col min="8204" max="8204" width="8.6640625" style="49" bestFit="1" customWidth="1"/>
    <col min="8205" max="8205" width="8.33203125" style="49" customWidth="1"/>
    <col min="8206" max="8206" width="8.1640625" style="49" customWidth="1"/>
    <col min="8207" max="8207" width="8.33203125" style="49" bestFit="1" customWidth="1"/>
    <col min="8208" max="8208" width="8.1640625" style="49" customWidth="1"/>
    <col min="8209" max="8450" width="9.33203125" style="49"/>
    <col min="8451" max="8451" width="8.6640625" style="49" customWidth="1"/>
    <col min="8452" max="8452" width="8" style="49" bestFit="1" customWidth="1"/>
    <col min="8453" max="8453" width="9.1640625" style="49" customWidth="1"/>
    <col min="8454" max="8454" width="6.33203125" style="49" customWidth="1"/>
    <col min="8455" max="8455" width="7.6640625" style="49" customWidth="1"/>
    <col min="8456" max="8456" width="6.33203125" style="49" customWidth="1"/>
    <col min="8457" max="8457" width="7" style="49" customWidth="1"/>
    <col min="8458" max="8458" width="8.33203125" style="49" customWidth="1"/>
    <col min="8459" max="8459" width="10" style="49" bestFit="1" customWidth="1"/>
    <col min="8460" max="8460" width="8.6640625" style="49" bestFit="1" customWidth="1"/>
    <col min="8461" max="8461" width="8.33203125" style="49" customWidth="1"/>
    <col min="8462" max="8462" width="8.1640625" style="49" customWidth="1"/>
    <col min="8463" max="8463" width="8.33203125" style="49" bestFit="1" customWidth="1"/>
    <col min="8464" max="8464" width="8.1640625" style="49" customWidth="1"/>
    <col min="8465" max="8706" width="9.33203125" style="49"/>
    <col min="8707" max="8707" width="8.6640625" style="49" customWidth="1"/>
    <col min="8708" max="8708" width="8" style="49" bestFit="1" customWidth="1"/>
    <col min="8709" max="8709" width="9.1640625" style="49" customWidth="1"/>
    <col min="8710" max="8710" width="6.33203125" style="49" customWidth="1"/>
    <col min="8711" max="8711" width="7.6640625" style="49" customWidth="1"/>
    <col min="8712" max="8712" width="6.33203125" style="49" customWidth="1"/>
    <col min="8713" max="8713" width="7" style="49" customWidth="1"/>
    <col min="8714" max="8714" width="8.33203125" style="49" customWidth="1"/>
    <col min="8715" max="8715" width="10" style="49" bestFit="1" customWidth="1"/>
    <col min="8716" max="8716" width="8.6640625" style="49" bestFit="1" customWidth="1"/>
    <col min="8717" max="8717" width="8.33203125" style="49" customWidth="1"/>
    <col min="8718" max="8718" width="8.1640625" style="49" customWidth="1"/>
    <col min="8719" max="8719" width="8.33203125" style="49" bestFit="1" customWidth="1"/>
    <col min="8720" max="8720" width="8.1640625" style="49" customWidth="1"/>
    <col min="8721" max="8962" width="9.33203125" style="49"/>
    <col min="8963" max="8963" width="8.6640625" style="49" customWidth="1"/>
    <col min="8964" max="8964" width="8" style="49" bestFit="1" customWidth="1"/>
    <col min="8965" max="8965" width="9.1640625" style="49" customWidth="1"/>
    <col min="8966" max="8966" width="6.33203125" style="49" customWidth="1"/>
    <col min="8967" max="8967" width="7.6640625" style="49" customWidth="1"/>
    <col min="8968" max="8968" width="6.33203125" style="49" customWidth="1"/>
    <col min="8969" max="8969" width="7" style="49" customWidth="1"/>
    <col min="8970" max="8970" width="8.33203125" style="49" customWidth="1"/>
    <col min="8971" max="8971" width="10" style="49" bestFit="1" customWidth="1"/>
    <col min="8972" max="8972" width="8.6640625" style="49" bestFit="1" customWidth="1"/>
    <col min="8973" max="8973" width="8.33203125" style="49" customWidth="1"/>
    <col min="8974" max="8974" width="8.1640625" style="49" customWidth="1"/>
    <col min="8975" max="8975" width="8.33203125" style="49" bestFit="1" customWidth="1"/>
    <col min="8976" max="8976" width="8.1640625" style="49" customWidth="1"/>
    <col min="8977" max="9218" width="9.33203125" style="49"/>
    <col min="9219" max="9219" width="8.6640625" style="49" customWidth="1"/>
    <col min="9220" max="9220" width="8" style="49" bestFit="1" customWidth="1"/>
    <col min="9221" max="9221" width="9.1640625" style="49" customWidth="1"/>
    <col min="9222" max="9222" width="6.33203125" style="49" customWidth="1"/>
    <col min="9223" max="9223" width="7.6640625" style="49" customWidth="1"/>
    <col min="9224" max="9224" width="6.33203125" style="49" customWidth="1"/>
    <col min="9225" max="9225" width="7" style="49" customWidth="1"/>
    <col min="9226" max="9226" width="8.33203125" style="49" customWidth="1"/>
    <col min="9227" max="9227" width="10" style="49" bestFit="1" customWidth="1"/>
    <col min="9228" max="9228" width="8.6640625" style="49" bestFit="1" customWidth="1"/>
    <col min="9229" max="9229" width="8.33203125" style="49" customWidth="1"/>
    <col min="9230" max="9230" width="8.1640625" style="49" customWidth="1"/>
    <col min="9231" max="9231" width="8.33203125" style="49" bestFit="1" customWidth="1"/>
    <col min="9232" max="9232" width="8.1640625" style="49" customWidth="1"/>
    <col min="9233" max="9474" width="9.33203125" style="49"/>
    <col min="9475" max="9475" width="8.6640625" style="49" customWidth="1"/>
    <col min="9476" max="9476" width="8" style="49" bestFit="1" customWidth="1"/>
    <col min="9477" max="9477" width="9.1640625" style="49" customWidth="1"/>
    <col min="9478" max="9478" width="6.33203125" style="49" customWidth="1"/>
    <col min="9479" max="9479" width="7.6640625" style="49" customWidth="1"/>
    <col min="9480" max="9480" width="6.33203125" style="49" customWidth="1"/>
    <col min="9481" max="9481" width="7" style="49" customWidth="1"/>
    <col min="9482" max="9482" width="8.33203125" style="49" customWidth="1"/>
    <col min="9483" max="9483" width="10" style="49" bestFit="1" customWidth="1"/>
    <col min="9484" max="9484" width="8.6640625" style="49" bestFit="1" customWidth="1"/>
    <col min="9485" max="9485" width="8.33203125" style="49" customWidth="1"/>
    <col min="9486" max="9486" width="8.1640625" style="49" customWidth="1"/>
    <col min="9487" max="9487" width="8.33203125" style="49" bestFit="1" customWidth="1"/>
    <col min="9488" max="9488" width="8.1640625" style="49" customWidth="1"/>
    <col min="9489" max="9730" width="9.33203125" style="49"/>
    <col min="9731" max="9731" width="8.6640625" style="49" customWidth="1"/>
    <col min="9732" max="9732" width="8" style="49" bestFit="1" customWidth="1"/>
    <col min="9733" max="9733" width="9.1640625" style="49" customWidth="1"/>
    <col min="9734" max="9734" width="6.33203125" style="49" customWidth="1"/>
    <col min="9735" max="9735" width="7.6640625" style="49" customWidth="1"/>
    <col min="9736" max="9736" width="6.33203125" style="49" customWidth="1"/>
    <col min="9737" max="9737" width="7" style="49" customWidth="1"/>
    <col min="9738" max="9738" width="8.33203125" style="49" customWidth="1"/>
    <col min="9739" max="9739" width="10" style="49" bestFit="1" customWidth="1"/>
    <col min="9740" max="9740" width="8.6640625" style="49" bestFit="1" customWidth="1"/>
    <col min="9741" max="9741" width="8.33203125" style="49" customWidth="1"/>
    <col min="9742" max="9742" width="8.1640625" style="49" customWidth="1"/>
    <col min="9743" max="9743" width="8.33203125" style="49" bestFit="1" customWidth="1"/>
    <col min="9744" max="9744" width="8.1640625" style="49" customWidth="1"/>
    <col min="9745" max="9986" width="9.33203125" style="49"/>
    <col min="9987" max="9987" width="8.6640625" style="49" customWidth="1"/>
    <col min="9988" max="9988" width="8" style="49" bestFit="1" customWidth="1"/>
    <col min="9989" max="9989" width="9.1640625" style="49" customWidth="1"/>
    <col min="9990" max="9990" width="6.33203125" style="49" customWidth="1"/>
    <col min="9991" max="9991" width="7.6640625" style="49" customWidth="1"/>
    <col min="9992" max="9992" width="6.33203125" style="49" customWidth="1"/>
    <col min="9993" max="9993" width="7" style="49" customWidth="1"/>
    <col min="9994" max="9994" width="8.33203125" style="49" customWidth="1"/>
    <col min="9995" max="9995" width="10" style="49" bestFit="1" customWidth="1"/>
    <col min="9996" max="9996" width="8.6640625" style="49" bestFit="1" customWidth="1"/>
    <col min="9997" max="9997" width="8.33203125" style="49" customWidth="1"/>
    <col min="9998" max="9998" width="8.1640625" style="49" customWidth="1"/>
    <col min="9999" max="9999" width="8.33203125" style="49" bestFit="1" customWidth="1"/>
    <col min="10000" max="10000" width="8.1640625" style="49" customWidth="1"/>
    <col min="10001" max="10242" width="9.33203125" style="49"/>
    <col min="10243" max="10243" width="8.6640625" style="49" customWidth="1"/>
    <col min="10244" max="10244" width="8" style="49" bestFit="1" customWidth="1"/>
    <col min="10245" max="10245" width="9.1640625" style="49" customWidth="1"/>
    <col min="10246" max="10246" width="6.33203125" style="49" customWidth="1"/>
    <col min="10247" max="10247" width="7.6640625" style="49" customWidth="1"/>
    <col min="10248" max="10248" width="6.33203125" style="49" customWidth="1"/>
    <col min="10249" max="10249" width="7" style="49" customWidth="1"/>
    <col min="10250" max="10250" width="8.33203125" style="49" customWidth="1"/>
    <col min="10251" max="10251" width="10" style="49" bestFit="1" customWidth="1"/>
    <col min="10252" max="10252" width="8.6640625" style="49" bestFit="1" customWidth="1"/>
    <col min="10253" max="10253" width="8.33203125" style="49" customWidth="1"/>
    <col min="10254" max="10254" width="8.1640625" style="49" customWidth="1"/>
    <col min="10255" max="10255" width="8.33203125" style="49" bestFit="1" customWidth="1"/>
    <col min="10256" max="10256" width="8.1640625" style="49" customWidth="1"/>
    <col min="10257" max="10498" width="9.33203125" style="49"/>
    <col min="10499" max="10499" width="8.6640625" style="49" customWidth="1"/>
    <col min="10500" max="10500" width="8" style="49" bestFit="1" customWidth="1"/>
    <col min="10501" max="10501" width="9.1640625" style="49" customWidth="1"/>
    <col min="10502" max="10502" width="6.33203125" style="49" customWidth="1"/>
    <col min="10503" max="10503" width="7.6640625" style="49" customWidth="1"/>
    <col min="10504" max="10504" width="6.33203125" style="49" customWidth="1"/>
    <col min="10505" max="10505" width="7" style="49" customWidth="1"/>
    <col min="10506" max="10506" width="8.33203125" style="49" customWidth="1"/>
    <col min="10507" max="10507" width="10" style="49" bestFit="1" customWidth="1"/>
    <col min="10508" max="10508" width="8.6640625" style="49" bestFit="1" customWidth="1"/>
    <col min="10509" max="10509" width="8.33203125" style="49" customWidth="1"/>
    <col min="10510" max="10510" width="8.1640625" style="49" customWidth="1"/>
    <col min="10511" max="10511" width="8.33203125" style="49" bestFit="1" customWidth="1"/>
    <col min="10512" max="10512" width="8.1640625" style="49" customWidth="1"/>
    <col min="10513" max="10754" width="9.33203125" style="49"/>
    <col min="10755" max="10755" width="8.6640625" style="49" customWidth="1"/>
    <col min="10756" max="10756" width="8" style="49" bestFit="1" customWidth="1"/>
    <col min="10757" max="10757" width="9.1640625" style="49" customWidth="1"/>
    <col min="10758" max="10758" width="6.33203125" style="49" customWidth="1"/>
    <col min="10759" max="10759" width="7.6640625" style="49" customWidth="1"/>
    <col min="10760" max="10760" width="6.33203125" style="49" customWidth="1"/>
    <col min="10761" max="10761" width="7" style="49" customWidth="1"/>
    <col min="10762" max="10762" width="8.33203125" style="49" customWidth="1"/>
    <col min="10763" max="10763" width="10" style="49" bestFit="1" customWidth="1"/>
    <col min="10764" max="10764" width="8.6640625" style="49" bestFit="1" customWidth="1"/>
    <col min="10765" max="10765" width="8.33203125" style="49" customWidth="1"/>
    <col min="10766" max="10766" width="8.1640625" style="49" customWidth="1"/>
    <col min="10767" max="10767" width="8.33203125" style="49" bestFit="1" customWidth="1"/>
    <col min="10768" max="10768" width="8.1640625" style="49" customWidth="1"/>
    <col min="10769" max="11010" width="9.33203125" style="49"/>
    <col min="11011" max="11011" width="8.6640625" style="49" customWidth="1"/>
    <col min="11012" max="11012" width="8" style="49" bestFit="1" customWidth="1"/>
    <col min="11013" max="11013" width="9.1640625" style="49" customWidth="1"/>
    <col min="11014" max="11014" width="6.33203125" style="49" customWidth="1"/>
    <col min="11015" max="11015" width="7.6640625" style="49" customWidth="1"/>
    <col min="11016" max="11016" width="6.33203125" style="49" customWidth="1"/>
    <col min="11017" max="11017" width="7" style="49" customWidth="1"/>
    <col min="11018" max="11018" width="8.33203125" style="49" customWidth="1"/>
    <col min="11019" max="11019" width="10" style="49" bestFit="1" customWidth="1"/>
    <col min="11020" max="11020" width="8.6640625" style="49" bestFit="1" customWidth="1"/>
    <col min="11021" max="11021" width="8.33203125" style="49" customWidth="1"/>
    <col min="11022" max="11022" width="8.1640625" style="49" customWidth="1"/>
    <col min="11023" max="11023" width="8.33203125" style="49" bestFit="1" customWidth="1"/>
    <col min="11024" max="11024" width="8.1640625" style="49" customWidth="1"/>
    <col min="11025" max="11266" width="9.33203125" style="49"/>
    <col min="11267" max="11267" width="8.6640625" style="49" customWidth="1"/>
    <col min="11268" max="11268" width="8" style="49" bestFit="1" customWidth="1"/>
    <col min="11269" max="11269" width="9.1640625" style="49" customWidth="1"/>
    <col min="11270" max="11270" width="6.33203125" style="49" customWidth="1"/>
    <col min="11271" max="11271" width="7.6640625" style="49" customWidth="1"/>
    <col min="11272" max="11272" width="6.33203125" style="49" customWidth="1"/>
    <col min="11273" max="11273" width="7" style="49" customWidth="1"/>
    <col min="11274" max="11274" width="8.33203125" style="49" customWidth="1"/>
    <col min="11275" max="11275" width="10" style="49" bestFit="1" customWidth="1"/>
    <col min="11276" max="11276" width="8.6640625" style="49" bestFit="1" customWidth="1"/>
    <col min="11277" max="11277" width="8.33203125" style="49" customWidth="1"/>
    <col min="11278" max="11278" width="8.1640625" style="49" customWidth="1"/>
    <col min="11279" max="11279" width="8.33203125" style="49" bestFit="1" customWidth="1"/>
    <col min="11280" max="11280" width="8.1640625" style="49" customWidth="1"/>
    <col min="11281" max="11522" width="9.33203125" style="49"/>
    <col min="11523" max="11523" width="8.6640625" style="49" customWidth="1"/>
    <col min="11524" max="11524" width="8" style="49" bestFit="1" customWidth="1"/>
    <col min="11525" max="11525" width="9.1640625" style="49" customWidth="1"/>
    <col min="11526" max="11526" width="6.33203125" style="49" customWidth="1"/>
    <col min="11527" max="11527" width="7.6640625" style="49" customWidth="1"/>
    <col min="11528" max="11528" width="6.33203125" style="49" customWidth="1"/>
    <col min="11529" max="11529" width="7" style="49" customWidth="1"/>
    <col min="11530" max="11530" width="8.33203125" style="49" customWidth="1"/>
    <col min="11531" max="11531" width="10" style="49" bestFit="1" customWidth="1"/>
    <col min="11532" max="11532" width="8.6640625" style="49" bestFit="1" customWidth="1"/>
    <col min="11533" max="11533" width="8.33203125" style="49" customWidth="1"/>
    <col min="11534" max="11534" width="8.1640625" style="49" customWidth="1"/>
    <col min="11535" max="11535" width="8.33203125" style="49" bestFit="1" customWidth="1"/>
    <col min="11536" max="11536" width="8.1640625" style="49" customWidth="1"/>
    <col min="11537" max="11778" width="9.33203125" style="49"/>
    <col min="11779" max="11779" width="8.6640625" style="49" customWidth="1"/>
    <col min="11780" max="11780" width="8" style="49" bestFit="1" customWidth="1"/>
    <col min="11781" max="11781" width="9.1640625" style="49" customWidth="1"/>
    <col min="11782" max="11782" width="6.33203125" style="49" customWidth="1"/>
    <col min="11783" max="11783" width="7.6640625" style="49" customWidth="1"/>
    <col min="11784" max="11784" width="6.33203125" style="49" customWidth="1"/>
    <col min="11785" max="11785" width="7" style="49" customWidth="1"/>
    <col min="11786" max="11786" width="8.33203125" style="49" customWidth="1"/>
    <col min="11787" max="11787" width="10" style="49" bestFit="1" customWidth="1"/>
    <col min="11788" max="11788" width="8.6640625" style="49" bestFit="1" customWidth="1"/>
    <col min="11789" max="11789" width="8.33203125" style="49" customWidth="1"/>
    <col min="11790" max="11790" width="8.1640625" style="49" customWidth="1"/>
    <col min="11791" max="11791" width="8.33203125" style="49" bestFit="1" customWidth="1"/>
    <col min="11792" max="11792" width="8.1640625" style="49" customWidth="1"/>
    <col min="11793" max="12034" width="9.33203125" style="49"/>
    <col min="12035" max="12035" width="8.6640625" style="49" customWidth="1"/>
    <col min="12036" max="12036" width="8" style="49" bestFit="1" customWidth="1"/>
    <col min="12037" max="12037" width="9.1640625" style="49" customWidth="1"/>
    <col min="12038" max="12038" width="6.33203125" style="49" customWidth="1"/>
    <col min="12039" max="12039" width="7.6640625" style="49" customWidth="1"/>
    <col min="12040" max="12040" width="6.33203125" style="49" customWidth="1"/>
    <col min="12041" max="12041" width="7" style="49" customWidth="1"/>
    <col min="12042" max="12042" width="8.33203125" style="49" customWidth="1"/>
    <col min="12043" max="12043" width="10" style="49" bestFit="1" customWidth="1"/>
    <col min="12044" max="12044" width="8.6640625" style="49" bestFit="1" customWidth="1"/>
    <col min="12045" max="12045" width="8.33203125" style="49" customWidth="1"/>
    <col min="12046" max="12046" width="8.1640625" style="49" customWidth="1"/>
    <col min="12047" max="12047" width="8.33203125" style="49" bestFit="1" customWidth="1"/>
    <col min="12048" max="12048" width="8.1640625" style="49" customWidth="1"/>
    <col min="12049" max="12290" width="9.33203125" style="49"/>
    <col min="12291" max="12291" width="8.6640625" style="49" customWidth="1"/>
    <col min="12292" max="12292" width="8" style="49" bestFit="1" customWidth="1"/>
    <col min="12293" max="12293" width="9.1640625" style="49" customWidth="1"/>
    <col min="12294" max="12294" width="6.33203125" style="49" customWidth="1"/>
    <col min="12295" max="12295" width="7.6640625" style="49" customWidth="1"/>
    <col min="12296" max="12296" width="6.33203125" style="49" customWidth="1"/>
    <col min="12297" max="12297" width="7" style="49" customWidth="1"/>
    <col min="12298" max="12298" width="8.33203125" style="49" customWidth="1"/>
    <col min="12299" max="12299" width="10" style="49" bestFit="1" customWidth="1"/>
    <col min="12300" max="12300" width="8.6640625" style="49" bestFit="1" customWidth="1"/>
    <col min="12301" max="12301" width="8.33203125" style="49" customWidth="1"/>
    <col min="12302" max="12302" width="8.1640625" style="49" customWidth="1"/>
    <col min="12303" max="12303" width="8.33203125" style="49" bestFit="1" customWidth="1"/>
    <col min="12304" max="12304" width="8.1640625" style="49" customWidth="1"/>
    <col min="12305" max="12546" width="9.33203125" style="49"/>
    <col min="12547" max="12547" width="8.6640625" style="49" customWidth="1"/>
    <col min="12548" max="12548" width="8" style="49" bestFit="1" customWidth="1"/>
    <col min="12549" max="12549" width="9.1640625" style="49" customWidth="1"/>
    <col min="12550" max="12550" width="6.33203125" style="49" customWidth="1"/>
    <col min="12551" max="12551" width="7.6640625" style="49" customWidth="1"/>
    <col min="12552" max="12552" width="6.33203125" style="49" customWidth="1"/>
    <col min="12553" max="12553" width="7" style="49" customWidth="1"/>
    <col min="12554" max="12554" width="8.33203125" style="49" customWidth="1"/>
    <col min="12555" max="12555" width="10" style="49" bestFit="1" customWidth="1"/>
    <col min="12556" max="12556" width="8.6640625" style="49" bestFit="1" customWidth="1"/>
    <col min="12557" max="12557" width="8.33203125" style="49" customWidth="1"/>
    <col min="12558" max="12558" width="8.1640625" style="49" customWidth="1"/>
    <col min="12559" max="12559" width="8.33203125" style="49" bestFit="1" customWidth="1"/>
    <col min="12560" max="12560" width="8.1640625" style="49" customWidth="1"/>
    <col min="12561" max="12802" width="9.33203125" style="49"/>
    <col min="12803" max="12803" width="8.6640625" style="49" customWidth="1"/>
    <col min="12804" max="12804" width="8" style="49" bestFit="1" customWidth="1"/>
    <col min="12805" max="12805" width="9.1640625" style="49" customWidth="1"/>
    <col min="12806" max="12806" width="6.33203125" style="49" customWidth="1"/>
    <col min="12807" max="12807" width="7.6640625" style="49" customWidth="1"/>
    <col min="12808" max="12808" width="6.33203125" style="49" customWidth="1"/>
    <col min="12809" max="12809" width="7" style="49" customWidth="1"/>
    <col min="12810" max="12810" width="8.33203125" style="49" customWidth="1"/>
    <col min="12811" max="12811" width="10" style="49" bestFit="1" customWidth="1"/>
    <col min="12812" max="12812" width="8.6640625" style="49" bestFit="1" customWidth="1"/>
    <col min="12813" max="12813" width="8.33203125" style="49" customWidth="1"/>
    <col min="12814" max="12814" width="8.1640625" style="49" customWidth="1"/>
    <col min="12815" max="12815" width="8.33203125" style="49" bestFit="1" customWidth="1"/>
    <col min="12816" max="12816" width="8.1640625" style="49" customWidth="1"/>
    <col min="12817" max="13058" width="9.33203125" style="49"/>
    <col min="13059" max="13059" width="8.6640625" style="49" customWidth="1"/>
    <col min="13060" max="13060" width="8" style="49" bestFit="1" customWidth="1"/>
    <col min="13061" max="13061" width="9.1640625" style="49" customWidth="1"/>
    <col min="13062" max="13062" width="6.33203125" style="49" customWidth="1"/>
    <col min="13063" max="13063" width="7.6640625" style="49" customWidth="1"/>
    <col min="13064" max="13064" width="6.33203125" style="49" customWidth="1"/>
    <col min="13065" max="13065" width="7" style="49" customWidth="1"/>
    <col min="13066" max="13066" width="8.33203125" style="49" customWidth="1"/>
    <col min="13067" max="13067" width="10" style="49" bestFit="1" customWidth="1"/>
    <col min="13068" max="13068" width="8.6640625" style="49" bestFit="1" customWidth="1"/>
    <col min="13069" max="13069" width="8.33203125" style="49" customWidth="1"/>
    <col min="13070" max="13070" width="8.1640625" style="49" customWidth="1"/>
    <col min="13071" max="13071" width="8.33203125" style="49" bestFit="1" customWidth="1"/>
    <col min="13072" max="13072" width="8.1640625" style="49" customWidth="1"/>
    <col min="13073" max="13314" width="9.33203125" style="49"/>
    <col min="13315" max="13315" width="8.6640625" style="49" customWidth="1"/>
    <col min="13316" max="13316" width="8" style="49" bestFit="1" customWidth="1"/>
    <col min="13317" max="13317" width="9.1640625" style="49" customWidth="1"/>
    <col min="13318" max="13318" width="6.33203125" style="49" customWidth="1"/>
    <col min="13319" max="13319" width="7.6640625" style="49" customWidth="1"/>
    <col min="13320" max="13320" width="6.33203125" style="49" customWidth="1"/>
    <col min="13321" max="13321" width="7" style="49" customWidth="1"/>
    <col min="13322" max="13322" width="8.33203125" style="49" customWidth="1"/>
    <col min="13323" max="13323" width="10" style="49" bestFit="1" customWidth="1"/>
    <col min="13324" max="13324" width="8.6640625" style="49" bestFit="1" customWidth="1"/>
    <col min="13325" max="13325" width="8.33203125" style="49" customWidth="1"/>
    <col min="13326" max="13326" width="8.1640625" style="49" customWidth="1"/>
    <col min="13327" max="13327" width="8.33203125" style="49" bestFit="1" customWidth="1"/>
    <col min="13328" max="13328" width="8.1640625" style="49" customWidth="1"/>
    <col min="13329" max="13570" width="9.33203125" style="49"/>
    <col min="13571" max="13571" width="8.6640625" style="49" customWidth="1"/>
    <col min="13572" max="13572" width="8" style="49" bestFit="1" customWidth="1"/>
    <col min="13573" max="13573" width="9.1640625" style="49" customWidth="1"/>
    <col min="13574" max="13574" width="6.33203125" style="49" customWidth="1"/>
    <col min="13575" max="13575" width="7.6640625" style="49" customWidth="1"/>
    <col min="13576" max="13576" width="6.33203125" style="49" customWidth="1"/>
    <col min="13577" max="13577" width="7" style="49" customWidth="1"/>
    <col min="13578" max="13578" width="8.33203125" style="49" customWidth="1"/>
    <col min="13579" max="13579" width="10" style="49" bestFit="1" customWidth="1"/>
    <col min="13580" max="13580" width="8.6640625" style="49" bestFit="1" customWidth="1"/>
    <col min="13581" max="13581" width="8.33203125" style="49" customWidth="1"/>
    <col min="13582" max="13582" width="8.1640625" style="49" customWidth="1"/>
    <col min="13583" max="13583" width="8.33203125" style="49" bestFit="1" customWidth="1"/>
    <col min="13584" max="13584" width="8.1640625" style="49" customWidth="1"/>
    <col min="13585" max="13826" width="9.33203125" style="49"/>
    <col min="13827" max="13827" width="8.6640625" style="49" customWidth="1"/>
    <col min="13828" max="13828" width="8" style="49" bestFit="1" customWidth="1"/>
    <col min="13829" max="13829" width="9.1640625" style="49" customWidth="1"/>
    <col min="13830" max="13830" width="6.33203125" style="49" customWidth="1"/>
    <col min="13831" max="13831" width="7.6640625" style="49" customWidth="1"/>
    <col min="13832" max="13832" width="6.33203125" style="49" customWidth="1"/>
    <col min="13833" max="13833" width="7" style="49" customWidth="1"/>
    <col min="13834" max="13834" width="8.33203125" style="49" customWidth="1"/>
    <col min="13835" max="13835" width="10" style="49" bestFit="1" customWidth="1"/>
    <col min="13836" max="13836" width="8.6640625" style="49" bestFit="1" customWidth="1"/>
    <col min="13837" max="13837" width="8.33203125" style="49" customWidth="1"/>
    <col min="13838" max="13838" width="8.1640625" style="49" customWidth="1"/>
    <col min="13839" max="13839" width="8.33203125" style="49" bestFit="1" customWidth="1"/>
    <col min="13840" max="13840" width="8.1640625" style="49" customWidth="1"/>
    <col min="13841" max="14082" width="9.33203125" style="49"/>
    <col min="14083" max="14083" width="8.6640625" style="49" customWidth="1"/>
    <col min="14084" max="14084" width="8" style="49" bestFit="1" customWidth="1"/>
    <col min="14085" max="14085" width="9.1640625" style="49" customWidth="1"/>
    <col min="14086" max="14086" width="6.33203125" style="49" customWidth="1"/>
    <col min="14087" max="14087" width="7.6640625" style="49" customWidth="1"/>
    <col min="14088" max="14088" width="6.33203125" style="49" customWidth="1"/>
    <col min="14089" max="14089" width="7" style="49" customWidth="1"/>
    <col min="14090" max="14090" width="8.33203125" style="49" customWidth="1"/>
    <col min="14091" max="14091" width="10" style="49" bestFit="1" customWidth="1"/>
    <col min="14092" max="14092" width="8.6640625" style="49" bestFit="1" customWidth="1"/>
    <col min="14093" max="14093" width="8.33203125" style="49" customWidth="1"/>
    <col min="14094" max="14094" width="8.1640625" style="49" customWidth="1"/>
    <col min="14095" max="14095" width="8.33203125" style="49" bestFit="1" customWidth="1"/>
    <col min="14096" max="14096" width="8.1640625" style="49" customWidth="1"/>
    <col min="14097" max="14338" width="9.33203125" style="49"/>
    <col min="14339" max="14339" width="8.6640625" style="49" customWidth="1"/>
    <col min="14340" max="14340" width="8" style="49" bestFit="1" customWidth="1"/>
    <col min="14341" max="14341" width="9.1640625" style="49" customWidth="1"/>
    <col min="14342" max="14342" width="6.33203125" style="49" customWidth="1"/>
    <col min="14343" max="14343" width="7.6640625" style="49" customWidth="1"/>
    <col min="14344" max="14344" width="6.33203125" style="49" customWidth="1"/>
    <col min="14345" max="14345" width="7" style="49" customWidth="1"/>
    <col min="14346" max="14346" width="8.33203125" style="49" customWidth="1"/>
    <col min="14347" max="14347" width="10" style="49" bestFit="1" customWidth="1"/>
    <col min="14348" max="14348" width="8.6640625" style="49" bestFit="1" customWidth="1"/>
    <col min="14349" max="14349" width="8.33203125" style="49" customWidth="1"/>
    <col min="14350" max="14350" width="8.1640625" style="49" customWidth="1"/>
    <col min="14351" max="14351" width="8.33203125" style="49" bestFit="1" customWidth="1"/>
    <col min="14352" max="14352" width="8.1640625" style="49" customWidth="1"/>
    <col min="14353" max="14594" width="9.33203125" style="49"/>
    <col min="14595" max="14595" width="8.6640625" style="49" customWidth="1"/>
    <col min="14596" max="14596" width="8" style="49" bestFit="1" customWidth="1"/>
    <col min="14597" max="14597" width="9.1640625" style="49" customWidth="1"/>
    <col min="14598" max="14598" width="6.33203125" style="49" customWidth="1"/>
    <col min="14599" max="14599" width="7.6640625" style="49" customWidth="1"/>
    <col min="14600" max="14600" width="6.33203125" style="49" customWidth="1"/>
    <col min="14601" max="14601" width="7" style="49" customWidth="1"/>
    <col min="14602" max="14602" width="8.33203125" style="49" customWidth="1"/>
    <col min="14603" max="14603" width="10" style="49" bestFit="1" customWidth="1"/>
    <col min="14604" max="14604" width="8.6640625" style="49" bestFit="1" customWidth="1"/>
    <col min="14605" max="14605" width="8.33203125" style="49" customWidth="1"/>
    <col min="14606" max="14606" width="8.1640625" style="49" customWidth="1"/>
    <col min="14607" max="14607" width="8.33203125" style="49" bestFit="1" customWidth="1"/>
    <col min="14608" max="14608" width="8.1640625" style="49" customWidth="1"/>
    <col min="14609" max="14850" width="9.33203125" style="49"/>
    <col min="14851" max="14851" width="8.6640625" style="49" customWidth="1"/>
    <col min="14852" max="14852" width="8" style="49" bestFit="1" customWidth="1"/>
    <col min="14853" max="14853" width="9.1640625" style="49" customWidth="1"/>
    <col min="14854" max="14854" width="6.33203125" style="49" customWidth="1"/>
    <col min="14855" max="14855" width="7.6640625" style="49" customWidth="1"/>
    <col min="14856" max="14856" width="6.33203125" style="49" customWidth="1"/>
    <col min="14857" max="14857" width="7" style="49" customWidth="1"/>
    <col min="14858" max="14858" width="8.33203125" style="49" customWidth="1"/>
    <col min="14859" max="14859" width="10" style="49" bestFit="1" customWidth="1"/>
    <col min="14860" max="14860" width="8.6640625" style="49" bestFit="1" customWidth="1"/>
    <col min="14861" max="14861" width="8.33203125" style="49" customWidth="1"/>
    <col min="14862" max="14862" width="8.1640625" style="49" customWidth="1"/>
    <col min="14863" max="14863" width="8.33203125" style="49" bestFit="1" customWidth="1"/>
    <col min="14864" max="14864" width="8.1640625" style="49" customWidth="1"/>
    <col min="14865" max="15106" width="9.33203125" style="49"/>
    <col min="15107" max="15107" width="8.6640625" style="49" customWidth="1"/>
    <col min="15108" max="15108" width="8" style="49" bestFit="1" customWidth="1"/>
    <col min="15109" max="15109" width="9.1640625" style="49" customWidth="1"/>
    <col min="15110" max="15110" width="6.33203125" style="49" customWidth="1"/>
    <col min="15111" max="15111" width="7.6640625" style="49" customWidth="1"/>
    <col min="15112" max="15112" width="6.33203125" style="49" customWidth="1"/>
    <col min="15113" max="15113" width="7" style="49" customWidth="1"/>
    <col min="15114" max="15114" width="8.33203125" style="49" customWidth="1"/>
    <col min="15115" max="15115" width="10" style="49" bestFit="1" customWidth="1"/>
    <col min="15116" max="15116" width="8.6640625" style="49" bestFit="1" customWidth="1"/>
    <col min="15117" max="15117" width="8.33203125" style="49" customWidth="1"/>
    <col min="15118" max="15118" width="8.1640625" style="49" customWidth="1"/>
    <col min="15119" max="15119" width="8.33203125" style="49" bestFit="1" customWidth="1"/>
    <col min="15120" max="15120" width="8.1640625" style="49" customWidth="1"/>
    <col min="15121" max="15362" width="9.33203125" style="49"/>
    <col min="15363" max="15363" width="8.6640625" style="49" customWidth="1"/>
    <col min="15364" max="15364" width="8" style="49" bestFit="1" customWidth="1"/>
    <col min="15365" max="15365" width="9.1640625" style="49" customWidth="1"/>
    <col min="15366" max="15366" width="6.33203125" style="49" customWidth="1"/>
    <col min="15367" max="15367" width="7.6640625" style="49" customWidth="1"/>
    <col min="15368" max="15368" width="6.33203125" style="49" customWidth="1"/>
    <col min="15369" max="15369" width="7" style="49" customWidth="1"/>
    <col min="15370" max="15370" width="8.33203125" style="49" customWidth="1"/>
    <col min="15371" max="15371" width="10" style="49" bestFit="1" customWidth="1"/>
    <col min="15372" max="15372" width="8.6640625" style="49" bestFit="1" customWidth="1"/>
    <col min="15373" max="15373" width="8.33203125" style="49" customWidth="1"/>
    <col min="15374" max="15374" width="8.1640625" style="49" customWidth="1"/>
    <col min="15375" max="15375" width="8.33203125" style="49" bestFit="1" customWidth="1"/>
    <col min="15376" max="15376" width="8.1640625" style="49" customWidth="1"/>
    <col min="15377" max="15618" width="9.33203125" style="49"/>
    <col min="15619" max="15619" width="8.6640625" style="49" customWidth="1"/>
    <col min="15620" max="15620" width="8" style="49" bestFit="1" customWidth="1"/>
    <col min="15621" max="15621" width="9.1640625" style="49" customWidth="1"/>
    <col min="15622" max="15622" width="6.33203125" style="49" customWidth="1"/>
    <col min="15623" max="15623" width="7.6640625" style="49" customWidth="1"/>
    <col min="15624" max="15624" width="6.33203125" style="49" customWidth="1"/>
    <col min="15625" max="15625" width="7" style="49" customWidth="1"/>
    <col min="15626" max="15626" width="8.33203125" style="49" customWidth="1"/>
    <col min="15627" max="15627" width="10" style="49" bestFit="1" customWidth="1"/>
    <col min="15628" max="15628" width="8.6640625" style="49" bestFit="1" customWidth="1"/>
    <col min="15629" max="15629" width="8.33203125" style="49" customWidth="1"/>
    <col min="15630" max="15630" width="8.1640625" style="49" customWidth="1"/>
    <col min="15631" max="15631" width="8.33203125" style="49" bestFit="1" customWidth="1"/>
    <col min="15632" max="15632" width="8.1640625" style="49" customWidth="1"/>
    <col min="15633" max="15874" width="9.33203125" style="49"/>
    <col min="15875" max="15875" width="8.6640625" style="49" customWidth="1"/>
    <col min="15876" max="15876" width="8" style="49" bestFit="1" customWidth="1"/>
    <col min="15877" max="15877" width="9.1640625" style="49" customWidth="1"/>
    <col min="15878" max="15878" width="6.33203125" style="49" customWidth="1"/>
    <col min="15879" max="15879" width="7.6640625" style="49" customWidth="1"/>
    <col min="15880" max="15880" width="6.33203125" style="49" customWidth="1"/>
    <col min="15881" max="15881" width="7" style="49" customWidth="1"/>
    <col min="15882" max="15882" width="8.33203125" style="49" customWidth="1"/>
    <col min="15883" max="15883" width="10" style="49" bestFit="1" customWidth="1"/>
    <col min="15884" max="15884" width="8.6640625" style="49" bestFit="1" customWidth="1"/>
    <col min="15885" max="15885" width="8.33203125" style="49" customWidth="1"/>
    <col min="15886" max="15886" width="8.1640625" style="49" customWidth="1"/>
    <col min="15887" max="15887" width="8.33203125" style="49" bestFit="1" customWidth="1"/>
    <col min="15888" max="15888" width="8.1640625" style="49" customWidth="1"/>
    <col min="15889" max="16130" width="9.33203125" style="49"/>
    <col min="16131" max="16131" width="8.6640625" style="49" customWidth="1"/>
    <col min="16132" max="16132" width="8" style="49" bestFit="1" customWidth="1"/>
    <col min="16133" max="16133" width="9.1640625" style="49" customWidth="1"/>
    <col min="16134" max="16134" width="6.33203125" style="49" customWidth="1"/>
    <col min="16135" max="16135" width="7.6640625" style="49" customWidth="1"/>
    <col min="16136" max="16136" width="6.33203125" style="49" customWidth="1"/>
    <col min="16137" max="16137" width="7" style="49" customWidth="1"/>
    <col min="16138" max="16138" width="8.33203125" style="49" customWidth="1"/>
    <col min="16139" max="16139" width="10" style="49" bestFit="1" customWidth="1"/>
    <col min="16140" max="16140" width="8.6640625" style="49" bestFit="1" customWidth="1"/>
    <col min="16141" max="16141" width="8.33203125" style="49" customWidth="1"/>
    <col min="16142" max="16142" width="8.1640625" style="49" customWidth="1"/>
    <col min="16143" max="16143" width="8.33203125" style="49" bestFit="1" customWidth="1"/>
    <col min="16144" max="16144" width="8.1640625" style="49" customWidth="1"/>
    <col min="16145" max="16384" width="9.33203125" style="49"/>
  </cols>
  <sheetData>
    <row r="1" spans="1:20">
      <c r="A1" s="180" t="s">
        <v>252</v>
      </c>
    </row>
    <row r="2" spans="1:20">
      <c r="A2" s="180" t="s">
        <v>230</v>
      </c>
    </row>
    <row r="3" spans="1:20">
      <c r="A3" s="48" t="s">
        <v>253</v>
      </c>
      <c r="B3" s="192"/>
      <c r="C3" s="192"/>
      <c r="D3" s="192"/>
      <c r="E3" s="192"/>
      <c r="F3" s="192"/>
      <c r="G3" s="192"/>
      <c r="H3" s="192"/>
      <c r="I3" s="192"/>
      <c r="J3" s="192"/>
      <c r="K3" s="192"/>
      <c r="L3" s="192"/>
      <c r="M3" s="192"/>
      <c r="N3" s="192"/>
      <c r="O3" s="193"/>
      <c r="P3" s="302"/>
      <c r="Q3" s="48"/>
      <c r="R3" s="302"/>
      <c r="S3" s="48"/>
      <c r="T3" s="48"/>
    </row>
    <row r="4" spans="1:20" ht="16.350000000000001" customHeight="1">
      <c r="A4" s="48"/>
      <c r="B4" s="1780" t="s">
        <v>254</v>
      </c>
      <c r="C4" s="1780"/>
      <c r="D4" s="1780" t="s">
        <v>255</v>
      </c>
      <c r="E4" s="1780"/>
      <c r="F4" s="1780" t="s">
        <v>256</v>
      </c>
      <c r="G4" s="1780"/>
      <c r="H4" s="1780" t="s">
        <v>257</v>
      </c>
      <c r="I4" s="1780"/>
      <c r="J4" s="1780" t="s">
        <v>258</v>
      </c>
      <c r="K4" s="1780"/>
      <c r="L4" s="1780" t="s">
        <v>259</v>
      </c>
      <c r="M4" s="1780"/>
      <c r="N4" s="1640"/>
      <c r="O4" s="48"/>
      <c r="P4" s="302"/>
      <c r="Q4" s="48"/>
      <c r="R4" s="302"/>
      <c r="S4" s="48"/>
      <c r="T4" s="48"/>
    </row>
    <row r="5" spans="1:20">
      <c r="A5" s="48" t="s">
        <v>28</v>
      </c>
      <c r="B5" s="1640" t="s">
        <v>36</v>
      </c>
      <c r="C5" s="1640" t="s">
        <v>260</v>
      </c>
      <c r="D5" s="1640" t="s">
        <v>261</v>
      </c>
      <c r="E5" s="1640" t="s">
        <v>126</v>
      </c>
      <c r="F5" s="1640" t="s">
        <v>261</v>
      </c>
      <c r="G5" s="1640" t="s">
        <v>126</v>
      </c>
      <c r="H5" s="1640" t="s">
        <v>261</v>
      </c>
      <c r="I5" s="1640" t="s">
        <v>126</v>
      </c>
      <c r="J5" s="1640" t="s">
        <v>261</v>
      </c>
      <c r="K5" s="1640" t="s">
        <v>126</v>
      </c>
      <c r="L5" s="1640" t="s">
        <v>261</v>
      </c>
      <c r="M5" s="1640" t="s">
        <v>126</v>
      </c>
      <c r="N5" s="1640"/>
      <c r="O5" s="48" t="s">
        <v>262</v>
      </c>
      <c r="P5" s="303" t="s">
        <v>263</v>
      </c>
      <c r="Q5" s="1640" t="s">
        <v>264</v>
      </c>
      <c r="R5" s="303" t="s">
        <v>265</v>
      </c>
      <c r="S5" s="48" t="s">
        <v>28</v>
      </c>
      <c r="T5" s="194" t="s">
        <v>266</v>
      </c>
    </row>
    <row r="6" spans="1:20">
      <c r="A6" s="48">
        <v>1979</v>
      </c>
      <c r="B6" s="73">
        <f>T5addnl!C5</f>
        <v>17248</v>
      </c>
      <c r="C6" s="73">
        <f>T5addnl!D5</f>
        <v>8618</v>
      </c>
      <c r="D6" s="299">
        <v>34</v>
      </c>
      <c r="E6" s="195">
        <f t="shared" ref="E6:E51" si="0">(D6/C6)*100</f>
        <v>0.39452309120445578</v>
      </c>
      <c r="F6" s="299">
        <v>308</v>
      </c>
      <c r="G6" s="195">
        <f t="shared" ref="G6:G51" si="1">F6/C6*100</f>
        <v>3.5739150614991875</v>
      </c>
      <c r="H6" s="73">
        <f t="shared" ref="H6:H51" si="2">D6+F6</f>
        <v>342</v>
      </c>
      <c r="I6" s="195">
        <f t="shared" ref="I6:I51" si="3">H6/C6*100</f>
        <v>3.9684381527036434</v>
      </c>
      <c r="J6" s="299">
        <v>5171</v>
      </c>
      <c r="K6" s="195">
        <f t="shared" ref="K6:K35" si="4">J6/C6*100</f>
        <v>60.002320724065903</v>
      </c>
      <c r="L6" s="299">
        <v>3105</v>
      </c>
      <c r="M6" s="195">
        <f t="shared" ref="M6:M51" si="5">L6/C6*100</f>
        <v>36.029241123230449</v>
      </c>
      <c r="N6" s="1640"/>
      <c r="O6" s="196">
        <f t="shared" ref="O6:O50" si="6">C6/B6</f>
        <v>0.49965213358070498</v>
      </c>
      <c r="P6" s="304">
        <f>T5addnl!B5</f>
        <v>58483</v>
      </c>
      <c r="Q6" s="408">
        <f t="shared" ref="Q6:Q50" si="7">B6/P6</f>
        <v>0.2949233110476549</v>
      </c>
      <c r="R6" s="302">
        <f t="shared" ref="R6:R50" si="8">ROUND(C6/P6,2)</f>
        <v>0.15</v>
      </c>
      <c r="S6" s="48">
        <v>1979</v>
      </c>
      <c r="T6" s="764" t="s">
        <v>48</v>
      </c>
    </row>
    <row r="7" spans="1:20" ht="13.5" customHeight="1">
      <c r="A7" s="48">
        <v>1980</v>
      </c>
      <c r="B7" s="73">
        <f>T5addnl!C6</f>
        <v>16954</v>
      </c>
      <c r="C7" s="73">
        <f>T5addnl!D6</f>
        <v>7419</v>
      </c>
      <c r="D7" s="299">
        <v>12</v>
      </c>
      <c r="E7" s="195">
        <f t="shared" si="0"/>
        <v>0.16174686615446826</v>
      </c>
      <c r="F7" s="299">
        <v>239</v>
      </c>
      <c r="G7" s="195">
        <f t="shared" si="1"/>
        <v>3.2214584175764926</v>
      </c>
      <c r="H7" s="73">
        <f t="shared" si="2"/>
        <v>251</v>
      </c>
      <c r="I7" s="195">
        <f t="shared" si="3"/>
        <v>3.3832052837309612</v>
      </c>
      <c r="J7" s="299">
        <v>4284</v>
      </c>
      <c r="K7" s="195">
        <f t="shared" si="4"/>
        <v>57.743631217145165</v>
      </c>
      <c r="L7" s="299">
        <v>2884</v>
      </c>
      <c r="M7" s="195">
        <f t="shared" si="5"/>
        <v>38.873163499123869</v>
      </c>
      <c r="N7" s="195"/>
      <c r="O7" s="196">
        <f t="shared" si="6"/>
        <v>0.43759584758758996</v>
      </c>
      <c r="P7" s="304">
        <f>T5addnl!B6</f>
        <v>57692</v>
      </c>
      <c r="Q7" s="408">
        <f t="shared" si="7"/>
        <v>0.29387090064480342</v>
      </c>
      <c r="R7" s="302">
        <f t="shared" si="8"/>
        <v>0.13</v>
      </c>
      <c r="S7" s="48">
        <v>1980</v>
      </c>
      <c r="T7" s="197">
        <f t="shared" ref="T7:T49" si="9">RANK(B7,$B$7:$B$49,0)</f>
        <v>19</v>
      </c>
    </row>
    <row r="8" spans="1:20">
      <c r="A8" s="48">
        <v>1981</v>
      </c>
      <c r="B8" s="73">
        <f>T5addnl!C7</f>
        <v>14157</v>
      </c>
      <c r="C8" s="73">
        <f>T5addnl!D7</f>
        <v>5734</v>
      </c>
      <c r="D8" s="299">
        <v>78</v>
      </c>
      <c r="E8" s="195">
        <f t="shared" si="0"/>
        <v>1.3603069410533659</v>
      </c>
      <c r="F8" s="299">
        <v>289</v>
      </c>
      <c r="G8" s="195">
        <f t="shared" si="1"/>
        <v>5.040111614928497</v>
      </c>
      <c r="H8" s="73">
        <f t="shared" si="2"/>
        <v>367</v>
      </c>
      <c r="I8" s="195">
        <f t="shared" si="3"/>
        <v>6.4004185559818625</v>
      </c>
      <c r="J8" s="299">
        <v>2285</v>
      </c>
      <c r="K8" s="195">
        <f t="shared" si="4"/>
        <v>39.850017439832577</v>
      </c>
      <c r="L8" s="299">
        <v>3082</v>
      </c>
      <c r="M8" s="195">
        <f t="shared" si="5"/>
        <v>53.749564004185558</v>
      </c>
      <c r="N8" s="195"/>
      <c r="O8" s="196">
        <f t="shared" si="6"/>
        <v>0.40502931412022319</v>
      </c>
      <c r="P8" s="304">
        <f>T5addnl!B7</f>
        <v>67401</v>
      </c>
      <c r="Q8" s="408">
        <f t="shared" si="7"/>
        <v>0.21004139404459873</v>
      </c>
      <c r="R8" s="302">
        <f t="shared" si="8"/>
        <v>0.09</v>
      </c>
      <c r="S8" s="48">
        <v>1981</v>
      </c>
      <c r="T8" s="197">
        <f t="shared" si="9"/>
        <v>30</v>
      </c>
    </row>
    <row r="9" spans="1:20">
      <c r="A9" s="48">
        <v>1982</v>
      </c>
      <c r="B9" s="73">
        <f>T5addnl!C8</f>
        <v>15840</v>
      </c>
      <c r="C9" s="73">
        <f>T5addnl!D8</f>
        <v>6578</v>
      </c>
      <c r="D9" s="299">
        <v>114</v>
      </c>
      <c r="E9" s="195">
        <f t="shared" si="0"/>
        <v>1.7330495591365156</v>
      </c>
      <c r="F9" s="299">
        <v>452</v>
      </c>
      <c r="G9" s="195">
        <f t="shared" si="1"/>
        <v>6.8713894800851332</v>
      </c>
      <c r="H9" s="73">
        <f t="shared" si="2"/>
        <v>566</v>
      </c>
      <c r="I9" s="195">
        <f t="shared" si="3"/>
        <v>8.6044390392216474</v>
      </c>
      <c r="J9" s="299">
        <v>2869</v>
      </c>
      <c r="K9" s="195">
        <f t="shared" si="4"/>
        <v>43.615080571602313</v>
      </c>
      <c r="L9" s="299">
        <v>3143</v>
      </c>
      <c r="M9" s="195">
        <f t="shared" si="5"/>
        <v>47.780480389176041</v>
      </c>
      <c r="N9" s="195"/>
      <c r="O9" s="196">
        <f t="shared" si="6"/>
        <v>0.4152777777777778</v>
      </c>
      <c r="P9" s="304">
        <f>T5addnl!B8</f>
        <v>77246</v>
      </c>
      <c r="Q9" s="408">
        <f t="shared" si="7"/>
        <v>0.20505916163943763</v>
      </c>
      <c r="R9" s="302">
        <f t="shared" si="8"/>
        <v>0.09</v>
      </c>
      <c r="S9" s="48">
        <v>1982</v>
      </c>
      <c r="T9" s="197">
        <f t="shared" si="9"/>
        <v>25</v>
      </c>
    </row>
    <row r="10" spans="1:20">
      <c r="A10" s="48">
        <v>1983</v>
      </c>
      <c r="B10" s="73">
        <f>T5addnl!C9</f>
        <v>16108</v>
      </c>
      <c r="C10" s="73">
        <f>T5addnl!D9</f>
        <v>7340</v>
      </c>
      <c r="D10" s="299">
        <v>352</v>
      </c>
      <c r="E10" s="195">
        <f t="shared" si="0"/>
        <v>4.7956403269754766</v>
      </c>
      <c r="F10" s="299">
        <v>295</v>
      </c>
      <c r="G10" s="195">
        <f t="shared" si="1"/>
        <v>4.0190735694822886</v>
      </c>
      <c r="H10" s="73">
        <f t="shared" si="2"/>
        <v>647</v>
      </c>
      <c r="I10" s="195">
        <f t="shared" si="3"/>
        <v>8.814713896457766</v>
      </c>
      <c r="J10" s="299">
        <v>2364</v>
      </c>
      <c r="K10" s="195">
        <f t="shared" si="4"/>
        <v>32.207084468664846</v>
      </c>
      <c r="L10" s="299">
        <v>4328</v>
      </c>
      <c r="M10" s="195">
        <f t="shared" si="5"/>
        <v>58.964577656675758</v>
      </c>
      <c r="N10" s="195"/>
      <c r="O10" s="196">
        <f t="shared" si="6"/>
        <v>0.45567419915569901</v>
      </c>
      <c r="P10" s="304">
        <f>T5addnl!B9</f>
        <v>62912</v>
      </c>
      <c r="Q10" s="408">
        <f t="shared" si="7"/>
        <v>0.25604018311291965</v>
      </c>
      <c r="R10" s="302">
        <f t="shared" si="8"/>
        <v>0.12</v>
      </c>
      <c r="S10" s="48">
        <v>1983</v>
      </c>
      <c r="T10" s="197">
        <f t="shared" si="9"/>
        <v>23</v>
      </c>
    </row>
    <row r="11" spans="1:20">
      <c r="A11" s="48">
        <v>1984</v>
      </c>
      <c r="B11" s="73">
        <f>T5addnl!C10</f>
        <v>16816</v>
      </c>
      <c r="C11" s="73">
        <f>T5addnl!D10</f>
        <v>6663</v>
      </c>
      <c r="D11" s="299">
        <v>229</v>
      </c>
      <c r="E11" s="195">
        <f t="shared" si="0"/>
        <v>3.4368902896593125</v>
      </c>
      <c r="F11" s="299">
        <v>442</v>
      </c>
      <c r="G11" s="195">
        <f t="shared" si="1"/>
        <v>6.6336485066786732</v>
      </c>
      <c r="H11" s="73">
        <f t="shared" si="2"/>
        <v>671</v>
      </c>
      <c r="I11" s="195">
        <f t="shared" si="3"/>
        <v>10.070538796337985</v>
      </c>
      <c r="J11" s="299">
        <v>1424</v>
      </c>
      <c r="K11" s="195">
        <f t="shared" si="4"/>
        <v>21.371754464955725</v>
      </c>
      <c r="L11" s="299">
        <v>4568</v>
      </c>
      <c r="M11" s="195">
        <f t="shared" si="5"/>
        <v>68.557706738706287</v>
      </c>
      <c r="N11" s="195"/>
      <c r="O11" s="196">
        <f t="shared" si="6"/>
        <v>0.39622978116079927</v>
      </c>
      <c r="P11" s="304">
        <f>T5addnl!B10</f>
        <v>52357</v>
      </c>
      <c r="Q11" s="408">
        <f t="shared" si="7"/>
        <v>0.32117959394159329</v>
      </c>
      <c r="R11" s="302">
        <f t="shared" si="8"/>
        <v>0.13</v>
      </c>
      <c r="S11" s="48">
        <v>1984</v>
      </c>
      <c r="T11" s="197">
        <f t="shared" si="9"/>
        <v>21</v>
      </c>
    </row>
    <row r="12" spans="1:20">
      <c r="A12" s="48">
        <v>1985</v>
      </c>
      <c r="B12" s="73">
        <f>T5addnl!C11</f>
        <v>28994</v>
      </c>
      <c r="C12" s="73">
        <f>T5addnl!D11</f>
        <v>10467</v>
      </c>
      <c r="D12" s="299">
        <v>378</v>
      </c>
      <c r="E12" s="195">
        <f t="shared" si="0"/>
        <v>3.611349957007739</v>
      </c>
      <c r="F12" s="299">
        <v>356</v>
      </c>
      <c r="G12" s="195">
        <f t="shared" si="1"/>
        <v>3.4011655679755419</v>
      </c>
      <c r="H12" s="73">
        <f t="shared" si="2"/>
        <v>734</v>
      </c>
      <c r="I12" s="195">
        <f t="shared" si="3"/>
        <v>7.0125155249832805</v>
      </c>
      <c r="J12" s="299">
        <v>653</v>
      </c>
      <c r="K12" s="195">
        <f t="shared" si="4"/>
        <v>6.2386548199101934</v>
      </c>
      <c r="L12" s="299">
        <v>9081</v>
      </c>
      <c r="M12" s="195">
        <f t="shared" si="5"/>
        <v>86.758383490971624</v>
      </c>
      <c r="N12" s="195"/>
      <c r="O12" s="196">
        <f t="shared" si="6"/>
        <v>0.36100572532248049</v>
      </c>
      <c r="P12" s="304">
        <f>T5addnl!B11</f>
        <v>92284</v>
      </c>
      <c r="Q12" s="408">
        <f t="shared" si="7"/>
        <v>0.31418230679207665</v>
      </c>
      <c r="R12" s="302">
        <f t="shared" si="8"/>
        <v>0.11</v>
      </c>
      <c r="S12" s="48">
        <v>1985</v>
      </c>
      <c r="T12" s="197">
        <f t="shared" si="9"/>
        <v>8</v>
      </c>
    </row>
    <row r="13" spans="1:20">
      <c r="A13" s="48">
        <v>1986</v>
      </c>
      <c r="B13" s="73">
        <f>T5addnl!C12</f>
        <v>29506</v>
      </c>
      <c r="C13" s="73">
        <f>T5addnl!D12</f>
        <v>8389</v>
      </c>
      <c r="D13" s="299">
        <v>171</v>
      </c>
      <c r="E13" s="195">
        <f t="shared" si="0"/>
        <v>2.0383835975682443</v>
      </c>
      <c r="F13" s="299">
        <v>486</v>
      </c>
      <c r="G13" s="195">
        <f t="shared" si="1"/>
        <v>5.7933007509834304</v>
      </c>
      <c r="H13" s="73">
        <f t="shared" si="2"/>
        <v>657</v>
      </c>
      <c r="I13" s="195">
        <f t="shared" si="3"/>
        <v>7.8316843485516747</v>
      </c>
      <c r="J13" s="299">
        <v>1893</v>
      </c>
      <c r="K13" s="195">
        <f t="shared" si="4"/>
        <v>22.565264036237931</v>
      </c>
      <c r="L13" s="299">
        <v>5839</v>
      </c>
      <c r="M13" s="195">
        <f t="shared" si="5"/>
        <v>69.603051615210404</v>
      </c>
      <c r="N13" s="195"/>
      <c r="O13" s="196">
        <f t="shared" si="6"/>
        <v>0.2843150545651732</v>
      </c>
      <c r="P13" s="304">
        <f>T5addnl!B12</f>
        <v>128413</v>
      </c>
      <c r="Q13" s="408">
        <f t="shared" si="7"/>
        <v>0.22977424404071239</v>
      </c>
      <c r="R13" s="302">
        <f t="shared" si="8"/>
        <v>7.0000000000000007E-2</v>
      </c>
      <c r="S13" s="48">
        <v>1986</v>
      </c>
      <c r="T13" s="197">
        <f t="shared" si="9"/>
        <v>6</v>
      </c>
    </row>
    <row r="14" spans="1:20">
      <c r="A14" s="48">
        <v>1987</v>
      </c>
      <c r="B14" s="73">
        <f>T5addnl!C13</f>
        <v>25544</v>
      </c>
      <c r="C14" s="73">
        <f>T5addnl!D13</f>
        <v>8774</v>
      </c>
      <c r="D14" s="299">
        <v>135</v>
      </c>
      <c r="E14" s="195">
        <f t="shared" si="0"/>
        <v>1.5386368816959197</v>
      </c>
      <c r="F14" s="299">
        <v>530</v>
      </c>
      <c r="G14" s="195">
        <f t="shared" si="1"/>
        <v>6.0405744244358326</v>
      </c>
      <c r="H14" s="73">
        <f t="shared" si="2"/>
        <v>665</v>
      </c>
      <c r="I14" s="195">
        <f t="shared" si="3"/>
        <v>7.5792113061317528</v>
      </c>
      <c r="J14" s="299">
        <v>1775</v>
      </c>
      <c r="K14" s="195">
        <f t="shared" si="4"/>
        <v>20.230225666742648</v>
      </c>
      <c r="L14" s="299">
        <v>6335</v>
      </c>
      <c r="M14" s="195">
        <f t="shared" si="5"/>
        <v>72.201960337360376</v>
      </c>
      <c r="N14" s="195"/>
      <c r="O14" s="196">
        <f t="shared" si="6"/>
        <v>0.34348575007829629</v>
      </c>
      <c r="P14" s="304">
        <f>T5addnl!B13</f>
        <v>110772</v>
      </c>
      <c r="Q14" s="408">
        <f t="shared" si="7"/>
        <v>0.23059979056079152</v>
      </c>
      <c r="R14" s="302">
        <f t="shared" si="8"/>
        <v>0.08</v>
      </c>
      <c r="S14" s="48">
        <v>1987</v>
      </c>
      <c r="T14" s="197">
        <f t="shared" si="9"/>
        <v>11</v>
      </c>
    </row>
    <row r="15" spans="1:20">
      <c r="A15" s="48">
        <v>1988</v>
      </c>
      <c r="B15" s="73">
        <f>T5addnl!C14</f>
        <v>21098</v>
      </c>
      <c r="C15" s="73">
        <f>T5addnl!D14</f>
        <v>7546</v>
      </c>
      <c r="D15" s="299">
        <v>481</v>
      </c>
      <c r="E15" s="195">
        <f t="shared" si="0"/>
        <v>6.3742380068910682</v>
      </c>
      <c r="F15" s="299">
        <v>491</v>
      </c>
      <c r="G15" s="195">
        <f t="shared" si="1"/>
        <v>6.5067585475748739</v>
      </c>
      <c r="H15" s="73">
        <f t="shared" si="2"/>
        <v>972</v>
      </c>
      <c r="I15" s="195">
        <f t="shared" si="3"/>
        <v>12.880996554465943</v>
      </c>
      <c r="J15" s="299">
        <v>898</v>
      </c>
      <c r="K15" s="195">
        <f t="shared" si="4"/>
        <v>11.900344553405779</v>
      </c>
      <c r="L15" s="299">
        <v>5675</v>
      </c>
      <c r="M15" s="195">
        <f t="shared" si="5"/>
        <v>75.205406838059901</v>
      </c>
      <c r="N15" s="195"/>
      <c r="O15" s="196">
        <f t="shared" si="6"/>
        <v>0.35766423357664234</v>
      </c>
      <c r="P15" s="304">
        <f>T5addnl!B14</f>
        <v>106003</v>
      </c>
      <c r="Q15" s="408">
        <f t="shared" si="7"/>
        <v>0.19903210286501324</v>
      </c>
      <c r="R15" s="302">
        <f t="shared" si="8"/>
        <v>7.0000000000000007E-2</v>
      </c>
      <c r="S15" s="48">
        <v>1988</v>
      </c>
      <c r="T15" s="197">
        <f t="shared" si="9"/>
        <v>15</v>
      </c>
    </row>
    <row r="16" spans="1:20">
      <c r="A16" s="48">
        <v>1989</v>
      </c>
      <c r="B16" s="73">
        <f>T5addnl!C15</f>
        <v>18745</v>
      </c>
      <c r="C16" s="73">
        <f>T5addnl!D15</f>
        <v>7400</v>
      </c>
      <c r="D16" s="299">
        <v>175</v>
      </c>
      <c r="E16" s="195">
        <f t="shared" si="0"/>
        <v>2.3648648648648649</v>
      </c>
      <c r="F16" s="299">
        <v>554</v>
      </c>
      <c r="G16" s="195">
        <f t="shared" si="1"/>
        <v>7.486486486486486</v>
      </c>
      <c r="H16" s="73">
        <f t="shared" si="2"/>
        <v>729</v>
      </c>
      <c r="I16" s="195">
        <f t="shared" si="3"/>
        <v>9.8513513513513526</v>
      </c>
      <c r="J16" s="299">
        <v>2585</v>
      </c>
      <c r="K16" s="195">
        <f t="shared" si="4"/>
        <v>34.932432432432428</v>
      </c>
      <c r="L16" s="299">
        <v>4086</v>
      </c>
      <c r="M16" s="195">
        <f t="shared" si="5"/>
        <v>55.216216216216218</v>
      </c>
      <c r="N16" s="195"/>
      <c r="O16" s="196">
        <f t="shared" si="6"/>
        <v>0.39477193918378234</v>
      </c>
      <c r="P16" s="304">
        <f>T5addnl!B15</f>
        <v>90031</v>
      </c>
      <c r="Q16" s="408">
        <f t="shared" si="7"/>
        <v>0.20820606235629949</v>
      </c>
      <c r="R16" s="302">
        <f t="shared" si="8"/>
        <v>0.08</v>
      </c>
      <c r="S16" s="48">
        <v>1989</v>
      </c>
      <c r="T16" s="197">
        <f t="shared" si="9"/>
        <v>17</v>
      </c>
    </row>
    <row r="17" spans="1:20">
      <c r="A17" s="48">
        <v>1990</v>
      </c>
      <c r="B17" s="73">
        <f>T5addnl!C16</f>
        <v>12052</v>
      </c>
      <c r="C17" s="73">
        <f>T5addnl!D16</f>
        <v>4342</v>
      </c>
      <c r="D17" s="299">
        <v>218</v>
      </c>
      <c r="E17" s="195">
        <f t="shared" si="0"/>
        <v>5.0207277752187931</v>
      </c>
      <c r="F17" s="299">
        <v>280</v>
      </c>
      <c r="G17" s="195">
        <f t="shared" si="1"/>
        <v>6.4486411791801004</v>
      </c>
      <c r="H17" s="73">
        <f t="shared" si="2"/>
        <v>498</v>
      </c>
      <c r="I17" s="195">
        <f t="shared" si="3"/>
        <v>11.469368954398893</v>
      </c>
      <c r="J17" s="299">
        <v>1105</v>
      </c>
      <c r="K17" s="195">
        <f t="shared" si="4"/>
        <v>25.449101796407188</v>
      </c>
      <c r="L17" s="299">
        <v>2739</v>
      </c>
      <c r="M17" s="195">
        <f t="shared" si="5"/>
        <v>63.08152924919392</v>
      </c>
      <c r="N17" s="195"/>
      <c r="O17" s="196">
        <f t="shared" si="6"/>
        <v>0.36027215399933621</v>
      </c>
      <c r="P17" s="304">
        <f>T5addnl!B16</f>
        <v>105715</v>
      </c>
      <c r="Q17" s="408">
        <f t="shared" si="7"/>
        <v>0.11400463510381686</v>
      </c>
      <c r="R17" s="302">
        <f t="shared" si="8"/>
        <v>0.04</v>
      </c>
      <c r="S17" s="48">
        <v>1990</v>
      </c>
      <c r="T17" s="197">
        <f t="shared" si="9"/>
        <v>35</v>
      </c>
    </row>
    <row r="18" spans="1:20">
      <c r="A18" s="48">
        <v>1991</v>
      </c>
      <c r="B18" s="73">
        <f>T5addnl!C17</f>
        <v>8698</v>
      </c>
      <c r="C18" s="73">
        <f>T5addnl!D17</f>
        <v>2478</v>
      </c>
      <c r="D18" s="299">
        <v>97</v>
      </c>
      <c r="E18" s="195">
        <f t="shared" si="0"/>
        <v>3.9144471347861178</v>
      </c>
      <c r="F18" s="299">
        <v>148</v>
      </c>
      <c r="G18" s="195">
        <f t="shared" si="1"/>
        <v>5.9725585149313964</v>
      </c>
      <c r="H18" s="73">
        <f t="shared" si="2"/>
        <v>245</v>
      </c>
      <c r="I18" s="195">
        <f t="shared" si="3"/>
        <v>9.8870056497175138</v>
      </c>
      <c r="J18" s="299">
        <v>680</v>
      </c>
      <c r="K18" s="195">
        <f t="shared" si="4"/>
        <v>27.441485068603711</v>
      </c>
      <c r="L18" s="299">
        <v>1553</v>
      </c>
      <c r="M18" s="195">
        <f t="shared" si="5"/>
        <v>62.671509281678773</v>
      </c>
      <c r="N18" s="195"/>
      <c r="O18" s="196">
        <f t="shared" si="6"/>
        <v>0.28489307886870546</v>
      </c>
      <c r="P18" s="304">
        <f>T5addnl!B17</f>
        <v>64479</v>
      </c>
      <c r="Q18" s="408">
        <f t="shared" si="7"/>
        <v>0.13489663301229857</v>
      </c>
      <c r="R18" s="302">
        <f t="shared" si="8"/>
        <v>0.04</v>
      </c>
      <c r="S18" s="48">
        <v>1991</v>
      </c>
      <c r="T18" s="197">
        <f t="shared" si="9"/>
        <v>37</v>
      </c>
    </row>
    <row r="19" spans="1:20">
      <c r="A19" s="48">
        <v>1992</v>
      </c>
      <c r="B19" s="73">
        <f>T5addnl!C18</f>
        <v>20734</v>
      </c>
      <c r="C19" s="73">
        <f>T5addnl!D18</f>
        <v>4261</v>
      </c>
      <c r="D19" s="299">
        <v>69</v>
      </c>
      <c r="E19" s="195">
        <f t="shared" si="0"/>
        <v>1.6193381835249943</v>
      </c>
      <c r="F19" s="299">
        <v>259</v>
      </c>
      <c r="G19" s="195">
        <f t="shared" si="1"/>
        <v>6.0783853555503402</v>
      </c>
      <c r="H19" s="73">
        <f t="shared" si="2"/>
        <v>328</v>
      </c>
      <c r="I19" s="195">
        <f t="shared" si="3"/>
        <v>7.6977235390753336</v>
      </c>
      <c r="J19" s="299">
        <v>772</v>
      </c>
      <c r="K19" s="195">
        <f t="shared" si="4"/>
        <v>18.117812720018776</v>
      </c>
      <c r="L19" s="299">
        <v>3161</v>
      </c>
      <c r="M19" s="195">
        <f t="shared" si="5"/>
        <v>74.184463740905898</v>
      </c>
      <c r="N19" s="195"/>
      <c r="O19" s="196">
        <f t="shared" si="6"/>
        <v>0.20550786148355357</v>
      </c>
      <c r="P19" s="304">
        <f>T5addnl!B18</f>
        <v>95691</v>
      </c>
      <c r="Q19" s="408">
        <f t="shared" si="7"/>
        <v>0.21667659445506893</v>
      </c>
      <c r="R19" s="302">
        <f t="shared" si="8"/>
        <v>0.04</v>
      </c>
      <c r="S19" s="48">
        <v>1992</v>
      </c>
      <c r="T19" s="197">
        <f t="shared" si="9"/>
        <v>16</v>
      </c>
    </row>
    <row r="20" spans="1:20">
      <c r="A20" s="48">
        <v>1993</v>
      </c>
      <c r="B20" s="73">
        <f>T5addnl!C19</f>
        <v>26056</v>
      </c>
      <c r="C20" s="73">
        <f>T5addnl!D19</f>
        <v>4054</v>
      </c>
      <c r="D20" s="299">
        <v>33</v>
      </c>
      <c r="E20" s="195">
        <f t="shared" si="0"/>
        <v>0.81401085347804636</v>
      </c>
      <c r="F20" s="299">
        <v>247</v>
      </c>
      <c r="G20" s="195">
        <f t="shared" si="1"/>
        <v>6.0927479033053773</v>
      </c>
      <c r="H20" s="73">
        <f t="shared" si="2"/>
        <v>280</v>
      </c>
      <c r="I20" s="195">
        <f t="shared" si="3"/>
        <v>6.9067587567834234</v>
      </c>
      <c r="J20" s="299">
        <v>676</v>
      </c>
      <c r="K20" s="195">
        <f t="shared" si="4"/>
        <v>16.674888998519979</v>
      </c>
      <c r="L20" s="299">
        <v>3098</v>
      </c>
      <c r="M20" s="195">
        <f t="shared" si="5"/>
        <v>76.418352244696592</v>
      </c>
      <c r="N20" s="195"/>
      <c r="O20" s="196">
        <f t="shared" si="6"/>
        <v>0.15558796438440284</v>
      </c>
      <c r="P20" s="304">
        <f>T5addnl!B19</f>
        <v>119963</v>
      </c>
      <c r="Q20" s="408">
        <f t="shared" si="7"/>
        <v>0.21720030342688995</v>
      </c>
      <c r="R20" s="302">
        <f t="shared" si="8"/>
        <v>0.03</v>
      </c>
      <c r="S20" s="48">
        <v>1993</v>
      </c>
      <c r="T20" s="197">
        <f t="shared" si="9"/>
        <v>10</v>
      </c>
    </row>
    <row r="21" spans="1:20">
      <c r="A21" s="48">
        <v>1994</v>
      </c>
      <c r="B21" s="73">
        <f>T5addnl!C20</f>
        <v>3458</v>
      </c>
      <c r="C21" s="73">
        <f>T5addnl!D20</f>
        <v>1056</v>
      </c>
      <c r="D21" s="299">
        <v>41</v>
      </c>
      <c r="E21" s="195">
        <f t="shared" si="0"/>
        <v>3.8825757575757578</v>
      </c>
      <c r="F21" s="299">
        <v>51</v>
      </c>
      <c r="G21" s="195">
        <f t="shared" si="1"/>
        <v>4.8295454545454541</v>
      </c>
      <c r="H21" s="73">
        <f t="shared" si="2"/>
        <v>92</v>
      </c>
      <c r="I21" s="195">
        <f t="shared" si="3"/>
        <v>8.7121212121212128</v>
      </c>
      <c r="J21" s="299">
        <v>352</v>
      </c>
      <c r="K21" s="195">
        <f t="shared" si="4"/>
        <v>33.333333333333329</v>
      </c>
      <c r="L21" s="299">
        <v>612</v>
      </c>
      <c r="M21" s="195">
        <f t="shared" si="5"/>
        <v>57.95454545454546</v>
      </c>
      <c r="N21" s="195"/>
      <c r="O21" s="196">
        <f t="shared" si="6"/>
        <v>0.30537883169462116</v>
      </c>
      <c r="P21" s="304">
        <f>T5addnl!B20</f>
        <v>24095</v>
      </c>
      <c r="Q21" s="408">
        <f t="shared" si="7"/>
        <v>0.14351525212699731</v>
      </c>
      <c r="R21" s="302">
        <f t="shared" si="8"/>
        <v>0.04</v>
      </c>
      <c r="S21" s="48">
        <v>1994</v>
      </c>
      <c r="T21" s="197">
        <f t="shared" si="9"/>
        <v>42</v>
      </c>
    </row>
    <row r="22" spans="1:20">
      <c r="A22" s="48">
        <v>1995</v>
      </c>
      <c r="B22" s="73">
        <f>T5addnl!C21</f>
        <v>1657</v>
      </c>
      <c r="C22" s="73">
        <f>T5addnl!D21</f>
        <v>226</v>
      </c>
      <c r="D22" s="299">
        <v>0</v>
      </c>
      <c r="E22" s="195">
        <f t="shared" si="0"/>
        <v>0</v>
      </c>
      <c r="F22" s="299">
        <v>11</v>
      </c>
      <c r="G22" s="195">
        <f t="shared" si="1"/>
        <v>4.8672566371681416</v>
      </c>
      <c r="H22" s="73">
        <f t="shared" si="2"/>
        <v>11</v>
      </c>
      <c r="I22" s="195">
        <f t="shared" si="3"/>
        <v>4.8672566371681416</v>
      </c>
      <c r="J22" s="299">
        <v>107</v>
      </c>
      <c r="K22" s="195">
        <f t="shared" si="4"/>
        <v>47.345132743362832</v>
      </c>
      <c r="L22" s="299">
        <v>108</v>
      </c>
      <c r="M22" s="195">
        <f t="shared" si="5"/>
        <v>47.787610619469028</v>
      </c>
      <c r="N22" s="195"/>
      <c r="O22" s="196">
        <f t="shared" si="6"/>
        <v>0.13639106819553409</v>
      </c>
      <c r="P22" s="304">
        <f>T5addnl!B21</f>
        <v>12792</v>
      </c>
      <c r="Q22" s="408">
        <f t="shared" si="7"/>
        <v>0.12953408380237649</v>
      </c>
      <c r="R22" s="302">
        <f t="shared" si="8"/>
        <v>0.02</v>
      </c>
      <c r="S22" s="48">
        <v>1995</v>
      </c>
      <c r="T22" s="197">
        <f t="shared" si="9"/>
        <v>43</v>
      </c>
    </row>
    <row r="23" spans="1:20">
      <c r="A23" s="48">
        <v>1996</v>
      </c>
      <c r="B23" s="73">
        <f>T5addnl!C22</f>
        <v>3525</v>
      </c>
      <c r="C23" s="73">
        <f>T5addnl!D22</f>
        <v>580</v>
      </c>
      <c r="D23" s="299">
        <v>1</v>
      </c>
      <c r="E23" s="195">
        <f t="shared" si="0"/>
        <v>0.17241379310344829</v>
      </c>
      <c r="F23" s="299">
        <v>30</v>
      </c>
      <c r="G23" s="195">
        <f t="shared" si="1"/>
        <v>5.1724137931034484</v>
      </c>
      <c r="H23" s="73">
        <f t="shared" si="2"/>
        <v>31</v>
      </c>
      <c r="I23" s="195">
        <f t="shared" si="3"/>
        <v>5.3448275862068968</v>
      </c>
      <c r="J23" s="299">
        <v>238</v>
      </c>
      <c r="K23" s="195">
        <f t="shared" si="4"/>
        <v>41.03448275862069</v>
      </c>
      <c r="L23" s="299">
        <v>310</v>
      </c>
      <c r="M23" s="195">
        <f t="shared" si="5"/>
        <v>53.448275862068961</v>
      </c>
      <c r="N23" s="195"/>
      <c r="O23" s="196">
        <f t="shared" si="6"/>
        <v>0.16453900709219857</v>
      </c>
      <c r="P23" s="304">
        <f>T5addnl!B22</f>
        <v>55551</v>
      </c>
      <c r="Q23" s="408">
        <f t="shared" si="7"/>
        <v>6.3455203326672788E-2</v>
      </c>
      <c r="R23" s="302">
        <f t="shared" si="8"/>
        <v>0.01</v>
      </c>
      <c r="S23" s="48">
        <v>1996</v>
      </c>
      <c r="T23" s="197">
        <f t="shared" si="9"/>
        <v>41</v>
      </c>
    </row>
    <row r="24" spans="1:20">
      <c r="A24" s="48">
        <v>1997</v>
      </c>
      <c r="B24" s="73">
        <f>T5addnl!C23</f>
        <v>9683</v>
      </c>
      <c r="C24" s="73">
        <f>T5addnl!D23</f>
        <v>1033</v>
      </c>
      <c r="D24" s="299">
        <v>1</v>
      </c>
      <c r="E24" s="195">
        <f t="shared" si="0"/>
        <v>9.6805421103581799E-2</v>
      </c>
      <c r="F24" s="299">
        <v>69</v>
      </c>
      <c r="G24" s="195">
        <f t="shared" si="1"/>
        <v>6.6795740561471444</v>
      </c>
      <c r="H24" s="73">
        <f t="shared" si="2"/>
        <v>70</v>
      </c>
      <c r="I24" s="195">
        <f t="shared" si="3"/>
        <v>6.7763794772507255</v>
      </c>
      <c r="J24" s="299">
        <v>333</v>
      </c>
      <c r="K24" s="195">
        <f t="shared" si="4"/>
        <v>32.236205227492739</v>
      </c>
      <c r="L24" s="299">
        <v>630</v>
      </c>
      <c r="M24" s="195">
        <f t="shared" si="5"/>
        <v>60.987415295256532</v>
      </c>
      <c r="N24" s="195"/>
      <c r="O24" s="196">
        <f t="shared" si="6"/>
        <v>0.10668181348755551</v>
      </c>
      <c r="P24" s="304">
        <f>T5addnl!B23</f>
        <v>124321</v>
      </c>
      <c r="Q24" s="408">
        <f t="shared" si="7"/>
        <v>7.7887082632861704E-2</v>
      </c>
      <c r="R24" s="302">
        <f t="shared" si="8"/>
        <v>0.01</v>
      </c>
      <c r="S24" s="48">
        <v>1997</v>
      </c>
      <c r="T24" s="197">
        <f t="shared" si="9"/>
        <v>36</v>
      </c>
    </row>
    <row r="25" spans="1:20">
      <c r="A25" s="48">
        <v>1998</v>
      </c>
      <c r="B25" s="73">
        <f>T5addnl!C24</f>
        <v>4531</v>
      </c>
      <c r="C25" s="73">
        <f>T5addnl!D24</f>
        <v>535</v>
      </c>
      <c r="D25" s="299">
        <v>0</v>
      </c>
      <c r="E25" s="195">
        <f t="shared" si="0"/>
        <v>0</v>
      </c>
      <c r="F25" s="299">
        <v>27</v>
      </c>
      <c r="G25" s="195">
        <f t="shared" si="1"/>
        <v>5.0467289719626169</v>
      </c>
      <c r="H25" s="73">
        <f t="shared" si="2"/>
        <v>27</v>
      </c>
      <c r="I25" s="195">
        <f t="shared" si="3"/>
        <v>5.0467289719626169</v>
      </c>
      <c r="J25" s="299">
        <v>152</v>
      </c>
      <c r="K25" s="195">
        <f t="shared" si="4"/>
        <v>28.411214953271031</v>
      </c>
      <c r="L25" s="299">
        <v>356</v>
      </c>
      <c r="M25" s="195">
        <f t="shared" si="5"/>
        <v>66.54205607476635</v>
      </c>
      <c r="N25" s="195"/>
      <c r="O25" s="196">
        <f t="shared" si="6"/>
        <v>0.11807548002648421</v>
      </c>
      <c r="P25" s="304">
        <f>T5addnl!B24</f>
        <v>44308</v>
      </c>
      <c r="Q25" s="408">
        <f t="shared" si="7"/>
        <v>0.10226144262887063</v>
      </c>
      <c r="R25" s="302">
        <f t="shared" si="8"/>
        <v>0.01</v>
      </c>
      <c r="S25" s="48">
        <v>1998</v>
      </c>
      <c r="T25" s="197">
        <f t="shared" si="9"/>
        <v>40</v>
      </c>
    </row>
    <row r="26" spans="1:20">
      <c r="A26" s="48">
        <v>1999</v>
      </c>
      <c r="B26" s="73">
        <f>T5addnl!C25</f>
        <v>4936</v>
      </c>
      <c r="C26" s="73">
        <f>T5addnl!D25</f>
        <v>435</v>
      </c>
      <c r="D26" s="299">
        <v>0</v>
      </c>
      <c r="E26" s="195">
        <f t="shared" si="0"/>
        <v>0</v>
      </c>
      <c r="F26" s="299">
        <v>21</v>
      </c>
      <c r="G26" s="195">
        <f t="shared" si="1"/>
        <v>4.8275862068965516</v>
      </c>
      <c r="H26" s="73">
        <f t="shared" si="2"/>
        <v>21</v>
      </c>
      <c r="I26" s="195">
        <f t="shared" si="3"/>
        <v>4.8275862068965516</v>
      </c>
      <c r="J26" s="299">
        <v>122</v>
      </c>
      <c r="K26" s="195">
        <f t="shared" si="4"/>
        <v>28.045977011494255</v>
      </c>
      <c r="L26" s="299">
        <v>291</v>
      </c>
      <c r="M26" s="195">
        <f t="shared" si="5"/>
        <v>66.896551724137936</v>
      </c>
      <c r="N26" s="195"/>
      <c r="O26" s="196">
        <f t="shared" si="6"/>
        <v>8.812803889789303E-2</v>
      </c>
      <c r="P26" s="304">
        <f>T5addnl!B25</f>
        <v>43067</v>
      </c>
      <c r="Q26" s="408">
        <f t="shared" si="7"/>
        <v>0.11461211600529407</v>
      </c>
      <c r="R26" s="302">
        <f t="shared" si="8"/>
        <v>0.01</v>
      </c>
      <c r="S26" s="48">
        <v>1999</v>
      </c>
      <c r="T26" s="197">
        <f t="shared" si="9"/>
        <v>39</v>
      </c>
    </row>
    <row r="27" spans="1:20">
      <c r="A27" s="48">
        <v>2000</v>
      </c>
      <c r="B27" s="73">
        <f>T5addnl!C26</f>
        <v>22332</v>
      </c>
      <c r="C27" s="73">
        <f>T5addnl!D26</f>
        <v>1448</v>
      </c>
      <c r="D27" s="299">
        <v>3</v>
      </c>
      <c r="E27" s="195">
        <f t="shared" si="0"/>
        <v>0.20718232044198895</v>
      </c>
      <c r="F27" s="299">
        <v>89</v>
      </c>
      <c r="G27" s="195">
        <f t="shared" si="1"/>
        <v>6.1464088397790055</v>
      </c>
      <c r="H27" s="73">
        <f t="shared" si="2"/>
        <v>92</v>
      </c>
      <c r="I27" s="195">
        <f t="shared" si="3"/>
        <v>6.3535911602209953</v>
      </c>
      <c r="J27" s="299">
        <v>393</v>
      </c>
      <c r="K27" s="195">
        <f t="shared" si="4"/>
        <v>27.140883977900554</v>
      </c>
      <c r="L27" s="299">
        <v>963</v>
      </c>
      <c r="M27" s="195">
        <f t="shared" si="5"/>
        <v>66.505524861878456</v>
      </c>
      <c r="N27" s="195"/>
      <c r="O27" s="196">
        <f t="shared" si="6"/>
        <v>6.4839691921905779E-2</v>
      </c>
      <c r="P27" s="304">
        <f>T5addnl!B26</f>
        <v>186715</v>
      </c>
      <c r="Q27" s="408">
        <f t="shared" si="7"/>
        <v>0.11960474519990359</v>
      </c>
      <c r="R27" s="302">
        <f t="shared" si="8"/>
        <v>0.01</v>
      </c>
      <c r="S27" s="48">
        <v>2000</v>
      </c>
      <c r="T27" s="197">
        <f t="shared" si="9"/>
        <v>14</v>
      </c>
    </row>
    <row r="28" spans="1:20">
      <c r="A28" s="48">
        <v>2001</v>
      </c>
      <c r="B28" s="73">
        <f>T5addnl!C27</f>
        <v>52029</v>
      </c>
      <c r="C28" s="73">
        <f>T5addnl!D27</f>
        <v>6245</v>
      </c>
      <c r="D28" s="299">
        <v>89</v>
      </c>
      <c r="E28" s="195">
        <f t="shared" si="0"/>
        <v>1.4251401120896716</v>
      </c>
      <c r="F28" s="299">
        <v>808</v>
      </c>
      <c r="G28" s="195">
        <f t="shared" si="1"/>
        <v>12.938350680544437</v>
      </c>
      <c r="H28" s="73">
        <f t="shared" si="2"/>
        <v>897</v>
      </c>
      <c r="I28" s="195">
        <f t="shared" si="3"/>
        <v>14.363490792634106</v>
      </c>
      <c r="J28" s="299">
        <v>582</v>
      </c>
      <c r="K28" s="195">
        <f t="shared" si="4"/>
        <v>9.3194555644515606</v>
      </c>
      <c r="L28" s="299">
        <v>4766</v>
      </c>
      <c r="M28" s="195">
        <f t="shared" si="5"/>
        <v>76.317053642914331</v>
      </c>
      <c r="N28" s="195"/>
      <c r="O28" s="196">
        <f t="shared" si="6"/>
        <v>0.12002921447654193</v>
      </c>
      <c r="P28" s="304">
        <f>T5addnl!B27</f>
        <v>439885</v>
      </c>
      <c r="Q28" s="408">
        <f t="shared" si="7"/>
        <v>0.11827864100844539</v>
      </c>
      <c r="R28" s="302">
        <f t="shared" si="8"/>
        <v>0.01</v>
      </c>
      <c r="S28" s="48">
        <v>2001</v>
      </c>
      <c r="T28" s="197">
        <f t="shared" si="9"/>
        <v>1</v>
      </c>
    </row>
    <row r="29" spans="1:20">
      <c r="A29" s="48">
        <v>2002</v>
      </c>
      <c r="B29" s="73">
        <f>T5addnl!C28</f>
        <v>37420</v>
      </c>
      <c r="C29" s="73">
        <f>T5addnl!D28</f>
        <v>2949</v>
      </c>
      <c r="D29" s="299">
        <v>57</v>
      </c>
      <c r="E29" s="195">
        <f t="shared" si="0"/>
        <v>1.9328585961342828</v>
      </c>
      <c r="F29" s="299">
        <v>319</v>
      </c>
      <c r="G29" s="195">
        <f t="shared" si="1"/>
        <v>10.817226178365548</v>
      </c>
      <c r="H29" s="73">
        <f t="shared" si="2"/>
        <v>376</v>
      </c>
      <c r="I29" s="195">
        <f t="shared" si="3"/>
        <v>12.750084774499831</v>
      </c>
      <c r="J29" s="299">
        <v>680</v>
      </c>
      <c r="K29" s="195">
        <f t="shared" si="4"/>
        <v>23.058663953882672</v>
      </c>
      <c r="L29" s="299">
        <v>1893</v>
      </c>
      <c r="M29" s="195">
        <f t="shared" si="5"/>
        <v>64.191251271617503</v>
      </c>
      <c r="N29" s="195"/>
      <c r="O29" s="196">
        <f t="shared" si="6"/>
        <v>7.8808123997862106E-2</v>
      </c>
      <c r="P29" s="304">
        <f>T5addnl!B28</f>
        <v>335306</v>
      </c>
      <c r="Q29" s="408">
        <f t="shared" si="7"/>
        <v>0.11159955384037268</v>
      </c>
      <c r="R29" s="302">
        <f t="shared" si="8"/>
        <v>0.01</v>
      </c>
      <c r="S29" s="48">
        <v>2002</v>
      </c>
      <c r="T29" s="197">
        <f t="shared" si="9"/>
        <v>3</v>
      </c>
    </row>
    <row r="30" spans="1:20">
      <c r="A30" s="48">
        <v>2003</v>
      </c>
      <c r="B30" s="73">
        <f>T5addnl!C29</f>
        <v>23641</v>
      </c>
      <c r="C30" s="73">
        <f>T5addnl!D29</f>
        <v>2306</v>
      </c>
      <c r="D30" s="299">
        <v>36</v>
      </c>
      <c r="E30" s="195">
        <f t="shared" si="0"/>
        <v>1.5611448395490026</v>
      </c>
      <c r="F30" s="299">
        <v>181</v>
      </c>
      <c r="G30" s="195">
        <f t="shared" si="1"/>
        <v>7.8490893321769297</v>
      </c>
      <c r="H30" s="73">
        <f t="shared" si="2"/>
        <v>217</v>
      </c>
      <c r="I30" s="195">
        <f t="shared" si="3"/>
        <v>9.4102341717259321</v>
      </c>
      <c r="J30" s="299">
        <v>442</v>
      </c>
      <c r="K30" s="195">
        <f t="shared" si="4"/>
        <v>19.167389418907199</v>
      </c>
      <c r="L30" s="299">
        <v>1647</v>
      </c>
      <c r="M30" s="195">
        <f t="shared" si="5"/>
        <v>71.422376409366876</v>
      </c>
      <c r="N30" s="195"/>
      <c r="O30" s="196">
        <f t="shared" si="6"/>
        <v>9.7542405143606445E-2</v>
      </c>
      <c r="P30" s="304">
        <f>T5addnl!B29</f>
        <v>242605</v>
      </c>
      <c r="Q30" s="408">
        <f t="shared" si="7"/>
        <v>9.7446466478432026E-2</v>
      </c>
      <c r="R30" s="302">
        <f t="shared" si="8"/>
        <v>0.01</v>
      </c>
      <c r="S30" s="48">
        <v>2003</v>
      </c>
      <c r="T30" s="197">
        <f t="shared" si="9"/>
        <v>13</v>
      </c>
    </row>
    <row r="31" spans="1:20">
      <c r="A31" s="48">
        <v>2004</v>
      </c>
      <c r="B31" s="73">
        <f>T5addnl!C30</f>
        <v>15329</v>
      </c>
      <c r="C31" s="73">
        <f>T5addnl!D30</f>
        <v>2427</v>
      </c>
      <c r="D31" s="299">
        <v>52</v>
      </c>
      <c r="E31" s="195">
        <f t="shared" si="0"/>
        <v>2.1425628347754428</v>
      </c>
      <c r="F31" s="299">
        <v>210</v>
      </c>
      <c r="G31" s="195">
        <f t="shared" si="1"/>
        <v>8.6526576019777508</v>
      </c>
      <c r="H31" s="73">
        <f t="shared" si="2"/>
        <v>262</v>
      </c>
      <c r="I31" s="195">
        <f t="shared" si="3"/>
        <v>10.795220436753192</v>
      </c>
      <c r="J31" s="299">
        <v>437</v>
      </c>
      <c r="K31" s="195">
        <f t="shared" si="4"/>
        <v>18.005768438401319</v>
      </c>
      <c r="L31" s="299">
        <v>1729</v>
      </c>
      <c r="M31" s="195">
        <f t="shared" si="5"/>
        <v>71.24021425628348</v>
      </c>
      <c r="N31" s="195"/>
      <c r="O31" s="196">
        <f t="shared" si="6"/>
        <v>0.15832735338247766</v>
      </c>
      <c r="P31" s="304">
        <f>T5addnl!B30</f>
        <v>221675</v>
      </c>
      <c r="Q31" s="408">
        <f t="shared" si="7"/>
        <v>6.9150783805120103E-2</v>
      </c>
      <c r="R31" s="302">
        <f t="shared" si="8"/>
        <v>0.01</v>
      </c>
      <c r="S31" s="48">
        <v>2004</v>
      </c>
      <c r="T31" s="197">
        <f t="shared" si="9"/>
        <v>27</v>
      </c>
    </row>
    <row r="32" spans="1:20">
      <c r="A32" s="48">
        <v>2005</v>
      </c>
      <c r="B32" s="73">
        <f>T5addnl!C31</f>
        <v>16629</v>
      </c>
      <c r="C32" s="73">
        <f>T5addnl!D31</f>
        <v>1909</v>
      </c>
      <c r="D32" s="299">
        <v>31</v>
      </c>
      <c r="E32" s="195">
        <f t="shared" si="0"/>
        <v>1.6238868517548455</v>
      </c>
      <c r="F32" s="299">
        <v>117</v>
      </c>
      <c r="G32" s="195">
        <f t="shared" si="1"/>
        <v>6.1288632792037712</v>
      </c>
      <c r="H32" s="73">
        <f t="shared" si="2"/>
        <v>148</v>
      </c>
      <c r="I32" s="195">
        <f t="shared" si="3"/>
        <v>7.7527501309586171</v>
      </c>
      <c r="J32" s="299">
        <v>393</v>
      </c>
      <c r="K32" s="195">
        <f t="shared" si="4"/>
        <v>20.586694604504977</v>
      </c>
      <c r="L32" s="299">
        <v>1367</v>
      </c>
      <c r="M32" s="195">
        <f t="shared" si="5"/>
        <v>71.608171817705596</v>
      </c>
      <c r="N32" s="195"/>
      <c r="O32" s="196">
        <f t="shared" si="6"/>
        <v>0.11479944674965421</v>
      </c>
      <c r="P32" s="304">
        <f>T5addnl!B31</f>
        <v>106910</v>
      </c>
      <c r="Q32" s="408">
        <f t="shared" si="7"/>
        <v>0.15554204471050417</v>
      </c>
      <c r="R32" s="302">
        <f t="shared" si="8"/>
        <v>0.02</v>
      </c>
      <c r="S32" s="48">
        <v>2005</v>
      </c>
      <c r="T32" s="197">
        <f t="shared" si="9"/>
        <v>22</v>
      </c>
    </row>
    <row r="33" spans="1:20">
      <c r="A33" s="48">
        <v>2006</v>
      </c>
      <c r="B33" s="73">
        <f>T5addnl!C32</f>
        <v>15076</v>
      </c>
      <c r="C33" s="73">
        <f>T5addnl!D32</f>
        <v>1596</v>
      </c>
      <c r="D33" s="299">
        <v>24</v>
      </c>
      <c r="E33" s="195">
        <f t="shared" si="0"/>
        <v>1.5037593984962405</v>
      </c>
      <c r="F33" s="299">
        <v>99</v>
      </c>
      <c r="G33" s="195">
        <f t="shared" si="1"/>
        <v>6.2030075187969924</v>
      </c>
      <c r="H33" s="73">
        <f t="shared" si="2"/>
        <v>123</v>
      </c>
      <c r="I33" s="195">
        <f t="shared" si="3"/>
        <v>7.7067669172932325</v>
      </c>
      <c r="J33" s="299">
        <v>452</v>
      </c>
      <c r="K33" s="195">
        <f t="shared" si="4"/>
        <v>28.320802005012531</v>
      </c>
      <c r="L33" s="299">
        <v>1021</v>
      </c>
      <c r="M33" s="195">
        <f t="shared" si="5"/>
        <v>63.972431077694239</v>
      </c>
      <c r="N33" s="195"/>
      <c r="O33" s="196">
        <f t="shared" si="6"/>
        <v>0.10586362430352879</v>
      </c>
      <c r="P33" s="304">
        <f>T5addnl!B32</f>
        <v>132583</v>
      </c>
      <c r="Q33" s="408">
        <f t="shared" si="7"/>
        <v>0.11370990247618473</v>
      </c>
      <c r="R33" s="302">
        <f t="shared" si="8"/>
        <v>0.01</v>
      </c>
      <c r="S33" s="48">
        <v>2006</v>
      </c>
      <c r="T33" s="197">
        <f t="shared" si="9"/>
        <v>28</v>
      </c>
    </row>
    <row r="34" spans="1:20">
      <c r="A34" s="48">
        <v>2007</v>
      </c>
      <c r="B34" s="73">
        <f>T5addnl!C33</f>
        <v>6355</v>
      </c>
      <c r="C34" s="73">
        <f>T5addnl!D33</f>
        <v>549</v>
      </c>
      <c r="D34" s="299">
        <v>8</v>
      </c>
      <c r="E34" s="195">
        <f t="shared" si="0"/>
        <v>1.4571948998178506</v>
      </c>
      <c r="F34" s="299">
        <v>40</v>
      </c>
      <c r="G34" s="195">
        <f t="shared" si="1"/>
        <v>7.2859744990892539</v>
      </c>
      <c r="H34" s="73">
        <f t="shared" si="2"/>
        <v>48</v>
      </c>
      <c r="I34" s="195">
        <f t="shared" si="3"/>
        <v>8.7431693989071047</v>
      </c>
      <c r="J34" s="299">
        <v>20</v>
      </c>
      <c r="K34" s="195">
        <f t="shared" si="4"/>
        <v>3.6429872495446269</v>
      </c>
      <c r="L34" s="299">
        <v>481</v>
      </c>
      <c r="M34" s="195">
        <f t="shared" si="5"/>
        <v>87.613843351548269</v>
      </c>
      <c r="N34" s="195"/>
      <c r="O34" s="196">
        <f t="shared" si="6"/>
        <v>8.6388670338316292E-2</v>
      </c>
      <c r="P34" s="304">
        <f>T5addnl!B33</f>
        <v>86247</v>
      </c>
      <c r="Q34" s="408">
        <f t="shared" si="7"/>
        <v>7.3683722332370985E-2</v>
      </c>
      <c r="R34" s="302">
        <f t="shared" si="8"/>
        <v>0.01</v>
      </c>
      <c r="S34" s="48">
        <v>2007</v>
      </c>
      <c r="T34" s="197">
        <f t="shared" si="9"/>
        <v>38</v>
      </c>
    </row>
    <row r="35" spans="1:20">
      <c r="A35" s="48">
        <v>2008</v>
      </c>
      <c r="B35" s="73">
        <f>T5addnl!C34</f>
        <v>15415</v>
      </c>
      <c r="C35" s="73">
        <f>T5addnl!D34</f>
        <v>1234</v>
      </c>
      <c r="D35" s="299">
        <v>27</v>
      </c>
      <c r="E35" s="195">
        <f t="shared" si="0"/>
        <v>2.1880064829821722</v>
      </c>
      <c r="F35" s="299">
        <v>169</v>
      </c>
      <c r="G35" s="195">
        <f t="shared" si="1"/>
        <v>13.695299837925445</v>
      </c>
      <c r="H35" s="73">
        <f t="shared" si="2"/>
        <v>196</v>
      </c>
      <c r="I35" s="195">
        <f t="shared" si="3"/>
        <v>15.883306320907616</v>
      </c>
      <c r="J35" s="299">
        <v>39</v>
      </c>
      <c r="K35" s="195">
        <f t="shared" si="4"/>
        <v>3.1604538087520258</v>
      </c>
      <c r="L35" s="299">
        <v>1000</v>
      </c>
      <c r="M35" s="195">
        <f t="shared" si="5"/>
        <v>81.037277147487842</v>
      </c>
      <c r="N35" s="195"/>
      <c r="O35" s="196">
        <f t="shared" si="6"/>
        <v>8.005189750243269E-2</v>
      </c>
      <c r="P35" s="304">
        <f>T5addnl!B34</f>
        <v>178627</v>
      </c>
      <c r="Q35" s="408">
        <f t="shared" si="7"/>
        <v>8.6297144328684919E-2</v>
      </c>
      <c r="R35" s="305">
        <f t="shared" si="8"/>
        <v>0.01</v>
      </c>
      <c r="S35" s="48">
        <v>2008</v>
      </c>
      <c r="T35" s="197">
        <f t="shared" si="9"/>
        <v>26</v>
      </c>
    </row>
    <row r="36" spans="1:20">
      <c r="A36" s="48">
        <v>2009</v>
      </c>
      <c r="B36" s="73">
        <f>T5addnl!C35</f>
        <v>12612</v>
      </c>
      <c r="C36" s="73">
        <f>T5addnl!D35</f>
        <v>1382</v>
      </c>
      <c r="D36" s="299">
        <v>25</v>
      </c>
      <c r="E36" s="195">
        <f t="shared" si="0"/>
        <v>1.8089725036179449</v>
      </c>
      <c r="F36" s="299">
        <v>117</v>
      </c>
      <c r="G36" s="195">
        <f t="shared" si="1"/>
        <v>8.4659913169319818</v>
      </c>
      <c r="H36" s="73">
        <f t="shared" si="2"/>
        <v>142</v>
      </c>
      <c r="I36" s="195">
        <f t="shared" si="3"/>
        <v>10.274963820549928</v>
      </c>
      <c r="J36" s="198"/>
      <c r="K36" s="199"/>
      <c r="L36" s="299">
        <v>1384</v>
      </c>
      <c r="M36" s="195">
        <f t="shared" si="5"/>
        <v>100.14471780028944</v>
      </c>
      <c r="N36" s="195"/>
      <c r="O36" s="196">
        <f t="shared" si="6"/>
        <v>0.10957817951157628</v>
      </c>
      <c r="P36" s="304">
        <f>T5addnl!B35</f>
        <v>169296</v>
      </c>
      <c r="Q36" s="408">
        <f t="shared" si="7"/>
        <v>7.4496739438616386E-2</v>
      </c>
      <c r="R36" s="302">
        <f t="shared" si="8"/>
        <v>0.01</v>
      </c>
      <c r="S36" s="48">
        <v>2009</v>
      </c>
      <c r="T36" s="197">
        <f t="shared" si="9"/>
        <v>34</v>
      </c>
    </row>
    <row r="37" spans="1:20">
      <c r="A37" s="48">
        <v>2010</v>
      </c>
      <c r="B37" s="73">
        <f>T5addnl!C36</f>
        <v>37277</v>
      </c>
      <c r="C37" s="73">
        <f>T5addnl!D36</f>
        <v>2926</v>
      </c>
      <c r="D37" s="299">
        <v>59</v>
      </c>
      <c r="E37" s="195">
        <f t="shared" si="0"/>
        <v>2.0164046479835953</v>
      </c>
      <c r="F37" s="299">
        <v>433</v>
      </c>
      <c r="G37" s="195">
        <f t="shared" si="1"/>
        <v>14.798359535201641</v>
      </c>
      <c r="H37" s="73">
        <f t="shared" si="2"/>
        <v>492</v>
      </c>
      <c r="I37" s="195">
        <f t="shared" si="3"/>
        <v>16.814764183185236</v>
      </c>
      <c r="J37" s="299">
        <v>104</v>
      </c>
      <c r="K37" s="195">
        <f t="shared" ref="K37:K51" si="10">J37/C37*100</f>
        <v>3.5543403964456601</v>
      </c>
      <c r="L37" s="299">
        <v>2330</v>
      </c>
      <c r="M37" s="195">
        <f t="shared" si="5"/>
        <v>79.630895420369114</v>
      </c>
      <c r="N37" s="195"/>
      <c r="O37" s="196">
        <f t="shared" si="6"/>
        <v>7.8493440995788283E-2</v>
      </c>
      <c r="P37" s="304">
        <f>T5addnl!B36</f>
        <v>315346</v>
      </c>
      <c r="Q37" s="408">
        <f t="shared" si="7"/>
        <v>0.11820983935106201</v>
      </c>
      <c r="R37" s="302">
        <f t="shared" si="8"/>
        <v>0.01</v>
      </c>
      <c r="S37" s="48">
        <v>2010</v>
      </c>
      <c r="T37" s="197">
        <f t="shared" si="9"/>
        <v>4</v>
      </c>
    </row>
    <row r="38" spans="1:20">
      <c r="A38" s="48">
        <v>2011</v>
      </c>
      <c r="B38" s="73">
        <f>T5addnl!C37</f>
        <v>16069</v>
      </c>
      <c r="C38" s="73">
        <f>T5addnl!D37</f>
        <v>2236</v>
      </c>
      <c r="D38" s="299">
        <v>31</v>
      </c>
      <c r="E38" s="195">
        <f t="shared" si="0"/>
        <v>1.3864042933810377</v>
      </c>
      <c r="F38" s="299">
        <v>164</v>
      </c>
      <c r="G38" s="195">
        <f t="shared" si="1"/>
        <v>7.3345259391771016</v>
      </c>
      <c r="H38" s="73">
        <f t="shared" si="2"/>
        <v>195</v>
      </c>
      <c r="I38" s="195">
        <f t="shared" si="3"/>
        <v>8.720930232558139</v>
      </c>
      <c r="J38" s="299">
        <v>220</v>
      </c>
      <c r="K38" s="195">
        <f t="shared" si="10"/>
        <v>9.8389982110912353</v>
      </c>
      <c r="L38" s="299">
        <v>1821</v>
      </c>
      <c r="M38" s="195">
        <f t="shared" si="5"/>
        <v>81.440071556350631</v>
      </c>
      <c r="N38" s="195"/>
      <c r="O38" s="196">
        <f t="shared" si="6"/>
        <v>0.13914991598730475</v>
      </c>
      <c r="P38" s="304">
        <f>T5addnl!B37</f>
        <v>221158</v>
      </c>
      <c r="Q38" s="408">
        <f t="shared" si="7"/>
        <v>7.2658461371508151E-2</v>
      </c>
      <c r="R38" s="302">
        <f t="shared" si="8"/>
        <v>0.01</v>
      </c>
      <c r="S38" s="48">
        <v>2011</v>
      </c>
      <c r="T38" s="197">
        <f t="shared" si="9"/>
        <v>24</v>
      </c>
    </row>
    <row r="39" spans="1:20">
      <c r="A39" s="48">
        <v>2012</v>
      </c>
      <c r="B39" s="73">
        <f>T5addnl!C38</f>
        <v>26336</v>
      </c>
      <c r="C39" s="73">
        <f>T5addnl!D38</f>
        <v>3547</v>
      </c>
      <c r="D39" s="299">
        <v>44</v>
      </c>
      <c r="E39" s="195">
        <f t="shared" si="0"/>
        <v>1.2404849168311249</v>
      </c>
      <c r="F39" s="299">
        <v>328</v>
      </c>
      <c r="G39" s="195">
        <f t="shared" si="1"/>
        <v>9.2472511981956576</v>
      </c>
      <c r="H39" s="73">
        <f t="shared" si="2"/>
        <v>372</v>
      </c>
      <c r="I39" s="195">
        <f t="shared" si="3"/>
        <v>10.487736115026783</v>
      </c>
      <c r="J39" s="299">
        <v>497</v>
      </c>
      <c r="K39" s="195">
        <f t="shared" si="10"/>
        <v>14.011840992387933</v>
      </c>
      <c r="L39" s="299">
        <v>2678</v>
      </c>
      <c r="M39" s="195">
        <f t="shared" si="5"/>
        <v>75.500422892585277</v>
      </c>
      <c r="N39" s="195"/>
      <c r="O39" s="196">
        <f t="shared" si="6"/>
        <v>0.13468256379100851</v>
      </c>
      <c r="P39" s="304">
        <f>T5addnl!B38</f>
        <v>203090</v>
      </c>
      <c r="Q39" s="408">
        <f t="shared" si="7"/>
        <v>0.12967649810428875</v>
      </c>
      <c r="R39" s="302">
        <f t="shared" si="8"/>
        <v>0.02</v>
      </c>
      <c r="S39" s="48">
        <v>2012</v>
      </c>
      <c r="T39" s="197">
        <f t="shared" si="9"/>
        <v>9</v>
      </c>
    </row>
    <row r="40" spans="1:20">
      <c r="A40" s="48">
        <v>2013</v>
      </c>
      <c r="B40" s="73">
        <f>T5addnl!C39</f>
        <v>18416</v>
      </c>
      <c r="C40" s="73">
        <f>T5addnl!D39</f>
        <v>2133</v>
      </c>
      <c r="D40" s="299">
        <v>29</v>
      </c>
      <c r="E40" s="195">
        <f t="shared" si="0"/>
        <v>1.3595874355368025</v>
      </c>
      <c r="F40" s="299">
        <v>174</v>
      </c>
      <c r="G40" s="195">
        <f t="shared" si="1"/>
        <v>8.157524613220815</v>
      </c>
      <c r="H40" s="73">
        <f t="shared" si="2"/>
        <v>203</v>
      </c>
      <c r="I40" s="195">
        <f t="shared" si="3"/>
        <v>9.5171120487576193</v>
      </c>
      <c r="J40" s="299">
        <v>383</v>
      </c>
      <c r="K40" s="195">
        <f t="shared" si="10"/>
        <v>17.955930614158465</v>
      </c>
      <c r="L40" s="299">
        <v>1546</v>
      </c>
      <c r="M40" s="195">
        <f t="shared" si="5"/>
        <v>72.480075011720572</v>
      </c>
      <c r="N40" s="195"/>
      <c r="O40" s="196">
        <f t="shared" si="6"/>
        <v>0.11582319721980887</v>
      </c>
      <c r="P40" s="304">
        <f>T5addnl!B39</f>
        <v>123136</v>
      </c>
      <c r="Q40" s="408">
        <f t="shared" si="7"/>
        <v>0.14955821205821207</v>
      </c>
      <c r="R40" s="302">
        <f t="shared" si="8"/>
        <v>0.02</v>
      </c>
      <c r="S40" s="48">
        <v>2013</v>
      </c>
      <c r="T40" s="197">
        <f t="shared" si="9"/>
        <v>18</v>
      </c>
    </row>
    <row r="41" spans="1:20">
      <c r="A41" s="48">
        <v>2014</v>
      </c>
      <c r="B41" s="73">
        <f>T5addnl!C40</f>
        <v>33131</v>
      </c>
      <c r="C41" s="73">
        <f>T5addnl!D40</f>
        <v>3656</v>
      </c>
      <c r="D41" s="299">
        <v>62</v>
      </c>
      <c r="E41" s="195">
        <f t="shared" si="0"/>
        <v>1.6958424507658645</v>
      </c>
      <c r="F41" s="299">
        <v>392</v>
      </c>
      <c r="G41" s="195">
        <f t="shared" si="1"/>
        <v>10.722100656455142</v>
      </c>
      <c r="H41" s="73">
        <f t="shared" si="2"/>
        <v>454</v>
      </c>
      <c r="I41" s="195">
        <f t="shared" si="3"/>
        <v>12.417943107221006</v>
      </c>
      <c r="J41" s="299">
        <v>637</v>
      </c>
      <c r="K41" s="195">
        <f t="shared" si="10"/>
        <v>17.423413566739608</v>
      </c>
      <c r="L41" s="299">
        <v>2565</v>
      </c>
      <c r="M41" s="195">
        <f t="shared" si="5"/>
        <v>70.158643326039382</v>
      </c>
      <c r="N41" s="195"/>
      <c r="O41" s="196">
        <f t="shared" si="6"/>
        <v>0.11034982342820923</v>
      </c>
      <c r="P41" s="304">
        <f>T5addnl!B40</f>
        <v>242635</v>
      </c>
      <c r="Q41" s="408">
        <f t="shared" si="7"/>
        <v>0.13654666474333876</v>
      </c>
      <c r="R41" s="302">
        <f t="shared" si="8"/>
        <v>0.02</v>
      </c>
      <c r="S41" s="48">
        <v>2014</v>
      </c>
      <c r="T41" s="197">
        <f t="shared" si="9"/>
        <v>5</v>
      </c>
    </row>
    <row r="42" spans="1:20">
      <c r="A42" s="48">
        <v>2015</v>
      </c>
      <c r="B42" s="73">
        <f>T5addnl!C41</f>
        <v>38243</v>
      </c>
      <c r="C42" s="73">
        <f>T5addnl!D41</f>
        <v>3923</v>
      </c>
      <c r="D42" s="299">
        <v>77</v>
      </c>
      <c r="E42" s="195">
        <f t="shared" si="0"/>
        <v>1.9627835839918431</v>
      </c>
      <c r="F42" s="299">
        <v>449</v>
      </c>
      <c r="G42" s="195">
        <f t="shared" si="1"/>
        <v>11.445322457303083</v>
      </c>
      <c r="H42" s="73">
        <f t="shared" si="2"/>
        <v>526</v>
      </c>
      <c r="I42" s="195">
        <f t="shared" si="3"/>
        <v>13.408106041294927</v>
      </c>
      <c r="J42" s="299">
        <v>141</v>
      </c>
      <c r="K42" s="195">
        <f t="shared" si="10"/>
        <v>3.5941881213357125</v>
      </c>
      <c r="L42" s="299">
        <v>3256</v>
      </c>
      <c r="M42" s="195">
        <f t="shared" si="5"/>
        <v>82.997705837369367</v>
      </c>
      <c r="N42" s="195"/>
      <c r="O42" s="196">
        <f t="shared" si="6"/>
        <v>0.1025808644719295</v>
      </c>
      <c r="P42" s="304">
        <f>T5addnl!B41</f>
        <v>288993</v>
      </c>
      <c r="Q42" s="408">
        <f t="shared" si="7"/>
        <v>0.13233192499472304</v>
      </c>
      <c r="R42" s="302">
        <f t="shared" si="8"/>
        <v>0.01</v>
      </c>
      <c r="S42" s="48">
        <v>2015</v>
      </c>
      <c r="T42" s="197">
        <f t="shared" si="9"/>
        <v>2</v>
      </c>
    </row>
    <row r="43" spans="1:20">
      <c r="A43" s="48">
        <v>2016</v>
      </c>
      <c r="B43" s="73">
        <f>T5addnl!C42</f>
        <v>25542</v>
      </c>
      <c r="C43" s="73">
        <f>T5addnl!D42</f>
        <v>3403</v>
      </c>
      <c r="D43" s="299">
        <v>58</v>
      </c>
      <c r="E43" s="195">
        <f t="shared" si="0"/>
        <v>1.7043784895680283</v>
      </c>
      <c r="F43" s="299">
        <v>315</v>
      </c>
      <c r="G43" s="195">
        <f t="shared" si="1"/>
        <v>9.2565383485160151</v>
      </c>
      <c r="H43" s="73">
        <f t="shared" si="2"/>
        <v>373</v>
      </c>
      <c r="I43" s="195">
        <f t="shared" si="3"/>
        <v>10.960916838084044</v>
      </c>
      <c r="J43" s="299">
        <v>546</v>
      </c>
      <c r="K43" s="195">
        <f t="shared" si="10"/>
        <v>16.044666470761094</v>
      </c>
      <c r="L43" s="299">
        <v>2484</v>
      </c>
      <c r="M43" s="195">
        <f t="shared" si="5"/>
        <v>72.994416691154868</v>
      </c>
      <c r="N43" s="195"/>
      <c r="O43" s="196">
        <f t="shared" si="6"/>
        <v>0.1332315402082844</v>
      </c>
      <c r="P43" s="304">
        <f>T5addnl!B42</f>
        <v>187816</v>
      </c>
      <c r="Q43" s="408">
        <f t="shared" si="7"/>
        <v>0.13599480342462836</v>
      </c>
      <c r="R43" s="302">
        <f t="shared" si="8"/>
        <v>0.02</v>
      </c>
      <c r="S43" s="48">
        <v>2016</v>
      </c>
      <c r="T43" s="197">
        <f t="shared" si="9"/>
        <v>12</v>
      </c>
    </row>
    <row r="44" spans="1:20">
      <c r="A44" s="48">
        <v>2017</v>
      </c>
      <c r="B44" s="73">
        <f>T5addnl!C43</f>
        <v>12907</v>
      </c>
      <c r="C44" s="73">
        <f>T5addnl!D43</f>
        <v>1654</v>
      </c>
      <c r="D44" s="299">
        <v>23</v>
      </c>
      <c r="E44" s="195">
        <f t="shared" si="0"/>
        <v>1.3905683192261185</v>
      </c>
      <c r="F44" s="299">
        <v>124</v>
      </c>
      <c r="G44" s="195">
        <f t="shared" si="1"/>
        <v>7.4969770253929866</v>
      </c>
      <c r="H44" s="73">
        <f t="shared" si="2"/>
        <v>147</v>
      </c>
      <c r="I44" s="195">
        <f t="shared" si="3"/>
        <v>8.8875453446191042</v>
      </c>
      <c r="J44" s="299">
        <v>472</v>
      </c>
      <c r="K44" s="195">
        <f t="shared" si="10"/>
        <v>28.536880290205563</v>
      </c>
      <c r="L44" s="299">
        <v>1036</v>
      </c>
      <c r="M44" s="195">
        <f t="shared" si="5"/>
        <v>62.636033857315596</v>
      </c>
      <c r="N44" s="195"/>
      <c r="O44" s="196">
        <f t="shared" si="6"/>
        <v>0.12814751685132098</v>
      </c>
      <c r="P44" s="304">
        <f>T5addnl!B43</f>
        <v>115821</v>
      </c>
      <c r="Q44" s="408">
        <f t="shared" si="7"/>
        <v>0.11143920359865654</v>
      </c>
      <c r="R44" s="302">
        <f t="shared" si="8"/>
        <v>0.01</v>
      </c>
      <c r="S44" s="48">
        <v>2017</v>
      </c>
      <c r="T44" s="197">
        <f t="shared" si="9"/>
        <v>32</v>
      </c>
    </row>
    <row r="45" spans="1:20">
      <c r="A45" s="48">
        <v>2018</v>
      </c>
      <c r="B45" s="73">
        <f>T5addnl!C44</f>
        <v>13016</v>
      </c>
      <c r="C45" s="73">
        <f>T5addnl!D44</f>
        <v>1407</v>
      </c>
      <c r="D45" s="299">
        <v>13</v>
      </c>
      <c r="E45" s="195">
        <f t="shared" si="0"/>
        <v>0.92395167022032687</v>
      </c>
      <c r="F45" s="299">
        <v>140</v>
      </c>
      <c r="G45" s="195">
        <f t="shared" si="1"/>
        <v>9.9502487562189064</v>
      </c>
      <c r="H45" s="73">
        <f t="shared" si="2"/>
        <v>153</v>
      </c>
      <c r="I45" s="195">
        <f t="shared" si="3"/>
        <v>10.874200426439232</v>
      </c>
      <c r="J45" s="299">
        <v>401</v>
      </c>
      <c r="K45" s="195">
        <f t="shared" si="10"/>
        <v>28.500355366027009</v>
      </c>
      <c r="L45" s="299">
        <v>853</v>
      </c>
      <c r="M45" s="195">
        <f t="shared" si="5"/>
        <v>60.625444207533761</v>
      </c>
      <c r="N45" s="195"/>
      <c r="O45" s="196">
        <f t="shared" si="6"/>
        <v>0.10809772587584511</v>
      </c>
      <c r="P45" s="304">
        <f>T5addnl!B44</f>
        <v>115081</v>
      </c>
      <c r="Q45" s="408">
        <f t="shared" si="7"/>
        <v>0.1131029448823003</v>
      </c>
      <c r="R45" s="302">
        <f t="shared" si="8"/>
        <v>0.01</v>
      </c>
      <c r="S45" s="48">
        <v>2018</v>
      </c>
      <c r="T45" s="197">
        <f t="shared" si="9"/>
        <v>31</v>
      </c>
    </row>
    <row r="46" spans="1:20">
      <c r="A46" s="48">
        <v>2019</v>
      </c>
      <c r="B46" s="73">
        <f>T5addnl!C45</f>
        <v>14690</v>
      </c>
      <c r="C46" s="73">
        <f>T5addnl!D45</f>
        <v>1176</v>
      </c>
      <c r="D46" s="299">
        <v>8</v>
      </c>
      <c r="E46" s="195">
        <f t="shared" si="0"/>
        <v>0.68027210884353739</v>
      </c>
      <c r="F46" s="299">
        <v>77</v>
      </c>
      <c r="G46" s="195">
        <f t="shared" si="1"/>
        <v>6.5476190476190483</v>
      </c>
      <c r="H46" s="73">
        <f t="shared" si="2"/>
        <v>85</v>
      </c>
      <c r="I46" s="195">
        <f t="shared" si="3"/>
        <v>7.2278911564625847</v>
      </c>
      <c r="J46" s="299">
        <v>388</v>
      </c>
      <c r="K46" s="195">
        <f t="shared" si="10"/>
        <v>32.993197278911559</v>
      </c>
      <c r="L46" s="299">
        <v>704</v>
      </c>
      <c r="M46" s="195">
        <f t="shared" si="5"/>
        <v>59.863945578231295</v>
      </c>
      <c r="N46" s="195"/>
      <c r="O46" s="196">
        <f>C46/B46</f>
        <v>8.0054458815520757E-2</v>
      </c>
      <c r="P46" s="304">
        <f>T5addnl!B45</f>
        <v>73105</v>
      </c>
      <c r="Q46" s="408">
        <f t="shared" si="7"/>
        <v>0.2009438478900212</v>
      </c>
      <c r="R46" s="302">
        <f t="shared" si="8"/>
        <v>0.02</v>
      </c>
      <c r="S46" s="48">
        <v>2019</v>
      </c>
      <c r="T46" s="197">
        <f t="shared" si="9"/>
        <v>29</v>
      </c>
    </row>
    <row r="47" spans="1:20">
      <c r="A47" s="48">
        <v>2020</v>
      </c>
      <c r="B47" s="73">
        <f>T5addnl!C46</f>
        <v>12804</v>
      </c>
      <c r="C47" s="73">
        <f>T5addnl!D46</f>
        <v>1891</v>
      </c>
      <c r="D47" s="299">
        <v>10</v>
      </c>
      <c r="E47" s="195">
        <f t="shared" si="0"/>
        <v>0.52882072977260708</v>
      </c>
      <c r="F47" s="299">
        <v>102</v>
      </c>
      <c r="G47" s="195">
        <f t="shared" si="1"/>
        <v>5.3939714436805923</v>
      </c>
      <c r="H47" s="73">
        <f t="shared" si="2"/>
        <v>112</v>
      </c>
      <c r="I47" s="195">
        <f t="shared" si="3"/>
        <v>5.9227921734531996</v>
      </c>
      <c r="J47" s="299">
        <v>658</v>
      </c>
      <c r="K47" s="195">
        <f t="shared" si="10"/>
        <v>34.796404019037546</v>
      </c>
      <c r="L47" s="299">
        <v>1122</v>
      </c>
      <c r="M47" s="195">
        <f t="shared" si="5"/>
        <v>59.33368588048652</v>
      </c>
      <c r="N47" s="195"/>
      <c r="O47" s="196">
        <f t="shared" si="6"/>
        <v>0.14768822243049048</v>
      </c>
      <c r="P47" s="304">
        <f>T5addnl!B46</f>
        <v>81301</v>
      </c>
      <c r="Q47" s="408">
        <f t="shared" si="7"/>
        <v>0.15748883777567313</v>
      </c>
      <c r="R47" s="302">
        <f t="shared" si="8"/>
        <v>0.02</v>
      </c>
      <c r="S47" s="48">
        <v>2020</v>
      </c>
      <c r="T47" s="197">
        <f t="shared" si="9"/>
        <v>33</v>
      </c>
    </row>
    <row r="48" spans="1:20">
      <c r="A48" s="48">
        <v>2021</v>
      </c>
      <c r="B48" s="73">
        <f>T5addnl!C47</f>
        <v>16923</v>
      </c>
      <c r="C48" s="73">
        <f>T5addnl!D47</f>
        <v>3095</v>
      </c>
      <c r="D48" s="299">
        <v>37</v>
      </c>
      <c r="E48" s="195">
        <f t="shared" si="0"/>
        <v>1.1954765751211631</v>
      </c>
      <c r="F48" s="299">
        <v>156</v>
      </c>
      <c r="G48" s="195">
        <f t="shared" si="1"/>
        <v>5.0403877221324711</v>
      </c>
      <c r="H48" s="73">
        <f t="shared" si="2"/>
        <v>193</v>
      </c>
      <c r="I48" s="195">
        <f t="shared" si="3"/>
        <v>6.2358642972536344</v>
      </c>
      <c r="J48" s="299">
        <v>648</v>
      </c>
      <c r="K48" s="195">
        <f t="shared" si="10"/>
        <v>20.936995153473344</v>
      </c>
      <c r="L48" s="299">
        <v>2255</v>
      </c>
      <c r="M48" s="195">
        <f t="shared" si="5"/>
        <v>72.859450726979006</v>
      </c>
      <c r="N48" s="195"/>
      <c r="O48" s="196">
        <f t="shared" si="6"/>
        <v>0.1828871949417952</v>
      </c>
      <c r="P48" s="304">
        <f>T5addnl!B47</f>
        <v>91756</v>
      </c>
      <c r="Q48" s="408">
        <f t="shared" si="7"/>
        <v>0.1844348053533284</v>
      </c>
      <c r="R48" s="302">
        <f t="shared" si="8"/>
        <v>0.03</v>
      </c>
      <c r="S48" s="48">
        <v>2021</v>
      </c>
      <c r="T48" s="197">
        <f t="shared" si="9"/>
        <v>20</v>
      </c>
    </row>
    <row r="49" spans="1:20">
      <c r="A49" s="48">
        <v>2022</v>
      </c>
      <c r="B49" s="73">
        <f>T5addnl!C48</f>
        <v>29298</v>
      </c>
      <c r="C49" s="73">
        <f>T5addnl!D48</f>
        <v>5209</v>
      </c>
      <c r="D49" s="299">
        <v>67</v>
      </c>
      <c r="E49" s="195">
        <f t="shared" si="0"/>
        <v>1.2862353618736801</v>
      </c>
      <c r="F49" s="299">
        <v>482</v>
      </c>
      <c r="G49" s="195">
        <f t="shared" si="1"/>
        <v>9.2532155884046841</v>
      </c>
      <c r="H49" s="73">
        <f t="shared" si="2"/>
        <v>549</v>
      </c>
      <c r="I49" s="195">
        <f t="shared" si="3"/>
        <v>10.539450950278365</v>
      </c>
      <c r="J49" s="299">
        <v>662</v>
      </c>
      <c r="K49" s="195">
        <f t="shared" si="10"/>
        <v>12.708773277020541</v>
      </c>
      <c r="L49" s="299">
        <v>3998</v>
      </c>
      <c r="M49" s="195">
        <f t="shared" si="5"/>
        <v>76.751775772701095</v>
      </c>
      <c r="N49" s="195"/>
      <c r="O49" s="196">
        <f t="shared" si="6"/>
        <v>0.17779370605502082</v>
      </c>
      <c r="P49" s="304">
        <f>T5addnl!B48</f>
        <v>185379</v>
      </c>
      <c r="Q49" s="408">
        <f t="shared" si="7"/>
        <v>0.15804379136795429</v>
      </c>
      <c r="R49" s="302">
        <f t="shared" si="8"/>
        <v>0.03</v>
      </c>
      <c r="S49" s="48">
        <v>2022</v>
      </c>
      <c r="T49" s="197">
        <f t="shared" si="9"/>
        <v>7</v>
      </c>
    </row>
    <row r="50" spans="1:20">
      <c r="A50" s="48">
        <v>2023</v>
      </c>
      <c r="B50" s="73">
        <f>T5addnl!C49</f>
        <v>24462</v>
      </c>
      <c r="C50" s="73">
        <f>T5addnl!D49</f>
        <v>2785</v>
      </c>
      <c r="D50" s="299">
        <v>26</v>
      </c>
      <c r="E50" s="195">
        <f t="shared" si="0"/>
        <v>0.93357271095152594</v>
      </c>
      <c r="F50" s="299">
        <v>246</v>
      </c>
      <c r="G50" s="195">
        <f t="shared" si="1"/>
        <v>8.8330341113105924</v>
      </c>
      <c r="H50" s="73">
        <f t="shared" si="2"/>
        <v>272</v>
      </c>
      <c r="I50" s="195">
        <f t="shared" si="3"/>
        <v>9.7666068222621174</v>
      </c>
      <c r="J50" s="299">
        <v>669</v>
      </c>
      <c r="K50" s="195">
        <f t="shared" si="10"/>
        <v>24.021543985637344</v>
      </c>
      <c r="L50" s="299">
        <v>1843</v>
      </c>
      <c r="M50" s="195">
        <f t="shared" si="5"/>
        <v>66.175942549371641</v>
      </c>
      <c r="N50" s="195"/>
      <c r="O50" s="196">
        <f t="shared" si="6"/>
        <v>0.11385005314365138</v>
      </c>
      <c r="P50" s="304">
        <f>T5addnl!B49</f>
        <v>141179</v>
      </c>
      <c r="Q50" s="408">
        <f t="shared" si="7"/>
        <v>0.17326939558999568</v>
      </c>
      <c r="R50" s="302">
        <f t="shared" si="8"/>
        <v>0.02</v>
      </c>
      <c r="S50" s="48">
        <v>2023</v>
      </c>
      <c r="T50" s="197">
        <f>RANK(B50,$B$7:$B$50,0)</f>
        <v>13</v>
      </c>
    </row>
    <row r="51" spans="1:20">
      <c r="A51" s="48">
        <v>2024</v>
      </c>
      <c r="B51" s="73">
        <f>T5addnl!C50</f>
        <v>17663</v>
      </c>
      <c r="C51" s="73">
        <f>T5addnl!D50</f>
        <v>1990</v>
      </c>
      <c r="D51" s="299">
        <v>17</v>
      </c>
      <c r="E51" s="195">
        <f t="shared" si="0"/>
        <v>0.85427135678391963</v>
      </c>
      <c r="F51" s="299">
        <v>119</v>
      </c>
      <c r="G51" s="195">
        <f t="shared" si="1"/>
        <v>5.9798994974874367</v>
      </c>
      <c r="H51" s="73">
        <f t="shared" si="2"/>
        <v>136</v>
      </c>
      <c r="I51" s="195">
        <f t="shared" si="3"/>
        <v>6.8341708542713571</v>
      </c>
      <c r="J51" s="299">
        <v>200</v>
      </c>
      <c r="K51" s="195">
        <f t="shared" si="10"/>
        <v>10.050251256281408</v>
      </c>
      <c r="L51" s="299">
        <v>1653</v>
      </c>
      <c r="M51" s="195">
        <f t="shared" si="5"/>
        <v>83.065326633165824</v>
      </c>
      <c r="N51" s="195"/>
      <c r="O51" s="196">
        <f t="shared" ref="O51" si="11">C51/B51</f>
        <v>0.11266489271358207</v>
      </c>
      <c r="P51" s="304">
        <f>T5addnl!B50</f>
        <v>116332</v>
      </c>
      <c r="Q51" s="408">
        <f t="shared" ref="Q51" si="12">B51/P51</f>
        <v>0.1518326857614414</v>
      </c>
      <c r="R51" s="302">
        <f t="shared" ref="R51" si="13">ROUND(C51/P51,2)</f>
        <v>0.02</v>
      </c>
      <c r="S51" s="48">
        <v>2024</v>
      </c>
      <c r="T51" s="197">
        <f>RANK(B51,$B$7:$B$51,0)</f>
        <v>20</v>
      </c>
    </row>
    <row r="52" spans="1:20">
      <c r="A52" s="48">
        <v>2025</v>
      </c>
      <c r="B52" s="73">
        <f>T5addnl!C51</f>
        <v>22193</v>
      </c>
      <c r="C52" s="73">
        <f>T5addnl!D51</f>
        <v>4002</v>
      </c>
      <c r="D52" s="299">
        <v>44</v>
      </c>
      <c r="E52" s="195">
        <f t="shared" ref="E52" si="14">(D52/C52)*100</f>
        <v>1.0994502748625687</v>
      </c>
      <c r="F52" s="299">
        <v>274</v>
      </c>
      <c r="G52" s="195">
        <f t="shared" ref="G52" si="15">F52/C52*100</f>
        <v>6.846576711644178</v>
      </c>
      <c r="H52" s="73">
        <f t="shared" ref="H52" si="16">D52+F52</f>
        <v>318</v>
      </c>
      <c r="I52" s="195">
        <f t="shared" ref="I52" si="17">H52/C52*100</f>
        <v>7.9460269865067463</v>
      </c>
      <c r="J52" s="299">
        <v>724</v>
      </c>
      <c r="K52" s="195">
        <f t="shared" ref="K52" si="18">J52/C52*100</f>
        <v>18.090954522738631</v>
      </c>
      <c r="L52" s="299">
        <v>2959</v>
      </c>
      <c r="M52" s="195">
        <f t="shared" ref="M52" si="19">L52/C52*100</f>
        <v>73.938030984507748</v>
      </c>
      <c r="N52" s="195"/>
      <c r="O52" s="196">
        <f t="shared" ref="O52" si="20">C52/B52</f>
        <v>0.18032713017618168</v>
      </c>
      <c r="P52" s="304">
        <f>T5addnl!B51</f>
        <v>154703</v>
      </c>
      <c r="Q52" s="408">
        <f t="shared" ref="Q52" si="21">B52/P52</f>
        <v>0.14345552445653931</v>
      </c>
      <c r="R52" s="302">
        <f t="shared" ref="R52" si="22">ROUND(C52/P52,2)</f>
        <v>0.03</v>
      </c>
      <c r="S52" s="48">
        <v>2025</v>
      </c>
      <c r="T52" s="197">
        <f>RANK(B52,$B$7:$B$52,0)</f>
        <v>16</v>
      </c>
    </row>
    <row r="53" spans="1:20">
      <c r="C53" s="1141">
        <f>C51/B51</f>
        <v>0.11266489271358207</v>
      </c>
      <c r="T53" s="200"/>
    </row>
    <row r="54" spans="1:20">
      <c r="A54" s="184" t="s">
        <v>57</v>
      </c>
      <c r="B54" s="185">
        <f t="shared" ref="B54:M54" si="23">AVERAGE(B7:B16)</f>
        <v>20376.2</v>
      </c>
      <c r="C54" s="185">
        <f t="shared" si="23"/>
        <v>7631</v>
      </c>
      <c r="D54" s="185">
        <f t="shared" si="23"/>
        <v>212.5</v>
      </c>
      <c r="E54" s="201">
        <f t="shared" si="23"/>
        <v>2.7415107291006975</v>
      </c>
      <c r="F54" s="185">
        <f t="shared" si="23"/>
        <v>413.4</v>
      </c>
      <c r="G54" s="201">
        <f t="shared" si="23"/>
        <v>5.501396736620725</v>
      </c>
      <c r="H54" s="185">
        <f t="shared" si="23"/>
        <v>625.9</v>
      </c>
      <c r="I54" s="201">
        <f t="shared" si="23"/>
        <v>8.242907465721423</v>
      </c>
      <c r="J54" s="185">
        <f t="shared" si="23"/>
        <v>2103</v>
      </c>
      <c r="K54" s="201">
        <f t="shared" si="23"/>
        <v>29.065448967092959</v>
      </c>
      <c r="L54" s="185">
        <f t="shared" si="23"/>
        <v>4902.1000000000004</v>
      </c>
      <c r="M54" s="201">
        <f t="shared" si="23"/>
        <v>62.691051078568606</v>
      </c>
      <c r="N54" s="202"/>
      <c r="O54" s="203">
        <f>AVERAGE(O7:O16)</f>
        <v>0.38510496225284629</v>
      </c>
      <c r="P54" s="306">
        <f>AVERAGE(P7:P16)</f>
        <v>84511.1</v>
      </c>
      <c r="Q54" s="407"/>
      <c r="R54" s="307">
        <f>AVERAGE(R7:R16)</f>
        <v>9.6999999999999989E-2</v>
      </c>
    </row>
    <row r="55" spans="1:20">
      <c r="A55" s="49" t="s">
        <v>58</v>
      </c>
      <c r="B55" s="181">
        <f t="shared" ref="B55:M55" si="24">MIN(B7:B16)</f>
        <v>14157</v>
      </c>
      <c r="C55" s="181">
        <f t="shared" si="24"/>
        <v>5734</v>
      </c>
      <c r="D55" s="181">
        <f t="shared" si="24"/>
        <v>12</v>
      </c>
      <c r="E55" s="183">
        <f t="shared" si="24"/>
        <v>0.16174686615446826</v>
      </c>
      <c r="F55" s="181">
        <f t="shared" si="24"/>
        <v>239</v>
      </c>
      <c r="G55" s="183">
        <f t="shared" si="24"/>
        <v>3.2214584175764926</v>
      </c>
      <c r="H55" s="181">
        <f t="shared" si="24"/>
        <v>251</v>
      </c>
      <c r="I55" s="183">
        <f t="shared" si="24"/>
        <v>3.3832052837309612</v>
      </c>
      <c r="J55" s="181">
        <f t="shared" si="24"/>
        <v>653</v>
      </c>
      <c r="K55" s="183">
        <f t="shared" si="24"/>
        <v>6.2386548199101934</v>
      </c>
      <c r="L55" s="181">
        <f t="shared" si="24"/>
        <v>2884</v>
      </c>
      <c r="M55" s="181">
        <f t="shared" si="24"/>
        <v>38.873163499123869</v>
      </c>
      <c r="N55" s="181"/>
      <c r="O55" s="183">
        <f>MIN(O7:O16)</f>
        <v>0.2843150545651732</v>
      </c>
      <c r="P55" s="308">
        <f>MIN(P7:P16)</f>
        <v>52357</v>
      </c>
      <c r="Q55" s="181"/>
      <c r="R55" s="309">
        <f>MIN(R7:R16)</f>
        <v>7.0000000000000007E-2</v>
      </c>
    </row>
    <row r="56" spans="1:20">
      <c r="A56" s="49" t="s">
        <v>59</v>
      </c>
      <c r="B56" s="181">
        <f t="shared" ref="B56:M56" si="25">MAX(B7:B16)</f>
        <v>29506</v>
      </c>
      <c r="C56" s="181">
        <f t="shared" si="25"/>
        <v>10467</v>
      </c>
      <c r="D56" s="181">
        <f t="shared" si="25"/>
        <v>481</v>
      </c>
      <c r="E56" s="183">
        <f t="shared" si="25"/>
        <v>6.3742380068910682</v>
      </c>
      <c r="F56" s="181">
        <f t="shared" si="25"/>
        <v>554</v>
      </c>
      <c r="G56" s="183">
        <f t="shared" si="25"/>
        <v>7.486486486486486</v>
      </c>
      <c r="H56" s="181">
        <f t="shared" si="25"/>
        <v>972</v>
      </c>
      <c r="I56" s="183">
        <f t="shared" si="25"/>
        <v>12.880996554465943</v>
      </c>
      <c r="J56" s="181">
        <f t="shared" si="25"/>
        <v>4284</v>
      </c>
      <c r="K56" s="183">
        <f t="shared" si="25"/>
        <v>57.743631217145165</v>
      </c>
      <c r="L56" s="181">
        <f t="shared" si="25"/>
        <v>9081</v>
      </c>
      <c r="M56" s="181">
        <f t="shared" si="25"/>
        <v>86.758383490971624</v>
      </c>
      <c r="N56" s="181"/>
      <c r="O56" s="183">
        <f>MAX(O7:O16)</f>
        <v>0.45567419915569901</v>
      </c>
      <c r="P56" s="308">
        <f>MAX(P7:P16)</f>
        <v>128413</v>
      </c>
      <c r="Q56" s="181"/>
      <c r="R56" s="309">
        <f>MAX(R7:R16)</f>
        <v>0.13</v>
      </c>
    </row>
    <row r="57" spans="1:20">
      <c r="B57" s="181"/>
      <c r="C57" s="1141">
        <f>C58/B58</f>
        <v>0.19930766810028322</v>
      </c>
      <c r="D57" s="181"/>
      <c r="E57" s="183"/>
      <c r="F57" s="181"/>
      <c r="G57" s="183"/>
      <c r="H57" s="181"/>
      <c r="I57" s="183"/>
      <c r="J57" s="181"/>
      <c r="K57" s="183"/>
      <c r="L57" s="181"/>
      <c r="M57" s="181"/>
      <c r="N57" s="181"/>
      <c r="O57" s="183"/>
      <c r="P57" s="308"/>
      <c r="Q57" s="181"/>
      <c r="R57" s="309"/>
    </row>
    <row r="58" spans="1:20">
      <c r="A58" s="184" t="s">
        <v>60</v>
      </c>
      <c r="B58" s="185">
        <f t="shared" ref="B58:M58" si="26">AVERAGE(B17:B26)</f>
        <v>9533</v>
      </c>
      <c r="C58" s="185">
        <f t="shared" si="26"/>
        <v>1900</v>
      </c>
      <c r="D58" s="185">
        <f t="shared" si="26"/>
        <v>46</v>
      </c>
      <c r="E58" s="201">
        <f t="shared" si="26"/>
        <v>1.5520318918790741</v>
      </c>
      <c r="F58" s="185">
        <f t="shared" si="26"/>
        <v>114.3</v>
      </c>
      <c r="G58" s="201">
        <f t="shared" si="26"/>
        <v>5.6015438072790573</v>
      </c>
      <c r="H58" s="185">
        <f t="shared" si="26"/>
        <v>160.30000000000001</v>
      </c>
      <c r="I58" s="201">
        <f t="shared" si="26"/>
        <v>7.1535756991581305</v>
      </c>
      <c r="J58" s="185">
        <f t="shared" si="26"/>
        <v>453.7</v>
      </c>
      <c r="K58" s="201">
        <f t="shared" si="26"/>
        <v>29.808963461112455</v>
      </c>
      <c r="L58" s="185">
        <f t="shared" si="26"/>
        <v>1285.8</v>
      </c>
      <c r="M58" s="201">
        <f t="shared" si="26"/>
        <v>62.997230954671942</v>
      </c>
      <c r="N58" s="202"/>
      <c r="O58" s="203">
        <f>AVERAGE(O17:O26)</f>
        <v>0.19254552981302847</v>
      </c>
      <c r="P58" s="306">
        <f>AVERAGE(P17:P26)</f>
        <v>68998.2</v>
      </c>
      <c r="Q58" s="407"/>
      <c r="R58" s="310">
        <f>AVERAGE(R17:R26)</f>
        <v>2.5000000000000001E-2</v>
      </c>
    </row>
    <row r="59" spans="1:20">
      <c r="A59" s="49" t="s">
        <v>58</v>
      </c>
      <c r="B59" s="181">
        <f t="shared" ref="B59:M59" si="27">MIN(B17:B26)</f>
        <v>1657</v>
      </c>
      <c r="C59" s="181">
        <f t="shared" si="27"/>
        <v>226</v>
      </c>
      <c r="D59" s="181">
        <f t="shared" si="27"/>
        <v>0</v>
      </c>
      <c r="E59" s="183">
        <f t="shared" si="27"/>
        <v>0</v>
      </c>
      <c r="F59" s="181">
        <f t="shared" si="27"/>
        <v>11</v>
      </c>
      <c r="G59" s="183">
        <f t="shared" si="27"/>
        <v>4.8275862068965516</v>
      </c>
      <c r="H59" s="181">
        <f t="shared" si="27"/>
        <v>11</v>
      </c>
      <c r="I59" s="183">
        <f t="shared" si="27"/>
        <v>4.8275862068965516</v>
      </c>
      <c r="J59" s="181">
        <f t="shared" si="27"/>
        <v>107</v>
      </c>
      <c r="K59" s="183">
        <f t="shared" si="27"/>
        <v>16.674888998519979</v>
      </c>
      <c r="L59" s="181">
        <f t="shared" si="27"/>
        <v>108</v>
      </c>
      <c r="M59" s="181">
        <f t="shared" si="27"/>
        <v>47.787610619469028</v>
      </c>
      <c r="N59" s="181"/>
      <c r="O59" s="183">
        <f>MIN(O17:O26)</f>
        <v>8.812803889789303E-2</v>
      </c>
      <c r="P59" s="308">
        <f>MIN(P17:P26)</f>
        <v>12792</v>
      </c>
      <c r="Q59" s="181"/>
      <c r="R59" s="309">
        <f>MIN(R17:R26)</f>
        <v>0.01</v>
      </c>
    </row>
    <row r="60" spans="1:20">
      <c r="A60" s="49" t="s">
        <v>59</v>
      </c>
      <c r="B60" s="181">
        <f t="shared" ref="B60:M60" si="28">MAX(B17:B26)</f>
        <v>26056</v>
      </c>
      <c r="C60" s="181">
        <f t="shared" si="28"/>
        <v>4342</v>
      </c>
      <c r="D60" s="181">
        <f t="shared" si="28"/>
        <v>218</v>
      </c>
      <c r="E60" s="183">
        <f t="shared" si="28"/>
        <v>5.0207277752187931</v>
      </c>
      <c r="F60" s="181">
        <f t="shared" si="28"/>
        <v>280</v>
      </c>
      <c r="G60" s="183">
        <f t="shared" si="28"/>
        <v>6.6795740561471444</v>
      </c>
      <c r="H60" s="181">
        <f t="shared" si="28"/>
        <v>498</v>
      </c>
      <c r="I60" s="183">
        <f t="shared" si="28"/>
        <v>11.469368954398893</v>
      </c>
      <c r="J60" s="181">
        <f t="shared" si="28"/>
        <v>1105</v>
      </c>
      <c r="K60" s="183">
        <f t="shared" si="28"/>
        <v>47.345132743362832</v>
      </c>
      <c r="L60" s="181">
        <f t="shared" si="28"/>
        <v>3161</v>
      </c>
      <c r="M60" s="181">
        <f t="shared" si="28"/>
        <v>76.418352244696592</v>
      </c>
      <c r="N60" s="181"/>
      <c r="O60" s="183">
        <f>MAX(O17:O26)</f>
        <v>0.36027215399933621</v>
      </c>
      <c r="P60" s="308">
        <f>MAX(P17:P26)</f>
        <v>124321</v>
      </c>
      <c r="Q60" s="181"/>
      <c r="R60" s="309">
        <f>MAX(R17:R26)</f>
        <v>0.04</v>
      </c>
    </row>
    <row r="61" spans="1:20">
      <c r="B61" s="181"/>
      <c r="C61" s="1141">
        <f>C62/B62</f>
        <v>0.10166575969156698</v>
      </c>
      <c r="D61" s="181"/>
      <c r="E61" s="183"/>
      <c r="F61" s="181"/>
      <c r="G61" s="183"/>
      <c r="H61" s="181"/>
      <c r="I61" s="183"/>
      <c r="J61" s="181"/>
      <c r="K61" s="183"/>
      <c r="L61" s="181"/>
      <c r="M61" s="181"/>
      <c r="N61" s="181"/>
      <c r="O61" s="183"/>
      <c r="P61" s="308"/>
      <c r="Q61" s="181"/>
      <c r="R61" s="309"/>
    </row>
    <row r="62" spans="1:20">
      <c r="A62" s="184" t="s">
        <v>61</v>
      </c>
      <c r="B62" s="185">
        <f t="shared" ref="B62:M62" si="29">AVERAGE(B27:B36)</f>
        <v>21683.8</v>
      </c>
      <c r="C62" s="185">
        <f t="shared" si="29"/>
        <v>2204.5</v>
      </c>
      <c r="D62" s="185">
        <f t="shared" si="29"/>
        <v>35.200000000000003</v>
      </c>
      <c r="E62" s="201">
        <f t="shared" si="29"/>
        <v>1.585070883965944</v>
      </c>
      <c r="F62" s="185">
        <f t="shared" si="29"/>
        <v>214.9</v>
      </c>
      <c r="G62" s="201">
        <f t="shared" si="29"/>
        <v>8.8182869084791111</v>
      </c>
      <c r="H62" s="185">
        <f t="shared" si="29"/>
        <v>250.1</v>
      </c>
      <c r="I62" s="201">
        <f t="shared" si="29"/>
        <v>10.403357792445055</v>
      </c>
      <c r="J62" s="185">
        <f t="shared" si="29"/>
        <v>382</v>
      </c>
      <c r="K62" s="201">
        <f t="shared" si="29"/>
        <v>16.933677669039721</v>
      </c>
      <c r="L62" s="185">
        <f t="shared" si="29"/>
        <v>1625.1</v>
      </c>
      <c r="M62" s="201">
        <f t="shared" si="29"/>
        <v>75.405286163678596</v>
      </c>
      <c r="N62" s="202"/>
      <c r="O62" s="203">
        <f>AVERAGE(O27:O36)</f>
        <v>0.10162286073279023</v>
      </c>
      <c r="P62" s="306">
        <f>AVERAGE(P27:P36)</f>
        <v>209984.9</v>
      </c>
      <c r="Q62" s="407"/>
      <c r="R62" s="307">
        <f>AVERAGE(R27:R36)</f>
        <v>1.0999999999999999E-2</v>
      </c>
    </row>
    <row r="63" spans="1:20">
      <c r="A63" s="49" t="s">
        <v>58</v>
      </c>
      <c r="B63" s="181">
        <f t="shared" ref="B63:M63" si="30">MIN(B27:B36)</f>
        <v>6355</v>
      </c>
      <c r="C63" s="181">
        <f t="shared" si="30"/>
        <v>549</v>
      </c>
      <c r="D63" s="181">
        <f t="shared" si="30"/>
        <v>3</v>
      </c>
      <c r="E63" s="183">
        <f t="shared" si="30"/>
        <v>0.20718232044198895</v>
      </c>
      <c r="F63" s="181">
        <f t="shared" si="30"/>
        <v>40</v>
      </c>
      <c r="G63" s="183">
        <f t="shared" si="30"/>
        <v>6.1288632792037712</v>
      </c>
      <c r="H63" s="181">
        <f t="shared" si="30"/>
        <v>48</v>
      </c>
      <c r="I63" s="183">
        <f t="shared" si="30"/>
        <v>6.3535911602209953</v>
      </c>
      <c r="J63" s="181">
        <f t="shared" si="30"/>
        <v>20</v>
      </c>
      <c r="K63" s="183">
        <f t="shared" si="30"/>
        <v>3.1604538087520258</v>
      </c>
      <c r="L63" s="181">
        <f t="shared" si="30"/>
        <v>481</v>
      </c>
      <c r="M63" s="181">
        <f t="shared" si="30"/>
        <v>63.972431077694239</v>
      </c>
      <c r="N63" s="181"/>
      <c r="O63" s="183">
        <f>MIN(O27:O36)</f>
        <v>6.4839691921905779E-2</v>
      </c>
      <c r="P63" s="308">
        <f>MIN(P27:P36)</f>
        <v>86247</v>
      </c>
      <c r="Q63" s="181"/>
      <c r="R63" s="309">
        <f>MIN(R27:R36)</f>
        <v>0.01</v>
      </c>
    </row>
    <row r="64" spans="1:20">
      <c r="A64" s="49" t="s">
        <v>59</v>
      </c>
      <c r="B64" s="181">
        <f t="shared" ref="B64:M64" si="31">MAX(B27:B36)</f>
        <v>52029</v>
      </c>
      <c r="C64" s="181">
        <f t="shared" si="31"/>
        <v>6245</v>
      </c>
      <c r="D64" s="181">
        <f t="shared" si="31"/>
        <v>89</v>
      </c>
      <c r="E64" s="183">
        <f t="shared" si="31"/>
        <v>2.1880064829821722</v>
      </c>
      <c r="F64" s="181">
        <f t="shared" si="31"/>
        <v>808</v>
      </c>
      <c r="G64" s="183">
        <f t="shared" si="31"/>
        <v>13.695299837925445</v>
      </c>
      <c r="H64" s="181">
        <f t="shared" si="31"/>
        <v>897</v>
      </c>
      <c r="I64" s="183">
        <f t="shared" si="31"/>
        <v>15.883306320907616</v>
      </c>
      <c r="J64" s="181">
        <f t="shared" si="31"/>
        <v>680</v>
      </c>
      <c r="K64" s="183">
        <f t="shared" si="31"/>
        <v>28.320802005012531</v>
      </c>
      <c r="L64" s="181">
        <f t="shared" si="31"/>
        <v>4766</v>
      </c>
      <c r="M64" s="181">
        <f t="shared" si="31"/>
        <v>100.14471780028944</v>
      </c>
      <c r="N64" s="181"/>
      <c r="O64" s="183">
        <f>MAX(O27:O36)</f>
        <v>0.15832735338247766</v>
      </c>
      <c r="P64" s="308">
        <f>MAX(P27:P36)</f>
        <v>439885</v>
      </c>
      <c r="Q64" s="181"/>
      <c r="R64" s="309">
        <f>MAX(R27:R36)</f>
        <v>0.02</v>
      </c>
    </row>
    <row r="65" spans="1:18">
      <c r="B65" s="181"/>
      <c r="C65" s="1141">
        <f>C66/B66</f>
        <v>0.11060277472445856</v>
      </c>
      <c r="D65" s="181"/>
      <c r="E65" s="183"/>
      <c r="F65" s="181"/>
      <c r="G65" s="183"/>
      <c r="H65" s="181"/>
      <c r="I65" s="183"/>
      <c r="J65" s="181"/>
      <c r="K65" s="183"/>
      <c r="L65" s="181"/>
      <c r="M65" s="181"/>
      <c r="N65" s="181"/>
      <c r="O65" s="183"/>
      <c r="P65" s="308"/>
      <c r="Q65" s="181"/>
      <c r="R65" s="309"/>
    </row>
    <row r="66" spans="1:18">
      <c r="A66" s="184" t="s">
        <v>62</v>
      </c>
      <c r="B66" s="185">
        <f t="shared" ref="B66:M66" si="32">AVERAGE(B37:B46)</f>
        <v>23562.7</v>
      </c>
      <c r="C66" s="185">
        <f t="shared" si="32"/>
        <v>2606.1</v>
      </c>
      <c r="D66" s="185">
        <f t="shared" si="32"/>
        <v>40.4</v>
      </c>
      <c r="E66" s="201">
        <f t="shared" si="32"/>
        <v>1.4360677916348279</v>
      </c>
      <c r="F66" s="185">
        <f t="shared" si="32"/>
        <v>259.60000000000002</v>
      </c>
      <c r="G66" s="201">
        <f t="shared" si="32"/>
        <v>9.4956467577300412</v>
      </c>
      <c r="H66" s="185">
        <f t="shared" si="32"/>
        <v>300</v>
      </c>
      <c r="I66" s="201">
        <f t="shared" si="32"/>
        <v>10.931714549364866</v>
      </c>
      <c r="J66" s="185">
        <f t="shared" si="32"/>
        <v>378.9</v>
      </c>
      <c r="K66" s="201">
        <f t="shared" si="32"/>
        <v>17.245381130806386</v>
      </c>
      <c r="L66" s="185">
        <f t="shared" si="32"/>
        <v>1927.3</v>
      </c>
      <c r="M66" s="201">
        <f t="shared" si="32"/>
        <v>71.832765437866982</v>
      </c>
      <c r="N66" s="202"/>
      <c r="O66" s="203">
        <f>AVERAGE(O37:O46)</f>
        <v>0.11306110476450204</v>
      </c>
      <c r="P66" s="306">
        <f>AVERAGE(P37:P46)</f>
        <v>188618.1</v>
      </c>
      <c r="Q66" s="407"/>
      <c r="R66" s="307">
        <f>AVERAGE(R37:R46)</f>
        <v>1.4999999999999999E-2</v>
      </c>
    </row>
    <row r="67" spans="1:18">
      <c r="A67" s="49" t="s">
        <v>58</v>
      </c>
      <c r="B67" s="181">
        <f t="shared" ref="B67:M67" si="33">MIN(B37:B46)</f>
        <v>12907</v>
      </c>
      <c r="C67" s="181">
        <f t="shared" si="33"/>
        <v>1176</v>
      </c>
      <c r="D67" s="181">
        <f t="shared" si="33"/>
        <v>8</v>
      </c>
      <c r="E67" s="183">
        <f t="shared" si="33"/>
        <v>0.68027210884353739</v>
      </c>
      <c r="F67" s="181">
        <f t="shared" si="33"/>
        <v>77</v>
      </c>
      <c r="G67" s="183">
        <f t="shared" si="33"/>
        <v>6.5476190476190483</v>
      </c>
      <c r="H67" s="181">
        <f t="shared" si="33"/>
        <v>85</v>
      </c>
      <c r="I67" s="183">
        <f t="shared" si="33"/>
        <v>7.2278911564625847</v>
      </c>
      <c r="J67" s="181">
        <f t="shared" si="33"/>
        <v>104</v>
      </c>
      <c r="K67" s="183">
        <f t="shared" si="33"/>
        <v>3.5543403964456601</v>
      </c>
      <c r="L67" s="181">
        <f t="shared" si="33"/>
        <v>704</v>
      </c>
      <c r="M67" s="181">
        <f t="shared" si="33"/>
        <v>59.863945578231295</v>
      </c>
      <c r="N67" s="181"/>
      <c r="O67" s="183">
        <f>MIN(O37:O46)</f>
        <v>7.8493440995788283E-2</v>
      </c>
      <c r="P67" s="308">
        <f>MIN(P37:P46)</f>
        <v>73105</v>
      </c>
      <c r="Q67" s="181"/>
      <c r="R67" s="309">
        <f>MIN(R37:R46)</f>
        <v>0.01</v>
      </c>
    </row>
    <row r="68" spans="1:18">
      <c r="A68" s="49" t="s">
        <v>59</v>
      </c>
      <c r="B68" s="181">
        <f t="shared" ref="B68:M68" si="34">MAX(B37:B46)</f>
        <v>38243</v>
      </c>
      <c r="C68" s="181">
        <f t="shared" si="34"/>
        <v>3923</v>
      </c>
      <c r="D68" s="181">
        <f t="shared" si="34"/>
        <v>77</v>
      </c>
      <c r="E68" s="183">
        <f t="shared" si="34"/>
        <v>2.0164046479835953</v>
      </c>
      <c r="F68" s="181">
        <f t="shared" si="34"/>
        <v>449</v>
      </c>
      <c r="G68" s="183">
        <f t="shared" si="34"/>
        <v>14.798359535201641</v>
      </c>
      <c r="H68" s="181">
        <f t="shared" si="34"/>
        <v>526</v>
      </c>
      <c r="I68" s="183">
        <f t="shared" si="34"/>
        <v>16.814764183185236</v>
      </c>
      <c r="J68" s="181">
        <f t="shared" si="34"/>
        <v>637</v>
      </c>
      <c r="K68" s="183">
        <f t="shared" si="34"/>
        <v>32.993197278911559</v>
      </c>
      <c r="L68" s="181">
        <f t="shared" si="34"/>
        <v>3256</v>
      </c>
      <c r="M68" s="181">
        <f t="shared" si="34"/>
        <v>82.997705837369367</v>
      </c>
      <c r="N68" s="181"/>
      <c r="O68" s="183">
        <f>MAX(O37:O46)</f>
        <v>0.13914991598730475</v>
      </c>
      <c r="P68" s="308">
        <f>MAX(P37:P46)</f>
        <v>315346</v>
      </c>
      <c r="Q68" s="181"/>
      <c r="R68" s="309">
        <f>MAX(R37:R46)</f>
        <v>0.02</v>
      </c>
    </row>
    <row r="69" spans="1:18">
      <c r="B69" s="181"/>
      <c r="C69" s="181"/>
      <c r="D69" s="181"/>
      <c r="E69" s="183"/>
      <c r="F69" s="181"/>
      <c r="G69" s="183"/>
      <c r="H69" s="181"/>
      <c r="I69" s="183"/>
      <c r="J69" s="181"/>
      <c r="K69" s="183"/>
      <c r="L69" s="181"/>
      <c r="M69" s="181"/>
      <c r="N69" s="181"/>
      <c r="O69" s="183"/>
    </row>
    <row r="70" spans="1:18">
      <c r="A70" s="184" t="s">
        <v>267</v>
      </c>
      <c r="B70" s="185">
        <f>AVERAGE(B42:B51)</f>
        <v>20554.8</v>
      </c>
      <c r="C70" s="185">
        <f t="shared" ref="C70:M70" si="35">AVERAGE(C42:C51)</f>
        <v>2653.3</v>
      </c>
      <c r="D70" s="185">
        <f t="shared" si="35"/>
        <v>33.6</v>
      </c>
      <c r="E70" s="185">
        <f t="shared" si="35"/>
        <v>1.1460330906352749</v>
      </c>
      <c r="F70" s="185">
        <f t="shared" si="35"/>
        <v>221</v>
      </c>
      <c r="G70" s="185">
        <f t="shared" si="35"/>
        <v>7.9197213998065816</v>
      </c>
      <c r="H70" s="185">
        <f t="shared" si="35"/>
        <v>254.6</v>
      </c>
      <c r="I70" s="185">
        <f t="shared" si="35"/>
        <v>9.0657544904418561</v>
      </c>
      <c r="J70" s="185">
        <f t="shared" si="35"/>
        <v>478.5</v>
      </c>
      <c r="K70" s="185">
        <f t="shared" si="35"/>
        <v>21.218325521869108</v>
      </c>
      <c r="L70" s="185">
        <f t="shared" si="35"/>
        <v>1920.4</v>
      </c>
      <c r="M70" s="185">
        <f t="shared" si="35"/>
        <v>69.730372773430901</v>
      </c>
      <c r="N70" s="202"/>
      <c r="O70" s="203">
        <f>AVERAGE(O42:O51)</f>
        <v>0.12869961755074405</v>
      </c>
      <c r="P70" s="306">
        <f>AVERAGE(P39:P48)</f>
        <v>152273.4</v>
      </c>
      <c r="R70" s="307">
        <f>AVERAGE(R39:R48)</f>
        <v>1.7999999999999995E-2</v>
      </c>
    </row>
    <row r="71" spans="1:18">
      <c r="A71" s="48" t="s">
        <v>268</v>
      </c>
      <c r="B71" s="189">
        <f>B52/B70</f>
        <v>1.0796991456983285</v>
      </c>
      <c r="C71" s="189">
        <f t="shared" ref="C71:M71" si="36">C52/C70</f>
        <v>1.508310405909622</v>
      </c>
      <c r="D71" s="189">
        <f t="shared" si="36"/>
        <v>1.3095238095238095</v>
      </c>
      <c r="E71" s="189">
        <f t="shared" si="36"/>
        <v>0.95935299237574012</v>
      </c>
      <c r="F71" s="189">
        <f t="shared" si="36"/>
        <v>1.2398190045248869</v>
      </c>
      <c r="G71" s="189">
        <f t="shared" si="36"/>
        <v>0.86449716675783417</v>
      </c>
      <c r="H71" s="189">
        <f t="shared" si="36"/>
        <v>1.2490180675569522</v>
      </c>
      <c r="I71" s="189">
        <f t="shared" si="36"/>
        <v>0.87648821671537069</v>
      </c>
      <c r="J71" s="189">
        <f t="shared" si="36"/>
        <v>1.5130616509926855</v>
      </c>
      <c r="K71" s="189">
        <f t="shared" si="36"/>
        <v>0.85260990572007267</v>
      </c>
      <c r="L71" s="189">
        <f t="shared" si="36"/>
        <v>1.5408248281607997</v>
      </c>
      <c r="M71" s="189">
        <f t="shared" si="36"/>
        <v>1.060341828728615</v>
      </c>
      <c r="N71" s="189"/>
      <c r="O71" s="189"/>
      <c r="P71" s="311">
        <f>P49/P70</f>
        <v>1.2174089499544898</v>
      </c>
      <c r="Q71" s="189"/>
    </row>
    <row r="73" spans="1:18">
      <c r="A73" s="204"/>
      <c r="P73" s="184" t="s">
        <v>269</v>
      </c>
      <c r="Q73" s="409">
        <f>AVERAGE(Q43:Q52)</f>
        <v>0.15300058401005384</v>
      </c>
    </row>
    <row r="74" spans="1:18">
      <c r="A74" s="205" t="s">
        <v>64</v>
      </c>
      <c r="B74" s="1291">
        <v>16300</v>
      </c>
      <c r="C74" s="1291">
        <v>2400</v>
      </c>
      <c r="D74" s="1292">
        <f>C74/B74</f>
        <v>0.14723926380368099</v>
      </c>
      <c r="P74" s="184" t="s">
        <v>270</v>
      </c>
      <c r="Q74" s="409">
        <f>AVERAGE(Q7:Q52)</f>
        <v>0.15371361458394991</v>
      </c>
    </row>
    <row r="75" spans="1:18">
      <c r="A75" s="204" t="s">
        <v>271</v>
      </c>
    </row>
  </sheetData>
  <mergeCells count="6">
    <mergeCell ref="L4:M4"/>
    <mergeCell ref="B4:C4"/>
    <mergeCell ref="D4:E4"/>
    <mergeCell ref="F4:G4"/>
    <mergeCell ref="H4:I4"/>
    <mergeCell ref="J4:K4"/>
  </mergeCells>
  <phoneticPr fontId="142" type="noConversion"/>
  <pageMargins left="0.75" right="0.75" top="1" bottom="1" header="0.5" footer="0.5"/>
  <pageSetup scale="76" orientation="portrait" horizontalDpi="300" verticalDpi="300" r:id="rId1"/>
  <headerFooter alignWithMargins="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683D2-04CE-4ED4-8CD5-07D901695C80}">
  <sheetPr>
    <tabColor rgb="FF66FF33"/>
  </sheetPr>
  <dimension ref="B1:P58"/>
  <sheetViews>
    <sheetView showGridLines="0" topLeftCell="A26" zoomScale="110" zoomScaleNormal="110" workbookViewId="0">
      <selection activeCell="B2" sqref="B2"/>
    </sheetView>
  </sheetViews>
  <sheetFormatPr defaultColWidth="9.33203125" defaultRowHeight="12.75"/>
  <cols>
    <col min="2" max="14" width="8.83203125" customWidth="1"/>
    <col min="15" max="15" width="6.33203125" customWidth="1"/>
    <col min="254" max="254" width="8.6640625" customWidth="1"/>
    <col min="255" max="255" width="8" bestFit="1" customWidth="1"/>
    <col min="256" max="256" width="9.1640625" customWidth="1"/>
    <col min="257" max="257" width="6.33203125" customWidth="1"/>
    <col min="258" max="258" width="7.6640625" customWidth="1"/>
    <col min="259" max="259" width="6.33203125" customWidth="1"/>
    <col min="260" max="260" width="7" customWidth="1"/>
    <col min="261" max="261" width="8.33203125" customWidth="1"/>
    <col min="262" max="262" width="10" bestFit="1" customWidth="1"/>
    <col min="263" max="263" width="8.6640625" bestFit="1" customWidth="1"/>
    <col min="264" max="264" width="8.33203125" customWidth="1"/>
    <col min="265" max="265" width="8.1640625" customWidth="1"/>
    <col min="266" max="266" width="8.33203125" bestFit="1" customWidth="1"/>
    <col min="267" max="267" width="8.1640625" customWidth="1"/>
    <col min="510" max="510" width="8.6640625" customWidth="1"/>
    <col min="511" max="511" width="8" bestFit="1" customWidth="1"/>
    <col min="512" max="512" width="9.1640625" customWidth="1"/>
    <col min="513" max="513" width="6.33203125" customWidth="1"/>
    <col min="514" max="514" width="7.6640625" customWidth="1"/>
    <col min="515" max="515" width="6.33203125" customWidth="1"/>
    <col min="516" max="516" width="7" customWidth="1"/>
    <col min="517" max="517" width="8.33203125" customWidth="1"/>
    <col min="518" max="518" width="10" bestFit="1" customWidth="1"/>
    <col min="519" max="519" width="8.6640625" bestFit="1" customWidth="1"/>
    <col min="520" max="520" width="8.33203125" customWidth="1"/>
    <col min="521" max="521" width="8.1640625" customWidth="1"/>
    <col min="522" max="522" width="8.33203125" bestFit="1" customWidth="1"/>
    <col min="523" max="523" width="8.1640625" customWidth="1"/>
    <col min="766" max="766" width="8.6640625" customWidth="1"/>
    <col min="767" max="767" width="8" bestFit="1" customWidth="1"/>
    <col min="768" max="768" width="9.1640625" customWidth="1"/>
    <col min="769" max="769" width="6.33203125" customWidth="1"/>
    <col min="770" max="770" width="7.6640625" customWidth="1"/>
    <col min="771" max="771" width="6.33203125" customWidth="1"/>
    <col min="772" max="772" width="7" customWidth="1"/>
    <col min="773" max="773" width="8.33203125" customWidth="1"/>
    <col min="774" max="774" width="10" bestFit="1" customWidth="1"/>
    <col min="775" max="775" width="8.6640625" bestFit="1" customWidth="1"/>
    <col min="776" max="776" width="8.33203125" customWidth="1"/>
    <col min="777" max="777" width="8.1640625" customWidth="1"/>
    <col min="778" max="778" width="8.33203125" bestFit="1" customWidth="1"/>
    <col min="779" max="779" width="8.1640625" customWidth="1"/>
    <col min="1022" max="1022" width="8.6640625" customWidth="1"/>
    <col min="1023" max="1023" width="8" bestFit="1" customWidth="1"/>
    <col min="1024" max="1024" width="9.1640625" customWidth="1"/>
    <col min="1025" max="1025" width="6.33203125" customWidth="1"/>
    <col min="1026" max="1026" width="7.6640625" customWidth="1"/>
    <col min="1027" max="1027" width="6.33203125" customWidth="1"/>
    <col min="1028" max="1028" width="7" customWidth="1"/>
    <col min="1029" max="1029" width="8.33203125" customWidth="1"/>
    <col min="1030" max="1030" width="10" bestFit="1" customWidth="1"/>
    <col min="1031" max="1031" width="8.6640625" bestFit="1" customWidth="1"/>
    <col min="1032" max="1032" width="8.33203125" customWidth="1"/>
    <col min="1033" max="1033" width="8.1640625" customWidth="1"/>
    <col min="1034" max="1034" width="8.33203125" bestFit="1" customWidth="1"/>
    <col min="1035" max="1035" width="8.1640625" customWidth="1"/>
    <col min="1278" max="1278" width="8.6640625" customWidth="1"/>
    <col min="1279" max="1279" width="8" bestFit="1" customWidth="1"/>
    <col min="1280" max="1280" width="9.1640625" customWidth="1"/>
    <col min="1281" max="1281" width="6.33203125" customWidth="1"/>
    <col min="1282" max="1282" width="7.6640625" customWidth="1"/>
    <col min="1283" max="1283" width="6.33203125" customWidth="1"/>
    <col min="1284" max="1284" width="7" customWidth="1"/>
    <col min="1285" max="1285" width="8.33203125" customWidth="1"/>
    <col min="1286" max="1286" width="10" bestFit="1" customWidth="1"/>
    <col min="1287" max="1287" width="8.6640625" bestFit="1" customWidth="1"/>
    <col min="1288" max="1288" width="8.33203125" customWidth="1"/>
    <col min="1289" max="1289" width="8.1640625" customWidth="1"/>
    <col min="1290" max="1290" width="8.33203125" bestFit="1" customWidth="1"/>
    <col min="1291" max="1291" width="8.1640625" customWidth="1"/>
    <col min="1534" max="1534" width="8.6640625" customWidth="1"/>
    <col min="1535" max="1535" width="8" bestFit="1" customWidth="1"/>
    <col min="1536" max="1536" width="9.1640625" customWidth="1"/>
    <col min="1537" max="1537" width="6.33203125" customWidth="1"/>
    <col min="1538" max="1538" width="7.6640625" customWidth="1"/>
    <col min="1539" max="1539" width="6.33203125" customWidth="1"/>
    <col min="1540" max="1540" width="7" customWidth="1"/>
    <col min="1541" max="1541" width="8.33203125" customWidth="1"/>
    <col min="1542" max="1542" width="10" bestFit="1" customWidth="1"/>
    <col min="1543" max="1543" width="8.6640625" bestFit="1" customWidth="1"/>
    <col min="1544" max="1544" width="8.33203125" customWidth="1"/>
    <col min="1545" max="1545" width="8.1640625" customWidth="1"/>
    <col min="1546" max="1546" width="8.33203125" bestFit="1" customWidth="1"/>
    <col min="1547" max="1547" width="8.1640625" customWidth="1"/>
    <col min="1790" max="1790" width="8.6640625" customWidth="1"/>
    <col min="1791" max="1791" width="8" bestFit="1" customWidth="1"/>
    <col min="1792" max="1792" width="9.1640625" customWidth="1"/>
    <col min="1793" max="1793" width="6.33203125" customWidth="1"/>
    <col min="1794" max="1794" width="7.6640625" customWidth="1"/>
    <col min="1795" max="1795" width="6.33203125" customWidth="1"/>
    <col min="1796" max="1796" width="7" customWidth="1"/>
    <col min="1797" max="1797" width="8.33203125" customWidth="1"/>
    <col min="1798" max="1798" width="10" bestFit="1" customWidth="1"/>
    <col min="1799" max="1799" width="8.6640625" bestFit="1" customWidth="1"/>
    <col min="1800" max="1800" width="8.33203125" customWidth="1"/>
    <col min="1801" max="1801" width="8.1640625" customWidth="1"/>
    <col min="1802" max="1802" width="8.33203125" bestFit="1" customWidth="1"/>
    <col min="1803" max="1803" width="8.1640625" customWidth="1"/>
    <col min="2046" max="2046" width="8.6640625" customWidth="1"/>
    <col min="2047" max="2047" width="8" bestFit="1" customWidth="1"/>
    <col min="2048" max="2048" width="9.1640625" customWidth="1"/>
    <col min="2049" max="2049" width="6.33203125" customWidth="1"/>
    <col min="2050" max="2050" width="7.6640625" customWidth="1"/>
    <col min="2051" max="2051" width="6.33203125" customWidth="1"/>
    <col min="2052" max="2052" width="7" customWidth="1"/>
    <col min="2053" max="2053" width="8.33203125" customWidth="1"/>
    <col min="2054" max="2054" width="10" bestFit="1" customWidth="1"/>
    <col min="2055" max="2055" width="8.6640625" bestFit="1" customWidth="1"/>
    <col min="2056" max="2056" width="8.33203125" customWidth="1"/>
    <col min="2057" max="2057" width="8.1640625" customWidth="1"/>
    <col min="2058" max="2058" width="8.33203125" bestFit="1" customWidth="1"/>
    <col min="2059" max="2059" width="8.1640625" customWidth="1"/>
    <col min="2302" max="2302" width="8.6640625" customWidth="1"/>
    <col min="2303" max="2303" width="8" bestFit="1" customWidth="1"/>
    <col min="2304" max="2304" width="9.1640625" customWidth="1"/>
    <col min="2305" max="2305" width="6.33203125" customWidth="1"/>
    <col min="2306" max="2306" width="7.6640625" customWidth="1"/>
    <col min="2307" max="2307" width="6.33203125" customWidth="1"/>
    <col min="2308" max="2308" width="7" customWidth="1"/>
    <col min="2309" max="2309" width="8.33203125" customWidth="1"/>
    <col min="2310" max="2310" width="10" bestFit="1" customWidth="1"/>
    <col min="2311" max="2311" width="8.6640625" bestFit="1" customWidth="1"/>
    <col min="2312" max="2312" width="8.33203125" customWidth="1"/>
    <col min="2313" max="2313" width="8.1640625" customWidth="1"/>
    <col min="2314" max="2314" width="8.33203125" bestFit="1" customWidth="1"/>
    <col min="2315" max="2315" width="8.1640625" customWidth="1"/>
    <col min="2558" max="2558" width="8.6640625" customWidth="1"/>
    <col min="2559" max="2559" width="8" bestFit="1" customWidth="1"/>
    <col min="2560" max="2560" width="9.1640625" customWidth="1"/>
    <col min="2561" max="2561" width="6.33203125" customWidth="1"/>
    <col min="2562" max="2562" width="7.6640625" customWidth="1"/>
    <col min="2563" max="2563" width="6.33203125" customWidth="1"/>
    <col min="2564" max="2564" width="7" customWidth="1"/>
    <col min="2565" max="2565" width="8.33203125" customWidth="1"/>
    <col min="2566" max="2566" width="10" bestFit="1" customWidth="1"/>
    <col min="2567" max="2567" width="8.6640625" bestFit="1" customWidth="1"/>
    <col min="2568" max="2568" width="8.33203125" customWidth="1"/>
    <col min="2569" max="2569" width="8.1640625" customWidth="1"/>
    <col min="2570" max="2570" width="8.33203125" bestFit="1" customWidth="1"/>
    <col min="2571" max="2571" width="8.1640625" customWidth="1"/>
    <col min="2814" max="2814" width="8.6640625" customWidth="1"/>
    <col min="2815" max="2815" width="8" bestFit="1" customWidth="1"/>
    <col min="2816" max="2816" width="9.1640625" customWidth="1"/>
    <col min="2817" max="2817" width="6.33203125" customWidth="1"/>
    <col min="2818" max="2818" width="7.6640625" customWidth="1"/>
    <col min="2819" max="2819" width="6.33203125" customWidth="1"/>
    <col min="2820" max="2820" width="7" customWidth="1"/>
    <col min="2821" max="2821" width="8.33203125" customWidth="1"/>
    <col min="2822" max="2822" width="10" bestFit="1" customWidth="1"/>
    <col min="2823" max="2823" width="8.6640625" bestFit="1" customWidth="1"/>
    <col min="2824" max="2824" width="8.33203125" customWidth="1"/>
    <col min="2825" max="2825" width="8.1640625" customWidth="1"/>
    <col min="2826" max="2826" width="8.33203125" bestFit="1" customWidth="1"/>
    <col min="2827" max="2827" width="8.1640625" customWidth="1"/>
    <col min="3070" max="3070" width="8.6640625" customWidth="1"/>
    <col min="3071" max="3071" width="8" bestFit="1" customWidth="1"/>
    <col min="3072" max="3072" width="9.1640625" customWidth="1"/>
    <col min="3073" max="3073" width="6.33203125" customWidth="1"/>
    <col min="3074" max="3074" width="7.6640625" customWidth="1"/>
    <col min="3075" max="3075" width="6.33203125" customWidth="1"/>
    <col min="3076" max="3076" width="7" customWidth="1"/>
    <col min="3077" max="3077" width="8.33203125" customWidth="1"/>
    <col min="3078" max="3078" width="10" bestFit="1" customWidth="1"/>
    <col min="3079" max="3079" width="8.6640625" bestFit="1" customWidth="1"/>
    <col min="3080" max="3080" width="8.33203125" customWidth="1"/>
    <col min="3081" max="3081" width="8.1640625" customWidth="1"/>
    <col min="3082" max="3082" width="8.33203125" bestFit="1" customWidth="1"/>
    <col min="3083" max="3083" width="8.1640625" customWidth="1"/>
    <col min="3326" max="3326" width="8.6640625" customWidth="1"/>
    <col min="3327" max="3327" width="8" bestFit="1" customWidth="1"/>
    <col min="3328" max="3328" width="9.1640625" customWidth="1"/>
    <col min="3329" max="3329" width="6.33203125" customWidth="1"/>
    <col min="3330" max="3330" width="7.6640625" customWidth="1"/>
    <col min="3331" max="3331" width="6.33203125" customWidth="1"/>
    <col min="3332" max="3332" width="7" customWidth="1"/>
    <col min="3333" max="3333" width="8.33203125" customWidth="1"/>
    <col min="3334" max="3334" width="10" bestFit="1" customWidth="1"/>
    <col min="3335" max="3335" width="8.6640625" bestFit="1" customWidth="1"/>
    <col min="3336" max="3336" width="8.33203125" customWidth="1"/>
    <col min="3337" max="3337" width="8.1640625" customWidth="1"/>
    <col min="3338" max="3338" width="8.33203125" bestFit="1" customWidth="1"/>
    <col min="3339" max="3339" width="8.1640625" customWidth="1"/>
    <col min="3582" max="3582" width="8.6640625" customWidth="1"/>
    <col min="3583" max="3583" width="8" bestFit="1" customWidth="1"/>
    <col min="3584" max="3584" width="9.1640625" customWidth="1"/>
    <col min="3585" max="3585" width="6.33203125" customWidth="1"/>
    <col min="3586" max="3586" width="7.6640625" customWidth="1"/>
    <col min="3587" max="3587" width="6.33203125" customWidth="1"/>
    <col min="3588" max="3588" width="7" customWidth="1"/>
    <col min="3589" max="3589" width="8.33203125" customWidth="1"/>
    <col min="3590" max="3590" width="10" bestFit="1" customWidth="1"/>
    <col min="3591" max="3591" width="8.6640625" bestFit="1" customWidth="1"/>
    <col min="3592" max="3592" width="8.33203125" customWidth="1"/>
    <col min="3593" max="3593" width="8.1640625" customWidth="1"/>
    <col min="3594" max="3594" width="8.33203125" bestFit="1" customWidth="1"/>
    <col min="3595" max="3595" width="8.1640625" customWidth="1"/>
    <col min="3838" max="3838" width="8.6640625" customWidth="1"/>
    <col min="3839" max="3839" width="8" bestFit="1" customWidth="1"/>
    <col min="3840" max="3840" width="9.1640625" customWidth="1"/>
    <col min="3841" max="3841" width="6.33203125" customWidth="1"/>
    <col min="3842" max="3842" width="7.6640625" customWidth="1"/>
    <col min="3843" max="3843" width="6.33203125" customWidth="1"/>
    <col min="3844" max="3844" width="7" customWidth="1"/>
    <col min="3845" max="3845" width="8.33203125" customWidth="1"/>
    <col min="3846" max="3846" width="10" bestFit="1" customWidth="1"/>
    <col min="3847" max="3847" width="8.6640625" bestFit="1" customWidth="1"/>
    <col min="3848" max="3848" width="8.33203125" customWidth="1"/>
    <col min="3849" max="3849" width="8.1640625" customWidth="1"/>
    <col min="3850" max="3850" width="8.33203125" bestFit="1" customWidth="1"/>
    <col min="3851" max="3851" width="8.1640625" customWidth="1"/>
    <col min="4094" max="4094" width="8.6640625" customWidth="1"/>
    <col min="4095" max="4095" width="8" bestFit="1" customWidth="1"/>
    <col min="4096" max="4096" width="9.1640625" customWidth="1"/>
    <col min="4097" max="4097" width="6.33203125" customWidth="1"/>
    <col min="4098" max="4098" width="7.6640625" customWidth="1"/>
    <col min="4099" max="4099" width="6.33203125" customWidth="1"/>
    <col min="4100" max="4100" width="7" customWidth="1"/>
    <col min="4101" max="4101" width="8.33203125" customWidth="1"/>
    <col min="4102" max="4102" width="10" bestFit="1" customWidth="1"/>
    <col min="4103" max="4103" width="8.6640625" bestFit="1" customWidth="1"/>
    <col min="4104" max="4104" width="8.33203125" customWidth="1"/>
    <col min="4105" max="4105" width="8.1640625" customWidth="1"/>
    <col min="4106" max="4106" width="8.33203125" bestFit="1" customWidth="1"/>
    <col min="4107" max="4107" width="8.1640625" customWidth="1"/>
    <col min="4350" max="4350" width="8.6640625" customWidth="1"/>
    <col min="4351" max="4351" width="8" bestFit="1" customWidth="1"/>
    <col min="4352" max="4352" width="9.1640625" customWidth="1"/>
    <col min="4353" max="4353" width="6.33203125" customWidth="1"/>
    <col min="4354" max="4354" width="7.6640625" customWidth="1"/>
    <col min="4355" max="4355" width="6.33203125" customWidth="1"/>
    <col min="4356" max="4356" width="7" customWidth="1"/>
    <col min="4357" max="4357" width="8.33203125" customWidth="1"/>
    <col min="4358" max="4358" width="10" bestFit="1" customWidth="1"/>
    <col min="4359" max="4359" width="8.6640625" bestFit="1" customWidth="1"/>
    <col min="4360" max="4360" width="8.33203125" customWidth="1"/>
    <col min="4361" max="4361" width="8.1640625" customWidth="1"/>
    <col min="4362" max="4362" width="8.33203125" bestFit="1" customWidth="1"/>
    <col min="4363" max="4363" width="8.1640625" customWidth="1"/>
    <col min="4606" max="4606" width="8.6640625" customWidth="1"/>
    <col min="4607" max="4607" width="8" bestFit="1" customWidth="1"/>
    <col min="4608" max="4608" width="9.1640625" customWidth="1"/>
    <col min="4609" max="4609" width="6.33203125" customWidth="1"/>
    <col min="4610" max="4610" width="7.6640625" customWidth="1"/>
    <col min="4611" max="4611" width="6.33203125" customWidth="1"/>
    <col min="4612" max="4612" width="7" customWidth="1"/>
    <col min="4613" max="4613" width="8.33203125" customWidth="1"/>
    <col min="4614" max="4614" width="10" bestFit="1" customWidth="1"/>
    <col min="4615" max="4615" width="8.6640625" bestFit="1" customWidth="1"/>
    <col min="4616" max="4616" width="8.33203125" customWidth="1"/>
    <col min="4617" max="4617" width="8.1640625" customWidth="1"/>
    <col min="4618" max="4618" width="8.33203125" bestFit="1" customWidth="1"/>
    <col min="4619" max="4619" width="8.1640625" customWidth="1"/>
    <col min="4862" max="4862" width="8.6640625" customWidth="1"/>
    <col min="4863" max="4863" width="8" bestFit="1" customWidth="1"/>
    <col min="4864" max="4864" width="9.1640625" customWidth="1"/>
    <col min="4865" max="4865" width="6.33203125" customWidth="1"/>
    <col min="4866" max="4866" width="7.6640625" customWidth="1"/>
    <col min="4867" max="4867" width="6.33203125" customWidth="1"/>
    <col min="4868" max="4868" width="7" customWidth="1"/>
    <col min="4869" max="4869" width="8.33203125" customWidth="1"/>
    <col min="4870" max="4870" width="10" bestFit="1" customWidth="1"/>
    <col min="4871" max="4871" width="8.6640625" bestFit="1" customWidth="1"/>
    <col min="4872" max="4872" width="8.33203125" customWidth="1"/>
    <col min="4873" max="4873" width="8.1640625" customWidth="1"/>
    <col min="4874" max="4874" width="8.33203125" bestFit="1" customWidth="1"/>
    <col min="4875" max="4875" width="8.1640625" customWidth="1"/>
    <col min="5118" max="5118" width="8.6640625" customWidth="1"/>
    <col min="5119" max="5119" width="8" bestFit="1" customWidth="1"/>
    <col min="5120" max="5120" width="9.1640625" customWidth="1"/>
    <col min="5121" max="5121" width="6.33203125" customWidth="1"/>
    <col min="5122" max="5122" width="7.6640625" customWidth="1"/>
    <col min="5123" max="5123" width="6.33203125" customWidth="1"/>
    <col min="5124" max="5124" width="7" customWidth="1"/>
    <col min="5125" max="5125" width="8.33203125" customWidth="1"/>
    <col min="5126" max="5126" width="10" bestFit="1" customWidth="1"/>
    <col min="5127" max="5127" width="8.6640625" bestFit="1" customWidth="1"/>
    <col min="5128" max="5128" width="8.33203125" customWidth="1"/>
    <col min="5129" max="5129" width="8.1640625" customWidth="1"/>
    <col min="5130" max="5130" width="8.33203125" bestFit="1" customWidth="1"/>
    <col min="5131" max="5131" width="8.1640625" customWidth="1"/>
    <col min="5374" max="5374" width="8.6640625" customWidth="1"/>
    <col min="5375" max="5375" width="8" bestFit="1" customWidth="1"/>
    <col min="5376" max="5376" width="9.1640625" customWidth="1"/>
    <col min="5377" max="5377" width="6.33203125" customWidth="1"/>
    <col min="5378" max="5378" width="7.6640625" customWidth="1"/>
    <col min="5379" max="5379" width="6.33203125" customWidth="1"/>
    <col min="5380" max="5380" width="7" customWidth="1"/>
    <col min="5381" max="5381" width="8.33203125" customWidth="1"/>
    <col min="5382" max="5382" width="10" bestFit="1" customWidth="1"/>
    <col min="5383" max="5383" width="8.6640625" bestFit="1" customWidth="1"/>
    <col min="5384" max="5384" width="8.33203125" customWidth="1"/>
    <col min="5385" max="5385" width="8.1640625" customWidth="1"/>
    <col min="5386" max="5386" width="8.33203125" bestFit="1" customWidth="1"/>
    <col min="5387" max="5387" width="8.1640625" customWidth="1"/>
    <col min="5630" max="5630" width="8.6640625" customWidth="1"/>
    <col min="5631" max="5631" width="8" bestFit="1" customWidth="1"/>
    <col min="5632" max="5632" width="9.1640625" customWidth="1"/>
    <col min="5633" max="5633" width="6.33203125" customWidth="1"/>
    <col min="5634" max="5634" width="7.6640625" customWidth="1"/>
    <col min="5635" max="5635" width="6.33203125" customWidth="1"/>
    <col min="5636" max="5636" width="7" customWidth="1"/>
    <col min="5637" max="5637" width="8.33203125" customWidth="1"/>
    <col min="5638" max="5638" width="10" bestFit="1" customWidth="1"/>
    <col min="5639" max="5639" width="8.6640625" bestFit="1" customWidth="1"/>
    <col min="5640" max="5640" width="8.33203125" customWidth="1"/>
    <col min="5641" max="5641" width="8.1640625" customWidth="1"/>
    <col min="5642" max="5642" width="8.33203125" bestFit="1" customWidth="1"/>
    <col min="5643" max="5643" width="8.1640625" customWidth="1"/>
    <col min="5886" max="5886" width="8.6640625" customWidth="1"/>
    <col min="5887" max="5887" width="8" bestFit="1" customWidth="1"/>
    <col min="5888" max="5888" width="9.1640625" customWidth="1"/>
    <col min="5889" max="5889" width="6.33203125" customWidth="1"/>
    <col min="5890" max="5890" width="7.6640625" customWidth="1"/>
    <col min="5891" max="5891" width="6.33203125" customWidth="1"/>
    <col min="5892" max="5892" width="7" customWidth="1"/>
    <col min="5893" max="5893" width="8.33203125" customWidth="1"/>
    <col min="5894" max="5894" width="10" bestFit="1" customWidth="1"/>
    <col min="5895" max="5895" width="8.6640625" bestFit="1" customWidth="1"/>
    <col min="5896" max="5896" width="8.33203125" customWidth="1"/>
    <col min="5897" max="5897" width="8.1640625" customWidth="1"/>
    <col min="5898" max="5898" width="8.33203125" bestFit="1" customWidth="1"/>
    <col min="5899" max="5899" width="8.1640625" customWidth="1"/>
    <col min="6142" max="6142" width="8.6640625" customWidth="1"/>
    <col min="6143" max="6143" width="8" bestFit="1" customWidth="1"/>
    <col min="6144" max="6144" width="9.1640625" customWidth="1"/>
    <col min="6145" max="6145" width="6.33203125" customWidth="1"/>
    <col min="6146" max="6146" width="7.6640625" customWidth="1"/>
    <col min="6147" max="6147" width="6.33203125" customWidth="1"/>
    <col min="6148" max="6148" width="7" customWidth="1"/>
    <col min="6149" max="6149" width="8.33203125" customWidth="1"/>
    <col min="6150" max="6150" width="10" bestFit="1" customWidth="1"/>
    <col min="6151" max="6151" width="8.6640625" bestFit="1" customWidth="1"/>
    <col min="6152" max="6152" width="8.33203125" customWidth="1"/>
    <col min="6153" max="6153" width="8.1640625" customWidth="1"/>
    <col min="6154" max="6154" width="8.33203125" bestFit="1" customWidth="1"/>
    <col min="6155" max="6155" width="8.1640625" customWidth="1"/>
    <col min="6398" max="6398" width="8.6640625" customWidth="1"/>
    <col min="6399" max="6399" width="8" bestFit="1" customWidth="1"/>
    <col min="6400" max="6400" width="9.1640625" customWidth="1"/>
    <col min="6401" max="6401" width="6.33203125" customWidth="1"/>
    <col min="6402" max="6402" width="7.6640625" customWidth="1"/>
    <col min="6403" max="6403" width="6.33203125" customWidth="1"/>
    <col min="6404" max="6404" width="7" customWidth="1"/>
    <col min="6405" max="6405" width="8.33203125" customWidth="1"/>
    <col min="6406" max="6406" width="10" bestFit="1" customWidth="1"/>
    <col min="6407" max="6407" width="8.6640625" bestFit="1" customWidth="1"/>
    <col min="6408" max="6408" width="8.33203125" customWidth="1"/>
    <col min="6409" max="6409" width="8.1640625" customWidth="1"/>
    <col min="6410" max="6410" width="8.33203125" bestFit="1" customWidth="1"/>
    <col min="6411" max="6411" width="8.1640625" customWidth="1"/>
    <col min="6654" max="6654" width="8.6640625" customWidth="1"/>
    <col min="6655" max="6655" width="8" bestFit="1" customWidth="1"/>
    <col min="6656" max="6656" width="9.1640625" customWidth="1"/>
    <col min="6657" max="6657" width="6.33203125" customWidth="1"/>
    <col min="6658" max="6658" width="7.6640625" customWidth="1"/>
    <col min="6659" max="6659" width="6.33203125" customWidth="1"/>
    <col min="6660" max="6660" width="7" customWidth="1"/>
    <col min="6661" max="6661" width="8.33203125" customWidth="1"/>
    <col min="6662" max="6662" width="10" bestFit="1" customWidth="1"/>
    <col min="6663" max="6663" width="8.6640625" bestFit="1" customWidth="1"/>
    <col min="6664" max="6664" width="8.33203125" customWidth="1"/>
    <col min="6665" max="6665" width="8.1640625" customWidth="1"/>
    <col min="6666" max="6666" width="8.33203125" bestFit="1" customWidth="1"/>
    <col min="6667" max="6667" width="8.1640625" customWidth="1"/>
    <col min="6910" max="6910" width="8.6640625" customWidth="1"/>
    <col min="6911" max="6911" width="8" bestFit="1" customWidth="1"/>
    <col min="6912" max="6912" width="9.1640625" customWidth="1"/>
    <col min="6913" max="6913" width="6.33203125" customWidth="1"/>
    <col min="6914" max="6914" width="7.6640625" customWidth="1"/>
    <col min="6915" max="6915" width="6.33203125" customWidth="1"/>
    <col min="6916" max="6916" width="7" customWidth="1"/>
    <col min="6917" max="6917" width="8.33203125" customWidth="1"/>
    <col min="6918" max="6918" width="10" bestFit="1" customWidth="1"/>
    <col min="6919" max="6919" width="8.6640625" bestFit="1" customWidth="1"/>
    <col min="6920" max="6920" width="8.33203125" customWidth="1"/>
    <col min="6921" max="6921" width="8.1640625" customWidth="1"/>
    <col min="6922" max="6922" width="8.33203125" bestFit="1" customWidth="1"/>
    <col min="6923" max="6923" width="8.1640625" customWidth="1"/>
    <col min="7166" max="7166" width="8.6640625" customWidth="1"/>
    <col min="7167" max="7167" width="8" bestFit="1" customWidth="1"/>
    <col min="7168" max="7168" width="9.1640625" customWidth="1"/>
    <col min="7169" max="7169" width="6.33203125" customWidth="1"/>
    <col min="7170" max="7170" width="7.6640625" customWidth="1"/>
    <col min="7171" max="7171" width="6.33203125" customWidth="1"/>
    <col min="7172" max="7172" width="7" customWidth="1"/>
    <col min="7173" max="7173" width="8.33203125" customWidth="1"/>
    <col min="7174" max="7174" width="10" bestFit="1" customWidth="1"/>
    <col min="7175" max="7175" width="8.6640625" bestFit="1" customWidth="1"/>
    <col min="7176" max="7176" width="8.33203125" customWidth="1"/>
    <col min="7177" max="7177" width="8.1640625" customWidth="1"/>
    <col min="7178" max="7178" width="8.33203125" bestFit="1" customWidth="1"/>
    <col min="7179" max="7179" width="8.1640625" customWidth="1"/>
    <col min="7422" max="7422" width="8.6640625" customWidth="1"/>
    <col min="7423" max="7423" width="8" bestFit="1" customWidth="1"/>
    <col min="7424" max="7424" width="9.1640625" customWidth="1"/>
    <col min="7425" max="7425" width="6.33203125" customWidth="1"/>
    <col min="7426" max="7426" width="7.6640625" customWidth="1"/>
    <col min="7427" max="7427" width="6.33203125" customWidth="1"/>
    <col min="7428" max="7428" width="7" customWidth="1"/>
    <col min="7429" max="7429" width="8.33203125" customWidth="1"/>
    <col min="7430" max="7430" width="10" bestFit="1" customWidth="1"/>
    <col min="7431" max="7431" width="8.6640625" bestFit="1" customWidth="1"/>
    <col min="7432" max="7432" width="8.33203125" customWidth="1"/>
    <col min="7433" max="7433" width="8.1640625" customWidth="1"/>
    <col min="7434" max="7434" width="8.33203125" bestFit="1" customWidth="1"/>
    <col min="7435" max="7435" width="8.1640625" customWidth="1"/>
    <col min="7678" max="7678" width="8.6640625" customWidth="1"/>
    <col min="7679" max="7679" width="8" bestFit="1" customWidth="1"/>
    <col min="7680" max="7680" width="9.1640625" customWidth="1"/>
    <col min="7681" max="7681" width="6.33203125" customWidth="1"/>
    <col min="7682" max="7682" width="7.6640625" customWidth="1"/>
    <col min="7683" max="7683" width="6.33203125" customWidth="1"/>
    <col min="7684" max="7684" width="7" customWidth="1"/>
    <col min="7685" max="7685" width="8.33203125" customWidth="1"/>
    <col min="7686" max="7686" width="10" bestFit="1" customWidth="1"/>
    <col min="7687" max="7687" width="8.6640625" bestFit="1" customWidth="1"/>
    <col min="7688" max="7688" width="8.33203125" customWidth="1"/>
    <col min="7689" max="7689" width="8.1640625" customWidth="1"/>
    <col min="7690" max="7690" width="8.33203125" bestFit="1" customWidth="1"/>
    <col min="7691" max="7691" width="8.1640625" customWidth="1"/>
    <col min="7934" max="7934" width="8.6640625" customWidth="1"/>
    <col min="7935" max="7935" width="8" bestFit="1" customWidth="1"/>
    <col min="7936" max="7936" width="9.1640625" customWidth="1"/>
    <col min="7937" max="7937" width="6.33203125" customWidth="1"/>
    <col min="7938" max="7938" width="7.6640625" customWidth="1"/>
    <col min="7939" max="7939" width="6.33203125" customWidth="1"/>
    <col min="7940" max="7940" width="7" customWidth="1"/>
    <col min="7941" max="7941" width="8.33203125" customWidth="1"/>
    <col min="7942" max="7942" width="10" bestFit="1" customWidth="1"/>
    <col min="7943" max="7943" width="8.6640625" bestFit="1" customWidth="1"/>
    <col min="7944" max="7944" width="8.33203125" customWidth="1"/>
    <col min="7945" max="7945" width="8.1640625" customWidth="1"/>
    <col min="7946" max="7946" width="8.33203125" bestFit="1" customWidth="1"/>
    <col min="7947" max="7947" width="8.1640625" customWidth="1"/>
    <col min="8190" max="8190" width="8.6640625" customWidth="1"/>
    <col min="8191" max="8191" width="8" bestFit="1" customWidth="1"/>
    <col min="8192" max="8192" width="9.1640625" customWidth="1"/>
    <col min="8193" max="8193" width="6.33203125" customWidth="1"/>
    <col min="8194" max="8194" width="7.6640625" customWidth="1"/>
    <col min="8195" max="8195" width="6.33203125" customWidth="1"/>
    <col min="8196" max="8196" width="7" customWidth="1"/>
    <col min="8197" max="8197" width="8.33203125" customWidth="1"/>
    <col min="8198" max="8198" width="10" bestFit="1" customWidth="1"/>
    <col min="8199" max="8199" width="8.6640625" bestFit="1" customWidth="1"/>
    <col min="8200" max="8200" width="8.33203125" customWidth="1"/>
    <col min="8201" max="8201" width="8.1640625" customWidth="1"/>
    <col min="8202" max="8202" width="8.33203125" bestFit="1" customWidth="1"/>
    <col min="8203" max="8203" width="8.1640625" customWidth="1"/>
    <col min="8446" max="8446" width="8.6640625" customWidth="1"/>
    <col min="8447" max="8447" width="8" bestFit="1" customWidth="1"/>
    <col min="8448" max="8448" width="9.1640625" customWidth="1"/>
    <col min="8449" max="8449" width="6.33203125" customWidth="1"/>
    <col min="8450" max="8450" width="7.6640625" customWidth="1"/>
    <col min="8451" max="8451" width="6.33203125" customWidth="1"/>
    <col min="8452" max="8452" width="7" customWidth="1"/>
    <col min="8453" max="8453" width="8.33203125" customWidth="1"/>
    <col min="8454" max="8454" width="10" bestFit="1" customWidth="1"/>
    <col min="8455" max="8455" width="8.6640625" bestFit="1" customWidth="1"/>
    <col min="8456" max="8456" width="8.33203125" customWidth="1"/>
    <col min="8457" max="8457" width="8.1640625" customWidth="1"/>
    <col min="8458" max="8458" width="8.33203125" bestFit="1" customWidth="1"/>
    <col min="8459" max="8459" width="8.1640625" customWidth="1"/>
    <col min="8702" max="8702" width="8.6640625" customWidth="1"/>
    <col min="8703" max="8703" width="8" bestFit="1" customWidth="1"/>
    <col min="8704" max="8704" width="9.1640625" customWidth="1"/>
    <col min="8705" max="8705" width="6.33203125" customWidth="1"/>
    <col min="8706" max="8706" width="7.6640625" customWidth="1"/>
    <col min="8707" max="8707" width="6.33203125" customWidth="1"/>
    <col min="8708" max="8708" width="7" customWidth="1"/>
    <col min="8709" max="8709" width="8.33203125" customWidth="1"/>
    <col min="8710" max="8710" width="10" bestFit="1" customWidth="1"/>
    <col min="8711" max="8711" width="8.6640625" bestFit="1" customWidth="1"/>
    <col min="8712" max="8712" width="8.33203125" customWidth="1"/>
    <col min="8713" max="8713" width="8.1640625" customWidth="1"/>
    <col min="8714" max="8714" width="8.33203125" bestFit="1" customWidth="1"/>
    <col min="8715" max="8715" width="8.1640625" customWidth="1"/>
    <col min="8958" max="8958" width="8.6640625" customWidth="1"/>
    <col min="8959" max="8959" width="8" bestFit="1" customWidth="1"/>
    <col min="8960" max="8960" width="9.1640625" customWidth="1"/>
    <col min="8961" max="8961" width="6.33203125" customWidth="1"/>
    <col min="8962" max="8962" width="7.6640625" customWidth="1"/>
    <col min="8963" max="8963" width="6.33203125" customWidth="1"/>
    <col min="8964" max="8964" width="7" customWidth="1"/>
    <col min="8965" max="8965" width="8.33203125" customWidth="1"/>
    <col min="8966" max="8966" width="10" bestFit="1" customWidth="1"/>
    <col min="8967" max="8967" width="8.6640625" bestFit="1" customWidth="1"/>
    <col min="8968" max="8968" width="8.33203125" customWidth="1"/>
    <col min="8969" max="8969" width="8.1640625" customWidth="1"/>
    <col min="8970" max="8970" width="8.33203125" bestFit="1" customWidth="1"/>
    <col min="8971" max="8971" width="8.1640625" customWidth="1"/>
    <col min="9214" max="9214" width="8.6640625" customWidth="1"/>
    <col min="9215" max="9215" width="8" bestFit="1" customWidth="1"/>
    <col min="9216" max="9216" width="9.1640625" customWidth="1"/>
    <col min="9217" max="9217" width="6.33203125" customWidth="1"/>
    <col min="9218" max="9218" width="7.6640625" customWidth="1"/>
    <col min="9219" max="9219" width="6.33203125" customWidth="1"/>
    <col min="9220" max="9220" width="7" customWidth="1"/>
    <col min="9221" max="9221" width="8.33203125" customWidth="1"/>
    <col min="9222" max="9222" width="10" bestFit="1" customWidth="1"/>
    <col min="9223" max="9223" width="8.6640625" bestFit="1" customWidth="1"/>
    <col min="9224" max="9224" width="8.33203125" customWidth="1"/>
    <col min="9225" max="9225" width="8.1640625" customWidth="1"/>
    <col min="9226" max="9226" width="8.33203125" bestFit="1" customWidth="1"/>
    <col min="9227" max="9227" width="8.1640625" customWidth="1"/>
    <col min="9470" max="9470" width="8.6640625" customWidth="1"/>
    <col min="9471" max="9471" width="8" bestFit="1" customWidth="1"/>
    <col min="9472" max="9472" width="9.1640625" customWidth="1"/>
    <col min="9473" max="9473" width="6.33203125" customWidth="1"/>
    <col min="9474" max="9474" width="7.6640625" customWidth="1"/>
    <col min="9475" max="9475" width="6.33203125" customWidth="1"/>
    <col min="9476" max="9476" width="7" customWidth="1"/>
    <col min="9477" max="9477" width="8.33203125" customWidth="1"/>
    <col min="9478" max="9478" width="10" bestFit="1" customWidth="1"/>
    <col min="9479" max="9479" width="8.6640625" bestFit="1" customWidth="1"/>
    <col min="9480" max="9480" width="8.33203125" customWidth="1"/>
    <col min="9481" max="9481" width="8.1640625" customWidth="1"/>
    <col min="9482" max="9482" width="8.33203125" bestFit="1" customWidth="1"/>
    <col min="9483" max="9483" width="8.1640625" customWidth="1"/>
    <col min="9726" max="9726" width="8.6640625" customWidth="1"/>
    <col min="9727" max="9727" width="8" bestFit="1" customWidth="1"/>
    <col min="9728" max="9728" width="9.1640625" customWidth="1"/>
    <col min="9729" max="9729" width="6.33203125" customWidth="1"/>
    <col min="9730" max="9730" width="7.6640625" customWidth="1"/>
    <col min="9731" max="9731" width="6.33203125" customWidth="1"/>
    <col min="9732" max="9732" width="7" customWidth="1"/>
    <col min="9733" max="9733" width="8.33203125" customWidth="1"/>
    <col min="9734" max="9734" width="10" bestFit="1" customWidth="1"/>
    <col min="9735" max="9735" width="8.6640625" bestFit="1" customWidth="1"/>
    <col min="9736" max="9736" width="8.33203125" customWidth="1"/>
    <col min="9737" max="9737" width="8.1640625" customWidth="1"/>
    <col min="9738" max="9738" width="8.33203125" bestFit="1" customWidth="1"/>
    <col min="9739" max="9739" width="8.1640625" customWidth="1"/>
    <col min="9982" max="9982" width="8.6640625" customWidth="1"/>
    <col min="9983" max="9983" width="8" bestFit="1" customWidth="1"/>
    <col min="9984" max="9984" width="9.1640625" customWidth="1"/>
    <col min="9985" max="9985" width="6.33203125" customWidth="1"/>
    <col min="9986" max="9986" width="7.6640625" customWidth="1"/>
    <col min="9987" max="9987" width="6.33203125" customWidth="1"/>
    <col min="9988" max="9988" width="7" customWidth="1"/>
    <col min="9989" max="9989" width="8.33203125" customWidth="1"/>
    <col min="9990" max="9990" width="10" bestFit="1" customWidth="1"/>
    <col min="9991" max="9991" width="8.6640625" bestFit="1" customWidth="1"/>
    <col min="9992" max="9992" width="8.33203125" customWidth="1"/>
    <col min="9993" max="9993" width="8.1640625" customWidth="1"/>
    <col min="9994" max="9994" width="8.33203125" bestFit="1" customWidth="1"/>
    <col min="9995" max="9995" width="8.1640625" customWidth="1"/>
    <col min="10238" max="10238" width="8.6640625" customWidth="1"/>
    <col min="10239" max="10239" width="8" bestFit="1" customWidth="1"/>
    <col min="10240" max="10240" width="9.1640625" customWidth="1"/>
    <col min="10241" max="10241" width="6.33203125" customWidth="1"/>
    <col min="10242" max="10242" width="7.6640625" customWidth="1"/>
    <col min="10243" max="10243" width="6.33203125" customWidth="1"/>
    <col min="10244" max="10244" width="7" customWidth="1"/>
    <col min="10245" max="10245" width="8.33203125" customWidth="1"/>
    <col min="10246" max="10246" width="10" bestFit="1" customWidth="1"/>
    <col min="10247" max="10247" width="8.6640625" bestFit="1" customWidth="1"/>
    <col min="10248" max="10248" width="8.33203125" customWidth="1"/>
    <col min="10249" max="10249" width="8.1640625" customWidth="1"/>
    <col min="10250" max="10250" width="8.33203125" bestFit="1" customWidth="1"/>
    <col min="10251" max="10251" width="8.1640625" customWidth="1"/>
    <col min="10494" max="10494" width="8.6640625" customWidth="1"/>
    <col min="10495" max="10495" width="8" bestFit="1" customWidth="1"/>
    <col min="10496" max="10496" width="9.1640625" customWidth="1"/>
    <col min="10497" max="10497" width="6.33203125" customWidth="1"/>
    <col min="10498" max="10498" width="7.6640625" customWidth="1"/>
    <col min="10499" max="10499" width="6.33203125" customWidth="1"/>
    <col min="10500" max="10500" width="7" customWidth="1"/>
    <col min="10501" max="10501" width="8.33203125" customWidth="1"/>
    <col min="10502" max="10502" width="10" bestFit="1" customWidth="1"/>
    <col min="10503" max="10503" width="8.6640625" bestFit="1" customWidth="1"/>
    <col min="10504" max="10504" width="8.33203125" customWidth="1"/>
    <col min="10505" max="10505" width="8.1640625" customWidth="1"/>
    <col min="10506" max="10506" width="8.33203125" bestFit="1" customWidth="1"/>
    <col min="10507" max="10507" width="8.1640625" customWidth="1"/>
    <col min="10750" max="10750" width="8.6640625" customWidth="1"/>
    <col min="10751" max="10751" width="8" bestFit="1" customWidth="1"/>
    <col min="10752" max="10752" width="9.1640625" customWidth="1"/>
    <col min="10753" max="10753" width="6.33203125" customWidth="1"/>
    <col min="10754" max="10754" width="7.6640625" customWidth="1"/>
    <col min="10755" max="10755" width="6.33203125" customWidth="1"/>
    <col min="10756" max="10756" width="7" customWidth="1"/>
    <col min="10757" max="10757" width="8.33203125" customWidth="1"/>
    <col min="10758" max="10758" width="10" bestFit="1" customWidth="1"/>
    <col min="10759" max="10759" width="8.6640625" bestFit="1" customWidth="1"/>
    <col min="10760" max="10760" width="8.33203125" customWidth="1"/>
    <col min="10761" max="10761" width="8.1640625" customWidth="1"/>
    <col min="10762" max="10762" width="8.33203125" bestFit="1" customWidth="1"/>
    <col min="10763" max="10763" width="8.1640625" customWidth="1"/>
    <col min="11006" max="11006" width="8.6640625" customWidth="1"/>
    <col min="11007" max="11007" width="8" bestFit="1" customWidth="1"/>
    <col min="11008" max="11008" width="9.1640625" customWidth="1"/>
    <col min="11009" max="11009" width="6.33203125" customWidth="1"/>
    <col min="11010" max="11010" width="7.6640625" customWidth="1"/>
    <col min="11011" max="11011" width="6.33203125" customWidth="1"/>
    <col min="11012" max="11012" width="7" customWidth="1"/>
    <col min="11013" max="11013" width="8.33203125" customWidth="1"/>
    <col min="11014" max="11014" width="10" bestFit="1" customWidth="1"/>
    <col min="11015" max="11015" width="8.6640625" bestFit="1" customWidth="1"/>
    <col min="11016" max="11016" width="8.33203125" customWidth="1"/>
    <col min="11017" max="11017" width="8.1640625" customWidth="1"/>
    <col min="11018" max="11018" width="8.33203125" bestFit="1" customWidth="1"/>
    <col min="11019" max="11019" width="8.1640625" customWidth="1"/>
    <col min="11262" max="11262" width="8.6640625" customWidth="1"/>
    <col min="11263" max="11263" width="8" bestFit="1" customWidth="1"/>
    <col min="11264" max="11264" width="9.1640625" customWidth="1"/>
    <col min="11265" max="11265" width="6.33203125" customWidth="1"/>
    <col min="11266" max="11266" width="7.6640625" customWidth="1"/>
    <col min="11267" max="11267" width="6.33203125" customWidth="1"/>
    <col min="11268" max="11268" width="7" customWidth="1"/>
    <col min="11269" max="11269" width="8.33203125" customWidth="1"/>
    <col min="11270" max="11270" width="10" bestFit="1" customWidth="1"/>
    <col min="11271" max="11271" width="8.6640625" bestFit="1" customWidth="1"/>
    <col min="11272" max="11272" width="8.33203125" customWidth="1"/>
    <col min="11273" max="11273" width="8.1640625" customWidth="1"/>
    <col min="11274" max="11274" width="8.33203125" bestFit="1" customWidth="1"/>
    <col min="11275" max="11275" width="8.1640625" customWidth="1"/>
    <col min="11518" max="11518" width="8.6640625" customWidth="1"/>
    <col min="11519" max="11519" width="8" bestFit="1" customWidth="1"/>
    <col min="11520" max="11520" width="9.1640625" customWidth="1"/>
    <col min="11521" max="11521" width="6.33203125" customWidth="1"/>
    <col min="11522" max="11522" width="7.6640625" customWidth="1"/>
    <col min="11523" max="11523" width="6.33203125" customWidth="1"/>
    <col min="11524" max="11524" width="7" customWidth="1"/>
    <col min="11525" max="11525" width="8.33203125" customWidth="1"/>
    <col min="11526" max="11526" width="10" bestFit="1" customWidth="1"/>
    <col min="11527" max="11527" width="8.6640625" bestFit="1" customWidth="1"/>
    <col min="11528" max="11528" width="8.33203125" customWidth="1"/>
    <col min="11529" max="11529" width="8.1640625" customWidth="1"/>
    <col min="11530" max="11530" width="8.33203125" bestFit="1" customWidth="1"/>
    <col min="11531" max="11531" width="8.1640625" customWidth="1"/>
    <col min="11774" max="11774" width="8.6640625" customWidth="1"/>
    <col min="11775" max="11775" width="8" bestFit="1" customWidth="1"/>
    <col min="11776" max="11776" width="9.1640625" customWidth="1"/>
    <col min="11777" max="11777" width="6.33203125" customWidth="1"/>
    <col min="11778" max="11778" width="7.6640625" customWidth="1"/>
    <col min="11779" max="11779" width="6.33203125" customWidth="1"/>
    <col min="11780" max="11780" width="7" customWidth="1"/>
    <col min="11781" max="11781" width="8.33203125" customWidth="1"/>
    <col min="11782" max="11782" width="10" bestFit="1" customWidth="1"/>
    <col min="11783" max="11783" width="8.6640625" bestFit="1" customWidth="1"/>
    <col min="11784" max="11784" width="8.33203125" customWidth="1"/>
    <col min="11785" max="11785" width="8.1640625" customWidth="1"/>
    <col min="11786" max="11786" width="8.33203125" bestFit="1" customWidth="1"/>
    <col min="11787" max="11787" width="8.1640625" customWidth="1"/>
    <col min="12030" max="12030" width="8.6640625" customWidth="1"/>
    <col min="12031" max="12031" width="8" bestFit="1" customWidth="1"/>
    <col min="12032" max="12032" width="9.1640625" customWidth="1"/>
    <col min="12033" max="12033" width="6.33203125" customWidth="1"/>
    <col min="12034" max="12034" width="7.6640625" customWidth="1"/>
    <col min="12035" max="12035" width="6.33203125" customWidth="1"/>
    <col min="12036" max="12036" width="7" customWidth="1"/>
    <col min="12037" max="12037" width="8.33203125" customWidth="1"/>
    <col min="12038" max="12038" width="10" bestFit="1" customWidth="1"/>
    <col min="12039" max="12039" width="8.6640625" bestFit="1" customWidth="1"/>
    <col min="12040" max="12040" width="8.33203125" customWidth="1"/>
    <col min="12041" max="12041" width="8.1640625" customWidth="1"/>
    <col min="12042" max="12042" width="8.33203125" bestFit="1" customWidth="1"/>
    <col min="12043" max="12043" width="8.1640625" customWidth="1"/>
    <col min="12286" max="12286" width="8.6640625" customWidth="1"/>
    <col min="12287" max="12287" width="8" bestFit="1" customWidth="1"/>
    <col min="12288" max="12288" width="9.1640625" customWidth="1"/>
    <col min="12289" max="12289" width="6.33203125" customWidth="1"/>
    <col min="12290" max="12290" width="7.6640625" customWidth="1"/>
    <col min="12291" max="12291" width="6.33203125" customWidth="1"/>
    <col min="12292" max="12292" width="7" customWidth="1"/>
    <col min="12293" max="12293" width="8.33203125" customWidth="1"/>
    <col min="12294" max="12294" width="10" bestFit="1" customWidth="1"/>
    <col min="12295" max="12295" width="8.6640625" bestFit="1" customWidth="1"/>
    <col min="12296" max="12296" width="8.33203125" customWidth="1"/>
    <col min="12297" max="12297" width="8.1640625" customWidth="1"/>
    <col min="12298" max="12298" width="8.33203125" bestFit="1" customWidth="1"/>
    <col min="12299" max="12299" width="8.1640625" customWidth="1"/>
    <col min="12542" max="12542" width="8.6640625" customWidth="1"/>
    <col min="12543" max="12543" width="8" bestFit="1" customWidth="1"/>
    <col min="12544" max="12544" width="9.1640625" customWidth="1"/>
    <col min="12545" max="12545" width="6.33203125" customWidth="1"/>
    <col min="12546" max="12546" width="7.6640625" customWidth="1"/>
    <col min="12547" max="12547" width="6.33203125" customWidth="1"/>
    <col min="12548" max="12548" width="7" customWidth="1"/>
    <col min="12549" max="12549" width="8.33203125" customWidth="1"/>
    <col min="12550" max="12550" width="10" bestFit="1" customWidth="1"/>
    <col min="12551" max="12551" width="8.6640625" bestFit="1" customWidth="1"/>
    <col min="12552" max="12552" width="8.33203125" customWidth="1"/>
    <col min="12553" max="12553" width="8.1640625" customWidth="1"/>
    <col min="12554" max="12554" width="8.33203125" bestFit="1" customWidth="1"/>
    <col min="12555" max="12555" width="8.1640625" customWidth="1"/>
    <col min="12798" max="12798" width="8.6640625" customWidth="1"/>
    <col min="12799" max="12799" width="8" bestFit="1" customWidth="1"/>
    <col min="12800" max="12800" width="9.1640625" customWidth="1"/>
    <col min="12801" max="12801" width="6.33203125" customWidth="1"/>
    <col min="12802" max="12802" width="7.6640625" customWidth="1"/>
    <col min="12803" max="12803" width="6.33203125" customWidth="1"/>
    <col min="12804" max="12804" width="7" customWidth="1"/>
    <col min="12805" max="12805" width="8.33203125" customWidth="1"/>
    <col min="12806" max="12806" width="10" bestFit="1" customWidth="1"/>
    <col min="12807" max="12807" width="8.6640625" bestFit="1" customWidth="1"/>
    <col min="12808" max="12808" width="8.33203125" customWidth="1"/>
    <col min="12809" max="12809" width="8.1640625" customWidth="1"/>
    <col min="12810" max="12810" width="8.33203125" bestFit="1" customWidth="1"/>
    <col min="12811" max="12811" width="8.1640625" customWidth="1"/>
    <col min="13054" max="13054" width="8.6640625" customWidth="1"/>
    <col min="13055" max="13055" width="8" bestFit="1" customWidth="1"/>
    <col min="13056" max="13056" width="9.1640625" customWidth="1"/>
    <col min="13057" max="13057" width="6.33203125" customWidth="1"/>
    <col min="13058" max="13058" width="7.6640625" customWidth="1"/>
    <col min="13059" max="13059" width="6.33203125" customWidth="1"/>
    <col min="13060" max="13060" width="7" customWidth="1"/>
    <col min="13061" max="13061" width="8.33203125" customWidth="1"/>
    <col min="13062" max="13062" width="10" bestFit="1" customWidth="1"/>
    <col min="13063" max="13063" width="8.6640625" bestFit="1" customWidth="1"/>
    <col min="13064" max="13064" width="8.33203125" customWidth="1"/>
    <col min="13065" max="13065" width="8.1640625" customWidth="1"/>
    <col min="13066" max="13066" width="8.33203125" bestFit="1" customWidth="1"/>
    <col min="13067" max="13067" width="8.1640625" customWidth="1"/>
    <col min="13310" max="13310" width="8.6640625" customWidth="1"/>
    <col min="13311" max="13311" width="8" bestFit="1" customWidth="1"/>
    <col min="13312" max="13312" width="9.1640625" customWidth="1"/>
    <col min="13313" max="13313" width="6.33203125" customWidth="1"/>
    <col min="13314" max="13314" width="7.6640625" customWidth="1"/>
    <col min="13315" max="13315" width="6.33203125" customWidth="1"/>
    <col min="13316" max="13316" width="7" customWidth="1"/>
    <col min="13317" max="13317" width="8.33203125" customWidth="1"/>
    <col min="13318" max="13318" width="10" bestFit="1" customWidth="1"/>
    <col min="13319" max="13319" width="8.6640625" bestFit="1" customWidth="1"/>
    <col min="13320" max="13320" width="8.33203125" customWidth="1"/>
    <col min="13321" max="13321" width="8.1640625" customWidth="1"/>
    <col min="13322" max="13322" width="8.33203125" bestFit="1" customWidth="1"/>
    <col min="13323" max="13323" width="8.1640625" customWidth="1"/>
    <col min="13566" max="13566" width="8.6640625" customWidth="1"/>
    <col min="13567" max="13567" width="8" bestFit="1" customWidth="1"/>
    <col min="13568" max="13568" width="9.1640625" customWidth="1"/>
    <col min="13569" max="13569" width="6.33203125" customWidth="1"/>
    <col min="13570" max="13570" width="7.6640625" customWidth="1"/>
    <col min="13571" max="13571" width="6.33203125" customWidth="1"/>
    <col min="13572" max="13572" width="7" customWidth="1"/>
    <col min="13573" max="13573" width="8.33203125" customWidth="1"/>
    <col min="13574" max="13574" width="10" bestFit="1" customWidth="1"/>
    <col min="13575" max="13575" width="8.6640625" bestFit="1" customWidth="1"/>
    <col min="13576" max="13576" width="8.33203125" customWidth="1"/>
    <col min="13577" max="13577" width="8.1640625" customWidth="1"/>
    <col min="13578" max="13578" width="8.33203125" bestFit="1" customWidth="1"/>
    <col min="13579" max="13579" width="8.1640625" customWidth="1"/>
    <col min="13822" max="13822" width="8.6640625" customWidth="1"/>
    <col min="13823" max="13823" width="8" bestFit="1" customWidth="1"/>
    <col min="13824" max="13824" width="9.1640625" customWidth="1"/>
    <col min="13825" max="13825" width="6.33203125" customWidth="1"/>
    <col min="13826" max="13826" width="7.6640625" customWidth="1"/>
    <col min="13827" max="13827" width="6.33203125" customWidth="1"/>
    <col min="13828" max="13828" width="7" customWidth="1"/>
    <col min="13829" max="13829" width="8.33203125" customWidth="1"/>
    <col min="13830" max="13830" width="10" bestFit="1" customWidth="1"/>
    <col min="13831" max="13831" width="8.6640625" bestFit="1" customWidth="1"/>
    <col min="13832" max="13832" width="8.33203125" customWidth="1"/>
    <col min="13833" max="13833" width="8.1640625" customWidth="1"/>
    <col min="13834" max="13834" width="8.33203125" bestFit="1" customWidth="1"/>
    <col min="13835" max="13835" width="8.1640625" customWidth="1"/>
    <col min="14078" max="14078" width="8.6640625" customWidth="1"/>
    <col min="14079" max="14079" width="8" bestFit="1" customWidth="1"/>
    <col min="14080" max="14080" width="9.1640625" customWidth="1"/>
    <col min="14081" max="14081" width="6.33203125" customWidth="1"/>
    <col min="14082" max="14082" width="7.6640625" customWidth="1"/>
    <col min="14083" max="14083" width="6.33203125" customWidth="1"/>
    <col min="14084" max="14084" width="7" customWidth="1"/>
    <col min="14085" max="14085" width="8.33203125" customWidth="1"/>
    <col min="14086" max="14086" width="10" bestFit="1" customWidth="1"/>
    <col min="14087" max="14087" width="8.6640625" bestFit="1" customWidth="1"/>
    <col min="14088" max="14088" width="8.33203125" customWidth="1"/>
    <col min="14089" max="14089" width="8.1640625" customWidth="1"/>
    <col min="14090" max="14090" width="8.33203125" bestFit="1" customWidth="1"/>
    <col min="14091" max="14091" width="8.1640625" customWidth="1"/>
    <col min="14334" max="14334" width="8.6640625" customWidth="1"/>
    <col min="14335" max="14335" width="8" bestFit="1" customWidth="1"/>
    <col min="14336" max="14336" width="9.1640625" customWidth="1"/>
    <col min="14337" max="14337" width="6.33203125" customWidth="1"/>
    <col min="14338" max="14338" width="7.6640625" customWidth="1"/>
    <col min="14339" max="14339" width="6.33203125" customWidth="1"/>
    <col min="14340" max="14340" width="7" customWidth="1"/>
    <col min="14341" max="14341" width="8.33203125" customWidth="1"/>
    <col min="14342" max="14342" width="10" bestFit="1" customWidth="1"/>
    <col min="14343" max="14343" width="8.6640625" bestFit="1" customWidth="1"/>
    <col min="14344" max="14344" width="8.33203125" customWidth="1"/>
    <col min="14345" max="14345" width="8.1640625" customWidth="1"/>
    <col min="14346" max="14346" width="8.33203125" bestFit="1" customWidth="1"/>
    <col min="14347" max="14347" width="8.1640625" customWidth="1"/>
    <col min="14590" max="14590" width="8.6640625" customWidth="1"/>
    <col min="14591" max="14591" width="8" bestFit="1" customWidth="1"/>
    <col min="14592" max="14592" width="9.1640625" customWidth="1"/>
    <col min="14593" max="14593" width="6.33203125" customWidth="1"/>
    <col min="14594" max="14594" width="7.6640625" customWidth="1"/>
    <col min="14595" max="14595" width="6.33203125" customWidth="1"/>
    <col min="14596" max="14596" width="7" customWidth="1"/>
    <col min="14597" max="14597" width="8.33203125" customWidth="1"/>
    <col min="14598" max="14598" width="10" bestFit="1" customWidth="1"/>
    <col min="14599" max="14599" width="8.6640625" bestFit="1" customWidth="1"/>
    <col min="14600" max="14600" width="8.33203125" customWidth="1"/>
    <col min="14601" max="14601" width="8.1640625" customWidth="1"/>
    <col min="14602" max="14602" width="8.33203125" bestFit="1" customWidth="1"/>
    <col min="14603" max="14603" width="8.1640625" customWidth="1"/>
    <col min="14846" max="14846" width="8.6640625" customWidth="1"/>
    <col min="14847" max="14847" width="8" bestFit="1" customWidth="1"/>
    <col min="14848" max="14848" width="9.1640625" customWidth="1"/>
    <col min="14849" max="14849" width="6.33203125" customWidth="1"/>
    <col min="14850" max="14850" width="7.6640625" customWidth="1"/>
    <col min="14851" max="14851" width="6.33203125" customWidth="1"/>
    <col min="14852" max="14852" width="7" customWidth="1"/>
    <col min="14853" max="14853" width="8.33203125" customWidth="1"/>
    <col min="14854" max="14854" width="10" bestFit="1" customWidth="1"/>
    <col min="14855" max="14855" width="8.6640625" bestFit="1" customWidth="1"/>
    <col min="14856" max="14856" width="8.33203125" customWidth="1"/>
    <col min="14857" max="14857" width="8.1640625" customWidth="1"/>
    <col min="14858" max="14858" width="8.33203125" bestFit="1" customWidth="1"/>
    <col min="14859" max="14859" width="8.1640625" customWidth="1"/>
    <col min="15102" max="15102" width="8.6640625" customWidth="1"/>
    <col min="15103" max="15103" width="8" bestFit="1" customWidth="1"/>
    <col min="15104" max="15104" width="9.1640625" customWidth="1"/>
    <col min="15105" max="15105" width="6.33203125" customWidth="1"/>
    <col min="15106" max="15106" width="7.6640625" customWidth="1"/>
    <col min="15107" max="15107" width="6.33203125" customWidth="1"/>
    <col min="15108" max="15108" width="7" customWidth="1"/>
    <col min="15109" max="15109" width="8.33203125" customWidth="1"/>
    <col min="15110" max="15110" width="10" bestFit="1" customWidth="1"/>
    <col min="15111" max="15111" width="8.6640625" bestFit="1" customWidth="1"/>
    <col min="15112" max="15112" width="8.33203125" customWidth="1"/>
    <col min="15113" max="15113" width="8.1640625" customWidth="1"/>
    <col min="15114" max="15114" width="8.33203125" bestFit="1" customWidth="1"/>
    <col min="15115" max="15115" width="8.1640625" customWidth="1"/>
    <col min="15358" max="15358" width="8.6640625" customWidth="1"/>
    <col min="15359" max="15359" width="8" bestFit="1" customWidth="1"/>
    <col min="15360" max="15360" width="9.1640625" customWidth="1"/>
    <col min="15361" max="15361" width="6.33203125" customWidth="1"/>
    <col min="15362" max="15362" width="7.6640625" customWidth="1"/>
    <col min="15363" max="15363" width="6.33203125" customWidth="1"/>
    <col min="15364" max="15364" width="7" customWidth="1"/>
    <col min="15365" max="15365" width="8.33203125" customWidth="1"/>
    <col min="15366" max="15366" width="10" bestFit="1" customWidth="1"/>
    <col min="15367" max="15367" width="8.6640625" bestFit="1" customWidth="1"/>
    <col min="15368" max="15368" width="8.33203125" customWidth="1"/>
    <col min="15369" max="15369" width="8.1640625" customWidth="1"/>
    <col min="15370" max="15370" width="8.33203125" bestFit="1" customWidth="1"/>
    <col min="15371" max="15371" width="8.1640625" customWidth="1"/>
    <col min="15614" max="15614" width="8.6640625" customWidth="1"/>
    <col min="15615" max="15615" width="8" bestFit="1" customWidth="1"/>
    <col min="15616" max="15616" width="9.1640625" customWidth="1"/>
    <col min="15617" max="15617" width="6.33203125" customWidth="1"/>
    <col min="15618" max="15618" width="7.6640625" customWidth="1"/>
    <col min="15619" max="15619" width="6.33203125" customWidth="1"/>
    <col min="15620" max="15620" width="7" customWidth="1"/>
    <col min="15621" max="15621" width="8.33203125" customWidth="1"/>
    <col min="15622" max="15622" width="10" bestFit="1" customWidth="1"/>
    <col min="15623" max="15623" width="8.6640625" bestFit="1" customWidth="1"/>
    <col min="15624" max="15624" width="8.33203125" customWidth="1"/>
    <col min="15625" max="15625" width="8.1640625" customWidth="1"/>
    <col min="15626" max="15626" width="8.33203125" bestFit="1" customWidth="1"/>
    <col min="15627" max="15627" width="8.1640625" customWidth="1"/>
    <col min="15870" max="15870" width="8.6640625" customWidth="1"/>
    <col min="15871" max="15871" width="8" bestFit="1" customWidth="1"/>
    <col min="15872" max="15872" width="9.1640625" customWidth="1"/>
    <col min="15873" max="15873" width="6.33203125" customWidth="1"/>
    <col min="15874" max="15874" width="7.6640625" customWidth="1"/>
    <col min="15875" max="15875" width="6.33203125" customWidth="1"/>
    <col min="15876" max="15876" width="7" customWidth="1"/>
    <col min="15877" max="15877" width="8.33203125" customWidth="1"/>
    <col min="15878" max="15878" width="10" bestFit="1" customWidth="1"/>
    <col min="15879" max="15879" width="8.6640625" bestFit="1" customWidth="1"/>
    <col min="15880" max="15880" width="8.33203125" customWidth="1"/>
    <col min="15881" max="15881" width="8.1640625" customWidth="1"/>
    <col min="15882" max="15882" width="8.33203125" bestFit="1" customWidth="1"/>
    <col min="15883" max="15883" width="8.1640625" customWidth="1"/>
    <col min="16126" max="16126" width="8.6640625" customWidth="1"/>
    <col min="16127" max="16127" width="8" bestFit="1" customWidth="1"/>
    <col min="16128" max="16128" width="9.1640625" customWidth="1"/>
    <col min="16129" max="16129" width="6.33203125" customWidth="1"/>
    <col min="16130" max="16130" width="7.6640625" customWidth="1"/>
    <col min="16131" max="16131" width="6.33203125" customWidth="1"/>
    <col min="16132" max="16132" width="7" customWidth="1"/>
    <col min="16133" max="16133" width="8.33203125" customWidth="1"/>
    <col min="16134" max="16134" width="10" bestFit="1" customWidth="1"/>
    <col min="16135" max="16135" width="8.6640625" bestFit="1" customWidth="1"/>
    <col min="16136" max="16136" width="8.33203125" customWidth="1"/>
    <col min="16137" max="16137" width="8.1640625" customWidth="1"/>
    <col min="16138" max="16138" width="8.33203125" bestFit="1" customWidth="1"/>
    <col min="16139" max="16139" width="8.1640625" customWidth="1"/>
  </cols>
  <sheetData>
    <row r="1" spans="2:15" ht="15.75">
      <c r="B1" s="60" t="s">
        <v>141</v>
      </c>
    </row>
    <row r="2" spans="2:15" ht="15.75">
      <c r="B2" s="60" t="s">
        <v>272</v>
      </c>
    </row>
    <row r="3" spans="2:15">
      <c r="B3" s="1643"/>
      <c r="C3" s="134"/>
      <c r="D3" s="134"/>
      <c r="E3" s="134"/>
      <c r="F3" s="134"/>
      <c r="G3" s="134"/>
      <c r="H3" s="134"/>
      <c r="I3" s="134"/>
      <c r="J3" s="134"/>
      <c r="K3" s="134"/>
      <c r="L3" s="134"/>
      <c r="M3" s="134"/>
      <c r="N3" s="135"/>
    </row>
    <row r="4" spans="2:15" ht="12.75" customHeight="1">
      <c r="B4" s="1783"/>
      <c r="C4" s="1781" t="s">
        <v>273</v>
      </c>
      <c r="D4" s="1781"/>
      <c r="E4" s="1785" t="s">
        <v>274</v>
      </c>
      <c r="F4" s="1785"/>
      <c r="G4" s="1781" t="s">
        <v>275</v>
      </c>
      <c r="H4" s="1781"/>
      <c r="I4" s="1781" t="s">
        <v>276</v>
      </c>
      <c r="J4" s="1781"/>
      <c r="K4" s="1781" t="s">
        <v>277</v>
      </c>
      <c r="L4" s="1781"/>
      <c r="M4" s="1781" t="s">
        <v>278</v>
      </c>
      <c r="N4" s="1782"/>
    </row>
    <row r="5" spans="2:15" ht="16.350000000000001" customHeight="1" thickBot="1">
      <c r="B5" s="1784"/>
      <c r="C5" s="1772"/>
      <c r="D5" s="1772"/>
      <c r="E5" s="1786"/>
      <c r="F5" s="1786"/>
      <c r="G5" s="1772"/>
      <c r="H5" s="1772"/>
      <c r="I5" s="1772"/>
      <c r="J5" s="1772"/>
      <c r="K5" s="1772"/>
      <c r="L5" s="1772"/>
      <c r="M5" s="1772"/>
      <c r="N5" s="1773"/>
    </row>
    <row r="6" spans="2:15" ht="28.5" customHeight="1">
      <c r="B6" s="839" t="s">
        <v>28</v>
      </c>
      <c r="C6" s="512" t="s">
        <v>36</v>
      </c>
      <c r="D6" s="512" t="s">
        <v>260</v>
      </c>
      <c r="E6" s="512" t="s">
        <v>261</v>
      </c>
      <c r="F6" s="512" t="s">
        <v>126</v>
      </c>
      <c r="G6" s="512" t="s">
        <v>261</v>
      </c>
      <c r="H6" s="512" t="s">
        <v>126</v>
      </c>
      <c r="I6" s="512" t="s">
        <v>261</v>
      </c>
      <c r="J6" s="512" t="s">
        <v>126</v>
      </c>
      <c r="K6" s="512" t="s">
        <v>261</v>
      </c>
      <c r="L6" s="512" t="s">
        <v>126</v>
      </c>
      <c r="M6" s="512" t="s">
        <v>261</v>
      </c>
      <c r="N6" s="840" t="s">
        <v>126</v>
      </c>
      <c r="O6" s="53"/>
    </row>
    <row r="7" spans="2:15" ht="13.5" customHeight="1">
      <c r="B7" s="834">
        <v>1980</v>
      </c>
      <c r="C7" s="1318">
        <f>IF(T6_UCCHSpManip!B7="","",T6_UCCHSpManip!B7)</f>
        <v>16954</v>
      </c>
      <c r="D7" s="1318">
        <f>IF(T6_UCCHSpManip!C7="","",T6_UCCHSpManip!C7)</f>
        <v>7419</v>
      </c>
      <c r="E7" s="1319">
        <f>IF(T6_UCCHSpManip!D7="","",T6_UCCHSpManip!D7)</f>
        <v>12</v>
      </c>
      <c r="F7" s="206">
        <f t="shared" ref="F7:F48" si="0">IF(AND($D7="",E7=""),"",ROUND((E7/$D7)*100,1))</f>
        <v>0.2</v>
      </c>
      <c r="G7" s="1318">
        <f>IF(T6_UCCHSpManip!F7="","",T6_UCCHSpManip!F7)</f>
        <v>239</v>
      </c>
      <c r="H7" s="207">
        <f t="shared" ref="H7:H48" si="1">IF(AND($D7="",G7=""),"",ROUND((G7/$D7)*100,1))</f>
        <v>3.2</v>
      </c>
      <c r="I7" s="1319">
        <f t="shared" ref="I7:I48" si="2">IF(AND(E7="",G7=""),"",ROUND(E7+G7,0))</f>
        <v>251</v>
      </c>
      <c r="J7" s="207">
        <f t="shared" ref="J7:J48" si="3">IF(AND($D7="",I7=""),"",ROUND((I7/$D7)*100,1))</f>
        <v>3.4</v>
      </c>
      <c r="K7" s="1318">
        <f>IF(T6_UCCHSpManip!J7="","",T6_UCCHSpManip!J7)</f>
        <v>4284</v>
      </c>
      <c r="L7" s="1554">
        <f t="shared" ref="L7:L48" si="4">IF(OR($D7="",K7=""),"",ROUND((K7/$D7)*100,1))</f>
        <v>57.7</v>
      </c>
      <c r="M7" s="1318">
        <f>IF(T6_UCCHSpManip!L7="","",T6_UCCHSpManip!L7)</f>
        <v>2884</v>
      </c>
      <c r="N7" s="835">
        <f t="shared" ref="N7:N48" si="5">IF(OR($D7="",M7=""),"",ROUND((M7/$D7)*100,1))</f>
        <v>38.9</v>
      </c>
      <c r="O7" s="53"/>
    </row>
    <row r="8" spans="2:15">
      <c r="B8" s="834">
        <v>1981</v>
      </c>
      <c r="C8" s="1318">
        <f>IF(T6_UCCHSpManip!B8="","",T6_UCCHSpManip!B8)</f>
        <v>14157</v>
      </c>
      <c r="D8" s="1318">
        <f>IF(T6_UCCHSpManip!C8="","",T6_UCCHSpManip!C8)</f>
        <v>5734</v>
      </c>
      <c r="E8" s="1319">
        <f>IF(T6_UCCHSpManip!D8="","",T6_UCCHSpManip!D8)</f>
        <v>78</v>
      </c>
      <c r="F8" s="206">
        <f t="shared" si="0"/>
        <v>1.4</v>
      </c>
      <c r="G8" s="1318">
        <f>IF(T6_UCCHSpManip!F8="","",T6_UCCHSpManip!F8)</f>
        <v>289</v>
      </c>
      <c r="H8" s="207">
        <f t="shared" si="1"/>
        <v>5</v>
      </c>
      <c r="I8" s="1319">
        <f t="shared" si="2"/>
        <v>367</v>
      </c>
      <c r="J8" s="207">
        <f t="shared" si="3"/>
        <v>6.4</v>
      </c>
      <c r="K8" s="1318">
        <f>IF(T6_UCCHSpManip!J8="","",T6_UCCHSpManip!J8)</f>
        <v>2285</v>
      </c>
      <c r="L8" s="1554">
        <f t="shared" si="4"/>
        <v>39.9</v>
      </c>
      <c r="M8" s="1318">
        <f>IF(T6_UCCHSpManip!L8="","",T6_UCCHSpManip!L8)</f>
        <v>3082</v>
      </c>
      <c r="N8" s="835">
        <f t="shared" si="5"/>
        <v>53.7</v>
      </c>
      <c r="O8" s="53"/>
    </row>
    <row r="9" spans="2:15">
      <c r="B9" s="834">
        <v>1982</v>
      </c>
      <c r="C9" s="1318">
        <f>IF(T6_UCCHSpManip!B9="","",T6_UCCHSpManip!B9)</f>
        <v>15840</v>
      </c>
      <c r="D9" s="1318">
        <f>IF(T6_UCCHSpManip!C9="","",T6_UCCHSpManip!C9)</f>
        <v>6578</v>
      </c>
      <c r="E9" s="1319">
        <f>IF(T6_UCCHSpManip!D9="","",T6_UCCHSpManip!D9)</f>
        <v>114</v>
      </c>
      <c r="F9" s="206">
        <f t="shared" si="0"/>
        <v>1.7</v>
      </c>
      <c r="G9" s="1318">
        <f>IF(T6_UCCHSpManip!F9="","",T6_UCCHSpManip!F9)</f>
        <v>452</v>
      </c>
      <c r="H9" s="207">
        <f t="shared" si="1"/>
        <v>6.9</v>
      </c>
      <c r="I9" s="1319">
        <f t="shared" si="2"/>
        <v>566</v>
      </c>
      <c r="J9" s="207">
        <f t="shared" si="3"/>
        <v>8.6</v>
      </c>
      <c r="K9" s="1318">
        <f>IF(T6_UCCHSpManip!J9="","",T6_UCCHSpManip!J9)</f>
        <v>2869</v>
      </c>
      <c r="L9" s="1554">
        <f t="shared" si="4"/>
        <v>43.6</v>
      </c>
      <c r="M9" s="1318">
        <f>IF(T6_UCCHSpManip!L9="","",T6_UCCHSpManip!L9)</f>
        <v>3143</v>
      </c>
      <c r="N9" s="835">
        <f t="shared" si="5"/>
        <v>47.8</v>
      </c>
      <c r="O9" s="53"/>
    </row>
    <row r="10" spans="2:15">
      <c r="B10" s="834">
        <v>1983</v>
      </c>
      <c r="C10" s="1318">
        <f>IF(T6_UCCHSpManip!B10="","",T6_UCCHSpManip!B10)</f>
        <v>16108</v>
      </c>
      <c r="D10" s="1318">
        <f>IF(T6_UCCHSpManip!C10="","",T6_UCCHSpManip!C10)</f>
        <v>7340</v>
      </c>
      <c r="E10" s="1319">
        <f>IF(T6_UCCHSpManip!D10="","",T6_UCCHSpManip!D10)</f>
        <v>352</v>
      </c>
      <c r="F10" s="206">
        <f t="shared" si="0"/>
        <v>4.8</v>
      </c>
      <c r="G10" s="1318">
        <f>IF(T6_UCCHSpManip!F10="","",T6_UCCHSpManip!F10)</f>
        <v>295</v>
      </c>
      <c r="H10" s="207">
        <f t="shared" si="1"/>
        <v>4</v>
      </c>
      <c r="I10" s="1319">
        <f t="shared" si="2"/>
        <v>647</v>
      </c>
      <c r="J10" s="207">
        <f t="shared" si="3"/>
        <v>8.8000000000000007</v>
      </c>
      <c r="K10" s="1318">
        <f>IF(T6_UCCHSpManip!J10="","",T6_UCCHSpManip!J10)</f>
        <v>2364</v>
      </c>
      <c r="L10" s="1554">
        <f t="shared" si="4"/>
        <v>32.200000000000003</v>
      </c>
      <c r="M10" s="1318">
        <f>IF(T6_UCCHSpManip!L10="","",T6_UCCHSpManip!L10)</f>
        <v>4328</v>
      </c>
      <c r="N10" s="835">
        <f t="shared" si="5"/>
        <v>59</v>
      </c>
      <c r="O10" s="53"/>
    </row>
    <row r="11" spans="2:15">
      <c r="B11" s="834">
        <v>1984</v>
      </c>
      <c r="C11" s="1318">
        <f>IF(T6_UCCHSpManip!B11="","",T6_UCCHSpManip!B11)</f>
        <v>16816</v>
      </c>
      <c r="D11" s="1318">
        <f>IF(T6_UCCHSpManip!C11="","",T6_UCCHSpManip!C11)</f>
        <v>6663</v>
      </c>
      <c r="E11" s="1319">
        <f>IF(T6_UCCHSpManip!D11="","",T6_UCCHSpManip!D11)</f>
        <v>229</v>
      </c>
      <c r="F11" s="206">
        <f t="shared" si="0"/>
        <v>3.4</v>
      </c>
      <c r="G11" s="1318">
        <f>IF(T6_UCCHSpManip!F11="","",T6_UCCHSpManip!F11)</f>
        <v>442</v>
      </c>
      <c r="H11" s="207">
        <f t="shared" si="1"/>
        <v>6.6</v>
      </c>
      <c r="I11" s="1319">
        <f t="shared" si="2"/>
        <v>671</v>
      </c>
      <c r="J11" s="207">
        <f t="shared" si="3"/>
        <v>10.1</v>
      </c>
      <c r="K11" s="1318">
        <f>IF(T6_UCCHSpManip!J11="","",T6_UCCHSpManip!J11)</f>
        <v>1424</v>
      </c>
      <c r="L11" s="1554">
        <f t="shared" si="4"/>
        <v>21.4</v>
      </c>
      <c r="M11" s="1318">
        <f>IF(T6_UCCHSpManip!L11="","",T6_UCCHSpManip!L11)</f>
        <v>4568</v>
      </c>
      <c r="N11" s="835">
        <f t="shared" si="5"/>
        <v>68.599999999999994</v>
      </c>
      <c r="O11" s="53"/>
    </row>
    <row r="12" spans="2:15">
      <c r="B12" s="834">
        <v>1985</v>
      </c>
      <c r="C12" s="1318">
        <f>IF(T6_UCCHSpManip!B12="","",T6_UCCHSpManip!B12)</f>
        <v>28994</v>
      </c>
      <c r="D12" s="1318">
        <f>IF(T6_UCCHSpManip!C12="","",T6_UCCHSpManip!C12)</f>
        <v>10467</v>
      </c>
      <c r="E12" s="1319">
        <f>IF(T6_UCCHSpManip!D12="","",T6_UCCHSpManip!D12)</f>
        <v>378</v>
      </c>
      <c r="F12" s="206">
        <f t="shared" si="0"/>
        <v>3.6</v>
      </c>
      <c r="G12" s="1318">
        <f>IF(T6_UCCHSpManip!F12="","",T6_UCCHSpManip!F12)</f>
        <v>356</v>
      </c>
      <c r="H12" s="207">
        <f t="shared" si="1"/>
        <v>3.4</v>
      </c>
      <c r="I12" s="1319">
        <f t="shared" si="2"/>
        <v>734</v>
      </c>
      <c r="J12" s="207">
        <f t="shared" si="3"/>
        <v>7</v>
      </c>
      <c r="K12" s="1318">
        <f>IF(T6_UCCHSpManip!J12="","",T6_UCCHSpManip!J12)</f>
        <v>653</v>
      </c>
      <c r="L12" s="1554">
        <f t="shared" si="4"/>
        <v>6.2</v>
      </c>
      <c r="M12" s="1318">
        <f>IF(T6_UCCHSpManip!L12="","",T6_UCCHSpManip!L12)</f>
        <v>9081</v>
      </c>
      <c r="N12" s="835">
        <f t="shared" si="5"/>
        <v>86.8</v>
      </c>
      <c r="O12" s="53"/>
    </row>
    <row r="13" spans="2:15">
      <c r="B13" s="834">
        <v>1986</v>
      </c>
      <c r="C13" s="1318">
        <f>IF(T6_UCCHSpManip!B13="","",T6_UCCHSpManip!B13)</f>
        <v>29506</v>
      </c>
      <c r="D13" s="1318">
        <f>IF(T6_UCCHSpManip!C13="","",T6_UCCHSpManip!C13)</f>
        <v>8389</v>
      </c>
      <c r="E13" s="1319">
        <f>IF(T6_UCCHSpManip!D13="","",T6_UCCHSpManip!D13)</f>
        <v>171</v>
      </c>
      <c r="F13" s="206">
        <f t="shared" si="0"/>
        <v>2</v>
      </c>
      <c r="G13" s="1318">
        <f>IF(T6_UCCHSpManip!F13="","",T6_UCCHSpManip!F13)</f>
        <v>486</v>
      </c>
      <c r="H13" s="207">
        <f t="shared" si="1"/>
        <v>5.8</v>
      </c>
      <c r="I13" s="1319">
        <f t="shared" si="2"/>
        <v>657</v>
      </c>
      <c r="J13" s="207">
        <f t="shared" si="3"/>
        <v>7.8</v>
      </c>
      <c r="K13" s="1318">
        <f>IF(T6_UCCHSpManip!J13="","",T6_UCCHSpManip!J13)</f>
        <v>1893</v>
      </c>
      <c r="L13" s="1554">
        <f t="shared" si="4"/>
        <v>22.6</v>
      </c>
      <c r="M13" s="1318">
        <f>IF(T6_UCCHSpManip!L13="","",T6_UCCHSpManip!L13)</f>
        <v>5839</v>
      </c>
      <c r="N13" s="835">
        <f t="shared" si="5"/>
        <v>69.599999999999994</v>
      </c>
      <c r="O13" s="53"/>
    </row>
    <row r="14" spans="2:15">
      <c r="B14" s="834">
        <v>1987</v>
      </c>
      <c r="C14" s="1318">
        <f>IF(T6_UCCHSpManip!B14="","",T6_UCCHSpManip!B14)</f>
        <v>25544</v>
      </c>
      <c r="D14" s="1318">
        <f>IF(T6_UCCHSpManip!C14="","",T6_UCCHSpManip!C14)</f>
        <v>8774</v>
      </c>
      <c r="E14" s="1319">
        <f>IF(T6_UCCHSpManip!D14="","",T6_UCCHSpManip!D14)</f>
        <v>135</v>
      </c>
      <c r="F14" s="206">
        <f t="shared" si="0"/>
        <v>1.5</v>
      </c>
      <c r="G14" s="1318">
        <f>IF(T6_UCCHSpManip!F14="","",T6_UCCHSpManip!F14)</f>
        <v>530</v>
      </c>
      <c r="H14" s="207">
        <f t="shared" si="1"/>
        <v>6</v>
      </c>
      <c r="I14" s="1319">
        <f t="shared" si="2"/>
        <v>665</v>
      </c>
      <c r="J14" s="207">
        <f t="shared" si="3"/>
        <v>7.6</v>
      </c>
      <c r="K14" s="1318">
        <f>IF(T6_UCCHSpManip!J14="","",T6_UCCHSpManip!J14)</f>
        <v>1775</v>
      </c>
      <c r="L14" s="1554">
        <f t="shared" si="4"/>
        <v>20.2</v>
      </c>
      <c r="M14" s="1318">
        <f>IF(T6_UCCHSpManip!L14="","",T6_UCCHSpManip!L14)</f>
        <v>6335</v>
      </c>
      <c r="N14" s="835">
        <f t="shared" si="5"/>
        <v>72.2</v>
      </c>
      <c r="O14" s="53"/>
    </row>
    <row r="15" spans="2:15">
      <c r="B15" s="834">
        <v>1988</v>
      </c>
      <c r="C15" s="1318">
        <f>IF(T6_UCCHSpManip!B15="","",T6_UCCHSpManip!B15)</f>
        <v>21098</v>
      </c>
      <c r="D15" s="1318">
        <f>IF(T6_UCCHSpManip!C15="","",T6_UCCHSpManip!C15)</f>
        <v>7546</v>
      </c>
      <c r="E15" s="1319">
        <f>IF(T6_UCCHSpManip!D15="","",T6_UCCHSpManip!D15)</f>
        <v>481</v>
      </c>
      <c r="F15" s="206">
        <f t="shared" si="0"/>
        <v>6.4</v>
      </c>
      <c r="G15" s="1318">
        <f>IF(T6_UCCHSpManip!F15="","",T6_UCCHSpManip!F15)</f>
        <v>491</v>
      </c>
      <c r="H15" s="207">
        <f t="shared" si="1"/>
        <v>6.5</v>
      </c>
      <c r="I15" s="1319">
        <f t="shared" si="2"/>
        <v>972</v>
      </c>
      <c r="J15" s="207">
        <f t="shared" si="3"/>
        <v>12.9</v>
      </c>
      <c r="K15" s="1318">
        <f>IF(T6_UCCHSpManip!J15="","",T6_UCCHSpManip!J15)</f>
        <v>898</v>
      </c>
      <c r="L15" s="1554">
        <f t="shared" si="4"/>
        <v>11.9</v>
      </c>
      <c r="M15" s="1318">
        <f>IF(T6_UCCHSpManip!L15="","",T6_UCCHSpManip!L15)</f>
        <v>5675</v>
      </c>
      <c r="N15" s="835">
        <f t="shared" si="5"/>
        <v>75.2</v>
      </c>
      <c r="O15" s="53"/>
    </row>
    <row r="16" spans="2:15">
      <c r="B16" s="834">
        <v>1989</v>
      </c>
      <c r="C16" s="1318">
        <f>IF(T6_UCCHSpManip!B16="","",T6_UCCHSpManip!B16)</f>
        <v>18745</v>
      </c>
      <c r="D16" s="1318">
        <f>IF(T6_UCCHSpManip!C16="","",T6_UCCHSpManip!C16)</f>
        <v>7400</v>
      </c>
      <c r="E16" s="1319">
        <f>IF(T6_UCCHSpManip!D16="","",T6_UCCHSpManip!D16)</f>
        <v>175</v>
      </c>
      <c r="F16" s="206">
        <f t="shared" si="0"/>
        <v>2.4</v>
      </c>
      <c r="G16" s="1318">
        <f>IF(T6_UCCHSpManip!F16="","",T6_UCCHSpManip!F16)</f>
        <v>554</v>
      </c>
      <c r="H16" s="207">
        <f t="shared" si="1"/>
        <v>7.5</v>
      </c>
      <c r="I16" s="1319">
        <f t="shared" si="2"/>
        <v>729</v>
      </c>
      <c r="J16" s="207">
        <f t="shared" si="3"/>
        <v>9.9</v>
      </c>
      <c r="K16" s="1318">
        <f>IF(T6_UCCHSpManip!J16="","",T6_UCCHSpManip!J16)</f>
        <v>2585</v>
      </c>
      <c r="L16" s="1554">
        <f t="shared" si="4"/>
        <v>34.9</v>
      </c>
      <c r="M16" s="1318">
        <f>IF(T6_UCCHSpManip!L16="","",T6_UCCHSpManip!L16)</f>
        <v>4086</v>
      </c>
      <c r="N16" s="835">
        <f t="shared" si="5"/>
        <v>55.2</v>
      </c>
      <c r="O16" s="53"/>
    </row>
    <row r="17" spans="2:15">
      <c r="B17" s="834">
        <v>1990</v>
      </c>
      <c r="C17" s="1318">
        <f>IF(T6_UCCHSpManip!B17="","",T6_UCCHSpManip!B17)</f>
        <v>12052</v>
      </c>
      <c r="D17" s="1318">
        <f>IF(T6_UCCHSpManip!C17="","",T6_UCCHSpManip!C17)</f>
        <v>4342</v>
      </c>
      <c r="E17" s="1319">
        <f>IF(T6_UCCHSpManip!D17="","",T6_UCCHSpManip!D17)</f>
        <v>218</v>
      </c>
      <c r="F17" s="206">
        <f t="shared" si="0"/>
        <v>5</v>
      </c>
      <c r="G17" s="1318">
        <f>IF(T6_UCCHSpManip!F17="","",T6_UCCHSpManip!F17)</f>
        <v>280</v>
      </c>
      <c r="H17" s="207">
        <f t="shared" si="1"/>
        <v>6.4</v>
      </c>
      <c r="I17" s="1319">
        <f t="shared" si="2"/>
        <v>498</v>
      </c>
      <c r="J17" s="207">
        <f t="shared" si="3"/>
        <v>11.5</v>
      </c>
      <c r="K17" s="1318">
        <f>IF(T6_UCCHSpManip!J17="","",T6_UCCHSpManip!J17)</f>
        <v>1105</v>
      </c>
      <c r="L17" s="1554">
        <f t="shared" si="4"/>
        <v>25.4</v>
      </c>
      <c r="M17" s="1318">
        <f>IF(T6_UCCHSpManip!L17="","",T6_UCCHSpManip!L17)</f>
        <v>2739</v>
      </c>
      <c r="N17" s="835">
        <f t="shared" si="5"/>
        <v>63.1</v>
      </c>
      <c r="O17" s="53"/>
    </row>
    <row r="18" spans="2:15">
      <c r="B18" s="834">
        <v>1991</v>
      </c>
      <c r="C18" s="1318">
        <f>IF(T6_UCCHSpManip!B18="","",T6_UCCHSpManip!B18)</f>
        <v>8698</v>
      </c>
      <c r="D18" s="1318">
        <f>IF(T6_UCCHSpManip!C18="","",T6_UCCHSpManip!C18)</f>
        <v>2478</v>
      </c>
      <c r="E18" s="1319">
        <f>IF(T6_UCCHSpManip!D18="","",T6_UCCHSpManip!D18)</f>
        <v>97</v>
      </c>
      <c r="F18" s="206">
        <f t="shared" si="0"/>
        <v>3.9</v>
      </c>
      <c r="G18" s="1318">
        <f>IF(T6_UCCHSpManip!F18="","",T6_UCCHSpManip!F18)</f>
        <v>148</v>
      </c>
      <c r="H18" s="207">
        <f t="shared" si="1"/>
        <v>6</v>
      </c>
      <c r="I18" s="1319">
        <f t="shared" si="2"/>
        <v>245</v>
      </c>
      <c r="J18" s="207">
        <f t="shared" si="3"/>
        <v>9.9</v>
      </c>
      <c r="K18" s="1318">
        <f>IF(T6_UCCHSpManip!J18="","",T6_UCCHSpManip!J18)</f>
        <v>680</v>
      </c>
      <c r="L18" s="1554">
        <f t="shared" si="4"/>
        <v>27.4</v>
      </c>
      <c r="M18" s="1318">
        <f>IF(T6_UCCHSpManip!L18="","",T6_UCCHSpManip!L18)</f>
        <v>1553</v>
      </c>
      <c r="N18" s="835">
        <f t="shared" si="5"/>
        <v>62.7</v>
      </c>
      <c r="O18" s="53"/>
    </row>
    <row r="19" spans="2:15">
      <c r="B19" s="834">
        <v>1992</v>
      </c>
      <c r="C19" s="1318">
        <f>IF(T6_UCCHSpManip!B19="","",T6_UCCHSpManip!B19)</f>
        <v>20734</v>
      </c>
      <c r="D19" s="1318">
        <f>IF(T6_UCCHSpManip!C19="","",T6_UCCHSpManip!C19)</f>
        <v>4261</v>
      </c>
      <c r="E19" s="1319">
        <f>IF(T6_UCCHSpManip!D19="","",T6_UCCHSpManip!D19)</f>
        <v>69</v>
      </c>
      <c r="F19" s="206">
        <f t="shared" si="0"/>
        <v>1.6</v>
      </c>
      <c r="G19" s="1318">
        <f>IF(T6_UCCHSpManip!F19="","",T6_UCCHSpManip!F19)</f>
        <v>259</v>
      </c>
      <c r="H19" s="207">
        <f t="shared" si="1"/>
        <v>6.1</v>
      </c>
      <c r="I19" s="1319">
        <f t="shared" si="2"/>
        <v>328</v>
      </c>
      <c r="J19" s="207">
        <f t="shared" si="3"/>
        <v>7.7</v>
      </c>
      <c r="K19" s="1318">
        <f>IF(T6_UCCHSpManip!J19="","",T6_UCCHSpManip!J19)</f>
        <v>772</v>
      </c>
      <c r="L19" s="1554">
        <f t="shared" si="4"/>
        <v>18.100000000000001</v>
      </c>
      <c r="M19" s="1318">
        <f>IF(T6_UCCHSpManip!L19="","",T6_UCCHSpManip!L19)</f>
        <v>3161</v>
      </c>
      <c r="N19" s="835">
        <f t="shared" si="5"/>
        <v>74.2</v>
      </c>
      <c r="O19" s="53"/>
    </row>
    <row r="20" spans="2:15">
      <c r="B20" s="834">
        <v>1993</v>
      </c>
      <c r="C20" s="1318">
        <f>IF(T6_UCCHSpManip!B20="","",T6_UCCHSpManip!B20)</f>
        <v>26056</v>
      </c>
      <c r="D20" s="1318">
        <f>IF(T6_UCCHSpManip!C20="","",T6_UCCHSpManip!C20)</f>
        <v>4054</v>
      </c>
      <c r="E20" s="1319">
        <f>IF(T6_UCCHSpManip!D20="","",T6_UCCHSpManip!D20)</f>
        <v>33</v>
      </c>
      <c r="F20" s="206">
        <f t="shared" si="0"/>
        <v>0.8</v>
      </c>
      <c r="G20" s="1318">
        <f>IF(T6_UCCHSpManip!F20="","",T6_UCCHSpManip!F20)</f>
        <v>247</v>
      </c>
      <c r="H20" s="207">
        <f t="shared" si="1"/>
        <v>6.1</v>
      </c>
      <c r="I20" s="1319">
        <f t="shared" si="2"/>
        <v>280</v>
      </c>
      <c r="J20" s="207">
        <f t="shared" si="3"/>
        <v>6.9</v>
      </c>
      <c r="K20" s="1318">
        <f>IF(T6_UCCHSpManip!J20="","",T6_UCCHSpManip!J20)</f>
        <v>676</v>
      </c>
      <c r="L20" s="1554">
        <f t="shared" si="4"/>
        <v>16.7</v>
      </c>
      <c r="M20" s="1318">
        <f>IF(T6_UCCHSpManip!L20="","",T6_UCCHSpManip!L20)</f>
        <v>3098</v>
      </c>
      <c r="N20" s="835">
        <f t="shared" si="5"/>
        <v>76.400000000000006</v>
      </c>
      <c r="O20" s="53"/>
    </row>
    <row r="21" spans="2:15">
      <c r="B21" s="834">
        <v>1994</v>
      </c>
      <c r="C21" s="1318">
        <f>IF(T6_UCCHSpManip!B21="","",T6_UCCHSpManip!B21)</f>
        <v>3458</v>
      </c>
      <c r="D21" s="1318">
        <f>IF(T6_UCCHSpManip!C21="","",T6_UCCHSpManip!C21)</f>
        <v>1056</v>
      </c>
      <c r="E21" s="1319">
        <f>IF(T6_UCCHSpManip!D21="","",T6_UCCHSpManip!D21)</f>
        <v>41</v>
      </c>
      <c r="F21" s="206">
        <f t="shared" si="0"/>
        <v>3.9</v>
      </c>
      <c r="G21" s="1318">
        <f>IF(T6_UCCHSpManip!F21="","",T6_UCCHSpManip!F21)</f>
        <v>51</v>
      </c>
      <c r="H21" s="207">
        <f t="shared" si="1"/>
        <v>4.8</v>
      </c>
      <c r="I21" s="1319">
        <f t="shared" si="2"/>
        <v>92</v>
      </c>
      <c r="J21" s="207">
        <f t="shared" si="3"/>
        <v>8.6999999999999993</v>
      </c>
      <c r="K21" s="1318">
        <f>IF(T6_UCCHSpManip!J21="","",T6_UCCHSpManip!J21)</f>
        <v>352</v>
      </c>
      <c r="L21" s="1554">
        <f t="shared" si="4"/>
        <v>33.299999999999997</v>
      </c>
      <c r="M21" s="1318">
        <f>IF(T6_UCCHSpManip!L21="","",T6_UCCHSpManip!L21)</f>
        <v>612</v>
      </c>
      <c r="N21" s="835">
        <f t="shared" si="5"/>
        <v>58</v>
      </c>
      <c r="O21" s="53"/>
    </row>
    <row r="22" spans="2:15">
      <c r="B22" s="834">
        <v>1995</v>
      </c>
      <c r="C22" s="1318">
        <f>IF(T6_UCCHSpManip!B22="","",T6_UCCHSpManip!B22)</f>
        <v>1657</v>
      </c>
      <c r="D22" s="1318">
        <f>IF(T6_UCCHSpManip!C22="","",T6_UCCHSpManip!C22)</f>
        <v>226</v>
      </c>
      <c r="E22" s="1319">
        <f>IF(T6_UCCHSpManip!D22="","",T6_UCCHSpManip!D22)</f>
        <v>0</v>
      </c>
      <c r="F22" s="206">
        <f t="shared" si="0"/>
        <v>0</v>
      </c>
      <c r="G22" s="1318">
        <f>IF(T6_UCCHSpManip!F22="","",T6_UCCHSpManip!F22)</f>
        <v>11</v>
      </c>
      <c r="H22" s="207">
        <f t="shared" si="1"/>
        <v>4.9000000000000004</v>
      </c>
      <c r="I22" s="1319">
        <f t="shared" si="2"/>
        <v>11</v>
      </c>
      <c r="J22" s="207">
        <f t="shared" si="3"/>
        <v>4.9000000000000004</v>
      </c>
      <c r="K22" s="1318">
        <f>IF(T6_UCCHSpManip!J22="","",T6_UCCHSpManip!J22)</f>
        <v>107</v>
      </c>
      <c r="L22" s="1554">
        <f t="shared" si="4"/>
        <v>47.3</v>
      </c>
      <c r="M22" s="1318">
        <f>IF(T6_UCCHSpManip!L22="","",T6_UCCHSpManip!L22)</f>
        <v>108</v>
      </c>
      <c r="N22" s="835">
        <f t="shared" si="5"/>
        <v>47.8</v>
      </c>
      <c r="O22" s="53"/>
    </row>
    <row r="23" spans="2:15">
      <c r="B23" s="834">
        <v>1996</v>
      </c>
      <c r="C23" s="1318">
        <f>IF(T6_UCCHSpManip!B23="","",T6_UCCHSpManip!B23)</f>
        <v>3525</v>
      </c>
      <c r="D23" s="1318">
        <f>IF(T6_UCCHSpManip!C23="","",T6_UCCHSpManip!C23)</f>
        <v>580</v>
      </c>
      <c r="E23" s="1319">
        <f>IF(T6_UCCHSpManip!D23="","",T6_UCCHSpManip!D23)</f>
        <v>1</v>
      </c>
      <c r="F23" s="206">
        <f t="shared" si="0"/>
        <v>0.2</v>
      </c>
      <c r="G23" s="1318">
        <f>IF(T6_UCCHSpManip!F23="","",T6_UCCHSpManip!F23)</f>
        <v>30</v>
      </c>
      <c r="H23" s="207">
        <f t="shared" si="1"/>
        <v>5.2</v>
      </c>
      <c r="I23" s="1319">
        <f t="shared" si="2"/>
        <v>31</v>
      </c>
      <c r="J23" s="207">
        <f t="shared" si="3"/>
        <v>5.3</v>
      </c>
      <c r="K23" s="1318">
        <f>IF(T6_UCCHSpManip!J23="","",T6_UCCHSpManip!J23)</f>
        <v>238</v>
      </c>
      <c r="L23" s="1554">
        <f t="shared" si="4"/>
        <v>41</v>
      </c>
      <c r="M23" s="1318">
        <f>IF(T6_UCCHSpManip!L23="","",T6_UCCHSpManip!L23)</f>
        <v>310</v>
      </c>
      <c r="N23" s="835">
        <f t="shared" si="5"/>
        <v>53.4</v>
      </c>
      <c r="O23" s="53"/>
    </row>
    <row r="24" spans="2:15">
      <c r="B24" s="834">
        <v>1997</v>
      </c>
      <c r="C24" s="1318">
        <f>IF(T6_UCCHSpManip!B24="","",T6_UCCHSpManip!B24)</f>
        <v>9683</v>
      </c>
      <c r="D24" s="1318">
        <f>IF(T6_UCCHSpManip!C24="","",T6_UCCHSpManip!C24)</f>
        <v>1033</v>
      </c>
      <c r="E24" s="1319">
        <f>IF(T6_UCCHSpManip!D24="","",T6_UCCHSpManip!D24)</f>
        <v>1</v>
      </c>
      <c r="F24" s="206">
        <f t="shared" si="0"/>
        <v>0.1</v>
      </c>
      <c r="G24" s="1318">
        <f>IF(T6_UCCHSpManip!F24="","",T6_UCCHSpManip!F24)</f>
        <v>69</v>
      </c>
      <c r="H24" s="207">
        <f t="shared" si="1"/>
        <v>6.7</v>
      </c>
      <c r="I24" s="1319">
        <f t="shared" si="2"/>
        <v>70</v>
      </c>
      <c r="J24" s="207">
        <f t="shared" si="3"/>
        <v>6.8</v>
      </c>
      <c r="K24" s="1318">
        <f>IF(T6_UCCHSpManip!J24="","",T6_UCCHSpManip!J24)</f>
        <v>333</v>
      </c>
      <c r="L24" s="1554">
        <f t="shared" si="4"/>
        <v>32.200000000000003</v>
      </c>
      <c r="M24" s="1318">
        <f>IF(T6_UCCHSpManip!L24="","",T6_UCCHSpManip!L24)</f>
        <v>630</v>
      </c>
      <c r="N24" s="835">
        <f t="shared" si="5"/>
        <v>61</v>
      </c>
      <c r="O24" s="53"/>
    </row>
    <row r="25" spans="2:15">
      <c r="B25" s="834">
        <v>1998</v>
      </c>
      <c r="C25" s="1318">
        <f>IF(T6_UCCHSpManip!B25="","",T6_UCCHSpManip!B25)</f>
        <v>4531</v>
      </c>
      <c r="D25" s="1318">
        <f>IF(T6_UCCHSpManip!C25="","",T6_UCCHSpManip!C25)</f>
        <v>535</v>
      </c>
      <c r="E25" s="1319">
        <f>IF(T6_UCCHSpManip!D25="","",T6_UCCHSpManip!D25)</f>
        <v>0</v>
      </c>
      <c r="F25" s="206">
        <f t="shared" si="0"/>
        <v>0</v>
      </c>
      <c r="G25" s="1318">
        <f>IF(T6_UCCHSpManip!F25="","",T6_UCCHSpManip!F25)</f>
        <v>27</v>
      </c>
      <c r="H25" s="207">
        <f t="shared" si="1"/>
        <v>5</v>
      </c>
      <c r="I25" s="1319">
        <f t="shared" si="2"/>
        <v>27</v>
      </c>
      <c r="J25" s="207">
        <f t="shared" si="3"/>
        <v>5</v>
      </c>
      <c r="K25" s="1318">
        <f>IF(T6_UCCHSpManip!J25="","",T6_UCCHSpManip!J25)</f>
        <v>152</v>
      </c>
      <c r="L25" s="1554">
        <f t="shared" si="4"/>
        <v>28.4</v>
      </c>
      <c r="M25" s="1318">
        <f>IF(T6_UCCHSpManip!L25="","",T6_UCCHSpManip!L25)</f>
        <v>356</v>
      </c>
      <c r="N25" s="835">
        <f t="shared" si="5"/>
        <v>66.5</v>
      </c>
      <c r="O25" s="53"/>
    </row>
    <row r="26" spans="2:15">
      <c r="B26" s="834">
        <v>1999</v>
      </c>
      <c r="C26" s="1318">
        <f>IF(T6_UCCHSpManip!B26="","",T6_UCCHSpManip!B26)</f>
        <v>4936</v>
      </c>
      <c r="D26" s="1318">
        <f>IF(T6_UCCHSpManip!C26="","",T6_UCCHSpManip!C26)</f>
        <v>435</v>
      </c>
      <c r="E26" s="1319">
        <f>IF(T6_UCCHSpManip!D26="","",T6_UCCHSpManip!D26)</f>
        <v>0</v>
      </c>
      <c r="F26" s="206">
        <f t="shared" si="0"/>
        <v>0</v>
      </c>
      <c r="G26" s="1318">
        <f>IF(T6_UCCHSpManip!F26="","",T6_UCCHSpManip!F26)</f>
        <v>21</v>
      </c>
      <c r="H26" s="207">
        <f t="shared" si="1"/>
        <v>4.8</v>
      </c>
      <c r="I26" s="1319">
        <f t="shared" si="2"/>
        <v>21</v>
      </c>
      <c r="J26" s="207">
        <f t="shared" si="3"/>
        <v>4.8</v>
      </c>
      <c r="K26" s="1318">
        <f>IF(T6_UCCHSpManip!J26="","",T6_UCCHSpManip!J26)</f>
        <v>122</v>
      </c>
      <c r="L26" s="1554">
        <f t="shared" si="4"/>
        <v>28</v>
      </c>
      <c r="M26" s="1318">
        <f>IF(T6_UCCHSpManip!L26="","",T6_UCCHSpManip!L26)</f>
        <v>291</v>
      </c>
      <c r="N26" s="835">
        <f t="shared" si="5"/>
        <v>66.900000000000006</v>
      </c>
      <c r="O26" s="53"/>
    </row>
    <row r="27" spans="2:15">
      <c r="B27" s="834">
        <v>2000</v>
      </c>
      <c r="C27" s="1318">
        <f>IF(T6_UCCHSpManip!B27="","",T6_UCCHSpManip!B27)</f>
        <v>22332</v>
      </c>
      <c r="D27" s="1318">
        <f>IF(T6_UCCHSpManip!C27="","",T6_UCCHSpManip!C27)</f>
        <v>1448</v>
      </c>
      <c r="E27" s="1319">
        <f>IF(T6_UCCHSpManip!D27="","",T6_UCCHSpManip!D27)</f>
        <v>3</v>
      </c>
      <c r="F27" s="206">
        <f t="shared" si="0"/>
        <v>0.2</v>
      </c>
      <c r="G27" s="1318">
        <f>IF(T6_UCCHSpManip!F27="","",T6_UCCHSpManip!F27)</f>
        <v>89</v>
      </c>
      <c r="H27" s="207">
        <f t="shared" si="1"/>
        <v>6.1</v>
      </c>
      <c r="I27" s="1319">
        <f t="shared" si="2"/>
        <v>92</v>
      </c>
      <c r="J27" s="207">
        <f t="shared" si="3"/>
        <v>6.4</v>
      </c>
      <c r="K27" s="1318">
        <f>IF(T6_UCCHSpManip!J27="","",T6_UCCHSpManip!J27)</f>
        <v>393</v>
      </c>
      <c r="L27" s="1554">
        <f t="shared" si="4"/>
        <v>27.1</v>
      </c>
      <c r="M27" s="1318">
        <f>IF(T6_UCCHSpManip!L27="","",T6_UCCHSpManip!L27)</f>
        <v>963</v>
      </c>
      <c r="N27" s="835">
        <f t="shared" si="5"/>
        <v>66.5</v>
      </c>
      <c r="O27" s="53"/>
    </row>
    <row r="28" spans="2:15">
      <c r="B28" s="834">
        <v>2001</v>
      </c>
      <c r="C28" s="1318">
        <f>IF(T6_UCCHSpManip!B28="","",T6_UCCHSpManip!B28)</f>
        <v>52029</v>
      </c>
      <c r="D28" s="1318">
        <f>IF(T6_UCCHSpManip!C28="","",T6_UCCHSpManip!C28)</f>
        <v>6245</v>
      </c>
      <c r="E28" s="1319">
        <f>IF(T6_UCCHSpManip!D28="","",T6_UCCHSpManip!D28)</f>
        <v>89</v>
      </c>
      <c r="F28" s="206">
        <f t="shared" si="0"/>
        <v>1.4</v>
      </c>
      <c r="G28" s="1318">
        <f>IF(T6_UCCHSpManip!F28="","",T6_UCCHSpManip!F28)</f>
        <v>808</v>
      </c>
      <c r="H28" s="207">
        <f t="shared" si="1"/>
        <v>12.9</v>
      </c>
      <c r="I28" s="1319">
        <f t="shared" si="2"/>
        <v>897</v>
      </c>
      <c r="J28" s="207">
        <f t="shared" si="3"/>
        <v>14.4</v>
      </c>
      <c r="K28" s="1318">
        <f>IF(T6_UCCHSpManip!J28="","",T6_UCCHSpManip!J28)</f>
        <v>582</v>
      </c>
      <c r="L28" s="1554">
        <f t="shared" si="4"/>
        <v>9.3000000000000007</v>
      </c>
      <c r="M28" s="1318">
        <f>IF(T6_UCCHSpManip!L28="","",T6_UCCHSpManip!L28)</f>
        <v>4766</v>
      </c>
      <c r="N28" s="835">
        <f t="shared" si="5"/>
        <v>76.3</v>
      </c>
      <c r="O28" s="53"/>
    </row>
    <row r="29" spans="2:15">
      <c r="B29" s="834">
        <v>2002</v>
      </c>
      <c r="C29" s="1318">
        <f>IF(T6_UCCHSpManip!B29="","",T6_UCCHSpManip!B29)</f>
        <v>37420</v>
      </c>
      <c r="D29" s="1318">
        <f>IF(T6_UCCHSpManip!C29="","",T6_UCCHSpManip!C29)</f>
        <v>2949</v>
      </c>
      <c r="E29" s="1319">
        <f>IF(T6_UCCHSpManip!D29="","",T6_UCCHSpManip!D29)</f>
        <v>57</v>
      </c>
      <c r="F29" s="206">
        <f t="shared" si="0"/>
        <v>1.9</v>
      </c>
      <c r="G29" s="1318">
        <f>IF(T6_UCCHSpManip!F29="","",T6_UCCHSpManip!F29)</f>
        <v>319</v>
      </c>
      <c r="H29" s="207">
        <f t="shared" si="1"/>
        <v>10.8</v>
      </c>
      <c r="I29" s="1319">
        <f t="shared" si="2"/>
        <v>376</v>
      </c>
      <c r="J29" s="207">
        <f t="shared" si="3"/>
        <v>12.8</v>
      </c>
      <c r="K29" s="1318">
        <f>IF(T6_UCCHSpManip!J29="","",T6_UCCHSpManip!J29)</f>
        <v>680</v>
      </c>
      <c r="L29" s="1554">
        <f t="shared" si="4"/>
        <v>23.1</v>
      </c>
      <c r="M29" s="1318">
        <f>IF(T6_UCCHSpManip!L29="","",T6_UCCHSpManip!L29)</f>
        <v>1893</v>
      </c>
      <c r="N29" s="835">
        <f t="shared" si="5"/>
        <v>64.2</v>
      </c>
      <c r="O29" s="53"/>
    </row>
    <row r="30" spans="2:15">
      <c r="B30" s="834">
        <v>2003</v>
      </c>
      <c r="C30" s="1318">
        <f>IF(T6_UCCHSpManip!B30="","",T6_UCCHSpManip!B30)</f>
        <v>23641</v>
      </c>
      <c r="D30" s="1318">
        <f>IF(T6_UCCHSpManip!C30="","",T6_UCCHSpManip!C30)</f>
        <v>2306</v>
      </c>
      <c r="E30" s="1319">
        <f>IF(T6_UCCHSpManip!D30="","",T6_UCCHSpManip!D30)</f>
        <v>36</v>
      </c>
      <c r="F30" s="206">
        <f t="shared" si="0"/>
        <v>1.6</v>
      </c>
      <c r="G30" s="1318">
        <f>IF(T6_UCCHSpManip!F30="","",T6_UCCHSpManip!F30)</f>
        <v>181</v>
      </c>
      <c r="H30" s="207">
        <f t="shared" si="1"/>
        <v>7.8</v>
      </c>
      <c r="I30" s="1319">
        <f t="shared" si="2"/>
        <v>217</v>
      </c>
      <c r="J30" s="207">
        <f t="shared" si="3"/>
        <v>9.4</v>
      </c>
      <c r="K30" s="1318">
        <f>IF(T6_UCCHSpManip!J30="","",T6_UCCHSpManip!J30)</f>
        <v>442</v>
      </c>
      <c r="L30" s="1554">
        <f t="shared" si="4"/>
        <v>19.2</v>
      </c>
      <c r="M30" s="1318">
        <f>IF(T6_UCCHSpManip!L30="","",T6_UCCHSpManip!L30)</f>
        <v>1647</v>
      </c>
      <c r="N30" s="835">
        <f t="shared" si="5"/>
        <v>71.400000000000006</v>
      </c>
      <c r="O30" s="53"/>
    </row>
    <row r="31" spans="2:15">
      <c r="B31" s="834">
        <v>2004</v>
      </c>
      <c r="C31" s="1318">
        <f>IF(T6_UCCHSpManip!B31="","",T6_UCCHSpManip!B31)</f>
        <v>15329</v>
      </c>
      <c r="D31" s="1318">
        <f>IF(T6_UCCHSpManip!C31="","",T6_UCCHSpManip!C31)</f>
        <v>2427</v>
      </c>
      <c r="E31" s="1319">
        <f>IF(T6_UCCHSpManip!D31="","",T6_UCCHSpManip!D31)</f>
        <v>52</v>
      </c>
      <c r="F31" s="206">
        <f t="shared" si="0"/>
        <v>2.1</v>
      </c>
      <c r="G31" s="1318">
        <f>IF(T6_UCCHSpManip!F31="","",T6_UCCHSpManip!F31)</f>
        <v>210</v>
      </c>
      <c r="H31" s="207">
        <f t="shared" si="1"/>
        <v>8.6999999999999993</v>
      </c>
      <c r="I31" s="1319">
        <f t="shared" si="2"/>
        <v>262</v>
      </c>
      <c r="J31" s="207">
        <f t="shared" si="3"/>
        <v>10.8</v>
      </c>
      <c r="K31" s="1318">
        <f>IF(T6_UCCHSpManip!J31="","",T6_UCCHSpManip!J31)</f>
        <v>437</v>
      </c>
      <c r="L31" s="1554">
        <f t="shared" si="4"/>
        <v>18</v>
      </c>
      <c r="M31" s="1318">
        <f>IF(T6_UCCHSpManip!L31="","",T6_UCCHSpManip!L31)</f>
        <v>1729</v>
      </c>
      <c r="N31" s="835">
        <f t="shared" si="5"/>
        <v>71.2</v>
      </c>
      <c r="O31" s="53"/>
    </row>
    <row r="32" spans="2:15">
      <c r="B32" s="834">
        <v>2005</v>
      </c>
      <c r="C32" s="1318">
        <f>IF(T6_UCCHSpManip!B32="","",T6_UCCHSpManip!B32)</f>
        <v>16629</v>
      </c>
      <c r="D32" s="1318">
        <f>IF(T6_UCCHSpManip!C32="","",T6_UCCHSpManip!C32)</f>
        <v>1909</v>
      </c>
      <c r="E32" s="1319">
        <f>IF(T6_UCCHSpManip!D32="","",T6_UCCHSpManip!D32)</f>
        <v>31</v>
      </c>
      <c r="F32" s="206">
        <f t="shared" si="0"/>
        <v>1.6</v>
      </c>
      <c r="G32" s="1318">
        <f>IF(T6_UCCHSpManip!F32="","",T6_UCCHSpManip!F32)</f>
        <v>117</v>
      </c>
      <c r="H32" s="207">
        <f t="shared" si="1"/>
        <v>6.1</v>
      </c>
      <c r="I32" s="1319">
        <f t="shared" si="2"/>
        <v>148</v>
      </c>
      <c r="J32" s="207">
        <f t="shared" si="3"/>
        <v>7.8</v>
      </c>
      <c r="K32" s="1318">
        <f>IF(T6_UCCHSpManip!J32="","",T6_UCCHSpManip!J32)</f>
        <v>393</v>
      </c>
      <c r="L32" s="1554">
        <f t="shared" si="4"/>
        <v>20.6</v>
      </c>
      <c r="M32" s="1318">
        <f>IF(T6_UCCHSpManip!L32="","",T6_UCCHSpManip!L32)</f>
        <v>1367</v>
      </c>
      <c r="N32" s="835">
        <f t="shared" si="5"/>
        <v>71.599999999999994</v>
      </c>
      <c r="O32" s="53"/>
    </row>
    <row r="33" spans="2:16">
      <c r="B33" s="834">
        <v>2006</v>
      </c>
      <c r="C33" s="1318">
        <f>IF(T6_UCCHSpManip!B33="","",T6_UCCHSpManip!B33)</f>
        <v>15076</v>
      </c>
      <c r="D33" s="1318">
        <f>IF(T6_UCCHSpManip!C33="","",T6_UCCHSpManip!C33)</f>
        <v>1596</v>
      </c>
      <c r="E33" s="1319">
        <f>IF(T6_UCCHSpManip!D33="","",T6_UCCHSpManip!D33)</f>
        <v>24</v>
      </c>
      <c r="F33" s="206">
        <f t="shared" si="0"/>
        <v>1.5</v>
      </c>
      <c r="G33" s="1318">
        <f>IF(T6_UCCHSpManip!F33="","",T6_UCCHSpManip!F33)</f>
        <v>99</v>
      </c>
      <c r="H33" s="207">
        <f t="shared" si="1"/>
        <v>6.2</v>
      </c>
      <c r="I33" s="1319">
        <f t="shared" si="2"/>
        <v>123</v>
      </c>
      <c r="J33" s="207">
        <f t="shared" si="3"/>
        <v>7.7</v>
      </c>
      <c r="K33" s="1318">
        <f>IF(T6_UCCHSpManip!J33="","",T6_UCCHSpManip!J33)</f>
        <v>452</v>
      </c>
      <c r="L33" s="1554">
        <f t="shared" si="4"/>
        <v>28.3</v>
      </c>
      <c r="M33" s="1318">
        <f>IF(T6_UCCHSpManip!L33="","",T6_UCCHSpManip!L33)</f>
        <v>1021</v>
      </c>
      <c r="N33" s="835">
        <f t="shared" si="5"/>
        <v>64</v>
      </c>
      <c r="O33" s="53"/>
    </row>
    <row r="34" spans="2:16">
      <c r="B34" s="834">
        <v>2007</v>
      </c>
      <c r="C34" s="1318">
        <f>IF(T6_UCCHSpManip!B34="","",T6_UCCHSpManip!B34)</f>
        <v>6355</v>
      </c>
      <c r="D34" s="1318">
        <f>IF(T6_UCCHSpManip!C34="","",T6_UCCHSpManip!C34)</f>
        <v>549</v>
      </c>
      <c r="E34" s="1319">
        <f>IF(T6_UCCHSpManip!D34="","",T6_UCCHSpManip!D34)</f>
        <v>8</v>
      </c>
      <c r="F34" s="206">
        <f t="shared" si="0"/>
        <v>1.5</v>
      </c>
      <c r="G34" s="1318">
        <f>IF(T6_UCCHSpManip!F34="","",T6_UCCHSpManip!F34)</f>
        <v>40</v>
      </c>
      <c r="H34" s="207">
        <f t="shared" si="1"/>
        <v>7.3</v>
      </c>
      <c r="I34" s="1319">
        <f t="shared" si="2"/>
        <v>48</v>
      </c>
      <c r="J34" s="207">
        <f t="shared" si="3"/>
        <v>8.6999999999999993</v>
      </c>
      <c r="K34" s="1318">
        <f>IF(T6_UCCHSpManip!J34="","",T6_UCCHSpManip!J34)</f>
        <v>20</v>
      </c>
      <c r="L34" s="1554">
        <f t="shared" si="4"/>
        <v>3.6</v>
      </c>
      <c r="M34" s="1318">
        <f>IF(T6_UCCHSpManip!L34="","",T6_UCCHSpManip!L34)</f>
        <v>481</v>
      </c>
      <c r="N34" s="835">
        <f t="shared" si="5"/>
        <v>87.6</v>
      </c>
      <c r="O34" s="53"/>
    </row>
    <row r="35" spans="2:16">
      <c r="B35" s="834">
        <v>2008</v>
      </c>
      <c r="C35" s="1318">
        <f>IF(T6_UCCHSpManip!B35="","",T6_UCCHSpManip!B35)</f>
        <v>15415</v>
      </c>
      <c r="D35" s="1318">
        <f>IF(T6_UCCHSpManip!C35="","",T6_UCCHSpManip!C35)</f>
        <v>1234</v>
      </c>
      <c r="E35" s="1319">
        <f>IF(T6_UCCHSpManip!D35="","",T6_UCCHSpManip!D35)</f>
        <v>27</v>
      </c>
      <c r="F35" s="206">
        <f t="shared" si="0"/>
        <v>2.2000000000000002</v>
      </c>
      <c r="G35" s="1318">
        <f>IF(T6_UCCHSpManip!F35="","",T6_UCCHSpManip!F35)</f>
        <v>169</v>
      </c>
      <c r="H35" s="207">
        <f t="shared" si="1"/>
        <v>13.7</v>
      </c>
      <c r="I35" s="1319">
        <f t="shared" si="2"/>
        <v>196</v>
      </c>
      <c r="J35" s="207">
        <f t="shared" si="3"/>
        <v>15.9</v>
      </c>
      <c r="K35" s="1318">
        <f>IF(T6_UCCHSpManip!J35="","",T6_UCCHSpManip!J35)</f>
        <v>39</v>
      </c>
      <c r="L35" s="1554">
        <f t="shared" si="4"/>
        <v>3.2</v>
      </c>
      <c r="M35" s="1318">
        <f>IF(T6_UCCHSpManip!L35="","",T6_UCCHSpManip!L35)</f>
        <v>1000</v>
      </c>
      <c r="N35" s="835">
        <f t="shared" si="5"/>
        <v>81</v>
      </c>
      <c r="O35" s="53"/>
    </row>
    <row r="36" spans="2:16">
      <c r="B36" s="834">
        <v>2009</v>
      </c>
      <c r="C36" s="1318">
        <f>IF(T6_UCCHSpManip!B36="","",T6_UCCHSpManip!B36)</f>
        <v>12612</v>
      </c>
      <c r="D36" s="1318">
        <f>IF(T6_UCCHSpManip!C36="","",T6_UCCHSpManip!C36)</f>
        <v>1382</v>
      </c>
      <c r="E36" s="1319">
        <f>IF(T6_UCCHSpManip!D36="","",T6_UCCHSpManip!D36)</f>
        <v>25</v>
      </c>
      <c r="F36" s="206">
        <f t="shared" si="0"/>
        <v>1.8</v>
      </c>
      <c r="G36" s="1318">
        <f>IF(T6_UCCHSpManip!F36="","",T6_UCCHSpManip!F36)</f>
        <v>117</v>
      </c>
      <c r="H36" s="207">
        <f t="shared" si="1"/>
        <v>8.5</v>
      </c>
      <c r="I36" s="1319">
        <f t="shared" si="2"/>
        <v>142</v>
      </c>
      <c r="J36" s="207">
        <f t="shared" si="3"/>
        <v>10.3</v>
      </c>
      <c r="K36" s="1318" t="str">
        <f>IF(T6_UCCHSpManip!J36="","",T6_UCCHSpManip!J36)</f>
        <v/>
      </c>
      <c r="L36" s="1554" t="str">
        <f t="shared" si="4"/>
        <v/>
      </c>
      <c r="M36" s="1318">
        <f>IF(T6_UCCHSpManip!L36="","",T6_UCCHSpManip!L36)</f>
        <v>1384</v>
      </c>
      <c r="N36" s="835">
        <f t="shared" si="5"/>
        <v>100.1</v>
      </c>
      <c r="O36" s="53"/>
    </row>
    <row r="37" spans="2:16">
      <c r="B37" s="834">
        <v>2010</v>
      </c>
      <c r="C37" s="1318">
        <f>IF(T6_UCCHSpManip!B37="","",T6_UCCHSpManip!B37)</f>
        <v>37277</v>
      </c>
      <c r="D37" s="1318">
        <f>IF(T6_UCCHSpManip!C37="","",T6_UCCHSpManip!C37)</f>
        <v>2926</v>
      </c>
      <c r="E37" s="1319">
        <f>IF(T6_UCCHSpManip!D37="","",T6_UCCHSpManip!D37)</f>
        <v>59</v>
      </c>
      <c r="F37" s="206">
        <f t="shared" si="0"/>
        <v>2</v>
      </c>
      <c r="G37" s="1318">
        <f>IF(T6_UCCHSpManip!F37="","",T6_UCCHSpManip!F37)</f>
        <v>433</v>
      </c>
      <c r="H37" s="207">
        <f t="shared" si="1"/>
        <v>14.8</v>
      </c>
      <c r="I37" s="1319">
        <f t="shared" si="2"/>
        <v>492</v>
      </c>
      <c r="J37" s="207">
        <f t="shared" si="3"/>
        <v>16.8</v>
      </c>
      <c r="K37" s="1318">
        <f>IF(T6_UCCHSpManip!J37="","",T6_UCCHSpManip!J37)</f>
        <v>104</v>
      </c>
      <c r="L37" s="1554">
        <f t="shared" si="4"/>
        <v>3.6</v>
      </c>
      <c r="M37" s="1318">
        <f>IF(T6_UCCHSpManip!L37="","",T6_UCCHSpManip!L37)</f>
        <v>2330</v>
      </c>
      <c r="N37" s="835">
        <f t="shared" si="5"/>
        <v>79.599999999999994</v>
      </c>
      <c r="O37" s="53"/>
    </row>
    <row r="38" spans="2:16">
      <c r="B38" s="834">
        <v>2011</v>
      </c>
      <c r="C38" s="1318">
        <f>IF(T6_UCCHSpManip!B38="","",T6_UCCHSpManip!B38)</f>
        <v>16069</v>
      </c>
      <c r="D38" s="1318">
        <f>IF(T6_UCCHSpManip!C38="","",T6_UCCHSpManip!C38)</f>
        <v>2236</v>
      </c>
      <c r="E38" s="1319">
        <f>IF(T6_UCCHSpManip!D38="","",T6_UCCHSpManip!D38)</f>
        <v>31</v>
      </c>
      <c r="F38" s="206">
        <f t="shared" si="0"/>
        <v>1.4</v>
      </c>
      <c r="G38" s="1318">
        <f>IF(T6_UCCHSpManip!F38="","",T6_UCCHSpManip!F38)</f>
        <v>164</v>
      </c>
      <c r="H38" s="207">
        <f t="shared" si="1"/>
        <v>7.3</v>
      </c>
      <c r="I38" s="1319">
        <f t="shared" si="2"/>
        <v>195</v>
      </c>
      <c r="J38" s="207">
        <f t="shared" si="3"/>
        <v>8.6999999999999993</v>
      </c>
      <c r="K38" s="1318">
        <f>IF(T6_UCCHSpManip!J38="","",T6_UCCHSpManip!J38)</f>
        <v>220</v>
      </c>
      <c r="L38" s="1554">
        <f t="shared" si="4"/>
        <v>9.8000000000000007</v>
      </c>
      <c r="M38" s="1318">
        <f>IF(T6_UCCHSpManip!L38="","",T6_UCCHSpManip!L38)</f>
        <v>1821</v>
      </c>
      <c r="N38" s="835">
        <f t="shared" si="5"/>
        <v>81.400000000000006</v>
      </c>
      <c r="O38" s="53"/>
    </row>
    <row r="39" spans="2:16">
      <c r="B39" s="834">
        <v>2012</v>
      </c>
      <c r="C39" s="1318">
        <f>IF(T6_UCCHSpManip!B39="","",T6_UCCHSpManip!B39)</f>
        <v>26336</v>
      </c>
      <c r="D39" s="1318">
        <f>IF(T6_UCCHSpManip!C39="","",T6_UCCHSpManip!C39)</f>
        <v>3547</v>
      </c>
      <c r="E39" s="1319">
        <f>IF(T6_UCCHSpManip!D39="","",T6_UCCHSpManip!D39)</f>
        <v>44</v>
      </c>
      <c r="F39" s="206">
        <f t="shared" si="0"/>
        <v>1.2</v>
      </c>
      <c r="G39" s="1318">
        <f>IF(T6_UCCHSpManip!F39="","",T6_UCCHSpManip!F39)</f>
        <v>328</v>
      </c>
      <c r="H39" s="207">
        <f t="shared" si="1"/>
        <v>9.1999999999999993</v>
      </c>
      <c r="I39" s="1319">
        <f t="shared" si="2"/>
        <v>372</v>
      </c>
      <c r="J39" s="207">
        <f t="shared" si="3"/>
        <v>10.5</v>
      </c>
      <c r="K39" s="1318">
        <f>IF(T6_UCCHSpManip!J39="","",T6_UCCHSpManip!J39)</f>
        <v>497</v>
      </c>
      <c r="L39" s="1554">
        <f t="shared" si="4"/>
        <v>14</v>
      </c>
      <c r="M39" s="1318">
        <f>IF(T6_UCCHSpManip!L39="","",T6_UCCHSpManip!L39)</f>
        <v>2678</v>
      </c>
      <c r="N39" s="835">
        <f t="shared" si="5"/>
        <v>75.5</v>
      </c>
      <c r="O39" s="53"/>
    </row>
    <row r="40" spans="2:16">
      <c r="B40" s="834">
        <v>2013</v>
      </c>
      <c r="C40" s="1318">
        <f>IF(T6_UCCHSpManip!B40="","",T6_UCCHSpManip!B40)</f>
        <v>18416</v>
      </c>
      <c r="D40" s="1318">
        <f>IF(T6_UCCHSpManip!C40="","",T6_UCCHSpManip!C40)</f>
        <v>2133</v>
      </c>
      <c r="E40" s="1319">
        <f>IF(T6_UCCHSpManip!D40="","",T6_UCCHSpManip!D40)</f>
        <v>29</v>
      </c>
      <c r="F40" s="206">
        <f t="shared" si="0"/>
        <v>1.4</v>
      </c>
      <c r="G40" s="1318">
        <f>IF(T6_UCCHSpManip!F40="","",T6_UCCHSpManip!F40)</f>
        <v>174</v>
      </c>
      <c r="H40" s="207">
        <f t="shared" si="1"/>
        <v>8.1999999999999993</v>
      </c>
      <c r="I40" s="1319">
        <f t="shared" si="2"/>
        <v>203</v>
      </c>
      <c r="J40" s="207">
        <f t="shared" si="3"/>
        <v>9.5</v>
      </c>
      <c r="K40" s="1318">
        <f>IF(T6_UCCHSpManip!J40="","",T6_UCCHSpManip!J40)</f>
        <v>383</v>
      </c>
      <c r="L40" s="1554">
        <f t="shared" si="4"/>
        <v>18</v>
      </c>
      <c r="M40" s="1318">
        <f>IF(T6_UCCHSpManip!L40="","",T6_UCCHSpManip!L40)</f>
        <v>1546</v>
      </c>
      <c r="N40" s="835">
        <f t="shared" si="5"/>
        <v>72.5</v>
      </c>
      <c r="O40" s="208"/>
    </row>
    <row r="41" spans="2:16">
      <c r="B41" s="834">
        <v>2014</v>
      </c>
      <c r="C41" s="1318">
        <f>IF(T6_UCCHSpManip!B41="","",T6_UCCHSpManip!B41)</f>
        <v>33131</v>
      </c>
      <c r="D41" s="1318">
        <f>IF(T6_UCCHSpManip!C41="","",T6_UCCHSpManip!C41)</f>
        <v>3656</v>
      </c>
      <c r="E41" s="1319">
        <f>IF(T6_UCCHSpManip!D41="","",T6_UCCHSpManip!D41)</f>
        <v>62</v>
      </c>
      <c r="F41" s="206">
        <f t="shared" si="0"/>
        <v>1.7</v>
      </c>
      <c r="G41" s="1318">
        <f>IF(T6_UCCHSpManip!F41="","",T6_UCCHSpManip!F41)</f>
        <v>392</v>
      </c>
      <c r="H41" s="207">
        <f t="shared" si="1"/>
        <v>10.7</v>
      </c>
      <c r="I41" s="1319">
        <f t="shared" si="2"/>
        <v>454</v>
      </c>
      <c r="J41" s="207">
        <f t="shared" si="3"/>
        <v>12.4</v>
      </c>
      <c r="K41" s="1318">
        <f>IF(T6_UCCHSpManip!J41="","",T6_UCCHSpManip!J41)</f>
        <v>637</v>
      </c>
      <c r="L41" s="1554">
        <f t="shared" si="4"/>
        <v>17.399999999999999</v>
      </c>
      <c r="M41" s="1318">
        <f>IF(T6_UCCHSpManip!L41="","",T6_UCCHSpManip!L41)</f>
        <v>2565</v>
      </c>
      <c r="N41" s="835">
        <f t="shared" si="5"/>
        <v>70.2</v>
      </c>
      <c r="O41" s="208"/>
    </row>
    <row r="42" spans="2:16">
      <c r="B42" s="834">
        <v>2015</v>
      </c>
      <c r="C42" s="1318">
        <f>IF(T6_UCCHSpManip!B42="","",T6_UCCHSpManip!B42)</f>
        <v>38243</v>
      </c>
      <c r="D42" s="1318">
        <f>IF(T6_UCCHSpManip!C42="","",T6_UCCHSpManip!C42)</f>
        <v>3923</v>
      </c>
      <c r="E42" s="1319">
        <f>IF(T6_UCCHSpManip!D42="","",T6_UCCHSpManip!D42)</f>
        <v>77</v>
      </c>
      <c r="F42" s="206">
        <f t="shared" si="0"/>
        <v>2</v>
      </c>
      <c r="G42" s="1318">
        <f>IF(T6_UCCHSpManip!F42="","",T6_UCCHSpManip!F42)</f>
        <v>449</v>
      </c>
      <c r="H42" s="207">
        <f t="shared" si="1"/>
        <v>11.4</v>
      </c>
      <c r="I42" s="1319">
        <f t="shared" si="2"/>
        <v>526</v>
      </c>
      <c r="J42" s="207">
        <f t="shared" si="3"/>
        <v>13.4</v>
      </c>
      <c r="K42" s="1318">
        <f>IF(T6_UCCHSpManip!J42="","",T6_UCCHSpManip!J42)</f>
        <v>141</v>
      </c>
      <c r="L42" s="1554">
        <f t="shared" si="4"/>
        <v>3.6</v>
      </c>
      <c r="M42" s="1318">
        <f>IF(T6_UCCHSpManip!L42="","",T6_UCCHSpManip!L42)</f>
        <v>3256</v>
      </c>
      <c r="N42" s="835">
        <f t="shared" si="5"/>
        <v>83</v>
      </c>
      <c r="O42" s="209"/>
    </row>
    <row r="43" spans="2:16">
      <c r="B43" s="834">
        <v>2016</v>
      </c>
      <c r="C43" s="1318">
        <f>IF(T6_UCCHSpManip!B43="","",T6_UCCHSpManip!B43)</f>
        <v>25542</v>
      </c>
      <c r="D43" s="1318">
        <f>IF(T6_UCCHSpManip!C43="","",T6_UCCHSpManip!C43)</f>
        <v>3403</v>
      </c>
      <c r="E43" s="1319">
        <f>IF(T6_UCCHSpManip!D43="","",T6_UCCHSpManip!D43)</f>
        <v>58</v>
      </c>
      <c r="F43" s="206">
        <f t="shared" si="0"/>
        <v>1.7</v>
      </c>
      <c r="G43" s="1318">
        <f>IF(T6_UCCHSpManip!F43="","",T6_UCCHSpManip!F43)</f>
        <v>315</v>
      </c>
      <c r="H43" s="207">
        <f t="shared" si="1"/>
        <v>9.3000000000000007</v>
      </c>
      <c r="I43" s="1319">
        <f t="shared" si="2"/>
        <v>373</v>
      </c>
      <c r="J43" s="207">
        <f t="shared" si="3"/>
        <v>11</v>
      </c>
      <c r="K43" s="1318">
        <f>IF(T6_UCCHSpManip!J43="","",T6_UCCHSpManip!J43)</f>
        <v>546</v>
      </c>
      <c r="L43" s="1554">
        <f t="shared" si="4"/>
        <v>16</v>
      </c>
      <c r="M43" s="1318">
        <f>IF(T6_UCCHSpManip!L43="","",T6_UCCHSpManip!L43)</f>
        <v>2484</v>
      </c>
      <c r="N43" s="835">
        <f t="shared" si="5"/>
        <v>73</v>
      </c>
      <c r="O43" s="209"/>
    </row>
    <row r="44" spans="2:16">
      <c r="B44" s="834">
        <v>2017</v>
      </c>
      <c r="C44" s="1318">
        <f>IF(T6_UCCHSpManip!B44="","",T6_UCCHSpManip!B44)</f>
        <v>12907</v>
      </c>
      <c r="D44" s="1318">
        <f>IF(T6_UCCHSpManip!C44="","",T6_UCCHSpManip!C44)</f>
        <v>1654</v>
      </c>
      <c r="E44" s="1319">
        <f>IF(T6_UCCHSpManip!D44="","",T6_UCCHSpManip!D44)</f>
        <v>23</v>
      </c>
      <c r="F44" s="206">
        <f t="shared" si="0"/>
        <v>1.4</v>
      </c>
      <c r="G44" s="1318">
        <f>IF(T6_UCCHSpManip!F44="","",T6_UCCHSpManip!F44)</f>
        <v>124</v>
      </c>
      <c r="H44" s="207">
        <f t="shared" si="1"/>
        <v>7.5</v>
      </c>
      <c r="I44" s="1319">
        <f t="shared" si="2"/>
        <v>147</v>
      </c>
      <c r="J44" s="207">
        <f t="shared" si="3"/>
        <v>8.9</v>
      </c>
      <c r="K44" s="1318">
        <f>IF(T6_UCCHSpManip!J44="","",T6_UCCHSpManip!J44)</f>
        <v>472</v>
      </c>
      <c r="L44" s="1554">
        <f t="shared" si="4"/>
        <v>28.5</v>
      </c>
      <c r="M44" s="1318">
        <f>IF(T6_UCCHSpManip!L44="","",T6_UCCHSpManip!L44)</f>
        <v>1036</v>
      </c>
      <c r="N44" s="835">
        <f t="shared" si="5"/>
        <v>62.6</v>
      </c>
      <c r="O44" s="209"/>
    </row>
    <row r="45" spans="2:16" ht="15.75">
      <c r="B45" s="834">
        <v>2018</v>
      </c>
      <c r="C45" s="1318">
        <f>IF(T6_UCCHSpManip!B45="","",T6_UCCHSpManip!B45)</f>
        <v>13016</v>
      </c>
      <c r="D45" s="1318">
        <f>IF(T6_UCCHSpManip!C45="","",T6_UCCHSpManip!C45)</f>
        <v>1407</v>
      </c>
      <c r="E45" s="1319">
        <f>IF(T6_UCCHSpManip!D45="","",T6_UCCHSpManip!D45)</f>
        <v>13</v>
      </c>
      <c r="F45" s="206">
        <f t="shared" si="0"/>
        <v>0.9</v>
      </c>
      <c r="G45" s="1318">
        <f>IF(T6_UCCHSpManip!F45="","",T6_UCCHSpManip!F45)</f>
        <v>140</v>
      </c>
      <c r="H45" s="207">
        <f t="shared" si="1"/>
        <v>10</v>
      </c>
      <c r="I45" s="1319">
        <f t="shared" si="2"/>
        <v>153</v>
      </c>
      <c r="J45" s="207">
        <f t="shared" si="3"/>
        <v>10.9</v>
      </c>
      <c r="K45" s="1318">
        <f>IF(T6_UCCHSpManip!J45="","",T6_UCCHSpManip!J45)</f>
        <v>401</v>
      </c>
      <c r="L45" s="1554">
        <f t="shared" si="4"/>
        <v>28.5</v>
      </c>
      <c r="M45" s="1318">
        <f>IF(T6_UCCHSpManip!L45="","",T6_UCCHSpManip!L45)</f>
        <v>853</v>
      </c>
      <c r="N45" s="835">
        <f t="shared" si="5"/>
        <v>60.6</v>
      </c>
      <c r="O45" s="209"/>
      <c r="P45" s="60"/>
    </row>
    <row r="46" spans="2:16" ht="15.75">
      <c r="B46" s="834">
        <v>2019</v>
      </c>
      <c r="C46" s="1318">
        <f>IF(T6_UCCHSpManip!B46="","",T6_UCCHSpManip!B46)</f>
        <v>14690</v>
      </c>
      <c r="D46" s="1318">
        <f>IF(T6_UCCHSpManip!C46="","",T6_UCCHSpManip!C46)</f>
        <v>1176</v>
      </c>
      <c r="E46" s="1319">
        <f>IF(T6_UCCHSpManip!D46="","",T6_UCCHSpManip!D46)</f>
        <v>8</v>
      </c>
      <c r="F46" s="206">
        <f t="shared" si="0"/>
        <v>0.7</v>
      </c>
      <c r="G46" s="1318">
        <f>IF(T6_UCCHSpManip!F46="","",T6_UCCHSpManip!F46)</f>
        <v>77</v>
      </c>
      <c r="H46" s="207">
        <f t="shared" si="1"/>
        <v>6.5</v>
      </c>
      <c r="I46" s="1319">
        <f t="shared" si="2"/>
        <v>85</v>
      </c>
      <c r="J46" s="207">
        <f t="shared" si="3"/>
        <v>7.2</v>
      </c>
      <c r="K46" s="1318">
        <f>IF(T6_UCCHSpManip!J46="","",T6_UCCHSpManip!J46)</f>
        <v>388</v>
      </c>
      <c r="L46" s="1554">
        <f t="shared" si="4"/>
        <v>33</v>
      </c>
      <c r="M46" s="1318">
        <f>IF(T6_UCCHSpManip!L46="","",T6_UCCHSpManip!L46)</f>
        <v>704</v>
      </c>
      <c r="N46" s="835">
        <f t="shared" si="5"/>
        <v>59.9</v>
      </c>
      <c r="O46" s="209"/>
      <c r="P46" s="60"/>
    </row>
    <row r="47" spans="2:16" ht="15.75">
      <c r="B47" s="834">
        <v>2020</v>
      </c>
      <c r="C47" s="1318">
        <f>IF(T6_UCCHSpManip!B47="","",T6_UCCHSpManip!B47)</f>
        <v>12804</v>
      </c>
      <c r="D47" s="1318">
        <f>IF(T6_UCCHSpManip!C47="","",T6_UCCHSpManip!C47)</f>
        <v>1891</v>
      </c>
      <c r="E47" s="1319">
        <f>IF(T6_UCCHSpManip!D47="","",T6_UCCHSpManip!D47)</f>
        <v>10</v>
      </c>
      <c r="F47" s="206">
        <f t="shared" si="0"/>
        <v>0.5</v>
      </c>
      <c r="G47" s="1318">
        <f>IF(T6_UCCHSpManip!F47="","",T6_UCCHSpManip!F47)</f>
        <v>102</v>
      </c>
      <c r="H47" s="207">
        <f t="shared" si="1"/>
        <v>5.4</v>
      </c>
      <c r="I47" s="1319">
        <f t="shared" si="2"/>
        <v>112</v>
      </c>
      <c r="J47" s="207">
        <f t="shared" si="3"/>
        <v>5.9</v>
      </c>
      <c r="K47" s="1318">
        <f>IF(T6_UCCHSpManip!J47="","",T6_UCCHSpManip!J47)</f>
        <v>658</v>
      </c>
      <c r="L47" s="1554">
        <f t="shared" si="4"/>
        <v>34.799999999999997</v>
      </c>
      <c r="M47" s="1318">
        <f>IF(T6_UCCHSpManip!L47="","",T6_UCCHSpManip!L47)</f>
        <v>1122</v>
      </c>
      <c r="N47" s="835">
        <f t="shared" si="5"/>
        <v>59.3</v>
      </c>
      <c r="O47" s="209"/>
      <c r="P47" s="60"/>
    </row>
    <row r="48" spans="2:16" ht="15.75">
      <c r="B48" s="834">
        <v>2021</v>
      </c>
      <c r="C48" s="1318">
        <f>IF(T6_UCCHSpManip!B48="","",T6_UCCHSpManip!B48)</f>
        <v>16923</v>
      </c>
      <c r="D48" s="1318">
        <f>IF(T6_UCCHSpManip!C48="","",T6_UCCHSpManip!C48)</f>
        <v>3095</v>
      </c>
      <c r="E48" s="1319">
        <f>IF(T6_UCCHSpManip!D48="","",T6_UCCHSpManip!D48)</f>
        <v>37</v>
      </c>
      <c r="F48" s="206">
        <f t="shared" si="0"/>
        <v>1.2</v>
      </c>
      <c r="G48" s="1318">
        <f>IF(T6_UCCHSpManip!F48="","",T6_UCCHSpManip!F48)</f>
        <v>156</v>
      </c>
      <c r="H48" s="207">
        <f t="shared" si="1"/>
        <v>5</v>
      </c>
      <c r="I48" s="1319">
        <f t="shared" si="2"/>
        <v>193</v>
      </c>
      <c r="J48" s="207">
        <f t="shared" si="3"/>
        <v>6.2</v>
      </c>
      <c r="K48" s="1318">
        <f>IF(T6_UCCHSpManip!J48="","",T6_UCCHSpManip!J48)</f>
        <v>648</v>
      </c>
      <c r="L48" s="1554">
        <f t="shared" si="4"/>
        <v>20.9</v>
      </c>
      <c r="M48" s="1318">
        <f>IF(T6_UCCHSpManip!L48="","",T6_UCCHSpManip!L48)</f>
        <v>2255</v>
      </c>
      <c r="N48" s="835">
        <f t="shared" si="5"/>
        <v>72.900000000000006</v>
      </c>
      <c r="O48" s="209"/>
      <c r="P48" s="60"/>
    </row>
    <row r="49" spans="2:16" ht="15.75">
      <c r="B49" s="834">
        <v>2022</v>
      </c>
      <c r="C49" s="1318">
        <f>IF(T6_UCCHSpManip!B49="","",T6_UCCHSpManip!B49)</f>
        <v>29298</v>
      </c>
      <c r="D49" s="1318">
        <f>IF(T6_UCCHSpManip!C49="","",T6_UCCHSpManip!C49)</f>
        <v>5209</v>
      </c>
      <c r="E49" s="1319">
        <f>IF(T6_UCCHSpManip!D49="","",T6_UCCHSpManip!D49)</f>
        <v>67</v>
      </c>
      <c r="F49" s="206">
        <f t="shared" ref="F49:F50" si="6">IF(AND($D49="",E49=""),"",ROUND((E49/$D49)*100,1))</f>
        <v>1.3</v>
      </c>
      <c r="G49" s="1318">
        <f>IF(T6_UCCHSpManip!F49="","",T6_UCCHSpManip!F49)</f>
        <v>482</v>
      </c>
      <c r="H49" s="207">
        <f t="shared" ref="H49:H50" si="7">IF(AND($D49="",G49=""),"",ROUND((G49/$D49)*100,1))</f>
        <v>9.3000000000000007</v>
      </c>
      <c r="I49" s="1319">
        <f t="shared" ref="I49:I50" si="8">IF(AND(E49="",G49=""),"",ROUND(E49+G49,0))</f>
        <v>549</v>
      </c>
      <c r="J49" s="207">
        <f t="shared" ref="J49:J50" si="9">IF(AND($D49="",I49=""),"",ROUND((I49/$D49)*100,1))</f>
        <v>10.5</v>
      </c>
      <c r="K49" s="1318">
        <f>IF(T6_UCCHSpManip!J49="","",T6_UCCHSpManip!J49)</f>
        <v>662</v>
      </c>
      <c r="L49" s="1554">
        <f t="shared" ref="L49:L50" si="10">IF(OR($D49="",K49=""),"",ROUND((K49/$D49)*100,1))</f>
        <v>12.7</v>
      </c>
      <c r="M49" s="1318">
        <f>IF(T6_UCCHSpManip!L49="","",T6_UCCHSpManip!L49)</f>
        <v>3998</v>
      </c>
      <c r="N49" s="835">
        <f t="shared" ref="N49:N50" si="11">IF(OR($D49="",M49=""),"",ROUND((M49/$D49)*100,1))</f>
        <v>76.8</v>
      </c>
      <c r="O49" s="209"/>
      <c r="P49" s="60"/>
    </row>
    <row r="50" spans="2:16" ht="15.75">
      <c r="B50" s="834">
        <v>2023</v>
      </c>
      <c r="C50" s="1318">
        <f>IF(T6_UCCHSpManip!B50="","",T6_UCCHSpManip!B50)</f>
        <v>24462</v>
      </c>
      <c r="D50" s="1318">
        <f>IF(T6_UCCHSpManip!C50="","",T6_UCCHSpManip!C50)</f>
        <v>2785</v>
      </c>
      <c r="E50" s="1319">
        <f>IF(T6_UCCHSpManip!D50="","",T6_UCCHSpManip!D50)</f>
        <v>26</v>
      </c>
      <c r="F50" s="206">
        <f t="shared" si="6"/>
        <v>0.9</v>
      </c>
      <c r="G50" s="1318">
        <f>IF(T6_UCCHSpManip!F50="","",T6_UCCHSpManip!F50)</f>
        <v>246</v>
      </c>
      <c r="H50" s="207">
        <f t="shared" si="7"/>
        <v>8.8000000000000007</v>
      </c>
      <c r="I50" s="1319">
        <f t="shared" si="8"/>
        <v>272</v>
      </c>
      <c r="J50" s="207">
        <f t="shared" si="9"/>
        <v>9.8000000000000007</v>
      </c>
      <c r="K50" s="1318">
        <f>IF(T6_UCCHSpManip!J50="","",T6_UCCHSpManip!J50)</f>
        <v>669</v>
      </c>
      <c r="L50" s="1554">
        <f t="shared" si="10"/>
        <v>24</v>
      </c>
      <c r="M50" s="1318">
        <f>IF(T6_UCCHSpManip!L50="","",T6_UCCHSpManip!L50)</f>
        <v>1843</v>
      </c>
      <c r="N50" s="835">
        <f t="shared" si="11"/>
        <v>66.2</v>
      </c>
      <c r="O50" s="209"/>
      <c r="P50" s="60"/>
    </row>
    <row r="51" spans="2:16" ht="15.6" customHeight="1">
      <c r="B51" s="834">
        <v>2024</v>
      </c>
      <c r="C51" s="1318">
        <f>IF(T6_UCCHSpManip!B51="","",T6_UCCHSpManip!B51)</f>
        <v>17663</v>
      </c>
      <c r="D51" s="1318">
        <f>IF(T6_UCCHSpManip!C51="","",T6_UCCHSpManip!C51)</f>
        <v>1990</v>
      </c>
      <c r="E51" s="1319">
        <f>IF(T6_UCCHSpManip!D51="","",T6_UCCHSpManip!D51)</f>
        <v>17</v>
      </c>
      <c r="F51" s="206">
        <f t="shared" ref="F51" si="12">IF(AND($D51="",E51=""),"",ROUND((E51/$D51)*100,1))</f>
        <v>0.9</v>
      </c>
      <c r="G51" s="1318">
        <f>IF(T6_UCCHSpManip!F51="","",T6_UCCHSpManip!F51)</f>
        <v>119</v>
      </c>
      <c r="H51" s="207">
        <f t="shared" ref="H51" si="13">IF(AND($D51="",G51=""),"",ROUND((G51/$D51)*100,1))</f>
        <v>6</v>
      </c>
      <c r="I51" s="1319">
        <f t="shared" ref="I51" si="14">IF(AND(E51="",G51=""),"",ROUND(E51+G51,0))</f>
        <v>136</v>
      </c>
      <c r="J51" s="207">
        <f t="shared" ref="J51" si="15">IF(AND($D51="",I51=""),"",ROUND((I51/$D51)*100,1))</f>
        <v>6.8</v>
      </c>
      <c r="K51" s="1318">
        <f>IF(T6_UCCHSpManip!J51="","",T6_UCCHSpManip!J51)</f>
        <v>200</v>
      </c>
      <c r="L51" s="1554">
        <f t="shared" ref="L51" si="16">IF(OR($D51="",K51=""),"",ROUND((K51/$D51)*100,1))</f>
        <v>10.1</v>
      </c>
      <c r="M51" s="1318">
        <f>IF(T6_UCCHSpManip!L51="","",T6_UCCHSpManip!L51)</f>
        <v>1653</v>
      </c>
      <c r="N51" s="835">
        <f t="shared" ref="N51" si="17">IF(OR($D51="",M51=""),"",ROUND((M51/$D51)*100,1))</f>
        <v>83.1</v>
      </c>
      <c r="O51" s="209"/>
      <c r="P51" s="60"/>
    </row>
    <row r="52" spans="2:16" ht="15.6" customHeight="1">
      <c r="B52" s="1660">
        <v>2025</v>
      </c>
      <c r="C52" s="836">
        <f>IF(T6_UCCHSpManip!B52="","",T6_UCCHSpManip!B52)</f>
        <v>22193</v>
      </c>
      <c r="D52" s="836">
        <f>IF(T6_UCCHSpManip!C52="","",T6_UCCHSpManip!C52)</f>
        <v>4002</v>
      </c>
      <c r="E52" s="837">
        <f>IF(T6_UCCHSpManip!D52="","",T6_UCCHSpManip!D52)</f>
        <v>44</v>
      </c>
      <c r="F52" s="1288">
        <f t="shared" ref="F52" si="18">IF(AND($D52="",E52=""),"",ROUND((E52/$D52)*100,1))</f>
        <v>1.1000000000000001</v>
      </c>
      <c r="G52" s="836">
        <f>IF(T6_UCCHSpManip!F52="","",T6_UCCHSpManip!F52)</f>
        <v>274</v>
      </c>
      <c r="H52" s="838">
        <f t="shared" ref="H52" si="19">IF(AND($D52="",G52=""),"",ROUND((G52/$D52)*100,1))</f>
        <v>6.8</v>
      </c>
      <c r="I52" s="837">
        <f t="shared" ref="I52" si="20">IF(AND(E52="",G52=""),"",ROUND(E52+G52,0))</f>
        <v>318</v>
      </c>
      <c r="J52" s="838">
        <f t="shared" ref="J52" si="21">IF(AND($D52="",I52=""),"",ROUND((I52/$D52)*100,1))</f>
        <v>7.9</v>
      </c>
      <c r="K52" s="836">
        <f>IF(T6_UCCHSpManip!J52="","",T6_UCCHSpManip!J52)</f>
        <v>724</v>
      </c>
      <c r="L52" s="1289">
        <f t="shared" ref="L52" si="22">IF(OR($D52="",K52=""),"",ROUND((K52/$D52)*100,1))</f>
        <v>18.100000000000001</v>
      </c>
      <c r="M52" s="836">
        <f>IF(T6_UCCHSpManip!L52="","",T6_UCCHSpManip!L52)</f>
        <v>2959</v>
      </c>
      <c r="N52" s="1290">
        <f t="shared" ref="N52" si="23">IF(OR($D52="",M52=""),"",ROUND((M52/$D52)*100,1))</f>
        <v>73.900000000000006</v>
      </c>
      <c r="O52" s="209"/>
      <c r="P52" s="60"/>
    </row>
    <row r="53" spans="2:16" ht="35.25" customHeight="1">
      <c r="B53" s="1748" t="s">
        <v>279</v>
      </c>
      <c r="C53" s="1748"/>
      <c r="D53" s="1748"/>
      <c r="E53" s="1748"/>
      <c r="F53" s="1748"/>
      <c r="G53" s="1748"/>
      <c r="H53" s="1748"/>
      <c r="I53" s="1748"/>
      <c r="J53" s="1748"/>
      <c r="K53" s="1748"/>
      <c r="L53" s="1748"/>
      <c r="M53" s="1748"/>
      <c r="N53" s="1748"/>
    </row>
    <row r="54" spans="2:16" ht="35.25" customHeight="1">
      <c r="B54" s="1748" t="s">
        <v>280</v>
      </c>
      <c r="C54" s="1748"/>
      <c r="D54" s="1748"/>
      <c r="E54" s="1748"/>
      <c r="F54" s="1748"/>
      <c r="G54" s="1748"/>
      <c r="H54" s="1748"/>
      <c r="I54" s="1748"/>
      <c r="J54" s="1748"/>
      <c r="K54" s="1748"/>
      <c r="L54" s="1748"/>
      <c r="M54" s="1748"/>
      <c r="N54" s="1748"/>
    </row>
    <row r="55" spans="2:16" s="166" customFormat="1" ht="20.25" customHeight="1">
      <c r="B55" s="439" t="s">
        <v>281</v>
      </c>
      <c r="C55" s="440"/>
      <c r="D55" s="440"/>
      <c r="E55" s="440"/>
      <c r="F55" s="440"/>
      <c r="G55" s="440"/>
      <c r="H55" s="440"/>
      <c r="I55" s="440"/>
      <c r="J55" s="440"/>
      <c r="K55" s="440"/>
      <c r="L55" s="440"/>
      <c r="M55" s="440"/>
      <c r="N55" s="440"/>
    </row>
    <row r="56" spans="2:16" s="166" customFormat="1" ht="18" customHeight="1">
      <c r="B56" s="439" t="s">
        <v>282</v>
      </c>
      <c r="C56" s="440"/>
      <c r="D56" s="440"/>
      <c r="E56" s="440"/>
      <c r="F56" s="440"/>
      <c r="G56" s="440"/>
      <c r="H56" s="440"/>
      <c r="I56" s="440"/>
      <c r="J56" s="440"/>
      <c r="K56" s="440"/>
      <c r="L56" s="440"/>
      <c r="M56" s="440"/>
      <c r="N56" s="440"/>
    </row>
    <row r="57" spans="2:16" ht="15.75">
      <c r="B57" s="60"/>
    </row>
    <row r="58" spans="2:16" ht="15.75">
      <c r="B58" s="60" t="s">
        <v>87</v>
      </c>
    </row>
  </sheetData>
  <mergeCells count="9">
    <mergeCell ref="B53:N53"/>
    <mergeCell ref="B54:N54"/>
    <mergeCell ref="M4:N5"/>
    <mergeCell ref="B4:B5"/>
    <mergeCell ref="C4:D5"/>
    <mergeCell ref="E4:F5"/>
    <mergeCell ref="G4:H5"/>
    <mergeCell ref="I4:J5"/>
    <mergeCell ref="K4:L5"/>
  </mergeCells>
  <pageMargins left="0.75" right="0.75" top="1" bottom="1" header="0.5" footer="0.5"/>
  <pageSetup scale="76" orientation="portrait" horizontalDpi="300" verticalDpi="300" r:id="rId1"/>
  <headerFooter alignWithMargins="0"/>
  <ignoredErrors>
    <ignoredError sqref="M7:M51 I7:I51 G7:G51" formula="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8D374-D21F-4182-BFAC-115ED41A1D77}">
  <sheetPr>
    <tabColor rgb="FF66FF33"/>
  </sheetPr>
  <dimension ref="A1:AC76"/>
  <sheetViews>
    <sheetView topLeftCell="A18" zoomScale="90" zoomScaleNormal="90" workbookViewId="0">
      <selection activeCell="N52" sqref="N52"/>
    </sheetView>
  </sheetViews>
  <sheetFormatPr defaultColWidth="8.83203125" defaultRowHeight="12.75"/>
  <cols>
    <col min="1" max="1" width="11.33203125" style="54" customWidth="1"/>
    <col min="2" max="15" width="8.83203125" style="54"/>
    <col min="16" max="21" width="11.83203125" style="54" customWidth="1"/>
    <col min="22" max="22" width="8.83203125" style="54"/>
    <col min="23" max="23" width="16.6640625" style="54" bestFit="1" customWidth="1"/>
    <col min="24" max="24" width="11.83203125" style="54" customWidth="1"/>
    <col min="25" max="218" width="8.83203125" style="54"/>
    <col min="219" max="219" width="5.83203125" style="54" bestFit="1" customWidth="1"/>
    <col min="220" max="220" width="8.83203125" style="54" bestFit="1" customWidth="1"/>
    <col min="221" max="224" width="8.83203125" style="54"/>
    <col min="225" max="225" width="11.33203125" style="54" bestFit="1" customWidth="1"/>
    <col min="226" max="474" width="8.83203125" style="54"/>
    <col min="475" max="475" width="5.83203125" style="54" bestFit="1" customWidth="1"/>
    <col min="476" max="476" width="8.83203125" style="54" bestFit="1" customWidth="1"/>
    <col min="477" max="480" width="8.83203125" style="54"/>
    <col min="481" max="481" width="11.33203125" style="54" bestFit="1" customWidth="1"/>
    <col min="482" max="730" width="8.83203125" style="54"/>
    <col min="731" max="731" width="5.83203125" style="54" bestFit="1" customWidth="1"/>
    <col min="732" max="732" width="8.83203125" style="54" bestFit="1" customWidth="1"/>
    <col min="733" max="736" width="8.83203125" style="54"/>
    <col min="737" max="737" width="11.33203125" style="54" bestFit="1" customWidth="1"/>
    <col min="738" max="986" width="8.83203125" style="54"/>
    <col min="987" max="987" width="5.83203125" style="54" bestFit="1" customWidth="1"/>
    <col min="988" max="988" width="8.83203125" style="54" bestFit="1" customWidth="1"/>
    <col min="989" max="992" width="8.83203125" style="54"/>
    <col min="993" max="993" width="11.33203125" style="54" bestFit="1" customWidth="1"/>
    <col min="994" max="1242" width="8.83203125" style="54"/>
    <col min="1243" max="1243" width="5.83203125" style="54" bestFit="1" customWidth="1"/>
    <col min="1244" max="1244" width="8.83203125" style="54" bestFit="1" customWidth="1"/>
    <col min="1245" max="1248" width="8.83203125" style="54"/>
    <col min="1249" max="1249" width="11.33203125" style="54" bestFit="1" customWidth="1"/>
    <col min="1250" max="1498" width="8.83203125" style="54"/>
    <col min="1499" max="1499" width="5.83203125" style="54" bestFit="1" customWidth="1"/>
    <col min="1500" max="1500" width="8.83203125" style="54" bestFit="1" customWidth="1"/>
    <col min="1501" max="1504" width="8.83203125" style="54"/>
    <col min="1505" max="1505" width="11.33203125" style="54" bestFit="1" customWidth="1"/>
    <col min="1506" max="1754" width="8.83203125" style="54"/>
    <col min="1755" max="1755" width="5.83203125" style="54" bestFit="1" customWidth="1"/>
    <col min="1756" max="1756" width="8.83203125" style="54" bestFit="1" customWidth="1"/>
    <col min="1757" max="1760" width="8.83203125" style="54"/>
    <col min="1761" max="1761" width="11.33203125" style="54" bestFit="1" customWidth="1"/>
    <col min="1762" max="2010" width="8.83203125" style="54"/>
    <col min="2011" max="2011" width="5.83203125" style="54" bestFit="1" customWidth="1"/>
    <col min="2012" max="2012" width="8.83203125" style="54" bestFit="1" customWidth="1"/>
    <col min="2013" max="2016" width="8.83203125" style="54"/>
    <col min="2017" max="2017" width="11.33203125" style="54" bestFit="1" customWidth="1"/>
    <col min="2018" max="2266" width="8.83203125" style="54"/>
    <col min="2267" max="2267" width="5.83203125" style="54" bestFit="1" customWidth="1"/>
    <col min="2268" max="2268" width="8.83203125" style="54" bestFit="1" customWidth="1"/>
    <col min="2269" max="2272" width="8.83203125" style="54"/>
    <col min="2273" max="2273" width="11.33203125" style="54" bestFit="1" customWidth="1"/>
    <col min="2274" max="2522" width="8.83203125" style="54"/>
    <col min="2523" max="2523" width="5.83203125" style="54" bestFit="1" customWidth="1"/>
    <col min="2524" max="2524" width="8.83203125" style="54" bestFit="1" customWidth="1"/>
    <col min="2525" max="2528" width="8.83203125" style="54"/>
    <col min="2529" max="2529" width="11.33203125" style="54" bestFit="1" customWidth="1"/>
    <col min="2530" max="2778" width="8.83203125" style="54"/>
    <col min="2779" max="2779" width="5.83203125" style="54" bestFit="1" customWidth="1"/>
    <col min="2780" max="2780" width="8.83203125" style="54" bestFit="1" customWidth="1"/>
    <col min="2781" max="2784" width="8.83203125" style="54"/>
    <col min="2785" max="2785" width="11.33203125" style="54" bestFit="1" customWidth="1"/>
    <col min="2786" max="3034" width="8.83203125" style="54"/>
    <col min="3035" max="3035" width="5.83203125" style="54" bestFit="1" customWidth="1"/>
    <col min="3036" max="3036" width="8.83203125" style="54" bestFit="1" customWidth="1"/>
    <col min="3037" max="3040" width="8.83203125" style="54"/>
    <col min="3041" max="3041" width="11.33203125" style="54" bestFit="1" customWidth="1"/>
    <col min="3042" max="3290" width="8.83203125" style="54"/>
    <col min="3291" max="3291" width="5.83203125" style="54" bestFit="1" customWidth="1"/>
    <col min="3292" max="3292" width="8.83203125" style="54" bestFit="1" customWidth="1"/>
    <col min="3293" max="3296" width="8.83203125" style="54"/>
    <col min="3297" max="3297" width="11.33203125" style="54" bestFit="1" customWidth="1"/>
    <col min="3298" max="3546" width="8.83203125" style="54"/>
    <col min="3547" max="3547" width="5.83203125" style="54" bestFit="1" customWidth="1"/>
    <col min="3548" max="3548" width="8.83203125" style="54" bestFit="1" customWidth="1"/>
    <col min="3549" max="3552" width="8.83203125" style="54"/>
    <col min="3553" max="3553" width="11.33203125" style="54" bestFit="1" customWidth="1"/>
    <col min="3554" max="3802" width="8.83203125" style="54"/>
    <col min="3803" max="3803" width="5.83203125" style="54" bestFit="1" customWidth="1"/>
    <col min="3804" max="3804" width="8.83203125" style="54" bestFit="1" customWidth="1"/>
    <col min="3805" max="3808" width="8.83203125" style="54"/>
    <col min="3809" max="3809" width="11.33203125" style="54" bestFit="1" customWidth="1"/>
    <col min="3810" max="4058" width="8.83203125" style="54"/>
    <col min="4059" max="4059" width="5.83203125" style="54" bestFit="1" customWidth="1"/>
    <col min="4060" max="4060" width="8.83203125" style="54" bestFit="1" customWidth="1"/>
    <col min="4061" max="4064" width="8.83203125" style="54"/>
    <col min="4065" max="4065" width="11.33203125" style="54" bestFit="1" customWidth="1"/>
    <col min="4066" max="4314" width="8.83203125" style="54"/>
    <col min="4315" max="4315" width="5.83203125" style="54" bestFit="1" customWidth="1"/>
    <col min="4316" max="4316" width="8.83203125" style="54" bestFit="1" customWidth="1"/>
    <col min="4317" max="4320" width="8.83203125" style="54"/>
    <col min="4321" max="4321" width="11.33203125" style="54" bestFit="1" customWidth="1"/>
    <col min="4322" max="4570" width="8.83203125" style="54"/>
    <col min="4571" max="4571" width="5.83203125" style="54" bestFit="1" customWidth="1"/>
    <col min="4572" max="4572" width="8.83203125" style="54" bestFit="1" customWidth="1"/>
    <col min="4573" max="4576" width="8.83203125" style="54"/>
    <col min="4577" max="4577" width="11.33203125" style="54" bestFit="1" customWidth="1"/>
    <col min="4578" max="4826" width="8.83203125" style="54"/>
    <col min="4827" max="4827" width="5.83203125" style="54" bestFit="1" customWidth="1"/>
    <col min="4828" max="4828" width="8.83203125" style="54" bestFit="1" customWidth="1"/>
    <col min="4829" max="4832" width="8.83203125" style="54"/>
    <col min="4833" max="4833" width="11.33203125" style="54" bestFit="1" customWidth="1"/>
    <col min="4834" max="5082" width="8.83203125" style="54"/>
    <col min="5083" max="5083" width="5.83203125" style="54" bestFit="1" customWidth="1"/>
    <col min="5084" max="5084" width="8.83203125" style="54" bestFit="1" customWidth="1"/>
    <col min="5085" max="5088" width="8.83203125" style="54"/>
    <col min="5089" max="5089" width="11.33203125" style="54" bestFit="1" customWidth="1"/>
    <col min="5090" max="5338" width="8.83203125" style="54"/>
    <col min="5339" max="5339" width="5.83203125" style="54" bestFit="1" customWidth="1"/>
    <col min="5340" max="5340" width="8.83203125" style="54" bestFit="1" customWidth="1"/>
    <col min="5341" max="5344" width="8.83203125" style="54"/>
    <col min="5345" max="5345" width="11.33203125" style="54" bestFit="1" customWidth="1"/>
    <col min="5346" max="5594" width="8.83203125" style="54"/>
    <col min="5595" max="5595" width="5.83203125" style="54" bestFit="1" customWidth="1"/>
    <col min="5596" max="5596" width="8.83203125" style="54" bestFit="1" customWidth="1"/>
    <col min="5597" max="5600" width="8.83203125" style="54"/>
    <col min="5601" max="5601" width="11.33203125" style="54" bestFit="1" customWidth="1"/>
    <col min="5602" max="5850" width="8.83203125" style="54"/>
    <col min="5851" max="5851" width="5.83203125" style="54" bestFit="1" customWidth="1"/>
    <col min="5852" max="5852" width="8.83203125" style="54" bestFit="1" customWidth="1"/>
    <col min="5853" max="5856" width="8.83203125" style="54"/>
    <col min="5857" max="5857" width="11.33203125" style="54" bestFit="1" customWidth="1"/>
    <col min="5858" max="6106" width="8.83203125" style="54"/>
    <col min="6107" max="6107" width="5.83203125" style="54" bestFit="1" customWidth="1"/>
    <col min="6108" max="6108" width="8.83203125" style="54" bestFit="1" customWidth="1"/>
    <col min="6109" max="6112" width="8.83203125" style="54"/>
    <col min="6113" max="6113" width="11.33203125" style="54" bestFit="1" customWidth="1"/>
    <col min="6114" max="6362" width="8.83203125" style="54"/>
    <col min="6363" max="6363" width="5.83203125" style="54" bestFit="1" customWidth="1"/>
    <col min="6364" max="6364" width="8.83203125" style="54" bestFit="1" customWidth="1"/>
    <col min="6365" max="6368" width="8.83203125" style="54"/>
    <col min="6369" max="6369" width="11.33203125" style="54" bestFit="1" customWidth="1"/>
    <col min="6370" max="6618" width="8.83203125" style="54"/>
    <col min="6619" max="6619" width="5.83203125" style="54" bestFit="1" customWidth="1"/>
    <col min="6620" max="6620" width="8.83203125" style="54" bestFit="1" customWidth="1"/>
    <col min="6621" max="6624" width="8.83203125" style="54"/>
    <col min="6625" max="6625" width="11.33203125" style="54" bestFit="1" customWidth="1"/>
    <col min="6626" max="6874" width="8.83203125" style="54"/>
    <col min="6875" max="6875" width="5.83203125" style="54" bestFit="1" customWidth="1"/>
    <col min="6876" max="6876" width="8.83203125" style="54" bestFit="1" customWidth="1"/>
    <col min="6877" max="6880" width="8.83203125" style="54"/>
    <col min="6881" max="6881" width="11.33203125" style="54" bestFit="1" customWidth="1"/>
    <col min="6882" max="7130" width="8.83203125" style="54"/>
    <col min="7131" max="7131" width="5.83203125" style="54" bestFit="1" customWidth="1"/>
    <col min="7132" max="7132" width="8.83203125" style="54" bestFit="1" customWidth="1"/>
    <col min="7133" max="7136" width="8.83203125" style="54"/>
    <col min="7137" max="7137" width="11.33203125" style="54" bestFit="1" customWidth="1"/>
    <col min="7138" max="7386" width="8.83203125" style="54"/>
    <col min="7387" max="7387" width="5.83203125" style="54" bestFit="1" customWidth="1"/>
    <col min="7388" max="7388" width="8.83203125" style="54" bestFit="1" customWidth="1"/>
    <col min="7389" max="7392" width="8.83203125" style="54"/>
    <col min="7393" max="7393" width="11.33203125" style="54" bestFit="1" customWidth="1"/>
    <col min="7394" max="7642" width="8.83203125" style="54"/>
    <col min="7643" max="7643" width="5.83203125" style="54" bestFit="1" customWidth="1"/>
    <col min="7644" max="7644" width="8.83203125" style="54" bestFit="1" customWidth="1"/>
    <col min="7645" max="7648" width="8.83203125" style="54"/>
    <col min="7649" max="7649" width="11.33203125" style="54" bestFit="1" customWidth="1"/>
    <col min="7650" max="7898" width="8.83203125" style="54"/>
    <col min="7899" max="7899" width="5.83203125" style="54" bestFit="1" customWidth="1"/>
    <col min="7900" max="7900" width="8.83203125" style="54" bestFit="1" customWidth="1"/>
    <col min="7901" max="7904" width="8.83203125" style="54"/>
    <col min="7905" max="7905" width="11.33203125" style="54" bestFit="1" customWidth="1"/>
    <col min="7906" max="8154" width="8.83203125" style="54"/>
    <col min="8155" max="8155" width="5.83203125" style="54" bestFit="1" customWidth="1"/>
    <col min="8156" max="8156" width="8.83203125" style="54" bestFit="1" customWidth="1"/>
    <col min="8157" max="8160" width="8.83203125" style="54"/>
    <col min="8161" max="8161" width="11.33203125" style="54" bestFit="1" customWidth="1"/>
    <col min="8162" max="8410" width="8.83203125" style="54"/>
    <col min="8411" max="8411" width="5.83203125" style="54" bestFit="1" customWidth="1"/>
    <col min="8412" max="8412" width="8.83203125" style="54" bestFit="1" customWidth="1"/>
    <col min="8413" max="8416" width="8.83203125" style="54"/>
    <col min="8417" max="8417" width="11.33203125" style="54" bestFit="1" customWidth="1"/>
    <col min="8418" max="8666" width="8.83203125" style="54"/>
    <col min="8667" max="8667" width="5.83203125" style="54" bestFit="1" customWidth="1"/>
    <col min="8668" max="8668" width="8.83203125" style="54" bestFit="1" customWidth="1"/>
    <col min="8669" max="8672" width="8.83203125" style="54"/>
    <col min="8673" max="8673" width="11.33203125" style="54" bestFit="1" customWidth="1"/>
    <col min="8674" max="8922" width="8.83203125" style="54"/>
    <col min="8923" max="8923" width="5.83203125" style="54" bestFit="1" customWidth="1"/>
    <col min="8924" max="8924" width="8.83203125" style="54" bestFit="1" customWidth="1"/>
    <col min="8925" max="8928" width="8.83203125" style="54"/>
    <col min="8929" max="8929" width="11.33203125" style="54" bestFit="1" customWidth="1"/>
    <col min="8930" max="9178" width="8.83203125" style="54"/>
    <col min="9179" max="9179" width="5.83203125" style="54" bestFit="1" customWidth="1"/>
    <col min="9180" max="9180" width="8.83203125" style="54" bestFit="1" customWidth="1"/>
    <col min="9181" max="9184" width="8.83203125" style="54"/>
    <col min="9185" max="9185" width="11.33203125" style="54" bestFit="1" customWidth="1"/>
    <col min="9186" max="9434" width="8.83203125" style="54"/>
    <col min="9435" max="9435" width="5.83203125" style="54" bestFit="1" customWidth="1"/>
    <col min="9436" max="9436" width="8.83203125" style="54" bestFit="1" customWidth="1"/>
    <col min="9437" max="9440" width="8.83203125" style="54"/>
    <col min="9441" max="9441" width="11.33203125" style="54" bestFit="1" customWidth="1"/>
    <col min="9442" max="9690" width="8.83203125" style="54"/>
    <col min="9691" max="9691" width="5.83203125" style="54" bestFit="1" customWidth="1"/>
    <col min="9692" max="9692" width="8.83203125" style="54" bestFit="1" customWidth="1"/>
    <col min="9693" max="9696" width="8.83203125" style="54"/>
    <col min="9697" max="9697" width="11.33203125" style="54" bestFit="1" customWidth="1"/>
    <col min="9698" max="9946" width="8.83203125" style="54"/>
    <col min="9947" max="9947" width="5.83203125" style="54" bestFit="1" customWidth="1"/>
    <col min="9948" max="9948" width="8.83203125" style="54" bestFit="1" customWidth="1"/>
    <col min="9949" max="9952" width="8.83203125" style="54"/>
    <col min="9953" max="9953" width="11.33203125" style="54" bestFit="1" customWidth="1"/>
    <col min="9954" max="10202" width="8.83203125" style="54"/>
    <col min="10203" max="10203" width="5.83203125" style="54" bestFit="1" customWidth="1"/>
    <col min="10204" max="10204" width="8.83203125" style="54" bestFit="1" customWidth="1"/>
    <col min="10205" max="10208" width="8.83203125" style="54"/>
    <col min="10209" max="10209" width="11.33203125" style="54" bestFit="1" customWidth="1"/>
    <col min="10210" max="10458" width="8.83203125" style="54"/>
    <col min="10459" max="10459" width="5.83203125" style="54" bestFit="1" customWidth="1"/>
    <col min="10460" max="10460" width="8.83203125" style="54" bestFit="1" customWidth="1"/>
    <col min="10461" max="10464" width="8.83203125" style="54"/>
    <col min="10465" max="10465" width="11.33203125" style="54" bestFit="1" customWidth="1"/>
    <col min="10466" max="10714" width="8.83203125" style="54"/>
    <col min="10715" max="10715" width="5.83203125" style="54" bestFit="1" customWidth="1"/>
    <col min="10716" max="10716" width="8.83203125" style="54" bestFit="1" customWidth="1"/>
    <col min="10717" max="10720" width="8.83203125" style="54"/>
    <col min="10721" max="10721" width="11.33203125" style="54" bestFit="1" customWidth="1"/>
    <col min="10722" max="10970" width="8.83203125" style="54"/>
    <col min="10971" max="10971" width="5.83203125" style="54" bestFit="1" customWidth="1"/>
    <col min="10972" max="10972" width="8.83203125" style="54" bestFit="1" customWidth="1"/>
    <col min="10973" max="10976" width="8.83203125" style="54"/>
    <col min="10977" max="10977" width="11.33203125" style="54" bestFit="1" customWidth="1"/>
    <col min="10978" max="11226" width="8.83203125" style="54"/>
    <col min="11227" max="11227" width="5.83203125" style="54" bestFit="1" customWidth="1"/>
    <col min="11228" max="11228" width="8.83203125" style="54" bestFit="1" customWidth="1"/>
    <col min="11229" max="11232" width="8.83203125" style="54"/>
    <col min="11233" max="11233" width="11.33203125" style="54" bestFit="1" customWidth="1"/>
    <col min="11234" max="11482" width="8.83203125" style="54"/>
    <col min="11483" max="11483" width="5.83203125" style="54" bestFit="1" customWidth="1"/>
    <col min="11484" max="11484" width="8.83203125" style="54" bestFit="1" customWidth="1"/>
    <col min="11485" max="11488" width="8.83203125" style="54"/>
    <col min="11489" max="11489" width="11.33203125" style="54" bestFit="1" customWidth="1"/>
    <col min="11490" max="11738" width="8.83203125" style="54"/>
    <col min="11739" max="11739" width="5.83203125" style="54" bestFit="1" customWidth="1"/>
    <col min="11740" max="11740" width="8.83203125" style="54" bestFit="1" customWidth="1"/>
    <col min="11741" max="11744" width="8.83203125" style="54"/>
    <col min="11745" max="11745" width="11.33203125" style="54" bestFit="1" customWidth="1"/>
    <col min="11746" max="11994" width="8.83203125" style="54"/>
    <col min="11995" max="11995" width="5.83203125" style="54" bestFit="1" customWidth="1"/>
    <col min="11996" max="11996" width="8.83203125" style="54" bestFit="1" customWidth="1"/>
    <col min="11997" max="12000" width="8.83203125" style="54"/>
    <col min="12001" max="12001" width="11.33203125" style="54" bestFit="1" customWidth="1"/>
    <col min="12002" max="12250" width="8.83203125" style="54"/>
    <col min="12251" max="12251" width="5.83203125" style="54" bestFit="1" customWidth="1"/>
    <col min="12252" max="12252" width="8.83203125" style="54" bestFit="1" customWidth="1"/>
    <col min="12253" max="12256" width="8.83203125" style="54"/>
    <col min="12257" max="12257" width="11.33203125" style="54" bestFit="1" customWidth="1"/>
    <col min="12258" max="12506" width="8.83203125" style="54"/>
    <col min="12507" max="12507" width="5.83203125" style="54" bestFit="1" customWidth="1"/>
    <col min="12508" max="12508" width="8.83203125" style="54" bestFit="1" customWidth="1"/>
    <col min="12509" max="12512" width="8.83203125" style="54"/>
    <col min="12513" max="12513" width="11.33203125" style="54" bestFit="1" customWidth="1"/>
    <col min="12514" max="12762" width="8.83203125" style="54"/>
    <col min="12763" max="12763" width="5.83203125" style="54" bestFit="1" customWidth="1"/>
    <col min="12764" max="12764" width="8.83203125" style="54" bestFit="1" customWidth="1"/>
    <col min="12765" max="12768" width="8.83203125" style="54"/>
    <col min="12769" max="12769" width="11.33203125" style="54" bestFit="1" customWidth="1"/>
    <col min="12770" max="13018" width="8.83203125" style="54"/>
    <col min="13019" max="13019" width="5.83203125" style="54" bestFit="1" customWidth="1"/>
    <col min="13020" max="13020" width="8.83203125" style="54" bestFit="1" customWidth="1"/>
    <col min="13021" max="13024" width="8.83203125" style="54"/>
    <col min="13025" max="13025" width="11.33203125" style="54" bestFit="1" customWidth="1"/>
    <col min="13026" max="13274" width="8.83203125" style="54"/>
    <col min="13275" max="13275" width="5.83203125" style="54" bestFit="1" customWidth="1"/>
    <col min="13276" max="13276" width="8.83203125" style="54" bestFit="1" customWidth="1"/>
    <col min="13277" max="13280" width="8.83203125" style="54"/>
    <col min="13281" max="13281" width="11.33203125" style="54" bestFit="1" customWidth="1"/>
    <col min="13282" max="13530" width="8.83203125" style="54"/>
    <col min="13531" max="13531" width="5.83203125" style="54" bestFit="1" customWidth="1"/>
    <col min="13532" max="13532" width="8.83203125" style="54" bestFit="1" customWidth="1"/>
    <col min="13533" max="13536" width="8.83203125" style="54"/>
    <col min="13537" max="13537" width="11.33203125" style="54" bestFit="1" customWidth="1"/>
    <col min="13538" max="13786" width="8.83203125" style="54"/>
    <col min="13787" max="13787" width="5.83203125" style="54" bestFit="1" customWidth="1"/>
    <col min="13788" max="13788" width="8.83203125" style="54" bestFit="1" customWidth="1"/>
    <col min="13789" max="13792" width="8.83203125" style="54"/>
    <col min="13793" max="13793" width="11.33203125" style="54" bestFit="1" customWidth="1"/>
    <col min="13794" max="14042" width="8.83203125" style="54"/>
    <col min="14043" max="14043" width="5.83203125" style="54" bestFit="1" customWidth="1"/>
    <col min="14044" max="14044" width="8.83203125" style="54" bestFit="1" customWidth="1"/>
    <col min="14045" max="14048" width="8.83203125" style="54"/>
    <col min="14049" max="14049" width="11.33203125" style="54" bestFit="1" customWidth="1"/>
    <col min="14050" max="14298" width="8.83203125" style="54"/>
    <col min="14299" max="14299" width="5.83203125" style="54" bestFit="1" customWidth="1"/>
    <col min="14300" max="14300" width="8.83203125" style="54" bestFit="1" customWidth="1"/>
    <col min="14301" max="14304" width="8.83203125" style="54"/>
    <col min="14305" max="14305" width="11.33203125" style="54" bestFit="1" customWidth="1"/>
    <col min="14306" max="14554" width="8.83203125" style="54"/>
    <col min="14555" max="14555" width="5.83203125" style="54" bestFit="1" customWidth="1"/>
    <col min="14556" max="14556" width="8.83203125" style="54" bestFit="1" customWidth="1"/>
    <col min="14557" max="14560" width="8.83203125" style="54"/>
    <col min="14561" max="14561" width="11.33203125" style="54" bestFit="1" customWidth="1"/>
    <col min="14562" max="14810" width="8.83203125" style="54"/>
    <col min="14811" max="14811" width="5.83203125" style="54" bestFit="1" customWidth="1"/>
    <col min="14812" max="14812" width="8.83203125" style="54" bestFit="1" customWidth="1"/>
    <col min="14813" max="14816" width="8.83203125" style="54"/>
    <col min="14817" max="14817" width="11.33203125" style="54" bestFit="1" customWidth="1"/>
    <col min="14818" max="15066" width="8.83203125" style="54"/>
    <col min="15067" max="15067" width="5.83203125" style="54" bestFit="1" customWidth="1"/>
    <col min="15068" max="15068" width="8.83203125" style="54" bestFit="1" customWidth="1"/>
    <col min="15069" max="15072" width="8.83203125" style="54"/>
    <col min="15073" max="15073" width="11.33203125" style="54" bestFit="1" customWidth="1"/>
    <col min="15074" max="15322" width="8.83203125" style="54"/>
    <col min="15323" max="15323" width="5.83203125" style="54" bestFit="1" customWidth="1"/>
    <col min="15324" max="15324" width="8.83203125" style="54" bestFit="1" customWidth="1"/>
    <col min="15325" max="15328" width="8.83203125" style="54"/>
    <col min="15329" max="15329" width="11.33203125" style="54" bestFit="1" customWidth="1"/>
    <col min="15330" max="15578" width="8.83203125" style="54"/>
    <col min="15579" max="15579" width="5.83203125" style="54" bestFit="1" customWidth="1"/>
    <col min="15580" max="15580" width="8.83203125" style="54" bestFit="1" customWidth="1"/>
    <col min="15581" max="15584" width="8.83203125" style="54"/>
    <col min="15585" max="15585" width="11.33203125" style="54" bestFit="1" customWidth="1"/>
    <col min="15586" max="15834" width="8.83203125" style="54"/>
    <col min="15835" max="15835" width="5.83203125" style="54" bestFit="1" customWidth="1"/>
    <col min="15836" max="15836" width="8.83203125" style="54" bestFit="1" customWidth="1"/>
    <col min="15837" max="15840" width="8.83203125" style="54"/>
    <col min="15841" max="15841" width="11.33203125" style="54" bestFit="1" customWidth="1"/>
    <col min="15842" max="16090" width="8.83203125" style="54"/>
    <col min="16091" max="16091" width="5.83203125" style="54" bestFit="1" customWidth="1"/>
    <col min="16092" max="16092" width="8.83203125" style="54" bestFit="1" customWidth="1"/>
    <col min="16093" max="16096" width="8.83203125" style="54"/>
    <col min="16097" max="16097" width="11.33203125" style="54" bestFit="1" customWidth="1"/>
    <col min="16098" max="16384" width="8.83203125" style="54"/>
  </cols>
  <sheetData>
    <row r="1" spans="1:29">
      <c r="A1" s="180" t="s">
        <v>230</v>
      </c>
      <c r="B1" s="1642"/>
      <c r="C1" s="1642"/>
      <c r="D1" s="1642"/>
      <c r="E1" s="1642"/>
      <c r="F1" s="1642"/>
      <c r="G1" s="1642"/>
      <c r="H1" s="1642"/>
      <c r="I1" s="1642"/>
      <c r="J1" s="1642"/>
      <c r="K1" s="1642"/>
      <c r="L1" s="1642"/>
      <c r="M1" s="1642"/>
      <c r="N1" s="1642"/>
      <c r="O1" s="1642"/>
      <c r="P1" s="1642"/>
      <c r="Q1" s="1642"/>
      <c r="R1" s="1642"/>
      <c r="S1" s="1642"/>
      <c r="T1" s="1642"/>
      <c r="U1" s="1642"/>
      <c r="V1" s="1642"/>
      <c r="W1" s="1642"/>
      <c r="X1" s="1642"/>
      <c r="Y1" s="1642"/>
      <c r="Z1" s="1642"/>
      <c r="AA1" s="1642"/>
      <c r="AB1" s="1642"/>
      <c r="AC1" s="1642"/>
    </row>
    <row r="2" spans="1:29">
      <c r="A2" s="1787" t="s">
        <v>283</v>
      </c>
      <c r="B2" s="1787"/>
      <c r="C2" s="1787"/>
      <c r="D2" s="1787"/>
      <c r="E2" s="1787"/>
      <c r="F2" s="1787"/>
      <c r="G2" s="1787"/>
      <c r="H2" s="1787"/>
      <c r="I2" s="1787"/>
      <c r="J2" s="1787"/>
      <c r="K2" s="1787"/>
      <c r="L2" s="1787"/>
      <c r="M2" s="1787"/>
      <c r="N2" s="1642"/>
      <c r="O2" s="1642"/>
      <c r="P2" s="1642"/>
      <c r="Q2" s="1642"/>
      <c r="R2" s="1642"/>
      <c r="S2" s="1642"/>
      <c r="T2" s="1642"/>
      <c r="U2" s="1642"/>
      <c r="V2" s="1642"/>
      <c r="W2" s="210"/>
      <c r="X2" s="1642"/>
      <c r="Y2" s="1642"/>
      <c r="Z2" s="1642"/>
      <c r="AA2" s="1642"/>
      <c r="AB2" s="1642"/>
      <c r="AC2" s="1642"/>
    </row>
    <row r="3" spans="1:29">
      <c r="A3" s="1787"/>
      <c r="B3" s="1787" t="s">
        <v>284</v>
      </c>
      <c r="C3" s="1787"/>
      <c r="D3" s="1787" t="s">
        <v>285</v>
      </c>
      <c r="E3" s="1787"/>
      <c r="F3" s="1787" t="s">
        <v>286</v>
      </c>
      <c r="G3" s="1787"/>
      <c r="H3" s="1787" t="s">
        <v>36</v>
      </c>
      <c r="I3" s="1787"/>
      <c r="J3" s="1787" t="s">
        <v>287</v>
      </c>
      <c r="K3" s="1787"/>
      <c r="L3" s="1787" t="s">
        <v>260</v>
      </c>
      <c r="M3" s="1787"/>
      <c r="N3" s="1642"/>
      <c r="O3" s="1642"/>
      <c r="P3" s="1642"/>
      <c r="Q3" s="1642"/>
      <c r="R3" s="1642"/>
      <c r="S3" s="1642"/>
      <c r="T3" s="1642"/>
      <c r="U3" s="1642"/>
      <c r="V3" s="1642"/>
      <c r="W3" s="210"/>
      <c r="X3" s="1642"/>
      <c r="Y3" s="1642"/>
      <c r="Z3" s="1642"/>
      <c r="AA3" s="1642"/>
      <c r="AB3" s="1642"/>
      <c r="AC3" s="1642"/>
    </row>
    <row r="4" spans="1:29" ht="15.75">
      <c r="A4" s="1787"/>
      <c r="B4" s="1787" t="s">
        <v>120</v>
      </c>
      <c r="C4" s="1787"/>
      <c r="D4" s="1787" t="s">
        <v>288</v>
      </c>
      <c r="E4" s="1787"/>
      <c r="F4" s="1787" t="s">
        <v>289</v>
      </c>
      <c r="G4" s="1787"/>
      <c r="H4" s="1787" t="s">
        <v>290</v>
      </c>
      <c r="I4" s="1787"/>
      <c r="J4" s="1787" t="s">
        <v>291</v>
      </c>
      <c r="K4" s="1787"/>
      <c r="L4" s="1787" t="s">
        <v>292</v>
      </c>
      <c r="M4" s="1787"/>
      <c r="N4" s="1642"/>
      <c r="O4" s="1642"/>
      <c r="P4" s="211"/>
      <c r="Q4" s="1642"/>
      <c r="R4" s="1642"/>
      <c r="S4" s="211"/>
      <c r="T4" s="1642"/>
      <c r="U4" s="1642"/>
      <c r="V4" s="1642"/>
      <c r="W4" s="1642"/>
      <c r="X4" s="1642"/>
      <c r="Y4" s="1642"/>
      <c r="Z4" s="1642"/>
      <c r="AA4" s="1642"/>
      <c r="AB4" s="1642"/>
      <c r="AC4" s="1642"/>
    </row>
    <row r="5" spans="1:29">
      <c r="A5" s="1642" t="s">
        <v>28</v>
      </c>
      <c r="B5" s="1642" t="s">
        <v>36</v>
      </c>
      <c r="C5" s="1642" t="s">
        <v>260</v>
      </c>
      <c r="D5" s="1642" t="s">
        <v>261</v>
      </c>
      <c r="E5" s="1642" t="s">
        <v>126</v>
      </c>
      <c r="F5" s="1642" t="s">
        <v>261</v>
      </c>
      <c r="G5" s="1642" t="s">
        <v>126</v>
      </c>
      <c r="H5" s="1642" t="s">
        <v>261</v>
      </c>
      <c r="I5" s="1642" t="s">
        <v>126</v>
      </c>
      <c r="J5" s="1642" t="s">
        <v>261</v>
      </c>
      <c r="K5" s="1642" t="s">
        <v>126</v>
      </c>
      <c r="L5" s="1642" t="s">
        <v>261</v>
      </c>
      <c r="M5" s="1642" t="s">
        <v>126</v>
      </c>
      <c r="N5" s="1642" t="s">
        <v>293</v>
      </c>
      <c r="O5" s="1642"/>
      <c r="P5" s="1642" t="s">
        <v>28</v>
      </c>
      <c r="Q5" s="1619" t="s">
        <v>294</v>
      </c>
      <c r="R5" s="1619" t="s">
        <v>47</v>
      </c>
      <c r="S5" s="1642" t="s">
        <v>28</v>
      </c>
      <c r="T5" s="1642" t="s">
        <v>260</v>
      </c>
      <c r="U5" s="1619" t="s">
        <v>47</v>
      </c>
      <c r="V5" s="1642"/>
      <c r="W5" s="1642" t="s">
        <v>263</v>
      </c>
      <c r="X5" s="1642" t="s">
        <v>295</v>
      </c>
      <c r="Y5" s="1642"/>
      <c r="Z5" s="1642"/>
      <c r="AA5" s="2078"/>
      <c r="AB5" s="2079"/>
      <c r="AC5" s="212"/>
    </row>
    <row r="6" spans="1:29">
      <c r="A6" s="1642">
        <v>1979</v>
      </c>
      <c r="B6" s="212">
        <f>T5addnl!E5</f>
        <v>28307</v>
      </c>
      <c r="C6" s="212">
        <f>T5addnl!F5</f>
        <v>17543</v>
      </c>
      <c r="D6" s="300">
        <v>69</v>
      </c>
      <c r="E6" s="206">
        <f t="shared" ref="E6:E51" si="0">D6/C6*100</f>
        <v>0.39331927264435956</v>
      </c>
      <c r="F6" s="300">
        <v>627</v>
      </c>
      <c r="G6" s="206">
        <f t="shared" ref="G6:G50" si="1">F6/C6*100</f>
        <v>3.5740751296813547</v>
      </c>
      <c r="H6" s="212">
        <f t="shared" ref="H6:H50" si="2">D6+F6</f>
        <v>696</v>
      </c>
      <c r="I6" s="206">
        <f t="shared" ref="I6:I50" si="3">H6/C6*100</f>
        <v>3.9673944023257142</v>
      </c>
      <c r="J6" s="300">
        <v>10661</v>
      </c>
      <c r="K6" s="206">
        <f t="shared" ref="K6:K51" si="4">J6/C6*100</f>
        <v>60.770677763210401</v>
      </c>
      <c r="L6" s="300">
        <v>6181</v>
      </c>
      <c r="M6" s="206">
        <f t="shared" ref="M6:M50" si="5">L6/C6*100</f>
        <v>35.233426437895453</v>
      </c>
      <c r="N6" s="144">
        <f t="shared" ref="N6:N50" si="6">C6/B6</f>
        <v>0.61974070018016747</v>
      </c>
      <c r="O6" s="1642"/>
      <c r="P6" s="1642">
        <v>1979</v>
      </c>
      <c r="Q6" s="212">
        <f t="shared" ref="Q6:Q49" si="7">VLOOKUP(P6,$A$6:$N$49,2,FALSE)</f>
        <v>28307</v>
      </c>
      <c r="R6" s="410" t="s">
        <v>48</v>
      </c>
      <c r="S6" s="1642">
        <v>1979</v>
      </c>
      <c r="T6" s="212">
        <f t="shared" ref="T6:T49" si="8">VLOOKUP(S6,$A$6:$N$49,3,FALSE)</f>
        <v>17543</v>
      </c>
      <c r="U6" s="410" t="s">
        <v>48</v>
      </c>
      <c r="V6" s="1642"/>
      <c r="W6" s="212">
        <f>T5addnl!B5</f>
        <v>58483</v>
      </c>
      <c r="X6" s="1642">
        <f t="shared" ref="X6:X50" si="9">ROUND(B6/W6,2)</f>
        <v>0.48</v>
      </c>
      <c r="Y6" s="1642"/>
      <c r="Z6" s="1642"/>
      <c r="AA6" s="2078"/>
      <c r="AB6" s="2079"/>
      <c r="AC6" s="212"/>
    </row>
    <row r="7" spans="1:29">
      <c r="A7" s="1642">
        <v>1980</v>
      </c>
      <c r="B7" s="212">
        <f>T5addnl!E6</f>
        <v>27339</v>
      </c>
      <c r="C7" s="212">
        <f>T5addnl!F6</f>
        <v>20979</v>
      </c>
      <c r="D7" s="300">
        <v>35</v>
      </c>
      <c r="E7" s="206">
        <f t="shared" si="0"/>
        <v>0.16683350016683349</v>
      </c>
      <c r="F7" s="300">
        <v>675</v>
      </c>
      <c r="G7" s="206">
        <f t="shared" si="1"/>
        <v>3.2175032175032174</v>
      </c>
      <c r="H7" s="212">
        <f t="shared" si="2"/>
        <v>710</v>
      </c>
      <c r="I7" s="206">
        <f t="shared" si="3"/>
        <v>3.3843367176700507</v>
      </c>
      <c r="J7" s="300">
        <v>13615</v>
      </c>
      <c r="K7" s="206">
        <f t="shared" si="4"/>
        <v>64.898231564898239</v>
      </c>
      <c r="L7" s="300">
        <v>6646</v>
      </c>
      <c r="M7" s="206">
        <f t="shared" si="5"/>
        <v>31.679298345965012</v>
      </c>
      <c r="N7" s="144">
        <f t="shared" si="6"/>
        <v>0.76736530231537359</v>
      </c>
      <c r="O7" s="144"/>
      <c r="P7" s="1619">
        <v>1980</v>
      </c>
      <c r="Q7" s="212">
        <f t="shared" si="7"/>
        <v>27339</v>
      </c>
      <c r="R7" s="212">
        <f t="shared" ref="R7:R49" si="10">RANK(Q7,$Q$7:$Q$49,0)</f>
        <v>36</v>
      </c>
      <c r="S7" s="1619">
        <v>1980</v>
      </c>
      <c r="T7" s="212">
        <f t="shared" si="8"/>
        <v>20979</v>
      </c>
      <c r="U7" s="212">
        <f t="shared" ref="U7:U49" si="11">RANK(T7,$T$7:$T$49,0)</f>
        <v>17</v>
      </c>
      <c r="V7" s="212"/>
      <c r="W7" s="212">
        <f>T5addnl!B6</f>
        <v>57692</v>
      </c>
      <c r="X7" s="1642">
        <f t="shared" si="9"/>
        <v>0.47</v>
      </c>
      <c r="Y7" s="1642"/>
      <c r="Z7" s="1642"/>
      <c r="AA7" s="2078"/>
      <c r="AB7" s="2079"/>
      <c r="AC7" s="212"/>
    </row>
    <row r="8" spans="1:29">
      <c r="A8" s="1642">
        <v>1981</v>
      </c>
      <c r="B8" s="212">
        <f>T5addnl!E7</f>
        <v>35175</v>
      </c>
      <c r="C8" s="212">
        <f>T5addnl!F7</f>
        <v>24784</v>
      </c>
      <c r="D8" s="300">
        <v>336</v>
      </c>
      <c r="E8" s="206">
        <f t="shared" si="0"/>
        <v>1.3557133634602969</v>
      </c>
      <c r="F8" s="300">
        <v>1249</v>
      </c>
      <c r="G8" s="206">
        <f t="shared" si="1"/>
        <v>5.0395416397675916</v>
      </c>
      <c r="H8" s="212">
        <f t="shared" si="2"/>
        <v>1585</v>
      </c>
      <c r="I8" s="206">
        <f t="shared" si="3"/>
        <v>6.3952550032278888</v>
      </c>
      <c r="J8" s="300">
        <v>11013</v>
      </c>
      <c r="K8" s="206">
        <f t="shared" si="4"/>
        <v>44.435926404131699</v>
      </c>
      <c r="L8" s="300">
        <v>12173</v>
      </c>
      <c r="M8" s="206">
        <f t="shared" si="5"/>
        <v>49.116365397030343</v>
      </c>
      <c r="N8" s="144">
        <f t="shared" si="6"/>
        <v>0.70459132906894106</v>
      </c>
      <c r="O8" s="144"/>
      <c r="P8" s="1642">
        <v>1981</v>
      </c>
      <c r="Q8" s="212">
        <f t="shared" si="7"/>
        <v>35175</v>
      </c>
      <c r="R8" s="212">
        <f t="shared" si="10"/>
        <v>34</v>
      </c>
      <c r="S8" s="1619">
        <v>1981</v>
      </c>
      <c r="T8" s="212">
        <f t="shared" si="8"/>
        <v>24784</v>
      </c>
      <c r="U8" s="212">
        <f t="shared" si="11"/>
        <v>11</v>
      </c>
      <c r="V8" s="212"/>
      <c r="W8" s="212">
        <f>T5addnl!B7</f>
        <v>67401</v>
      </c>
      <c r="X8" s="1642">
        <f t="shared" si="9"/>
        <v>0.52</v>
      </c>
      <c r="Y8" s="1642"/>
      <c r="Z8" s="1642"/>
      <c r="AA8" s="2078"/>
      <c r="AB8" s="2079"/>
      <c r="AC8" s="212"/>
    </row>
    <row r="9" spans="1:29">
      <c r="A9" s="1642">
        <v>1982</v>
      </c>
      <c r="B9" s="212">
        <f>T5addnl!E8</f>
        <v>39954</v>
      </c>
      <c r="C9" s="212">
        <f>T5addnl!F8</f>
        <v>27633</v>
      </c>
      <c r="D9" s="300">
        <v>479</v>
      </c>
      <c r="E9" s="206">
        <f t="shared" si="0"/>
        <v>1.7334346614555061</v>
      </c>
      <c r="F9" s="300">
        <v>1899</v>
      </c>
      <c r="G9" s="206">
        <f t="shared" si="1"/>
        <v>6.8722180002171314</v>
      </c>
      <c r="H9" s="212">
        <f t="shared" si="2"/>
        <v>2378</v>
      </c>
      <c r="I9" s="206">
        <f t="shared" si="3"/>
        <v>8.6056526616726376</v>
      </c>
      <c r="J9" s="300">
        <v>13429</v>
      </c>
      <c r="K9" s="206">
        <f t="shared" si="4"/>
        <v>48.597691166359063</v>
      </c>
      <c r="L9" s="300">
        <v>11819</v>
      </c>
      <c r="M9" s="206">
        <f t="shared" si="5"/>
        <v>42.771324141425112</v>
      </c>
      <c r="N9" s="144">
        <f t="shared" si="6"/>
        <v>0.69162036341793065</v>
      </c>
      <c r="O9" s="144"/>
      <c r="P9" s="1642">
        <v>1982</v>
      </c>
      <c r="Q9" s="212">
        <f t="shared" si="7"/>
        <v>39954</v>
      </c>
      <c r="R9" s="212">
        <f t="shared" si="10"/>
        <v>31</v>
      </c>
      <c r="S9" s="1619">
        <v>1982</v>
      </c>
      <c r="T9" s="212">
        <f t="shared" si="8"/>
        <v>27633</v>
      </c>
      <c r="U9" s="212">
        <f t="shared" si="11"/>
        <v>10</v>
      </c>
      <c r="V9" s="212"/>
      <c r="W9" s="212">
        <f>T5addnl!B8</f>
        <v>77246</v>
      </c>
      <c r="X9" s="1642">
        <f t="shared" si="9"/>
        <v>0.52</v>
      </c>
      <c r="Y9" s="1642"/>
      <c r="Z9" s="1642"/>
      <c r="AA9" s="2078"/>
      <c r="AB9" s="2079"/>
      <c r="AC9" s="212"/>
    </row>
    <row r="10" spans="1:29">
      <c r="A10" s="1642">
        <v>1983</v>
      </c>
      <c r="B10" s="212">
        <f>T5addnl!E9</f>
        <v>28216</v>
      </c>
      <c r="C10" s="212">
        <f>T5addnl!F9</f>
        <v>21023</v>
      </c>
      <c r="D10" s="300">
        <v>1008</v>
      </c>
      <c r="E10" s="206">
        <f t="shared" si="0"/>
        <v>4.7947486086666986</v>
      </c>
      <c r="F10" s="300">
        <v>846</v>
      </c>
      <c r="G10" s="206">
        <f t="shared" si="1"/>
        <v>4.0241640108452641</v>
      </c>
      <c r="H10" s="212">
        <f t="shared" si="2"/>
        <v>1854</v>
      </c>
      <c r="I10" s="206">
        <f t="shared" si="3"/>
        <v>8.8189126195119627</v>
      </c>
      <c r="J10" s="300">
        <v>8744</v>
      </c>
      <c r="K10" s="206">
        <f t="shared" si="4"/>
        <v>41.592541502164302</v>
      </c>
      <c r="L10" s="300">
        <v>10424</v>
      </c>
      <c r="M10" s="206">
        <f t="shared" si="5"/>
        <v>49.583789183275464</v>
      </c>
      <c r="N10" s="144">
        <f t="shared" si="6"/>
        <v>0.74507371703997727</v>
      </c>
      <c r="O10" s="144"/>
      <c r="P10" s="1642">
        <v>1983</v>
      </c>
      <c r="Q10" s="212">
        <f t="shared" si="7"/>
        <v>28216</v>
      </c>
      <c r="R10" s="212">
        <f t="shared" si="10"/>
        <v>35</v>
      </c>
      <c r="S10" s="1619">
        <v>1983</v>
      </c>
      <c r="T10" s="212">
        <f t="shared" si="8"/>
        <v>21023</v>
      </c>
      <c r="U10" s="212">
        <f t="shared" si="11"/>
        <v>16</v>
      </c>
      <c r="V10" s="212"/>
      <c r="W10" s="212">
        <f>T5addnl!B9</f>
        <v>62912</v>
      </c>
      <c r="X10" s="1642">
        <f t="shared" si="9"/>
        <v>0.45</v>
      </c>
      <c r="Y10" s="1642"/>
      <c r="Z10" s="1642"/>
      <c r="AA10" s="2078"/>
      <c r="AB10" s="2079"/>
      <c r="AC10" s="212"/>
    </row>
    <row r="11" spans="1:29">
      <c r="A11" s="1642">
        <v>1984</v>
      </c>
      <c r="B11" s="212">
        <f>T5addnl!E10</f>
        <v>20995</v>
      </c>
      <c r="C11" s="212">
        <f>T5addnl!F10</f>
        <v>14136</v>
      </c>
      <c r="D11" s="300">
        <v>486</v>
      </c>
      <c r="E11" s="206">
        <f t="shared" si="0"/>
        <v>3.4380305602716468</v>
      </c>
      <c r="F11" s="300">
        <v>938</v>
      </c>
      <c r="G11" s="206">
        <f t="shared" si="1"/>
        <v>6.6355404640633848</v>
      </c>
      <c r="H11" s="212">
        <f t="shared" si="2"/>
        <v>1424</v>
      </c>
      <c r="I11" s="206">
        <f t="shared" si="3"/>
        <v>10.073571024335031</v>
      </c>
      <c r="J11" s="300">
        <v>4442</v>
      </c>
      <c r="K11" s="206">
        <f t="shared" si="4"/>
        <v>31.423316355404641</v>
      </c>
      <c r="L11" s="300">
        <v>8266</v>
      </c>
      <c r="M11" s="206">
        <f t="shared" si="5"/>
        <v>58.474816072439161</v>
      </c>
      <c r="N11" s="144">
        <f t="shared" si="6"/>
        <v>0.67330316742081453</v>
      </c>
      <c r="O11" s="144"/>
      <c r="P11" s="1642">
        <v>1984</v>
      </c>
      <c r="Q11" s="212">
        <f t="shared" si="7"/>
        <v>20995</v>
      </c>
      <c r="R11" s="212">
        <f t="shared" si="10"/>
        <v>39</v>
      </c>
      <c r="S11" s="1619">
        <v>1984</v>
      </c>
      <c r="T11" s="212">
        <f t="shared" si="8"/>
        <v>14136</v>
      </c>
      <c r="U11" s="212">
        <f t="shared" si="11"/>
        <v>30</v>
      </c>
      <c r="V11" s="212"/>
      <c r="W11" s="212">
        <f>T5addnl!B10</f>
        <v>52357</v>
      </c>
      <c r="X11" s="1642">
        <f t="shared" si="9"/>
        <v>0.4</v>
      </c>
      <c r="Y11" s="1642"/>
      <c r="Z11" s="1642"/>
      <c r="AA11" s="2078"/>
      <c r="AB11" s="2079"/>
      <c r="AC11" s="212"/>
    </row>
    <row r="12" spans="1:29">
      <c r="A12" s="1642">
        <v>1985</v>
      </c>
      <c r="B12" s="212">
        <f>T5addnl!E11</f>
        <v>40760</v>
      </c>
      <c r="C12" s="212">
        <f>T5addnl!F11</f>
        <v>14889</v>
      </c>
      <c r="D12" s="300">
        <v>537</v>
      </c>
      <c r="E12" s="206">
        <f t="shared" si="0"/>
        <v>3.6066895023171468</v>
      </c>
      <c r="F12" s="300">
        <v>506</v>
      </c>
      <c r="G12" s="206">
        <f t="shared" si="1"/>
        <v>3.398482100879844</v>
      </c>
      <c r="H12" s="212">
        <f t="shared" si="2"/>
        <v>1043</v>
      </c>
      <c r="I12" s="206">
        <f t="shared" si="3"/>
        <v>7.0051716031969917</v>
      </c>
      <c r="J12" s="300">
        <v>2570</v>
      </c>
      <c r="K12" s="206">
        <f t="shared" si="4"/>
        <v>17.261065215931222</v>
      </c>
      <c r="L12" s="300">
        <v>11273</v>
      </c>
      <c r="M12" s="206">
        <f t="shared" si="5"/>
        <v>75.71361407750689</v>
      </c>
      <c r="N12" s="144">
        <f t="shared" si="6"/>
        <v>0.36528459273797842</v>
      </c>
      <c r="O12" s="144"/>
      <c r="P12" s="1642">
        <v>1985</v>
      </c>
      <c r="Q12" s="212">
        <f t="shared" si="7"/>
        <v>40760</v>
      </c>
      <c r="R12" s="212">
        <f t="shared" si="10"/>
        <v>30</v>
      </c>
      <c r="S12" s="1619">
        <v>1985</v>
      </c>
      <c r="T12" s="212">
        <f t="shared" si="8"/>
        <v>14889</v>
      </c>
      <c r="U12" s="212">
        <f t="shared" si="11"/>
        <v>27</v>
      </c>
      <c r="V12" s="212"/>
      <c r="W12" s="212">
        <f>T5addnl!B11</f>
        <v>92284</v>
      </c>
      <c r="X12" s="1642">
        <f t="shared" si="9"/>
        <v>0.44</v>
      </c>
      <c r="Y12" s="1642"/>
      <c r="Z12" s="1642"/>
      <c r="AA12" s="2078"/>
      <c r="AB12" s="2079"/>
      <c r="AC12" s="212"/>
    </row>
    <row r="13" spans="1:29">
      <c r="A13" s="1642">
        <v>1986</v>
      </c>
      <c r="B13" s="212">
        <f>T5addnl!E12</f>
        <v>64732</v>
      </c>
      <c r="C13" s="212">
        <f>T5addnl!F12</f>
        <v>20154</v>
      </c>
      <c r="D13" s="300">
        <v>411</v>
      </c>
      <c r="E13" s="206">
        <f t="shared" si="0"/>
        <v>2.0392974099434356</v>
      </c>
      <c r="F13" s="300">
        <v>1167</v>
      </c>
      <c r="G13" s="206">
        <f t="shared" si="1"/>
        <v>5.790413813635011</v>
      </c>
      <c r="H13" s="212">
        <f t="shared" si="2"/>
        <v>1578</v>
      </c>
      <c r="I13" s="206">
        <f t="shared" si="3"/>
        <v>7.8297112235784461</v>
      </c>
      <c r="J13" s="300">
        <v>6582</v>
      </c>
      <c r="K13" s="206">
        <f t="shared" si="4"/>
        <v>32.658529324203634</v>
      </c>
      <c r="L13" s="300">
        <v>11989</v>
      </c>
      <c r="M13" s="206">
        <f t="shared" si="5"/>
        <v>59.486950481294031</v>
      </c>
      <c r="N13" s="144">
        <f t="shared" si="6"/>
        <v>0.3113452388308719</v>
      </c>
      <c r="O13" s="144"/>
      <c r="P13" s="1642">
        <v>1986</v>
      </c>
      <c r="Q13" s="212">
        <f t="shared" si="7"/>
        <v>64732</v>
      </c>
      <c r="R13" s="212">
        <f t="shared" si="10"/>
        <v>17</v>
      </c>
      <c r="S13" s="1619">
        <v>1986</v>
      </c>
      <c r="T13" s="212">
        <f t="shared" si="8"/>
        <v>20154</v>
      </c>
      <c r="U13" s="212">
        <f t="shared" si="11"/>
        <v>20</v>
      </c>
      <c r="V13" s="212"/>
      <c r="W13" s="212">
        <f>T5addnl!B12</f>
        <v>128413</v>
      </c>
      <c r="X13" s="1642">
        <f t="shared" si="9"/>
        <v>0.5</v>
      </c>
      <c r="Y13" s="1642"/>
      <c r="Z13" s="1642"/>
      <c r="AA13" s="2078"/>
      <c r="AB13" s="2079"/>
      <c r="AC13" s="212"/>
    </row>
    <row r="14" spans="1:29">
      <c r="A14" s="1642">
        <v>1987</v>
      </c>
      <c r="B14" s="212">
        <f>T5addnl!E13</f>
        <v>52470</v>
      </c>
      <c r="C14" s="212">
        <f>T5addnl!F13</f>
        <v>15927</v>
      </c>
      <c r="D14" s="300">
        <v>245</v>
      </c>
      <c r="E14" s="206">
        <f t="shared" si="0"/>
        <v>1.5382683493438816</v>
      </c>
      <c r="F14" s="300">
        <v>962</v>
      </c>
      <c r="G14" s="206">
        <f t="shared" si="1"/>
        <v>6.0400577635461792</v>
      </c>
      <c r="H14" s="212">
        <f t="shared" si="2"/>
        <v>1207</v>
      </c>
      <c r="I14" s="206">
        <f t="shared" si="3"/>
        <v>7.5783261128900605</v>
      </c>
      <c r="J14" s="300">
        <v>4000</v>
      </c>
      <c r="K14" s="206">
        <f t="shared" si="4"/>
        <v>25.114585295410308</v>
      </c>
      <c r="L14" s="300">
        <v>10716</v>
      </c>
      <c r="M14" s="206">
        <f t="shared" si="5"/>
        <v>67.281974006404226</v>
      </c>
      <c r="N14" s="144">
        <f t="shared" si="6"/>
        <v>0.30354488279016578</v>
      </c>
      <c r="O14" s="144"/>
      <c r="P14" s="1642">
        <v>1987</v>
      </c>
      <c r="Q14" s="212">
        <f t="shared" si="7"/>
        <v>52470</v>
      </c>
      <c r="R14" s="212">
        <f t="shared" si="10"/>
        <v>22</v>
      </c>
      <c r="S14" s="1619">
        <v>1987</v>
      </c>
      <c r="T14" s="212">
        <f t="shared" si="8"/>
        <v>15927</v>
      </c>
      <c r="U14" s="212">
        <f t="shared" si="11"/>
        <v>25</v>
      </c>
      <c r="V14" s="212"/>
      <c r="W14" s="212">
        <f>T5addnl!B13</f>
        <v>110772</v>
      </c>
      <c r="X14" s="1642">
        <f t="shared" si="9"/>
        <v>0.47</v>
      </c>
      <c r="Y14" s="1642"/>
      <c r="Z14" s="1642"/>
      <c r="AA14" s="2078"/>
      <c r="AB14" s="2079"/>
      <c r="AC14" s="212"/>
    </row>
    <row r="15" spans="1:29">
      <c r="A15" s="1642">
        <v>1988</v>
      </c>
      <c r="B15" s="212">
        <f>T5addnl!E14</f>
        <v>54126</v>
      </c>
      <c r="C15" s="212">
        <f>T5addnl!F14</f>
        <v>17385</v>
      </c>
      <c r="D15" s="300">
        <v>1109</v>
      </c>
      <c r="E15" s="206">
        <f t="shared" si="0"/>
        <v>6.3790624101236704</v>
      </c>
      <c r="F15" s="300">
        <v>1132</v>
      </c>
      <c r="G15" s="206">
        <f t="shared" si="1"/>
        <v>6.511360368133448</v>
      </c>
      <c r="H15" s="212">
        <f t="shared" si="2"/>
        <v>2241</v>
      </c>
      <c r="I15" s="206">
        <f t="shared" si="3"/>
        <v>12.890422778257118</v>
      </c>
      <c r="J15" s="300">
        <v>3567</v>
      </c>
      <c r="K15" s="206">
        <f t="shared" si="4"/>
        <v>20.517687661777394</v>
      </c>
      <c r="L15" s="300">
        <v>11573</v>
      </c>
      <c r="M15" s="206">
        <f t="shared" si="5"/>
        <v>66.568881219442048</v>
      </c>
      <c r="N15" s="144">
        <f t="shared" si="6"/>
        <v>0.32119498946901676</v>
      </c>
      <c r="O15" s="144"/>
      <c r="P15" s="1642">
        <v>1988</v>
      </c>
      <c r="Q15" s="212">
        <f t="shared" si="7"/>
        <v>54126</v>
      </c>
      <c r="R15" s="212">
        <f t="shared" si="10"/>
        <v>20</v>
      </c>
      <c r="S15" s="1619">
        <v>1988</v>
      </c>
      <c r="T15" s="212">
        <f t="shared" si="8"/>
        <v>17385</v>
      </c>
      <c r="U15" s="212">
        <f t="shared" si="11"/>
        <v>23</v>
      </c>
      <c r="V15" s="212"/>
      <c r="W15" s="212">
        <f>T5addnl!B14</f>
        <v>106003</v>
      </c>
      <c r="X15" s="1642">
        <f t="shared" si="9"/>
        <v>0.51</v>
      </c>
      <c r="Y15" s="1642"/>
      <c r="Z15" s="1642"/>
      <c r="AA15" s="2078"/>
      <c r="AB15" s="2079"/>
      <c r="AC15" s="212"/>
    </row>
    <row r="16" spans="1:29">
      <c r="A16" s="1642">
        <v>1989</v>
      </c>
      <c r="B16" s="212">
        <f>T5addnl!E15</f>
        <v>35599</v>
      </c>
      <c r="C16" s="212">
        <f>T5addnl!F15</f>
        <v>14757</v>
      </c>
      <c r="D16" s="300">
        <v>349</v>
      </c>
      <c r="E16" s="206">
        <f t="shared" si="0"/>
        <v>2.3649793318425152</v>
      </c>
      <c r="F16" s="300">
        <v>1105</v>
      </c>
      <c r="G16" s="206">
        <f t="shared" si="1"/>
        <v>7.4879718099884807</v>
      </c>
      <c r="H16" s="212">
        <f t="shared" si="2"/>
        <v>1454</v>
      </c>
      <c r="I16" s="206">
        <f t="shared" si="3"/>
        <v>9.8529511418309959</v>
      </c>
      <c r="J16" s="300">
        <v>6467</v>
      </c>
      <c r="K16" s="206">
        <f t="shared" si="4"/>
        <v>43.823270312394122</v>
      </c>
      <c r="L16" s="300">
        <v>6833</v>
      </c>
      <c r="M16" s="206">
        <f t="shared" si="5"/>
        <v>46.303449210544152</v>
      </c>
      <c r="N16" s="144">
        <f t="shared" si="6"/>
        <v>0.41453411612685748</v>
      </c>
      <c r="O16" s="144"/>
      <c r="P16" s="1642">
        <v>1989</v>
      </c>
      <c r="Q16" s="212">
        <f t="shared" si="7"/>
        <v>35599</v>
      </c>
      <c r="R16" s="212">
        <f t="shared" si="10"/>
        <v>33</v>
      </c>
      <c r="S16" s="1619">
        <v>1989</v>
      </c>
      <c r="T16" s="212">
        <f t="shared" si="8"/>
        <v>14757</v>
      </c>
      <c r="U16" s="212">
        <f t="shared" si="11"/>
        <v>28</v>
      </c>
      <c r="V16" s="212"/>
      <c r="W16" s="212">
        <f>T5addnl!B15</f>
        <v>90031</v>
      </c>
      <c r="X16" s="1642">
        <f t="shared" si="9"/>
        <v>0.4</v>
      </c>
      <c r="Y16" s="1642"/>
      <c r="Z16" s="1642"/>
      <c r="AA16" s="2078"/>
      <c r="AB16" s="2079"/>
      <c r="AC16" s="212"/>
    </row>
    <row r="17" spans="1:29">
      <c r="A17" s="1642">
        <v>1990</v>
      </c>
      <c r="B17" s="212">
        <f>T5addnl!E16</f>
        <v>41439</v>
      </c>
      <c r="C17" s="212">
        <f>T5addnl!F16</f>
        <v>17638</v>
      </c>
      <c r="D17" s="300">
        <v>885</v>
      </c>
      <c r="E17" s="206">
        <f t="shared" si="0"/>
        <v>5.0175756888536114</v>
      </c>
      <c r="F17" s="300">
        <v>1138</v>
      </c>
      <c r="G17" s="206">
        <f t="shared" si="1"/>
        <v>6.451978682390294</v>
      </c>
      <c r="H17" s="212">
        <f t="shared" si="2"/>
        <v>2023</v>
      </c>
      <c r="I17" s="206">
        <f t="shared" si="3"/>
        <v>11.469554371243905</v>
      </c>
      <c r="J17" s="300">
        <v>5757</v>
      </c>
      <c r="K17" s="206">
        <f t="shared" si="4"/>
        <v>32.639755074271463</v>
      </c>
      <c r="L17" s="300">
        <v>9850</v>
      </c>
      <c r="M17" s="206">
        <f t="shared" si="5"/>
        <v>55.845333938088217</v>
      </c>
      <c r="N17" s="144">
        <f t="shared" si="6"/>
        <v>0.42563768430705373</v>
      </c>
      <c r="O17" s="144"/>
      <c r="P17" s="1642">
        <v>1990</v>
      </c>
      <c r="Q17" s="212">
        <f t="shared" si="7"/>
        <v>41439</v>
      </c>
      <c r="R17" s="212">
        <f t="shared" si="10"/>
        <v>28</v>
      </c>
      <c r="S17" s="1619">
        <v>1990</v>
      </c>
      <c r="T17" s="212">
        <f t="shared" si="8"/>
        <v>17638</v>
      </c>
      <c r="U17" s="212">
        <f t="shared" si="11"/>
        <v>21</v>
      </c>
      <c r="V17" s="212"/>
      <c r="W17" s="212">
        <f>T5addnl!B16</f>
        <v>105715</v>
      </c>
      <c r="X17" s="1642">
        <f t="shared" si="9"/>
        <v>0.39</v>
      </c>
      <c r="Y17" s="1642"/>
      <c r="Z17" s="1642"/>
      <c r="AA17" s="2078"/>
      <c r="AB17" s="2079"/>
      <c r="AC17" s="212"/>
    </row>
    <row r="18" spans="1:29">
      <c r="A18" s="1642">
        <v>1991</v>
      </c>
      <c r="B18" s="212">
        <f>T5addnl!E17</f>
        <v>23755</v>
      </c>
      <c r="C18" s="212">
        <f>T5addnl!F17</f>
        <v>13156</v>
      </c>
      <c r="D18" s="300">
        <v>518</v>
      </c>
      <c r="E18" s="206">
        <f t="shared" si="0"/>
        <v>3.9373669808452414</v>
      </c>
      <c r="F18" s="300">
        <v>787</v>
      </c>
      <c r="G18" s="206">
        <f t="shared" si="1"/>
        <v>5.9820614168440258</v>
      </c>
      <c r="H18" s="212">
        <f t="shared" si="2"/>
        <v>1305</v>
      </c>
      <c r="I18" s="206">
        <f t="shared" si="3"/>
        <v>9.9194283976892663</v>
      </c>
      <c r="J18" s="300">
        <v>5834</v>
      </c>
      <c r="K18" s="206">
        <f t="shared" si="4"/>
        <v>44.344785649133478</v>
      </c>
      <c r="L18" s="300">
        <v>6013</v>
      </c>
      <c r="M18" s="206">
        <f t="shared" si="5"/>
        <v>45.705381574946792</v>
      </c>
      <c r="N18" s="144">
        <f t="shared" si="6"/>
        <v>0.55382024836876442</v>
      </c>
      <c r="O18" s="144"/>
      <c r="P18" s="1642">
        <v>1991</v>
      </c>
      <c r="Q18" s="212">
        <f t="shared" si="7"/>
        <v>23755</v>
      </c>
      <c r="R18" s="212">
        <f t="shared" si="10"/>
        <v>38</v>
      </c>
      <c r="S18" s="1619">
        <v>1991</v>
      </c>
      <c r="T18" s="212">
        <f t="shared" si="8"/>
        <v>13156</v>
      </c>
      <c r="U18" s="212">
        <f t="shared" si="11"/>
        <v>33</v>
      </c>
      <c r="V18" s="212"/>
      <c r="W18" s="212">
        <f>T5addnl!B17</f>
        <v>64479</v>
      </c>
      <c r="X18" s="1642">
        <f t="shared" si="9"/>
        <v>0.37</v>
      </c>
      <c r="Y18" s="1642"/>
      <c r="Z18" s="1642"/>
      <c r="AA18" s="2078"/>
      <c r="AB18" s="2079"/>
      <c r="AC18" s="212"/>
    </row>
    <row r="19" spans="1:29">
      <c r="A19" s="1642">
        <v>1992</v>
      </c>
      <c r="B19" s="212">
        <f>T5addnl!E18</f>
        <v>39700</v>
      </c>
      <c r="C19" s="212">
        <f>T5addnl!F18</f>
        <v>20647</v>
      </c>
      <c r="D19" s="300">
        <v>334</v>
      </c>
      <c r="E19" s="206">
        <f t="shared" si="0"/>
        <v>1.617668426405773</v>
      </c>
      <c r="F19" s="300">
        <v>1257</v>
      </c>
      <c r="G19" s="206">
        <f t="shared" si="1"/>
        <v>6.0880515329103506</v>
      </c>
      <c r="H19" s="212">
        <f t="shared" si="2"/>
        <v>1591</v>
      </c>
      <c r="I19" s="206">
        <f t="shared" si="3"/>
        <v>7.7057199593161236</v>
      </c>
      <c r="J19" s="300">
        <v>5994</v>
      </c>
      <c r="K19" s="206">
        <f t="shared" si="4"/>
        <v>29.030851939749112</v>
      </c>
      <c r="L19" s="300">
        <v>13056</v>
      </c>
      <c r="M19" s="206">
        <f t="shared" si="5"/>
        <v>63.234368189083156</v>
      </c>
      <c r="N19" s="144">
        <f t="shared" si="6"/>
        <v>0.52007556675062971</v>
      </c>
      <c r="O19" s="144"/>
      <c r="P19" s="1642">
        <v>1992</v>
      </c>
      <c r="Q19" s="212">
        <f t="shared" si="7"/>
        <v>39700</v>
      </c>
      <c r="R19" s="212">
        <f t="shared" si="10"/>
        <v>32</v>
      </c>
      <c r="S19" s="1619">
        <v>1992</v>
      </c>
      <c r="T19" s="212">
        <f t="shared" si="8"/>
        <v>20647</v>
      </c>
      <c r="U19" s="212">
        <f t="shared" si="11"/>
        <v>18</v>
      </c>
      <c r="V19" s="212"/>
      <c r="W19" s="212">
        <f>T5addnl!B18</f>
        <v>95691</v>
      </c>
      <c r="X19" s="1642">
        <f t="shared" si="9"/>
        <v>0.41</v>
      </c>
      <c r="Y19" s="1642"/>
      <c r="Z19" s="1642"/>
      <c r="AA19" s="2078"/>
      <c r="AB19" s="2079"/>
      <c r="AC19" s="212"/>
    </row>
    <row r="20" spans="1:29">
      <c r="A20" s="1642">
        <v>1993</v>
      </c>
      <c r="B20" s="212">
        <f>T5addnl!E19</f>
        <v>41241</v>
      </c>
      <c r="C20" s="212">
        <f>T5addnl!F19</f>
        <v>17425</v>
      </c>
      <c r="D20" s="300">
        <v>143</v>
      </c>
      <c r="E20" s="206">
        <f t="shared" si="0"/>
        <v>0.82065997130559543</v>
      </c>
      <c r="F20" s="300">
        <v>1060</v>
      </c>
      <c r="G20" s="206">
        <f t="shared" si="1"/>
        <v>6.0832137733142035</v>
      </c>
      <c r="H20" s="212">
        <f t="shared" si="2"/>
        <v>1203</v>
      </c>
      <c r="I20" s="206">
        <f t="shared" si="3"/>
        <v>6.9038737446197995</v>
      </c>
      <c r="J20" s="300">
        <v>4028</v>
      </c>
      <c r="K20" s="206">
        <f t="shared" si="4"/>
        <v>23.116212338593975</v>
      </c>
      <c r="L20" s="300">
        <v>12189</v>
      </c>
      <c r="M20" s="206">
        <f t="shared" si="5"/>
        <v>69.951219512195124</v>
      </c>
      <c r="N20" s="144">
        <f t="shared" si="6"/>
        <v>0.42251642782667731</v>
      </c>
      <c r="O20" s="144"/>
      <c r="P20" s="1642">
        <v>1993</v>
      </c>
      <c r="Q20" s="212">
        <f t="shared" si="7"/>
        <v>41241</v>
      </c>
      <c r="R20" s="212">
        <f t="shared" si="10"/>
        <v>29</v>
      </c>
      <c r="S20" s="1619">
        <v>1993</v>
      </c>
      <c r="T20" s="212">
        <f t="shared" si="8"/>
        <v>17425</v>
      </c>
      <c r="U20" s="212">
        <f t="shared" si="11"/>
        <v>22</v>
      </c>
      <c r="V20" s="212"/>
      <c r="W20" s="212">
        <f>T5addnl!B19</f>
        <v>119963</v>
      </c>
      <c r="X20" s="1642">
        <f t="shared" si="9"/>
        <v>0.34</v>
      </c>
      <c r="Y20" s="1642"/>
      <c r="Z20" s="1642"/>
      <c r="AA20" s="2078"/>
      <c r="AB20" s="2079"/>
      <c r="AC20" s="212"/>
    </row>
    <row r="21" spans="1:29">
      <c r="A21" s="1642">
        <v>1994</v>
      </c>
      <c r="B21" s="212">
        <f>T5addnl!E20</f>
        <v>7787</v>
      </c>
      <c r="C21" s="212">
        <f>T5addnl!F20</f>
        <v>3757</v>
      </c>
      <c r="D21" s="300">
        <v>147</v>
      </c>
      <c r="E21" s="206">
        <f t="shared" si="0"/>
        <v>3.9126963002395527</v>
      </c>
      <c r="F21" s="300">
        <v>181</v>
      </c>
      <c r="G21" s="206">
        <f t="shared" si="1"/>
        <v>4.8176736758051639</v>
      </c>
      <c r="H21" s="212">
        <f t="shared" si="2"/>
        <v>328</v>
      </c>
      <c r="I21" s="206">
        <f t="shared" si="3"/>
        <v>8.7303699760447167</v>
      </c>
      <c r="J21" s="300">
        <v>1476</v>
      </c>
      <c r="K21" s="206">
        <f t="shared" si="4"/>
        <v>39.286664892201223</v>
      </c>
      <c r="L21" s="300">
        <v>1954</v>
      </c>
      <c r="M21" s="206">
        <f t="shared" si="5"/>
        <v>52.00958211338834</v>
      </c>
      <c r="N21" s="144">
        <f t="shared" si="6"/>
        <v>0.48247078464106846</v>
      </c>
      <c r="O21" s="144"/>
      <c r="P21" s="1642">
        <v>1994</v>
      </c>
      <c r="Q21" s="212">
        <f t="shared" si="7"/>
        <v>7787</v>
      </c>
      <c r="R21" s="212">
        <f t="shared" si="10"/>
        <v>42</v>
      </c>
      <c r="S21" s="1619">
        <v>1994</v>
      </c>
      <c r="T21" s="212">
        <f t="shared" si="8"/>
        <v>3757</v>
      </c>
      <c r="U21" s="212">
        <f t="shared" si="11"/>
        <v>42</v>
      </c>
      <c r="V21" s="212"/>
      <c r="W21" s="212">
        <f>T5addnl!B20</f>
        <v>24095</v>
      </c>
      <c r="X21" s="1642">
        <f t="shared" si="9"/>
        <v>0.32</v>
      </c>
      <c r="Y21" s="1642"/>
      <c r="Z21" s="1642"/>
      <c r="AA21" s="2078"/>
      <c r="AB21" s="2079"/>
      <c r="AC21" s="212"/>
    </row>
    <row r="22" spans="1:29">
      <c r="A22" s="1642">
        <v>1995</v>
      </c>
      <c r="B22" s="212">
        <f>T5addnl!E21</f>
        <v>5292</v>
      </c>
      <c r="C22" s="212">
        <f>T5addnl!F21</f>
        <v>3415</v>
      </c>
      <c r="D22" s="300">
        <v>3</v>
      </c>
      <c r="E22" s="206">
        <f t="shared" si="0"/>
        <v>8.7847730600292828E-2</v>
      </c>
      <c r="F22" s="300">
        <v>169</v>
      </c>
      <c r="G22" s="206">
        <f t="shared" si="1"/>
        <v>4.9487554904831619</v>
      </c>
      <c r="H22" s="212">
        <f t="shared" si="2"/>
        <v>172</v>
      </c>
      <c r="I22" s="206">
        <f t="shared" si="3"/>
        <v>5.0366032210834559</v>
      </c>
      <c r="J22" s="300">
        <v>2057</v>
      </c>
      <c r="K22" s="206">
        <f t="shared" si="4"/>
        <v>60.234260614934108</v>
      </c>
      <c r="L22" s="300">
        <v>1186</v>
      </c>
      <c r="M22" s="206">
        <f t="shared" si="5"/>
        <v>34.729136163982432</v>
      </c>
      <c r="N22" s="144">
        <f t="shared" si="6"/>
        <v>0.64531368102796671</v>
      </c>
      <c r="O22" s="144"/>
      <c r="P22" s="1642">
        <v>1995</v>
      </c>
      <c r="Q22" s="212">
        <f t="shared" si="7"/>
        <v>5292</v>
      </c>
      <c r="R22" s="212">
        <f t="shared" si="10"/>
        <v>43</v>
      </c>
      <c r="S22" s="1619">
        <v>1995</v>
      </c>
      <c r="T22" s="212">
        <f t="shared" si="8"/>
        <v>3415</v>
      </c>
      <c r="U22" s="212">
        <f t="shared" si="11"/>
        <v>43</v>
      </c>
      <c r="V22" s="212"/>
      <c r="W22" s="212">
        <f>T5addnl!B21</f>
        <v>12792</v>
      </c>
      <c r="X22" s="1642">
        <f t="shared" si="9"/>
        <v>0.41</v>
      </c>
      <c r="Y22" s="1642"/>
      <c r="Z22" s="1642"/>
      <c r="AA22" s="2078"/>
      <c r="AB22" s="2079"/>
      <c r="AC22" s="212"/>
    </row>
    <row r="23" spans="1:29">
      <c r="A23" s="1642">
        <v>1996</v>
      </c>
      <c r="B23" s="212">
        <f>T5addnl!E22</f>
        <v>17280</v>
      </c>
      <c r="C23" s="212">
        <f>T5addnl!F22</f>
        <v>9286</v>
      </c>
      <c r="D23" s="300">
        <v>9</v>
      </c>
      <c r="E23" s="206">
        <f t="shared" si="0"/>
        <v>9.6920094766314885E-2</v>
      </c>
      <c r="F23" s="300">
        <v>487</v>
      </c>
      <c r="G23" s="206">
        <f t="shared" si="1"/>
        <v>5.2444540167994829</v>
      </c>
      <c r="H23" s="212">
        <f t="shared" si="2"/>
        <v>496</v>
      </c>
      <c r="I23" s="206">
        <f t="shared" si="3"/>
        <v>5.3413741115657976</v>
      </c>
      <c r="J23" s="300">
        <v>5016</v>
      </c>
      <c r="K23" s="206">
        <f t="shared" si="4"/>
        <v>54.016799483092825</v>
      </c>
      <c r="L23" s="300">
        <v>3775</v>
      </c>
      <c r="M23" s="206">
        <f t="shared" si="5"/>
        <v>40.652595304759856</v>
      </c>
      <c r="N23" s="144">
        <f t="shared" si="6"/>
        <v>0.53738425925925926</v>
      </c>
      <c r="O23" s="144"/>
      <c r="P23" s="1642">
        <v>1996</v>
      </c>
      <c r="Q23" s="212">
        <f t="shared" si="7"/>
        <v>17280</v>
      </c>
      <c r="R23" s="212">
        <f t="shared" si="10"/>
        <v>40</v>
      </c>
      <c r="S23" s="1619">
        <v>1996</v>
      </c>
      <c r="T23" s="212">
        <f t="shared" si="8"/>
        <v>9286</v>
      </c>
      <c r="U23" s="212">
        <f t="shared" si="11"/>
        <v>36</v>
      </c>
      <c r="V23" s="212"/>
      <c r="W23" s="212">
        <f>T5addnl!B22</f>
        <v>55551</v>
      </c>
      <c r="X23" s="1642">
        <f t="shared" si="9"/>
        <v>0.31</v>
      </c>
      <c r="Y23" s="1642"/>
      <c r="Z23" s="1642"/>
      <c r="AA23" s="2078"/>
      <c r="AB23" s="2079"/>
      <c r="AC23" s="212"/>
    </row>
    <row r="24" spans="1:29">
      <c r="A24" s="1642">
        <v>1997</v>
      </c>
      <c r="B24" s="212">
        <f>T5addnl!E23</f>
        <v>82938</v>
      </c>
      <c r="C24" s="212">
        <f>T5addnl!F23</f>
        <v>8705</v>
      </c>
      <c r="D24" s="300">
        <v>5</v>
      </c>
      <c r="E24" s="206">
        <f t="shared" si="0"/>
        <v>5.7438253877082138E-2</v>
      </c>
      <c r="F24" s="300">
        <v>583</v>
      </c>
      <c r="G24" s="206">
        <f t="shared" si="1"/>
        <v>6.6973004020677767</v>
      </c>
      <c r="H24" s="212">
        <f t="shared" si="2"/>
        <v>588</v>
      </c>
      <c r="I24" s="206">
        <f t="shared" si="3"/>
        <v>6.7547386559448599</v>
      </c>
      <c r="J24" s="300">
        <v>3408</v>
      </c>
      <c r="K24" s="206">
        <f t="shared" si="4"/>
        <v>39.149913842619185</v>
      </c>
      <c r="L24" s="300">
        <v>4710</v>
      </c>
      <c r="M24" s="206">
        <f t="shared" si="5"/>
        <v>54.106835152211374</v>
      </c>
      <c r="N24" s="144">
        <f t="shared" si="6"/>
        <v>0.10495792037425547</v>
      </c>
      <c r="O24" s="144"/>
      <c r="P24" s="1642">
        <v>1997</v>
      </c>
      <c r="Q24" s="212">
        <f t="shared" si="7"/>
        <v>82938</v>
      </c>
      <c r="R24" s="212">
        <f t="shared" si="10"/>
        <v>14</v>
      </c>
      <c r="S24" s="1619">
        <v>1997</v>
      </c>
      <c r="T24" s="212">
        <f t="shared" si="8"/>
        <v>8705</v>
      </c>
      <c r="U24" s="212">
        <f t="shared" si="11"/>
        <v>38</v>
      </c>
      <c r="V24" s="212"/>
      <c r="W24" s="212">
        <f>T5addnl!B23</f>
        <v>124321</v>
      </c>
      <c r="X24" s="1642">
        <f t="shared" si="9"/>
        <v>0.67</v>
      </c>
      <c r="Y24" s="1642"/>
      <c r="Z24" s="1642"/>
      <c r="AA24" s="2078"/>
      <c r="AB24" s="2079"/>
      <c r="AC24" s="212"/>
    </row>
    <row r="25" spans="1:29">
      <c r="A25" s="1642">
        <v>1998</v>
      </c>
      <c r="B25" s="212">
        <f>T5addnl!E24</f>
        <v>26928</v>
      </c>
      <c r="C25" s="212">
        <f>T5addnl!F24</f>
        <v>13814</v>
      </c>
      <c r="D25" s="300">
        <v>13</v>
      </c>
      <c r="E25" s="206">
        <f t="shared" si="0"/>
        <v>9.4107427247719699E-2</v>
      </c>
      <c r="F25" s="300">
        <v>687</v>
      </c>
      <c r="G25" s="206">
        <f t="shared" si="1"/>
        <v>4.973215578398726</v>
      </c>
      <c r="H25" s="212">
        <f t="shared" si="2"/>
        <v>700</v>
      </c>
      <c r="I25" s="206">
        <f t="shared" si="3"/>
        <v>5.067323005646446</v>
      </c>
      <c r="J25" s="300">
        <v>5760</v>
      </c>
      <c r="K25" s="206">
        <f t="shared" si="4"/>
        <v>41.696829303605035</v>
      </c>
      <c r="L25" s="300">
        <v>7355</v>
      </c>
      <c r="M25" s="206">
        <f t="shared" si="5"/>
        <v>53.243086723613729</v>
      </c>
      <c r="N25" s="144">
        <f t="shared" si="6"/>
        <v>0.51299762329174092</v>
      </c>
      <c r="O25" s="144"/>
      <c r="P25" s="1642">
        <v>1998</v>
      </c>
      <c r="Q25" s="212">
        <f t="shared" si="7"/>
        <v>26928</v>
      </c>
      <c r="R25" s="212">
        <f t="shared" si="10"/>
        <v>37</v>
      </c>
      <c r="S25" s="1619">
        <v>1998</v>
      </c>
      <c r="T25" s="212">
        <f t="shared" si="8"/>
        <v>13814</v>
      </c>
      <c r="U25" s="212">
        <f t="shared" si="11"/>
        <v>32</v>
      </c>
      <c r="V25" s="212"/>
      <c r="W25" s="212">
        <f>T5addnl!B24</f>
        <v>44308</v>
      </c>
      <c r="X25" s="1642">
        <f t="shared" si="9"/>
        <v>0.61</v>
      </c>
      <c r="Y25" s="1642"/>
      <c r="Z25" s="1642"/>
      <c r="AA25" s="2078"/>
      <c r="AB25" s="2079"/>
      <c r="AC25" s="212"/>
    </row>
    <row r="26" spans="1:29">
      <c r="A26" s="1642">
        <v>1999</v>
      </c>
      <c r="B26" s="212">
        <f>T5addnl!E25</f>
        <v>13796</v>
      </c>
      <c r="C26" s="212">
        <f>T5addnl!F25</f>
        <v>5848</v>
      </c>
      <c r="D26" s="300">
        <v>6</v>
      </c>
      <c r="E26" s="206">
        <f t="shared" si="0"/>
        <v>0.10259917920656635</v>
      </c>
      <c r="F26" s="300">
        <v>278</v>
      </c>
      <c r="G26" s="206">
        <f t="shared" si="1"/>
        <v>4.7537619699042413</v>
      </c>
      <c r="H26" s="212">
        <f t="shared" si="2"/>
        <v>284</v>
      </c>
      <c r="I26" s="206">
        <f t="shared" si="3"/>
        <v>4.856361149110807</v>
      </c>
      <c r="J26" s="300">
        <v>2709</v>
      </c>
      <c r="K26" s="206">
        <f t="shared" si="4"/>
        <v>46.32352941176471</v>
      </c>
      <c r="L26" s="300">
        <v>2856</v>
      </c>
      <c r="M26" s="206">
        <f t="shared" si="5"/>
        <v>48.837209302325576</v>
      </c>
      <c r="N26" s="144">
        <f t="shared" si="6"/>
        <v>0.42389098289359234</v>
      </c>
      <c r="O26" s="144"/>
      <c r="P26" s="1642">
        <v>1999</v>
      </c>
      <c r="Q26" s="212">
        <f t="shared" si="7"/>
        <v>13796</v>
      </c>
      <c r="R26" s="212">
        <f t="shared" si="10"/>
        <v>41</v>
      </c>
      <c r="S26" s="1619">
        <v>1999</v>
      </c>
      <c r="T26" s="212">
        <f t="shared" si="8"/>
        <v>5848</v>
      </c>
      <c r="U26" s="212">
        <f t="shared" si="11"/>
        <v>41</v>
      </c>
      <c r="V26" s="212"/>
      <c r="W26" s="212">
        <f>T5addnl!B25</f>
        <v>43067</v>
      </c>
      <c r="X26" s="1642">
        <f t="shared" si="9"/>
        <v>0.32</v>
      </c>
      <c r="Y26" s="1642"/>
      <c r="Z26" s="1642"/>
      <c r="AA26" s="2078"/>
      <c r="AB26" s="2079"/>
      <c r="AC26" s="212"/>
    </row>
    <row r="27" spans="1:29">
      <c r="A27" s="1642">
        <v>2000</v>
      </c>
      <c r="B27" s="212">
        <f>T5addnl!E26</f>
        <v>64702</v>
      </c>
      <c r="C27" s="212">
        <f>T5addnl!F26</f>
        <v>14033</v>
      </c>
      <c r="D27" s="300">
        <v>28</v>
      </c>
      <c r="E27" s="206">
        <f t="shared" si="0"/>
        <v>0.19952968003990593</v>
      </c>
      <c r="F27" s="300">
        <v>867</v>
      </c>
      <c r="G27" s="206">
        <f t="shared" si="1"/>
        <v>6.1782940212356587</v>
      </c>
      <c r="H27" s="212">
        <f t="shared" si="2"/>
        <v>895</v>
      </c>
      <c r="I27" s="206">
        <f t="shared" si="3"/>
        <v>6.377823701275565</v>
      </c>
      <c r="J27" s="300">
        <v>4883</v>
      </c>
      <c r="K27" s="206">
        <f t="shared" si="4"/>
        <v>34.796550986959311</v>
      </c>
      <c r="L27" s="300">
        <v>8255</v>
      </c>
      <c r="M27" s="206">
        <f t="shared" si="5"/>
        <v>58.82562531176513</v>
      </c>
      <c r="N27" s="144">
        <f t="shared" si="6"/>
        <v>0.21688664956261011</v>
      </c>
      <c r="O27" s="144"/>
      <c r="P27" s="1642">
        <v>2000</v>
      </c>
      <c r="Q27" s="212">
        <f t="shared" si="7"/>
        <v>64702</v>
      </c>
      <c r="R27" s="212">
        <f t="shared" si="10"/>
        <v>18</v>
      </c>
      <c r="S27" s="1619">
        <v>2000</v>
      </c>
      <c r="T27" s="212">
        <f t="shared" si="8"/>
        <v>14033</v>
      </c>
      <c r="U27" s="212">
        <f t="shared" si="11"/>
        <v>31</v>
      </c>
      <c r="V27" s="212"/>
      <c r="W27" s="212">
        <f>T5addnl!B26</f>
        <v>186715</v>
      </c>
      <c r="X27" s="1642">
        <f t="shared" si="9"/>
        <v>0.35</v>
      </c>
      <c r="Y27" s="1642"/>
      <c r="Z27" s="1642"/>
      <c r="AA27" s="2078"/>
      <c r="AB27" s="2079"/>
      <c r="AC27" s="212"/>
    </row>
    <row r="28" spans="1:29">
      <c r="A28" s="1642">
        <v>2001</v>
      </c>
      <c r="B28" s="212">
        <f>T5addnl!E27</f>
        <v>262212</v>
      </c>
      <c r="C28" s="212">
        <f>T5addnl!F27</f>
        <v>63626</v>
      </c>
      <c r="D28" s="300">
        <v>877</v>
      </c>
      <c r="E28" s="206">
        <f t="shared" si="0"/>
        <v>1.3783673341086977</v>
      </c>
      <c r="F28" s="300">
        <v>8235</v>
      </c>
      <c r="G28" s="206">
        <f t="shared" si="1"/>
        <v>12.942822116744725</v>
      </c>
      <c r="H28" s="212">
        <f t="shared" si="2"/>
        <v>9112</v>
      </c>
      <c r="I28" s="206">
        <f t="shared" si="3"/>
        <v>14.321189450853424</v>
      </c>
      <c r="J28" s="300">
        <v>9392</v>
      </c>
      <c r="K28" s="206">
        <f t="shared" si="4"/>
        <v>14.76126111966806</v>
      </c>
      <c r="L28" s="300">
        <v>45273</v>
      </c>
      <c r="M28" s="206">
        <f t="shared" si="5"/>
        <v>71.154873793732122</v>
      </c>
      <c r="N28" s="144">
        <f t="shared" si="6"/>
        <v>0.24265098469940355</v>
      </c>
      <c r="O28" s="144"/>
      <c r="P28" s="1642">
        <v>2001</v>
      </c>
      <c r="Q28" s="212">
        <f t="shared" si="7"/>
        <v>262212</v>
      </c>
      <c r="R28" s="212">
        <f t="shared" si="10"/>
        <v>1</v>
      </c>
      <c r="S28" s="1619">
        <v>2001</v>
      </c>
      <c r="T28" s="212">
        <f t="shared" si="8"/>
        <v>63626</v>
      </c>
      <c r="U28" s="212">
        <f t="shared" si="11"/>
        <v>1</v>
      </c>
      <c r="V28" s="212"/>
      <c r="W28" s="212">
        <f>T5addnl!B27</f>
        <v>439885</v>
      </c>
      <c r="X28" s="1642">
        <f t="shared" si="9"/>
        <v>0.6</v>
      </c>
      <c r="Y28" s="1642"/>
      <c r="Z28" s="1642"/>
      <c r="AA28" s="2078"/>
      <c r="AB28" s="2079"/>
      <c r="AC28" s="212"/>
    </row>
    <row r="29" spans="1:29">
      <c r="A29" s="1642">
        <v>2002</v>
      </c>
      <c r="B29" s="212">
        <f>T5addnl!E28</f>
        <v>174142</v>
      </c>
      <c r="C29" s="212">
        <f>T5addnl!F28</f>
        <v>53221</v>
      </c>
      <c r="D29" s="300">
        <v>967</v>
      </c>
      <c r="E29" s="206">
        <f t="shared" si="0"/>
        <v>1.8169519550553352</v>
      </c>
      <c r="F29" s="300">
        <v>5755</v>
      </c>
      <c r="G29" s="206">
        <f t="shared" si="1"/>
        <v>10.813400725277617</v>
      </c>
      <c r="H29" s="212">
        <f t="shared" si="2"/>
        <v>6722</v>
      </c>
      <c r="I29" s="206">
        <f t="shared" si="3"/>
        <v>12.630352680332951</v>
      </c>
      <c r="J29" s="300">
        <v>16042</v>
      </c>
      <c r="K29" s="206">
        <f t="shared" si="4"/>
        <v>30.14223708686421</v>
      </c>
      <c r="L29" s="300">
        <v>30213</v>
      </c>
      <c r="M29" s="206">
        <f t="shared" si="5"/>
        <v>56.768944589541725</v>
      </c>
      <c r="N29" s="144">
        <f t="shared" si="6"/>
        <v>0.30561840337196083</v>
      </c>
      <c r="O29" s="144"/>
      <c r="P29" s="1642">
        <v>2002</v>
      </c>
      <c r="Q29" s="212">
        <f t="shared" si="7"/>
        <v>174142</v>
      </c>
      <c r="R29" s="212">
        <f t="shared" si="10"/>
        <v>2</v>
      </c>
      <c r="S29" s="1619">
        <v>2002</v>
      </c>
      <c r="T29" s="212">
        <f t="shared" si="8"/>
        <v>53221</v>
      </c>
      <c r="U29" s="212">
        <f t="shared" si="11"/>
        <v>2</v>
      </c>
      <c r="V29" s="212"/>
      <c r="W29" s="212">
        <f>T5addnl!B28</f>
        <v>335306</v>
      </c>
      <c r="X29" s="1642">
        <f t="shared" si="9"/>
        <v>0.52</v>
      </c>
      <c r="Y29" s="1642"/>
      <c r="Z29" s="1642"/>
      <c r="AA29" s="2078"/>
      <c r="AB29" s="2079"/>
      <c r="AC29" s="212"/>
    </row>
    <row r="30" spans="1:29">
      <c r="A30" s="1642">
        <v>2003</v>
      </c>
      <c r="B30" s="212">
        <f>T5addnl!E29</f>
        <v>138708</v>
      </c>
      <c r="C30" s="212">
        <f>T5addnl!F29</f>
        <v>51014</v>
      </c>
      <c r="D30" s="300">
        <v>815</v>
      </c>
      <c r="E30" s="206">
        <f t="shared" si="0"/>
        <v>1.5976006586427256</v>
      </c>
      <c r="F30" s="300">
        <v>4002</v>
      </c>
      <c r="G30" s="206">
        <f t="shared" si="1"/>
        <v>7.8449053201082055</v>
      </c>
      <c r="H30" s="212">
        <f t="shared" si="2"/>
        <v>4817</v>
      </c>
      <c r="I30" s="206">
        <f t="shared" si="3"/>
        <v>9.4425059787509316</v>
      </c>
      <c r="J30" s="300">
        <v>13466</v>
      </c>
      <c r="K30" s="206">
        <f t="shared" si="4"/>
        <v>26.396675422433059</v>
      </c>
      <c r="L30" s="300">
        <v>32324</v>
      </c>
      <c r="M30" s="206">
        <f t="shared" si="5"/>
        <v>63.362998392598115</v>
      </c>
      <c r="N30" s="144">
        <f t="shared" si="6"/>
        <v>0.36777979640684028</v>
      </c>
      <c r="O30" s="144"/>
      <c r="P30" s="1642">
        <v>2003</v>
      </c>
      <c r="Q30" s="212">
        <f t="shared" si="7"/>
        <v>138708</v>
      </c>
      <c r="R30" s="212">
        <f t="shared" si="10"/>
        <v>5</v>
      </c>
      <c r="S30" s="1619">
        <v>2003</v>
      </c>
      <c r="T30" s="212">
        <f t="shared" si="8"/>
        <v>51014</v>
      </c>
      <c r="U30" s="212">
        <f t="shared" si="11"/>
        <v>3</v>
      </c>
      <c r="V30" s="212"/>
      <c r="W30" s="212">
        <f>T5addnl!B29</f>
        <v>242605</v>
      </c>
      <c r="X30" s="1642">
        <f t="shared" si="9"/>
        <v>0.56999999999999995</v>
      </c>
      <c r="Y30" s="1642"/>
      <c r="Z30" s="1642"/>
      <c r="AA30" s="2078"/>
      <c r="AB30" s="2079"/>
      <c r="AC30" s="212"/>
    </row>
    <row r="31" spans="1:29">
      <c r="A31" s="1642">
        <v>2004</v>
      </c>
      <c r="B31" s="212">
        <f>T5addnl!E30</f>
        <v>126334</v>
      </c>
      <c r="C31" s="212">
        <f>T5addnl!F30</f>
        <v>33220</v>
      </c>
      <c r="D31" s="300">
        <v>721</v>
      </c>
      <c r="E31" s="206">
        <f t="shared" si="0"/>
        <v>2.1703792895845875</v>
      </c>
      <c r="F31" s="300">
        <v>2872</v>
      </c>
      <c r="G31" s="206">
        <f t="shared" si="1"/>
        <v>8.6453943407585783</v>
      </c>
      <c r="H31" s="212">
        <f t="shared" si="2"/>
        <v>3593</v>
      </c>
      <c r="I31" s="206">
        <f t="shared" si="3"/>
        <v>10.815773630343168</v>
      </c>
      <c r="J31" s="300">
        <v>8040</v>
      </c>
      <c r="K31" s="206">
        <f t="shared" si="4"/>
        <v>24.202287778446717</v>
      </c>
      <c r="L31" s="300">
        <v>21367</v>
      </c>
      <c r="M31" s="206">
        <f t="shared" si="5"/>
        <v>64.319686935580975</v>
      </c>
      <c r="N31" s="144">
        <f t="shared" si="6"/>
        <v>0.26295375749996042</v>
      </c>
      <c r="O31" s="144"/>
      <c r="P31" s="1642">
        <v>2004</v>
      </c>
      <c r="Q31" s="212">
        <f t="shared" si="7"/>
        <v>126334</v>
      </c>
      <c r="R31" s="212">
        <f t="shared" si="10"/>
        <v>7</v>
      </c>
      <c r="S31" s="1619">
        <v>2004</v>
      </c>
      <c r="T31" s="212">
        <f t="shared" si="8"/>
        <v>33220</v>
      </c>
      <c r="U31" s="212">
        <f t="shared" si="11"/>
        <v>7</v>
      </c>
      <c r="V31" s="212"/>
      <c r="W31" s="212">
        <f>T5addnl!B30</f>
        <v>221675</v>
      </c>
      <c r="X31" s="1642">
        <f t="shared" si="9"/>
        <v>0.56999999999999995</v>
      </c>
      <c r="Y31" s="1642"/>
      <c r="Z31" s="1642"/>
      <c r="AA31" s="2078"/>
      <c r="AB31" s="2079"/>
      <c r="AC31" s="212"/>
    </row>
    <row r="32" spans="1:29">
      <c r="A32" s="1642">
        <v>2005</v>
      </c>
      <c r="B32" s="212">
        <f>T5addnl!E31</f>
        <v>51483</v>
      </c>
      <c r="C32" s="212">
        <f>T5addnl!F31</f>
        <v>15697</v>
      </c>
      <c r="D32" s="300">
        <v>267</v>
      </c>
      <c r="E32" s="206">
        <f t="shared" si="0"/>
        <v>1.7009619672548895</v>
      </c>
      <c r="F32" s="300">
        <v>963</v>
      </c>
      <c r="G32" s="206">
        <f t="shared" si="1"/>
        <v>6.1349302414474103</v>
      </c>
      <c r="H32" s="212">
        <f t="shared" si="2"/>
        <v>1230</v>
      </c>
      <c r="I32" s="206">
        <f t="shared" si="3"/>
        <v>7.8358922087022993</v>
      </c>
      <c r="J32" s="300">
        <v>4272</v>
      </c>
      <c r="K32" s="206">
        <f t="shared" si="4"/>
        <v>27.215391476078231</v>
      </c>
      <c r="L32" s="300">
        <v>10131</v>
      </c>
      <c r="M32" s="206">
        <f t="shared" si="5"/>
        <v>64.540995094604057</v>
      </c>
      <c r="N32" s="144">
        <f t="shared" si="6"/>
        <v>0.30489676203795429</v>
      </c>
      <c r="O32" s="144"/>
      <c r="P32" s="1642">
        <v>2005</v>
      </c>
      <c r="Q32" s="212">
        <f t="shared" si="7"/>
        <v>51483</v>
      </c>
      <c r="R32" s="212">
        <f t="shared" si="10"/>
        <v>24</v>
      </c>
      <c r="S32" s="1619">
        <v>2005</v>
      </c>
      <c r="T32" s="212">
        <f t="shared" si="8"/>
        <v>15697</v>
      </c>
      <c r="U32" s="212">
        <f t="shared" si="11"/>
        <v>26</v>
      </c>
      <c r="V32" s="212"/>
      <c r="W32" s="212">
        <f>T5addnl!B31</f>
        <v>106910</v>
      </c>
      <c r="X32" s="1642">
        <f t="shared" si="9"/>
        <v>0.48</v>
      </c>
      <c r="Y32" s="1642"/>
      <c r="Z32" s="1642"/>
      <c r="AA32" s="2078"/>
      <c r="AB32" s="2079"/>
      <c r="AC32" s="212"/>
    </row>
    <row r="33" spans="1:29">
      <c r="A33" s="1642">
        <v>2006</v>
      </c>
      <c r="B33" s="212">
        <f>T5addnl!E32</f>
        <v>53109</v>
      </c>
      <c r="C33" s="212">
        <f>T5addnl!F32</f>
        <v>16789</v>
      </c>
      <c r="D33" s="300">
        <v>258</v>
      </c>
      <c r="E33" s="206">
        <f t="shared" si="0"/>
        <v>1.5367204717374472</v>
      </c>
      <c r="F33" s="300">
        <v>1046</v>
      </c>
      <c r="G33" s="206">
        <f t="shared" si="1"/>
        <v>6.2302698195246888</v>
      </c>
      <c r="H33" s="212">
        <f t="shared" si="2"/>
        <v>1304</v>
      </c>
      <c r="I33" s="206">
        <f t="shared" si="3"/>
        <v>7.7669902912621351</v>
      </c>
      <c r="J33" s="300">
        <v>5848</v>
      </c>
      <c r="K33" s="206">
        <f t="shared" si="4"/>
        <v>34.832330692715466</v>
      </c>
      <c r="L33" s="300">
        <v>9485</v>
      </c>
      <c r="M33" s="206">
        <f t="shared" si="5"/>
        <v>56.495324319494912</v>
      </c>
      <c r="N33" s="144">
        <f t="shared" si="6"/>
        <v>0.31612344423732325</v>
      </c>
      <c r="O33" s="144"/>
      <c r="P33" s="1642">
        <v>2006</v>
      </c>
      <c r="Q33" s="212">
        <f t="shared" si="7"/>
        <v>53109</v>
      </c>
      <c r="R33" s="212">
        <f t="shared" si="10"/>
        <v>21</v>
      </c>
      <c r="S33" s="1619">
        <v>2006</v>
      </c>
      <c r="T33" s="212">
        <f t="shared" si="8"/>
        <v>16789</v>
      </c>
      <c r="U33" s="212">
        <f t="shared" si="11"/>
        <v>24</v>
      </c>
      <c r="V33" s="212"/>
      <c r="W33" s="212">
        <f>T5addnl!B32</f>
        <v>132583</v>
      </c>
      <c r="X33" s="1642">
        <f t="shared" si="9"/>
        <v>0.4</v>
      </c>
      <c r="Y33" s="1642"/>
      <c r="Z33" s="1642"/>
      <c r="AA33" s="2078"/>
      <c r="AB33" s="2079"/>
      <c r="AC33" s="212"/>
    </row>
    <row r="34" spans="1:29">
      <c r="A34" s="1642">
        <v>2007</v>
      </c>
      <c r="B34" s="212">
        <f>T5addnl!E33</f>
        <v>45478</v>
      </c>
      <c r="C34" s="212">
        <f>T5addnl!F33</f>
        <v>10492</v>
      </c>
      <c r="D34" s="300">
        <v>146</v>
      </c>
      <c r="E34" s="206">
        <f t="shared" si="0"/>
        <v>1.3915364086923372</v>
      </c>
      <c r="F34" s="300">
        <v>763</v>
      </c>
      <c r="G34" s="206">
        <f t="shared" si="1"/>
        <v>7.2722073961113232</v>
      </c>
      <c r="H34" s="212">
        <f t="shared" si="2"/>
        <v>909</v>
      </c>
      <c r="I34" s="206">
        <f t="shared" si="3"/>
        <v>8.6637438048036604</v>
      </c>
      <c r="J34" s="300">
        <v>2334</v>
      </c>
      <c r="K34" s="206">
        <f t="shared" si="4"/>
        <v>22.245520396492566</v>
      </c>
      <c r="L34" s="300">
        <v>7088</v>
      </c>
      <c r="M34" s="206">
        <f t="shared" si="5"/>
        <v>67.556233320625239</v>
      </c>
      <c r="N34" s="144">
        <f t="shared" si="6"/>
        <v>0.23070495624257883</v>
      </c>
      <c r="O34" s="144"/>
      <c r="P34" s="1642">
        <v>2007</v>
      </c>
      <c r="Q34" s="212">
        <f t="shared" si="7"/>
        <v>45478</v>
      </c>
      <c r="R34" s="212">
        <f t="shared" si="10"/>
        <v>26</v>
      </c>
      <c r="S34" s="1619">
        <v>2007</v>
      </c>
      <c r="T34" s="212">
        <f t="shared" si="8"/>
        <v>10492</v>
      </c>
      <c r="U34" s="212">
        <f t="shared" si="11"/>
        <v>35</v>
      </c>
      <c r="V34" s="212"/>
      <c r="W34" s="212">
        <f>T5addnl!B33</f>
        <v>86247</v>
      </c>
      <c r="X34" s="1642">
        <f t="shared" si="9"/>
        <v>0.53</v>
      </c>
      <c r="Y34" s="1642"/>
      <c r="Z34" s="1642"/>
      <c r="AA34" s="2078"/>
      <c r="AB34" s="2079"/>
      <c r="AC34" s="212"/>
    </row>
    <row r="35" spans="1:29">
      <c r="A35" s="1642">
        <v>2008</v>
      </c>
      <c r="B35" s="212">
        <f>T5addnl!E34</f>
        <v>101003</v>
      </c>
      <c r="C35" s="212">
        <f>T5addnl!F34</f>
        <v>24072</v>
      </c>
      <c r="D35" s="300">
        <v>524</v>
      </c>
      <c r="E35" s="206">
        <f t="shared" si="0"/>
        <v>2.1768029245596545</v>
      </c>
      <c r="F35" s="300">
        <v>3304</v>
      </c>
      <c r="G35" s="206">
        <f t="shared" si="1"/>
        <v>13.725490196078432</v>
      </c>
      <c r="H35" s="212">
        <f t="shared" si="2"/>
        <v>3828</v>
      </c>
      <c r="I35" s="206">
        <f t="shared" si="3"/>
        <v>15.902293120638086</v>
      </c>
      <c r="J35" s="300">
        <v>2378</v>
      </c>
      <c r="K35" s="206">
        <f t="shared" si="4"/>
        <v>9.8786972416085082</v>
      </c>
      <c r="L35" s="300">
        <v>17574</v>
      </c>
      <c r="M35" s="206">
        <f t="shared" si="5"/>
        <v>73.00598205383848</v>
      </c>
      <c r="N35" s="144">
        <f t="shared" si="6"/>
        <v>0.23832955456768612</v>
      </c>
      <c r="O35" s="144"/>
      <c r="P35" s="1642">
        <v>2008</v>
      </c>
      <c r="Q35" s="212">
        <f t="shared" si="7"/>
        <v>101003</v>
      </c>
      <c r="R35" s="212">
        <f t="shared" si="10"/>
        <v>12</v>
      </c>
      <c r="S35" s="1619">
        <v>2008</v>
      </c>
      <c r="T35" s="212">
        <f t="shared" si="8"/>
        <v>24072</v>
      </c>
      <c r="U35" s="212">
        <f t="shared" si="11"/>
        <v>12</v>
      </c>
      <c r="V35" s="212"/>
      <c r="W35" s="212">
        <f>T5addnl!B34</f>
        <v>178627</v>
      </c>
      <c r="X35" s="1642">
        <f t="shared" si="9"/>
        <v>0.56999999999999995</v>
      </c>
      <c r="Y35" s="1642"/>
      <c r="Z35" s="1642"/>
      <c r="AA35" s="2078"/>
      <c r="AB35" s="2079"/>
      <c r="AC35" s="212"/>
    </row>
    <row r="36" spans="1:29" ht="12.75" customHeight="1">
      <c r="A36" s="1642">
        <v>2009</v>
      </c>
      <c r="B36" s="212">
        <f>T5addnl!E35</f>
        <v>90117</v>
      </c>
      <c r="C36" s="212">
        <f>T5addnl!F35</f>
        <v>20516</v>
      </c>
      <c r="D36" s="300">
        <v>339</v>
      </c>
      <c r="E36" s="206">
        <f t="shared" si="0"/>
        <v>1.6523688828231624</v>
      </c>
      <c r="F36" s="300">
        <v>1769</v>
      </c>
      <c r="G36" s="206">
        <f t="shared" si="1"/>
        <v>8.6225385065314875</v>
      </c>
      <c r="H36" s="212">
        <f t="shared" si="2"/>
        <v>2108</v>
      </c>
      <c r="I36" s="206">
        <f t="shared" si="3"/>
        <v>10.274907389354651</v>
      </c>
      <c r="J36" s="300">
        <v>3378</v>
      </c>
      <c r="K36" s="206">
        <f t="shared" si="4"/>
        <v>16.46519789432638</v>
      </c>
      <c r="L36" s="300">
        <v>14947</v>
      </c>
      <c r="M36" s="206">
        <f t="shared" si="5"/>
        <v>72.855332423474366</v>
      </c>
      <c r="N36" s="144">
        <f t="shared" si="6"/>
        <v>0.22765959807805408</v>
      </c>
      <c r="O36" s="144"/>
      <c r="P36" s="1642">
        <v>2009</v>
      </c>
      <c r="Q36" s="212">
        <f t="shared" si="7"/>
        <v>90117</v>
      </c>
      <c r="R36" s="212">
        <f t="shared" si="10"/>
        <v>13</v>
      </c>
      <c r="S36" s="1619">
        <v>2009</v>
      </c>
      <c r="T36" s="212">
        <f t="shared" si="8"/>
        <v>20516</v>
      </c>
      <c r="U36" s="212">
        <f t="shared" si="11"/>
        <v>19</v>
      </c>
      <c r="V36" s="212"/>
      <c r="W36" s="212">
        <f>T5addnl!B35</f>
        <v>169296</v>
      </c>
      <c r="X36" s="1642">
        <f t="shared" si="9"/>
        <v>0.53</v>
      </c>
      <c r="Y36" s="1642"/>
      <c r="Z36" s="1642"/>
      <c r="AA36" s="2078"/>
      <c r="AB36" s="2080"/>
      <c r="AC36" s="212"/>
    </row>
    <row r="37" spans="1:29" ht="12.75" customHeight="1">
      <c r="A37" s="1642">
        <v>2010</v>
      </c>
      <c r="B37" s="212">
        <f>T5addnl!E36</f>
        <v>166291</v>
      </c>
      <c r="C37" s="212">
        <f>T5addnl!F36</f>
        <v>34968</v>
      </c>
      <c r="D37" s="300">
        <v>660</v>
      </c>
      <c r="E37" s="206">
        <f t="shared" si="0"/>
        <v>1.887439945092656</v>
      </c>
      <c r="F37" s="300">
        <v>5227</v>
      </c>
      <c r="G37" s="206">
        <f t="shared" si="1"/>
        <v>14.947952413635324</v>
      </c>
      <c r="H37" s="212">
        <f t="shared" si="2"/>
        <v>5887</v>
      </c>
      <c r="I37" s="206">
        <f t="shared" si="3"/>
        <v>16.835392358727979</v>
      </c>
      <c r="J37" s="300">
        <v>2063</v>
      </c>
      <c r="K37" s="206">
        <f t="shared" si="4"/>
        <v>5.8996797071608329</v>
      </c>
      <c r="L37" s="300">
        <v>26622</v>
      </c>
      <c r="M37" s="206">
        <f t="shared" si="5"/>
        <v>76.1324639670556</v>
      </c>
      <c r="N37" s="144">
        <f t="shared" si="6"/>
        <v>0.2102819755729414</v>
      </c>
      <c r="O37" s="144"/>
      <c r="P37" s="1642">
        <v>2010</v>
      </c>
      <c r="Q37" s="212">
        <f t="shared" si="7"/>
        <v>166291</v>
      </c>
      <c r="R37" s="212">
        <f t="shared" si="10"/>
        <v>3</v>
      </c>
      <c r="S37" s="1619">
        <v>2010</v>
      </c>
      <c r="T37" s="212">
        <f t="shared" si="8"/>
        <v>34968</v>
      </c>
      <c r="U37" s="212">
        <f t="shared" si="11"/>
        <v>6</v>
      </c>
      <c r="V37" s="212"/>
      <c r="W37" s="212">
        <f>T5addnl!B36</f>
        <v>315346</v>
      </c>
      <c r="X37" s="1642">
        <f t="shared" si="9"/>
        <v>0.53</v>
      </c>
      <c r="Y37" s="1642"/>
      <c r="Z37" s="1642"/>
      <c r="AA37" s="2078"/>
      <c r="AB37" s="2079"/>
      <c r="AC37" s="212"/>
    </row>
    <row r="38" spans="1:29" ht="12.75" customHeight="1">
      <c r="A38" s="1642">
        <v>2011</v>
      </c>
      <c r="B38" s="212">
        <f>T5addnl!E37</f>
        <v>124001</v>
      </c>
      <c r="C38" s="212">
        <f>T5addnl!F37</f>
        <v>30780</v>
      </c>
      <c r="D38" s="300">
        <v>452</v>
      </c>
      <c r="E38" s="206">
        <f t="shared" si="0"/>
        <v>1.4684860298895386</v>
      </c>
      <c r="F38" s="300">
        <v>2272</v>
      </c>
      <c r="G38" s="206">
        <f t="shared" si="1"/>
        <v>7.3814165042235214</v>
      </c>
      <c r="H38" s="212">
        <f t="shared" si="2"/>
        <v>2724</v>
      </c>
      <c r="I38" s="206">
        <f t="shared" si="3"/>
        <v>8.8499025341130597</v>
      </c>
      <c r="J38" s="300">
        <v>3180</v>
      </c>
      <c r="K38" s="206">
        <f t="shared" si="4"/>
        <v>10.331384015594541</v>
      </c>
      <c r="L38" s="300">
        <v>24526</v>
      </c>
      <c r="M38" s="206">
        <f t="shared" si="5"/>
        <v>79.681611435997397</v>
      </c>
      <c r="N38" s="144">
        <f t="shared" si="6"/>
        <v>0.24822380464673671</v>
      </c>
      <c r="O38" s="144"/>
      <c r="P38" s="1642">
        <v>2011</v>
      </c>
      <c r="Q38" s="212">
        <f t="shared" si="7"/>
        <v>124001</v>
      </c>
      <c r="R38" s="212">
        <f t="shared" si="10"/>
        <v>8</v>
      </c>
      <c r="S38" s="1619">
        <v>2011</v>
      </c>
      <c r="T38" s="212">
        <f t="shared" si="8"/>
        <v>30780</v>
      </c>
      <c r="U38" s="212">
        <f t="shared" si="11"/>
        <v>8</v>
      </c>
      <c r="V38" s="212"/>
      <c r="W38" s="212">
        <f>T5addnl!B37</f>
        <v>221158</v>
      </c>
      <c r="X38" s="1642">
        <f t="shared" si="9"/>
        <v>0.56000000000000005</v>
      </c>
      <c r="Y38" s="1642"/>
      <c r="Z38" s="1642"/>
      <c r="AA38" s="2078"/>
      <c r="AB38" s="2079"/>
      <c r="AC38" s="212"/>
    </row>
    <row r="39" spans="1:29" ht="12.75" customHeight="1">
      <c r="A39" s="1642">
        <v>2012</v>
      </c>
      <c r="B39" s="212">
        <f>T5addnl!E38</f>
        <v>114106</v>
      </c>
      <c r="C39" s="212">
        <f>T5addnl!F38</f>
        <v>35288</v>
      </c>
      <c r="D39" s="300">
        <v>482</v>
      </c>
      <c r="E39" s="206">
        <f t="shared" si="0"/>
        <v>1.3659034232600318</v>
      </c>
      <c r="F39" s="300">
        <v>3283</v>
      </c>
      <c r="G39" s="206">
        <f t="shared" si="1"/>
        <v>9.3034459306279746</v>
      </c>
      <c r="H39" s="212">
        <f t="shared" si="2"/>
        <v>3765</v>
      </c>
      <c r="I39" s="206">
        <f t="shared" si="3"/>
        <v>10.669349353888007</v>
      </c>
      <c r="J39" s="300">
        <v>5652</v>
      </c>
      <c r="K39" s="206">
        <f t="shared" si="4"/>
        <v>16.016776241215144</v>
      </c>
      <c r="L39" s="300">
        <v>25634</v>
      </c>
      <c r="M39" s="206">
        <f t="shared" si="5"/>
        <v>72.642257991385179</v>
      </c>
      <c r="N39" s="144">
        <f t="shared" si="6"/>
        <v>0.30925630554046235</v>
      </c>
      <c r="O39" s="144"/>
      <c r="P39" s="1642">
        <v>2012</v>
      </c>
      <c r="Q39" s="212">
        <f t="shared" si="7"/>
        <v>114106</v>
      </c>
      <c r="R39" s="212">
        <f t="shared" si="10"/>
        <v>9</v>
      </c>
      <c r="S39" s="1619">
        <v>2012</v>
      </c>
      <c r="T39" s="212">
        <f t="shared" si="8"/>
        <v>35288</v>
      </c>
      <c r="U39" s="212">
        <f t="shared" si="11"/>
        <v>5</v>
      </c>
      <c r="V39" s="212"/>
      <c r="W39" s="212">
        <f>T5addnl!B38</f>
        <v>203090</v>
      </c>
      <c r="X39" s="1642">
        <f t="shared" si="9"/>
        <v>0.56000000000000005</v>
      </c>
      <c r="Y39" s="1642"/>
      <c r="Z39" s="1642"/>
      <c r="AA39" s="2078"/>
      <c r="AB39" s="2079"/>
      <c r="AC39" s="212"/>
    </row>
    <row r="40" spans="1:29" ht="12.75" customHeight="1">
      <c r="A40" s="1642">
        <v>2013</v>
      </c>
      <c r="B40" s="212">
        <f>T5addnl!E39</f>
        <v>68901</v>
      </c>
      <c r="C40" s="212">
        <f>T5addnl!F39</f>
        <v>22469</v>
      </c>
      <c r="D40" s="300">
        <v>313</v>
      </c>
      <c r="E40" s="206">
        <f t="shared" si="0"/>
        <v>1.3930303974364682</v>
      </c>
      <c r="F40" s="300">
        <v>1865</v>
      </c>
      <c r="G40" s="206">
        <f t="shared" si="1"/>
        <v>8.3003248920735242</v>
      </c>
      <c r="H40" s="212">
        <f t="shared" si="2"/>
        <v>2178</v>
      </c>
      <c r="I40" s="206">
        <f t="shared" si="3"/>
        <v>9.6933552895099915</v>
      </c>
      <c r="J40" s="300">
        <v>5538</v>
      </c>
      <c r="K40" s="206">
        <f t="shared" si="4"/>
        <v>24.647291824291244</v>
      </c>
      <c r="L40" s="300">
        <v>14576</v>
      </c>
      <c r="M40" s="206">
        <f t="shared" si="5"/>
        <v>64.871600872312968</v>
      </c>
      <c r="N40" s="144">
        <f t="shared" si="6"/>
        <v>0.32610557176238369</v>
      </c>
      <c r="O40" s="144"/>
      <c r="P40" s="1642">
        <v>2013</v>
      </c>
      <c r="Q40" s="212">
        <f t="shared" si="7"/>
        <v>68901</v>
      </c>
      <c r="R40" s="212">
        <f t="shared" si="10"/>
        <v>15</v>
      </c>
      <c r="S40" s="1619">
        <v>2013</v>
      </c>
      <c r="T40" s="212">
        <f t="shared" si="8"/>
        <v>22469</v>
      </c>
      <c r="U40" s="212">
        <f t="shared" si="11"/>
        <v>14</v>
      </c>
      <c r="V40" s="212"/>
      <c r="W40" s="212">
        <f>T5addnl!B39</f>
        <v>123136</v>
      </c>
      <c r="X40" s="1642">
        <f t="shared" si="9"/>
        <v>0.56000000000000005</v>
      </c>
      <c r="Y40" s="1642"/>
      <c r="Z40" s="1642"/>
      <c r="AA40" s="2078"/>
      <c r="AB40" s="2079"/>
      <c r="AC40" s="212"/>
    </row>
    <row r="41" spans="1:29" ht="12.75" customHeight="1">
      <c r="A41" s="1642">
        <v>2014</v>
      </c>
      <c r="B41" s="212">
        <f>T5addnl!E40</f>
        <v>137860</v>
      </c>
      <c r="C41" s="212">
        <f>T5addnl!F40</f>
        <v>46015</v>
      </c>
      <c r="D41" s="300">
        <v>783</v>
      </c>
      <c r="E41" s="206">
        <f t="shared" si="0"/>
        <v>1.7016190372704552</v>
      </c>
      <c r="F41" s="300">
        <v>4932</v>
      </c>
      <c r="G41" s="206">
        <f t="shared" si="1"/>
        <v>10.718244050852983</v>
      </c>
      <c r="H41" s="212">
        <f t="shared" si="2"/>
        <v>5715</v>
      </c>
      <c r="I41" s="206">
        <f t="shared" si="3"/>
        <v>12.419863088123439</v>
      </c>
      <c r="J41" s="300">
        <v>7365</v>
      </c>
      <c r="K41" s="206">
        <f t="shared" si="4"/>
        <v>16.005650331413669</v>
      </c>
      <c r="L41" s="300">
        <v>32065</v>
      </c>
      <c r="M41" s="206">
        <f t="shared" si="5"/>
        <v>69.683798761273493</v>
      </c>
      <c r="N41" s="144">
        <f t="shared" si="6"/>
        <v>0.33378064703322213</v>
      </c>
      <c r="O41" s="144"/>
      <c r="P41" s="1642">
        <v>2014</v>
      </c>
      <c r="Q41" s="212">
        <f t="shared" si="7"/>
        <v>137860</v>
      </c>
      <c r="R41" s="212">
        <f t="shared" si="10"/>
        <v>6</v>
      </c>
      <c r="S41" s="1619">
        <v>2014</v>
      </c>
      <c r="T41" s="212">
        <f t="shared" si="8"/>
        <v>46015</v>
      </c>
      <c r="U41" s="212">
        <f t="shared" si="11"/>
        <v>4</v>
      </c>
      <c r="V41" s="212"/>
      <c r="W41" s="212">
        <f>T5addnl!B40</f>
        <v>242635</v>
      </c>
      <c r="X41" s="1642">
        <f t="shared" si="9"/>
        <v>0.56999999999999995</v>
      </c>
      <c r="Y41" s="1642"/>
      <c r="Z41" s="1642"/>
      <c r="AA41" s="2078"/>
      <c r="AB41" s="2079"/>
      <c r="AC41" s="212"/>
    </row>
    <row r="42" spans="1:29" ht="12.75" customHeight="1">
      <c r="A42" s="1642">
        <v>2015</v>
      </c>
      <c r="B42" s="212">
        <f>T5addnl!E41</f>
        <v>166076</v>
      </c>
      <c r="C42" s="212">
        <f>T5addnl!F41</f>
        <v>30621</v>
      </c>
      <c r="D42" s="300">
        <v>590</v>
      </c>
      <c r="E42" s="206">
        <f t="shared" si="0"/>
        <v>1.9267822736030826</v>
      </c>
      <c r="F42" s="300">
        <v>3509</v>
      </c>
      <c r="G42" s="206">
        <f t="shared" si="1"/>
        <v>11.459455928937658</v>
      </c>
      <c r="H42" s="212">
        <f t="shared" si="2"/>
        <v>4099</v>
      </c>
      <c r="I42" s="206">
        <f t="shared" si="3"/>
        <v>13.38623820254074</v>
      </c>
      <c r="J42" s="300">
        <v>3768</v>
      </c>
      <c r="K42" s="206">
        <f t="shared" si="4"/>
        <v>12.305280689722739</v>
      </c>
      <c r="L42" s="300">
        <v>22577</v>
      </c>
      <c r="M42" s="206">
        <f t="shared" si="5"/>
        <v>73.7304464256556</v>
      </c>
      <c r="N42" s="144">
        <f t="shared" si="6"/>
        <v>0.18437944073797538</v>
      </c>
      <c r="O42" s="144"/>
      <c r="P42" s="1642">
        <v>2015</v>
      </c>
      <c r="Q42" s="212">
        <f t="shared" si="7"/>
        <v>166076</v>
      </c>
      <c r="R42" s="212">
        <f t="shared" si="10"/>
        <v>4</v>
      </c>
      <c r="S42" s="1619">
        <v>2015</v>
      </c>
      <c r="T42" s="212">
        <f t="shared" si="8"/>
        <v>30621</v>
      </c>
      <c r="U42" s="212">
        <f t="shared" si="11"/>
        <v>9</v>
      </c>
      <c r="V42" s="212"/>
      <c r="W42" s="212">
        <f>T5addnl!B41</f>
        <v>288993</v>
      </c>
      <c r="X42" s="1642">
        <f t="shared" si="9"/>
        <v>0.56999999999999995</v>
      </c>
      <c r="Y42" s="1642"/>
      <c r="Z42" s="1642"/>
      <c r="AA42" s="2078"/>
      <c r="AB42" s="2079"/>
      <c r="AC42" s="212"/>
    </row>
    <row r="43" spans="1:29" ht="12.75" customHeight="1">
      <c r="A43" s="1642">
        <v>2016</v>
      </c>
      <c r="B43" s="212">
        <f>T5addnl!E42</f>
        <v>111594</v>
      </c>
      <c r="C43" s="212">
        <f>T5addnl!F42</f>
        <v>23861</v>
      </c>
      <c r="D43" s="300">
        <v>405</v>
      </c>
      <c r="E43" s="206">
        <f t="shared" si="0"/>
        <v>1.697330371736306</v>
      </c>
      <c r="F43" s="300">
        <v>2221</v>
      </c>
      <c r="G43" s="206">
        <f t="shared" si="1"/>
        <v>9.3080759398181119</v>
      </c>
      <c r="H43" s="212">
        <f t="shared" si="2"/>
        <v>2626</v>
      </c>
      <c r="I43" s="206">
        <f t="shared" si="3"/>
        <v>11.005406311554419</v>
      </c>
      <c r="J43" s="300">
        <v>4883</v>
      </c>
      <c r="K43" s="206">
        <f t="shared" si="4"/>
        <v>20.464356062193538</v>
      </c>
      <c r="L43" s="300">
        <v>16161</v>
      </c>
      <c r="M43" s="206">
        <f t="shared" si="5"/>
        <v>67.729768241062828</v>
      </c>
      <c r="N43" s="144">
        <f t="shared" si="6"/>
        <v>0.21381973941251323</v>
      </c>
      <c r="O43" s="144"/>
      <c r="P43" s="1642">
        <v>2016</v>
      </c>
      <c r="Q43" s="212">
        <f t="shared" si="7"/>
        <v>111594</v>
      </c>
      <c r="R43" s="212">
        <f t="shared" si="10"/>
        <v>10</v>
      </c>
      <c r="S43" s="1619">
        <v>2016</v>
      </c>
      <c r="T43" s="212">
        <f t="shared" si="8"/>
        <v>23861</v>
      </c>
      <c r="U43" s="212">
        <f t="shared" si="11"/>
        <v>13</v>
      </c>
      <c r="V43" s="212"/>
      <c r="W43" s="212">
        <f>T5addnl!B42</f>
        <v>187816</v>
      </c>
      <c r="X43" s="1642">
        <f t="shared" si="9"/>
        <v>0.59</v>
      </c>
      <c r="Y43" s="1642"/>
      <c r="Z43" s="1642"/>
      <c r="AA43" s="2078"/>
      <c r="AB43" s="2079"/>
      <c r="AC43" s="212"/>
    </row>
    <row r="44" spans="1:29" ht="12.75" customHeight="1">
      <c r="A44" s="1642">
        <v>2017</v>
      </c>
      <c r="B44" s="212">
        <f>T5addnl!E43</f>
        <v>60048</v>
      </c>
      <c r="C44" s="212">
        <f>T5addnl!F43</f>
        <v>7242</v>
      </c>
      <c r="D44" s="300">
        <v>81</v>
      </c>
      <c r="E44" s="206">
        <f t="shared" si="0"/>
        <v>1.1184755592377795</v>
      </c>
      <c r="F44" s="300">
        <v>542</v>
      </c>
      <c r="G44" s="206">
        <f t="shared" si="1"/>
        <v>7.4841204087268718</v>
      </c>
      <c r="H44" s="212">
        <f t="shared" si="2"/>
        <v>623</v>
      </c>
      <c r="I44" s="206">
        <f t="shared" si="3"/>
        <v>8.6025959679646498</v>
      </c>
      <c r="J44" s="300">
        <v>2190</v>
      </c>
      <c r="K44" s="206">
        <f t="shared" si="4"/>
        <v>30.240265120132559</v>
      </c>
      <c r="L44" s="300">
        <v>4425</v>
      </c>
      <c r="M44" s="206">
        <f t="shared" si="5"/>
        <v>61.101905550952772</v>
      </c>
      <c r="N44" s="144">
        <f t="shared" si="6"/>
        <v>0.12060351718625099</v>
      </c>
      <c r="O44" s="144"/>
      <c r="P44" s="1642">
        <v>2017</v>
      </c>
      <c r="Q44" s="212">
        <f t="shared" si="7"/>
        <v>60048</v>
      </c>
      <c r="R44" s="212">
        <f t="shared" si="10"/>
        <v>19</v>
      </c>
      <c r="S44" s="1619">
        <v>2017</v>
      </c>
      <c r="T44" s="212">
        <f t="shared" si="8"/>
        <v>7242</v>
      </c>
      <c r="U44" s="212">
        <f t="shared" si="11"/>
        <v>40</v>
      </c>
      <c r="V44" s="212"/>
      <c r="W44" s="212">
        <f>T5addnl!B43</f>
        <v>115821</v>
      </c>
      <c r="X44" s="1642">
        <f t="shared" si="9"/>
        <v>0.52</v>
      </c>
      <c r="Y44" s="1642"/>
      <c r="Z44" s="1642"/>
      <c r="AA44" s="2078"/>
      <c r="AB44" s="2079"/>
      <c r="AC44" s="212"/>
    </row>
    <row r="45" spans="1:29" ht="12.75" customHeight="1">
      <c r="A45" s="1642">
        <v>2018</v>
      </c>
      <c r="B45" s="212">
        <f>T5addnl!E44</f>
        <v>68494</v>
      </c>
      <c r="C45" s="212">
        <f>T5addnl!F44</f>
        <v>11521</v>
      </c>
      <c r="D45" s="300">
        <v>138</v>
      </c>
      <c r="E45" s="206">
        <f t="shared" si="0"/>
        <v>1.1978126898706709</v>
      </c>
      <c r="F45" s="300">
        <v>1150</v>
      </c>
      <c r="G45" s="206">
        <f t="shared" si="1"/>
        <v>9.9817724155889245</v>
      </c>
      <c r="H45" s="212">
        <f t="shared" si="2"/>
        <v>1288</v>
      </c>
      <c r="I45" s="206">
        <f t="shared" si="3"/>
        <v>11.179585105459596</v>
      </c>
      <c r="J45" s="300">
        <v>3544</v>
      </c>
      <c r="K45" s="206">
        <f t="shared" si="4"/>
        <v>30.76121864421491</v>
      </c>
      <c r="L45" s="300">
        <v>6632</v>
      </c>
      <c r="M45" s="206">
        <f t="shared" si="5"/>
        <v>57.564447530596311</v>
      </c>
      <c r="N45" s="144">
        <f t="shared" si="6"/>
        <v>0.16820451426402314</v>
      </c>
      <c r="O45" s="144"/>
      <c r="P45" s="1642">
        <v>2018</v>
      </c>
      <c r="Q45" s="212">
        <f t="shared" si="7"/>
        <v>68494</v>
      </c>
      <c r="R45" s="212">
        <f t="shared" si="10"/>
        <v>16</v>
      </c>
      <c r="S45" s="1619">
        <v>2018</v>
      </c>
      <c r="T45" s="212">
        <f t="shared" si="8"/>
        <v>11521</v>
      </c>
      <c r="U45" s="212">
        <f t="shared" si="11"/>
        <v>34</v>
      </c>
      <c r="V45" s="212"/>
      <c r="W45" s="212">
        <f>T5addnl!B44</f>
        <v>115081</v>
      </c>
      <c r="X45" s="1642">
        <f t="shared" si="9"/>
        <v>0.6</v>
      </c>
      <c r="Y45" s="1642"/>
      <c r="Z45" s="1642"/>
      <c r="AA45" s="2078"/>
      <c r="AB45" s="2079"/>
      <c r="AC45" s="212"/>
    </row>
    <row r="46" spans="1:29" ht="12.75" customHeight="1">
      <c r="A46" s="1642">
        <v>2019</v>
      </c>
      <c r="B46" s="212">
        <f>T5addnl!E45</f>
        <v>43189</v>
      </c>
      <c r="C46" s="212">
        <f>T5addnl!F45</f>
        <v>7499</v>
      </c>
      <c r="D46" s="300">
        <v>49</v>
      </c>
      <c r="E46" s="206">
        <f t="shared" si="0"/>
        <v>0.65342045606080812</v>
      </c>
      <c r="F46" s="300">
        <v>493</v>
      </c>
      <c r="G46" s="206">
        <f t="shared" si="1"/>
        <v>6.5742098946526202</v>
      </c>
      <c r="H46" s="212">
        <f t="shared" si="2"/>
        <v>542</v>
      </c>
      <c r="I46" s="206">
        <f t="shared" si="3"/>
        <v>7.2276303507134276</v>
      </c>
      <c r="J46" s="300">
        <v>2749</v>
      </c>
      <c r="K46" s="206">
        <f t="shared" si="4"/>
        <v>36.658221096146157</v>
      </c>
      <c r="L46" s="300">
        <v>4183</v>
      </c>
      <c r="M46" s="206">
        <f t="shared" si="5"/>
        <v>55.780770769435925</v>
      </c>
      <c r="N46" s="144">
        <f t="shared" si="6"/>
        <v>0.17363217485933918</v>
      </c>
      <c r="O46" s="144"/>
      <c r="P46" s="1642">
        <v>2019</v>
      </c>
      <c r="Q46" s="212">
        <f t="shared" si="7"/>
        <v>43189</v>
      </c>
      <c r="R46" s="212">
        <f t="shared" si="10"/>
        <v>27</v>
      </c>
      <c r="S46" s="1619">
        <v>2019</v>
      </c>
      <c r="T46" s="212">
        <f t="shared" si="8"/>
        <v>7499</v>
      </c>
      <c r="U46" s="212">
        <f t="shared" si="11"/>
        <v>39</v>
      </c>
      <c r="V46" s="212"/>
      <c r="W46" s="212">
        <f>T5addnl!B45</f>
        <v>73105</v>
      </c>
      <c r="X46" s="1642">
        <f t="shared" si="9"/>
        <v>0.59</v>
      </c>
      <c r="Y46" s="1642"/>
      <c r="Z46" s="1642"/>
      <c r="AA46" s="2078"/>
      <c r="AB46" s="2079"/>
      <c r="AC46" s="212"/>
    </row>
    <row r="47" spans="1:29" ht="12.75" customHeight="1">
      <c r="A47" s="1642">
        <v>2020</v>
      </c>
      <c r="B47" s="212">
        <f>T5addnl!E46</f>
        <v>51543</v>
      </c>
      <c r="C47" s="212">
        <f>T5addnl!F46</f>
        <v>14558</v>
      </c>
      <c r="D47" s="300">
        <v>71</v>
      </c>
      <c r="E47" s="206">
        <f t="shared" si="0"/>
        <v>0.48770435499381787</v>
      </c>
      <c r="F47" s="300">
        <v>782</v>
      </c>
      <c r="G47" s="206">
        <f t="shared" si="1"/>
        <v>5.3716169803544442</v>
      </c>
      <c r="H47" s="212">
        <f t="shared" si="2"/>
        <v>853</v>
      </c>
      <c r="I47" s="206">
        <f t="shared" si="3"/>
        <v>5.8593213353482625</v>
      </c>
      <c r="J47" s="300">
        <v>4999</v>
      </c>
      <c r="K47" s="206">
        <f t="shared" si="4"/>
        <v>34.338508036818247</v>
      </c>
      <c r="L47" s="300">
        <v>8293</v>
      </c>
      <c r="M47" s="206">
        <f t="shared" si="5"/>
        <v>56.965242478362413</v>
      </c>
      <c r="N47" s="144">
        <f t="shared" si="6"/>
        <v>0.28244378480103993</v>
      </c>
      <c r="O47" s="144"/>
      <c r="P47" s="1642">
        <v>2020</v>
      </c>
      <c r="Q47" s="212">
        <f t="shared" si="7"/>
        <v>51543</v>
      </c>
      <c r="R47" s="212">
        <f t="shared" si="10"/>
        <v>23</v>
      </c>
      <c r="S47" s="1619">
        <v>2020</v>
      </c>
      <c r="T47" s="212">
        <f t="shared" si="8"/>
        <v>14558</v>
      </c>
      <c r="U47" s="212">
        <f t="shared" si="11"/>
        <v>29</v>
      </c>
      <c r="V47" s="212"/>
      <c r="W47" s="212">
        <f>T5addnl!B46</f>
        <v>81301</v>
      </c>
      <c r="X47" s="1642">
        <f t="shared" si="9"/>
        <v>0.63</v>
      </c>
      <c r="Y47" s="1642"/>
      <c r="Z47" s="1642"/>
      <c r="AA47" s="2078"/>
      <c r="AB47" s="2079"/>
      <c r="AC47" s="212"/>
    </row>
    <row r="48" spans="1:29" ht="12.75" customHeight="1">
      <c r="A48" s="1642">
        <v>2021</v>
      </c>
      <c r="B48" s="212">
        <f>T5addnl!E47</f>
        <v>50944</v>
      </c>
      <c r="C48" s="212">
        <f>T5addnl!F47</f>
        <v>9256</v>
      </c>
      <c r="D48" s="300">
        <v>116</v>
      </c>
      <c r="E48" s="206">
        <f t="shared" si="0"/>
        <v>1.2532411408815902</v>
      </c>
      <c r="F48" s="698">
        <v>467</v>
      </c>
      <c r="G48" s="206">
        <f t="shared" si="1"/>
        <v>5.0453759723422644</v>
      </c>
      <c r="H48" s="212">
        <f t="shared" si="2"/>
        <v>583</v>
      </c>
      <c r="I48" s="206">
        <f t="shared" si="3"/>
        <v>6.2986171132238544</v>
      </c>
      <c r="J48" s="300">
        <v>2103</v>
      </c>
      <c r="K48" s="206">
        <f t="shared" si="4"/>
        <v>22.720397579948141</v>
      </c>
      <c r="L48" s="300">
        <v>6508</v>
      </c>
      <c r="M48" s="206">
        <f t="shared" si="5"/>
        <v>70.311149524632668</v>
      </c>
      <c r="N48" s="144">
        <f t="shared" si="6"/>
        <v>0.1816896984924623</v>
      </c>
      <c r="O48" s="1642"/>
      <c r="P48" s="1642">
        <v>2021</v>
      </c>
      <c r="Q48" s="212">
        <f t="shared" si="7"/>
        <v>50944</v>
      </c>
      <c r="R48" s="212">
        <f t="shared" si="10"/>
        <v>25</v>
      </c>
      <c r="S48" s="1619">
        <v>2021</v>
      </c>
      <c r="T48" s="212">
        <f t="shared" si="8"/>
        <v>9256</v>
      </c>
      <c r="U48" s="212">
        <f t="shared" si="11"/>
        <v>37</v>
      </c>
      <c r="V48" s="212"/>
      <c r="W48" s="212">
        <f>T5addnl!B47</f>
        <v>91756</v>
      </c>
      <c r="X48" s="1642">
        <f t="shared" si="9"/>
        <v>0.56000000000000005</v>
      </c>
      <c r="Y48" s="1642"/>
      <c r="Z48" s="1642"/>
      <c r="AA48" s="2078"/>
      <c r="AB48" s="2079"/>
      <c r="AC48" s="212"/>
    </row>
    <row r="49" spans="1:29" ht="12.6" customHeight="1">
      <c r="A49" s="1642">
        <v>2022</v>
      </c>
      <c r="B49" s="212">
        <f>T5addnl!E48</f>
        <v>102130</v>
      </c>
      <c r="C49" s="212">
        <f>T5addnl!F48</f>
        <v>22127</v>
      </c>
      <c r="D49" s="300">
        <v>312</v>
      </c>
      <c r="E49" s="206">
        <f t="shared" si="0"/>
        <v>1.410042030098974</v>
      </c>
      <c r="F49" s="300">
        <v>2050</v>
      </c>
      <c r="G49" s="206">
        <f t="shared" si="1"/>
        <v>9.2646992362272336</v>
      </c>
      <c r="H49" s="212">
        <f t="shared" si="2"/>
        <v>2362</v>
      </c>
      <c r="I49" s="206">
        <f t="shared" si="3"/>
        <v>10.674741266326208</v>
      </c>
      <c r="J49" s="300">
        <v>2321</v>
      </c>
      <c r="K49" s="206">
        <f t="shared" si="4"/>
        <v>10.489447281601663</v>
      </c>
      <c r="L49" s="300">
        <v>17314</v>
      </c>
      <c r="M49" s="206">
        <f t="shared" si="5"/>
        <v>78.248293939530882</v>
      </c>
      <c r="N49" s="144">
        <f t="shared" si="6"/>
        <v>0.21665524331734065</v>
      </c>
      <c r="O49" s="1642"/>
      <c r="P49" s="1642">
        <v>2022</v>
      </c>
      <c r="Q49" s="212">
        <f t="shared" si="7"/>
        <v>102130</v>
      </c>
      <c r="R49" s="212">
        <f t="shared" si="10"/>
        <v>11</v>
      </c>
      <c r="S49" s="1619">
        <v>2022</v>
      </c>
      <c r="T49" s="212">
        <f t="shared" si="8"/>
        <v>22127</v>
      </c>
      <c r="U49" s="212">
        <f t="shared" si="11"/>
        <v>15</v>
      </c>
      <c r="V49" s="212"/>
      <c r="W49" s="212">
        <f>T5addnl!B48</f>
        <v>185379</v>
      </c>
      <c r="X49" s="1642">
        <f t="shared" si="9"/>
        <v>0.55000000000000004</v>
      </c>
      <c r="Y49" s="1642"/>
      <c r="Z49" s="1642"/>
      <c r="AA49" s="2078"/>
      <c r="AB49" s="2079"/>
      <c r="AC49" s="212"/>
    </row>
    <row r="50" spans="1:29" ht="12.6" customHeight="1">
      <c r="A50" s="1642">
        <v>2023</v>
      </c>
      <c r="B50" s="212">
        <f>T5addnl!E49</f>
        <v>80928</v>
      </c>
      <c r="C50" s="212">
        <f>T5addnl!F49</f>
        <v>10629</v>
      </c>
      <c r="D50" s="300">
        <v>97</v>
      </c>
      <c r="E50" s="206">
        <f t="shared" si="0"/>
        <v>0.91259761031141218</v>
      </c>
      <c r="F50" s="300">
        <v>942</v>
      </c>
      <c r="G50" s="206">
        <f t="shared" si="1"/>
        <v>8.8625458650860853</v>
      </c>
      <c r="H50" s="212">
        <f t="shared" si="2"/>
        <v>1039</v>
      </c>
      <c r="I50" s="206">
        <f t="shared" si="3"/>
        <v>9.7751434753974973</v>
      </c>
      <c r="J50" s="300">
        <v>2441</v>
      </c>
      <c r="K50" s="206">
        <f t="shared" si="4"/>
        <v>22.965471822372756</v>
      </c>
      <c r="L50" s="300">
        <v>7093</v>
      </c>
      <c r="M50" s="206">
        <f t="shared" si="5"/>
        <v>66.732524226173666</v>
      </c>
      <c r="N50" s="144">
        <f t="shared" si="6"/>
        <v>0.13133896797153025</v>
      </c>
      <c r="O50" s="1642"/>
      <c r="P50" s="1642">
        <v>2023</v>
      </c>
      <c r="Q50" s="212">
        <f>VLOOKUP(P50,$A$6:$N$50,2,FALSE)</f>
        <v>80928</v>
      </c>
      <c r="R50" s="212">
        <f>RANK(Q50,$Q$7:$Q$50,0)</f>
        <v>15</v>
      </c>
      <c r="S50" s="1619">
        <v>2023</v>
      </c>
      <c r="T50" s="212">
        <f>VLOOKUP(S50,$A$6:$N$50,3,FALSE)</f>
        <v>10629</v>
      </c>
      <c r="U50" s="212">
        <f>RANK(T50,$T$7:$T$50,0)</f>
        <v>35</v>
      </c>
      <c r="V50" s="212"/>
      <c r="W50" s="212">
        <f>T5addnl!B49</f>
        <v>141179</v>
      </c>
      <c r="X50" s="1642">
        <f t="shared" si="9"/>
        <v>0.56999999999999995</v>
      </c>
      <c r="Y50" s="1642"/>
      <c r="Z50" s="1642"/>
      <c r="AA50" s="1642"/>
      <c r="AB50" s="1642"/>
      <c r="AC50" s="1642"/>
    </row>
    <row r="51" spans="1:29" ht="12.6" customHeight="1">
      <c r="A51" s="1642">
        <v>2024</v>
      </c>
      <c r="B51" s="212">
        <f>T5addnl!E50</f>
        <v>68564</v>
      </c>
      <c r="C51" s="212">
        <f>T5addnl!F50</f>
        <v>10190</v>
      </c>
      <c r="D51" s="300">
        <v>95</v>
      </c>
      <c r="E51" s="206">
        <f t="shared" si="0"/>
        <v>0.93228655544651629</v>
      </c>
      <c r="F51" s="300">
        <v>613</v>
      </c>
      <c r="G51" s="206">
        <f t="shared" ref="G51" si="12">F51/C51*100</f>
        <v>6.0157016683022571</v>
      </c>
      <c r="H51" s="212">
        <f t="shared" ref="H51" si="13">D51+F51</f>
        <v>708</v>
      </c>
      <c r="I51" s="206">
        <f t="shared" ref="I51" si="14">H51/C51*100</f>
        <v>6.9479882237487729</v>
      </c>
      <c r="J51" s="300">
        <v>715</v>
      </c>
      <c r="K51" s="206">
        <f t="shared" si="4"/>
        <v>7.0166830225711481</v>
      </c>
      <c r="L51" s="300">
        <v>8645</v>
      </c>
      <c r="M51" s="206">
        <f t="shared" ref="M51" si="15">L51/C51*100</f>
        <v>84.838076545632973</v>
      </c>
      <c r="N51" s="144">
        <f t="shared" ref="N51" si="16">C51/B51</f>
        <v>0.14862026719561286</v>
      </c>
      <c r="O51" s="1642"/>
      <c r="P51" s="1642">
        <v>2024</v>
      </c>
      <c r="Q51" s="212">
        <f>VLOOKUP(P51,$A$6:$N$51,2,FALSE)</f>
        <v>68564</v>
      </c>
      <c r="R51" s="212">
        <f>RANK(Q51,$Q$7:$Q$51,0)</f>
        <v>17</v>
      </c>
      <c r="S51" s="1619">
        <v>2024</v>
      </c>
      <c r="T51" s="212">
        <f>VLOOKUP(S51,$A$6:$N$51,3,FALSE)</f>
        <v>10190</v>
      </c>
      <c r="U51" s="212">
        <f>RANK(T51,$T$7:$T$51,0)</f>
        <v>37</v>
      </c>
      <c r="V51" s="212"/>
      <c r="W51" s="212">
        <f>T5addnl!B50</f>
        <v>116332</v>
      </c>
      <c r="X51" s="1642">
        <f t="shared" ref="X51" si="17">ROUND(B51/W51,2)</f>
        <v>0.59</v>
      </c>
      <c r="Y51" s="1642"/>
      <c r="Z51" s="1642"/>
      <c r="AA51" s="1642"/>
      <c r="AB51" s="1642"/>
      <c r="AC51" s="1642"/>
    </row>
    <row r="52" spans="1:29" ht="12.6" customHeight="1">
      <c r="A52" s="1642">
        <v>2025</v>
      </c>
      <c r="B52" s="212">
        <f>T5addnl!E51</f>
        <v>82973</v>
      </c>
      <c r="C52" s="212">
        <f>T5addnl!F51</f>
        <v>12864</v>
      </c>
      <c r="D52" s="300">
        <v>151</v>
      </c>
      <c r="E52" s="206">
        <f t="shared" ref="E52" si="18">D52/C52*100</f>
        <v>1.173818407960199</v>
      </c>
      <c r="F52" s="300">
        <v>884</v>
      </c>
      <c r="G52" s="206">
        <f t="shared" ref="G52" si="19">F52/C52*100</f>
        <v>6.871890547263682</v>
      </c>
      <c r="H52" s="212">
        <f t="shared" ref="H52" si="20">D52+F52</f>
        <v>1035</v>
      </c>
      <c r="I52" s="206">
        <f t="shared" ref="I52" si="21">H52/C52*100</f>
        <v>8.0457089552238799</v>
      </c>
      <c r="J52" s="300">
        <v>3221</v>
      </c>
      <c r="K52" s="206">
        <f t="shared" ref="K52" si="22">J52/C52*100</f>
        <v>25.038868159203982</v>
      </c>
      <c r="L52" s="300">
        <v>8548</v>
      </c>
      <c r="M52" s="206">
        <f t="shared" ref="M52" si="23">L52/C52*100</f>
        <v>66.449004975124382</v>
      </c>
      <c r="N52" s="144">
        <f t="shared" ref="N52" si="24">C52/B52</f>
        <v>0.15503838598098177</v>
      </c>
      <c r="O52" s="1642"/>
      <c r="P52" s="1642">
        <v>2025</v>
      </c>
      <c r="Q52" s="212">
        <f>VLOOKUP(P52,$A$6:$N$52,2,FALSE)</f>
        <v>82973</v>
      </c>
      <c r="R52" s="212">
        <f>RANK(Q52,$Q$7:$Q$52,0)</f>
        <v>14</v>
      </c>
      <c r="S52" s="1619">
        <v>2025</v>
      </c>
      <c r="T52" s="212">
        <f>VLOOKUP(S52,$A$6:$N$52,3,FALSE)</f>
        <v>12864</v>
      </c>
      <c r="U52" s="212">
        <f>RANK(T52,$T$7:$T$52,0)</f>
        <v>34</v>
      </c>
      <c r="V52" s="212"/>
      <c r="W52" s="212">
        <f>T5addnl!B51</f>
        <v>154703</v>
      </c>
      <c r="X52" s="1642">
        <f>ROUND(B52/W52,2)</f>
        <v>0.54</v>
      </c>
      <c r="Y52" s="1642"/>
      <c r="Z52" s="1642"/>
      <c r="AA52" s="1642"/>
      <c r="AB52" s="1642"/>
      <c r="AC52" s="1642"/>
    </row>
    <row r="53" spans="1:29" ht="12.75" customHeight="1">
      <c r="A53" s="1642"/>
      <c r="B53" s="212"/>
      <c r="C53" s="159">
        <f>C51/B51</f>
        <v>0.14862026719561286</v>
      </c>
      <c r="D53" s="212"/>
      <c r="E53" s="1642"/>
      <c r="F53" s="1642"/>
      <c r="G53" s="1642"/>
      <c r="H53" s="212"/>
      <c r="I53" s="206"/>
      <c r="J53" s="212"/>
      <c r="K53" s="206"/>
      <c r="L53" s="212"/>
      <c r="M53" s="206"/>
      <c r="N53" s="1642"/>
      <c r="O53" s="1642"/>
      <c r="P53" s="1619"/>
      <c r="Q53" s="212"/>
      <c r="R53" s="212"/>
      <c r="S53" s="1619"/>
      <c r="T53" s="212"/>
      <c r="U53" s="212"/>
      <c r="V53" s="212"/>
      <c r="W53" s="1642"/>
      <c r="X53" s="1642"/>
      <c r="Y53" s="1642"/>
      <c r="Z53" s="1642"/>
      <c r="AA53" s="1642"/>
      <c r="AB53" s="1642"/>
      <c r="AC53" s="1642"/>
    </row>
    <row r="54" spans="1:29">
      <c r="A54" s="1642" t="s">
        <v>57</v>
      </c>
      <c r="B54" s="212">
        <f>AVERAGE(B7:B16)</f>
        <v>39936.6</v>
      </c>
      <c r="C54" s="212">
        <f>AVERAGE(C7:C16)</f>
        <v>19166.7</v>
      </c>
      <c r="D54" s="1642"/>
      <c r="E54" s="1642"/>
      <c r="F54" s="1642"/>
      <c r="G54" s="1642"/>
      <c r="H54" s="212"/>
      <c r="I54" s="206"/>
      <c r="J54" s="212"/>
      <c r="K54" s="206"/>
      <c r="L54" s="212"/>
      <c r="M54" s="1642"/>
      <c r="N54" s="1142">
        <f>AVERAGE(N7:N16)</f>
        <v>0.52978576992179272</v>
      </c>
      <c r="O54" s="1642" t="s">
        <v>296</v>
      </c>
      <c r="P54" s="1642"/>
      <c r="Q54" s="1642"/>
      <c r="R54" s="1642"/>
      <c r="S54" s="1642"/>
      <c r="T54" s="1642"/>
      <c r="U54" s="1642"/>
      <c r="V54" s="1642"/>
      <c r="W54" s="48" t="s">
        <v>297</v>
      </c>
      <c r="X54" s="144">
        <f>ROUND(AVERAGE(X7:X52),2)</f>
        <v>0.5</v>
      </c>
      <c r="Y54" s="1642"/>
      <c r="Z54" s="1642"/>
      <c r="AA54" s="1642"/>
      <c r="AB54" s="1642"/>
      <c r="AC54" s="1642"/>
    </row>
    <row r="55" spans="1:29">
      <c r="A55" s="1642" t="s">
        <v>58</v>
      </c>
      <c r="B55" s="212"/>
      <c r="C55" s="212">
        <f>MIN(C7:C16)</f>
        <v>14136</v>
      </c>
      <c r="D55" s="1642"/>
      <c r="E55" s="1642"/>
      <c r="F55" s="1642"/>
      <c r="G55" s="1642"/>
      <c r="H55" s="212"/>
      <c r="I55" s="206"/>
      <c r="J55" s="212"/>
      <c r="K55" s="206"/>
      <c r="L55" s="212"/>
      <c r="M55" s="1642"/>
      <c r="N55" s="213"/>
      <c r="O55" s="1642"/>
      <c r="P55" s="1642"/>
      <c r="Q55" s="1642"/>
      <c r="R55" s="1642"/>
      <c r="S55" s="1642"/>
      <c r="T55" s="1642"/>
      <c r="U55" s="1642"/>
      <c r="V55" s="1642"/>
      <c r="W55" s="48" t="s">
        <v>298</v>
      </c>
      <c r="X55" s="1642">
        <f>ROUND(AVERAGE(X43:X52),2)</f>
        <v>0.56999999999999995</v>
      </c>
      <c r="Y55" s="1642"/>
      <c r="Z55" s="1642"/>
      <c r="AA55" s="1642"/>
      <c r="AB55" s="1642"/>
      <c r="AC55" s="1642"/>
    </row>
    <row r="56" spans="1:29">
      <c r="A56" s="1642" t="s">
        <v>59</v>
      </c>
      <c r="B56" s="212"/>
      <c r="C56" s="212">
        <f>MAX(C7:C16)</f>
        <v>27633</v>
      </c>
      <c r="D56" s="1642"/>
      <c r="E56" s="1642"/>
      <c r="F56" s="1642"/>
      <c r="G56" s="1642"/>
      <c r="H56" s="1642"/>
      <c r="I56" s="1642"/>
      <c r="J56" s="1642"/>
      <c r="K56" s="1642"/>
      <c r="L56" s="1642"/>
      <c r="M56" s="1642"/>
      <c r="N56" s="213"/>
      <c r="O56" s="1642"/>
      <c r="P56" s="1642"/>
      <c r="Q56" s="1642"/>
      <c r="R56" s="1642"/>
      <c r="S56" s="1642"/>
      <c r="T56" s="1642"/>
      <c r="U56" s="1642"/>
      <c r="V56" s="1642"/>
      <c r="W56" s="1642"/>
      <c r="X56" s="1642"/>
      <c r="Y56" s="1642"/>
      <c r="Z56" s="1642"/>
      <c r="AA56" s="1642"/>
      <c r="AB56" s="1642"/>
      <c r="AC56" s="1642"/>
    </row>
    <row r="57" spans="1:29">
      <c r="A57" s="1642" t="s">
        <v>60</v>
      </c>
      <c r="B57" s="212">
        <f>AVERAGE(B17:B26)</f>
        <v>30015.599999999999</v>
      </c>
      <c r="C57" s="212">
        <f>AVERAGE(C17:C26)</f>
        <v>11369.1</v>
      </c>
      <c r="D57" s="1642"/>
      <c r="E57" s="1642"/>
      <c r="F57" s="1642"/>
      <c r="G57" s="1642"/>
      <c r="H57" s="1642"/>
      <c r="I57" s="1642"/>
      <c r="J57" s="1642"/>
      <c r="K57" s="1642"/>
      <c r="L57" s="1642"/>
      <c r="M57" s="1642"/>
      <c r="N57" s="1142">
        <f>AVERAGE(N17:N26)</f>
        <v>0.46290651787410086</v>
      </c>
      <c r="O57" s="1642" t="s">
        <v>296</v>
      </c>
      <c r="P57" s="1642"/>
      <c r="Q57" s="1642"/>
      <c r="R57" s="1642"/>
      <c r="S57" s="1642"/>
      <c r="T57" s="1642"/>
      <c r="U57" s="1642"/>
      <c r="V57" s="1642"/>
      <c r="W57" s="1642"/>
      <c r="X57" s="1642"/>
      <c r="Y57" s="1642"/>
      <c r="Z57" s="1642"/>
      <c r="AA57" s="1642"/>
      <c r="AB57" s="1642"/>
      <c r="AC57" s="1642"/>
    </row>
    <row r="58" spans="1:29">
      <c r="A58" s="1642" t="s">
        <v>58</v>
      </c>
      <c r="B58" s="212"/>
      <c r="C58" s="212">
        <f>MIN(C17:C26)</f>
        <v>3415</v>
      </c>
      <c r="D58" s="1642"/>
      <c r="E58" s="1642"/>
      <c r="F58" s="1642"/>
      <c r="G58" s="1642"/>
      <c r="H58" s="1642"/>
      <c r="I58" s="1642"/>
      <c r="J58" s="1642"/>
      <c r="K58" s="1642"/>
      <c r="L58" s="1642"/>
      <c r="M58" s="1642"/>
      <c r="N58" s="213"/>
      <c r="O58" s="1642"/>
      <c r="P58" s="1642"/>
      <c r="Q58" s="1642"/>
      <c r="R58" s="1642"/>
      <c r="S58" s="1642"/>
      <c r="T58" s="1642"/>
      <c r="U58" s="1642"/>
      <c r="V58" s="1642"/>
      <c r="W58" s="1642"/>
      <c r="X58" s="1642"/>
      <c r="Y58" s="1642"/>
      <c r="Z58" s="1642"/>
      <c r="AA58" s="1642"/>
      <c r="AB58" s="1642"/>
      <c r="AC58" s="1642"/>
    </row>
    <row r="59" spans="1:29">
      <c r="A59" s="1642" t="s">
        <v>59</v>
      </c>
      <c r="B59" s="212"/>
      <c r="C59" s="212">
        <f>MAX(C17:C26)</f>
        <v>20647</v>
      </c>
      <c r="D59" s="1642"/>
      <c r="E59" s="1642"/>
      <c r="F59" s="1642"/>
      <c r="G59" s="1642"/>
      <c r="H59" s="1642"/>
      <c r="I59" s="1642"/>
      <c r="J59" s="1642"/>
      <c r="K59" s="1642"/>
      <c r="L59" s="1642"/>
      <c r="M59" s="1642"/>
      <c r="N59" s="213"/>
      <c r="O59" s="1642"/>
      <c r="P59" s="1642"/>
      <c r="Q59" s="1642"/>
      <c r="R59" s="1642"/>
      <c r="S59" s="1642"/>
      <c r="T59" s="1642"/>
      <c r="U59" s="1642"/>
      <c r="V59" s="1642"/>
      <c r="W59" s="1642"/>
      <c r="X59" s="1642"/>
      <c r="Y59" s="1642"/>
      <c r="Z59" s="1642"/>
      <c r="AA59" s="1642"/>
      <c r="AB59" s="1642"/>
      <c r="AC59" s="1642"/>
    </row>
    <row r="60" spans="1:29">
      <c r="A60" s="1642" t="s">
        <v>61</v>
      </c>
      <c r="B60" s="212">
        <f>AVERAGE(B27:B36)</f>
        <v>110728.8</v>
      </c>
      <c r="C60" s="212">
        <f>AVERAGE(C27:C36)</f>
        <v>30268</v>
      </c>
      <c r="D60" s="1642"/>
      <c r="E60" s="1642"/>
      <c r="F60" s="1642"/>
      <c r="G60" s="1642"/>
      <c r="H60" s="1642"/>
      <c r="I60" s="1642"/>
      <c r="J60" s="1642"/>
      <c r="K60" s="1642"/>
      <c r="L60" s="1642"/>
      <c r="M60" s="1642"/>
      <c r="N60" s="1142">
        <f>AVERAGE(N27:N36)</f>
        <v>0.27136039067043721</v>
      </c>
      <c r="O60" s="1642" t="s">
        <v>296</v>
      </c>
      <c r="P60" s="1642"/>
      <c r="Q60" s="1642"/>
      <c r="R60" s="1642"/>
      <c r="S60" s="1642"/>
      <c r="T60" s="1642"/>
      <c r="U60" s="1642"/>
      <c r="V60" s="1642"/>
      <c r="W60" s="1642"/>
      <c r="X60" s="1642"/>
      <c r="Y60" s="1642"/>
      <c r="Z60" s="1642"/>
      <c r="AA60" s="1642"/>
      <c r="AB60" s="1642"/>
      <c r="AC60" s="1642"/>
    </row>
    <row r="61" spans="1:29">
      <c r="A61" s="1642" t="s">
        <v>58</v>
      </c>
      <c r="B61" s="212"/>
      <c r="C61" s="212">
        <f>MIN(C27:C36)</f>
        <v>10492</v>
      </c>
      <c r="D61" s="1642"/>
      <c r="E61" s="1642"/>
      <c r="F61" s="1642"/>
      <c r="G61" s="1642"/>
      <c r="H61" s="1642"/>
      <c r="I61" s="1642"/>
      <c r="J61" s="1642"/>
      <c r="K61" s="1642"/>
      <c r="L61" s="1642"/>
      <c r="M61" s="1642"/>
      <c r="N61" s="213"/>
      <c r="O61" s="1642"/>
      <c r="P61" s="1642"/>
      <c r="Q61" s="1642"/>
      <c r="R61" s="1642"/>
      <c r="S61" s="1642"/>
      <c r="T61" s="1642"/>
      <c r="U61" s="1642"/>
      <c r="V61" s="1642"/>
      <c r="W61" s="1642"/>
      <c r="X61" s="1642"/>
      <c r="Y61" s="1642"/>
      <c r="Z61" s="1642"/>
      <c r="AA61" s="1642"/>
      <c r="AB61" s="1642"/>
      <c r="AC61" s="1642"/>
    </row>
    <row r="62" spans="1:29">
      <c r="A62" s="1642" t="s">
        <v>59</v>
      </c>
      <c r="B62" s="212"/>
      <c r="C62" s="212">
        <f>MAX(C27:C36)</f>
        <v>63626</v>
      </c>
      <c r="D62" s="1642"/>
      <c r="E62" s="1642"/>
      <c r="F62" s="1642"/>
      <c r="G62" s="1642"/>
      <c r="H62" s="1642"/>
      <c r="I62" s="1642"/>
      <c r="J62" s="1642"/>
      <c r="K62" s="1642"/>
      <c r="L62" s="1642"/>
      <c r="M62" s="1642"/>
      <c r="N62" s="213"/>
      <c r="O62" s="1642"/>
      <c r="P62" s="1642"/>
      <c r="Q62" s="1642"/>
      <c r="R62" s="1642"/>
      <c r="S62" s="1642"/>
      <c r="T62" s="1642"/>
      <c r="U62" s="1642"/>
      <c r="V62" s="1642"/>
      <c r="W62" s="1642"/>
      <c r="X62" s="1642"/>
      <c r="Y62" s="1642"/>
      <c r="Z62" s="1642"/>
      <c r="AA62" s="1642"/>
      <c r="AB62" s="1642"/>
      <c r="AC62" s="1642"/>
    </row>
    <row r="63" spans="1:29">
      <c r="A63" s="1642" t="s">
        <v>62</v>
      </c>
      <c r="B63" s="212">
        <f>AVERAGE(B37:B46)</f>
        <v>106056</v>
      </c>
      <c r="C63" s="212">
        <f>AVERAGE(C37:C46)</f>
        <v>25026.400000000001</v>
      </c>
      <c r="D63" s="1642"/>
      <c r="E63" s="1642"/>
      <c r="F63" s="1642"/>
      <c r="G63" s="1642"/>
      <c r="H63" s="1642"/>
      <c r="I63" s="1642"/>
      <c r="J63" s="1642"/>
      <c r="K63" s="1642"/>
      <c r="L63" s="1642"/>
      <c r="M63" s="1642"/>
      <c r="N63" s="1142">
        <f>AVERAGE(N37:N46)</f>
        <v>0.22882876910158476</v>
      </c>
      <c r="O63" s="1642" t="s">
        <v>296</v>
      </c>
      <c r="P63" s="1642"/>
      <c r="Q63" s="1642"/>
      <c r="R63" s="1642"/>
      <c r="S63" s="1642"/>
      <c r="T63" s="1642"/>
      <c r="U63" s="1642"/>
      <c r="V63" s="1642"/>
      <c r="W63" s="1642"/>
      <c r="X63" s="1642"/>
      <c r="Y63" s="1642"/>
      <c r="Z63" s="1642"/>
      <c r="AA63" s="1642"/>
      <c r="AB63" s="1642"/>
      <c r="AC63" s="1642"/>
    </row>
    <row r="64" spans="1:29">
      <c r="A64" s="1642" t="s">
        <v>58</v>
      </c>
      <c r="B64" s="212"/>
      <c r="C64" s="212">
        <f>MIN(C37:C46)</f>
        <v>7242</v>
      </c>
      <c r="D64" s="1642"/>
      <c r="E64" s="1642"/>
      <c r="F64" s="1642"/>
      <c r="G64" s="1642"/>
      <c r="H64" s="1642"/>
      <c r="I64" s="1642"/>
      <c r="J64" s="1642"/>
      <c r="K64" s="1642"/>
      <c r="L64" s="1642"/>
      <c r="M64" s="1642"/>
      <c r="N64" s="213"/>
      <c r="O64" s="1642"/>
      <c r="P64" s="1642"/>
      <c r="Q64" s="1642"/>
      <c r="R64" s="1642"/>
      <c r="S64" s="1642"/>
      <c r="T64" s="1642"/>
      <c r="U64" s="1642"/>
      <c r="V64" s="1642"/>
      <c r="W64" s="1642"/>
      <c r="X64" s="1642"/>
      <c r="Y64" s="1642"/>
      <c r="Z64" s="1642"/>
      <c r="AA64" s="1642"/>
      <c r="AB64" s="1642"/>
      <c r="AC64" s="1642"/>
    </row>
    <row r="65" spans="1:15">
      <c r="A65" s="1642" t="s">
        <v>59</v>
      </c>
      <c r="B65" s="212"/>
      <c r="C65" s="212">
        <f>MAX(C37:C46)</f>
        <v>46015</v>
      </c>
      <c r="D65" s="1642"/>
      <c r="E65" s="1642"/>
      <c r="F65" s="1642"/>
      <c r="G65" s="1642"/>
      <c r="H65" s="1642"/>
      <c r="I65" s="1642"/>
      <c r="J65" s="1642"/>
      <c r="K65" s="1642"/>
      <c r="L65" s="1642"/>
      <c r="M65" s="1642"/>
      <c r="N65" s="213"/>
      <c r="O65" s="1642"/>
    </row>
    <row r="66" spans="1:15">
      <c r="A66" s="1642"/>
      <c r="B66" s="212"/>
      <c r="C66" s="212"/>
      <c r="D66" s="1642"/>
      <c r="E66" s="1642"/>
      <c r="F66" s="1642"/>
      <c r="G66" s="1642"/>
      <c r="H66" s="1642"/>
      <c r="I66" s="1642"/>
      <c r="J66" s="1642"/>
      <c r="K66" s="1642"/>
      <c r="L66" s="1642"/>
      <c r="M66" s="1642"/>
      <c r="N66" s="213"/>
      <c r="O66" s="1642"/>
    </row>
    <row r="67" spans="1:15">
      <c r="A67" s="1642" t="s">
        <v>248</v>
      </c>
      <c r="B67" s="212">
        <f>AVERAGE(B42:B51)</f>
        <v>80351</v>
      </c>
      <c r="C67" s="212">
        <f>AVERAGE(C42:C51)</f>
        <v>14750.4</v>
      </c>
      <c r="D67" s="1642"/>
      <c r="E67" s="1642"/>
      <c r="F67" s="1642"/>
      <c r="G67" s="1642"/>
      <c r="H67" s="1642"/>
      <c r="I67" s="1642"/>
      <c r="J67" s="1642"/>
      <c r="K67" s="1642"/>
      <c r="L67" s="1642"/>
      <c r="M67" s="1642"/>
      <c r="N67" s="1142">
        <f>AVERAGE(N42:N51)</f>
        <v>0.1821387348238088</v>
      </c>
      <c r="O67" s="1642" t="s">
        <v>296</v>
      </c>
    </row>
    <row r="68" spans="1:15">
      <c r="A68" s="1642">
        <v>2025</v>
      </c>
      <c r="B68" s="214">
        <f>B52/B67</f>
        <v>1.0326318278552848</v>
      </c>
      <c r="C68" s="214">
        <f>C52/C67</f>
        <v>0.8721119427269769</v>
      </c>
      <c r="D68" s="1642"/>
      <c r="E68" s="1642"/>
      <c r="F68" s="1642"/>
      <c r="G68" s="1642"/>
      <c r="H68" s="1642"/>
      <c r="I68" s="1642"/>
      <c r="J68" s="1642"/>
      <c r="K68" s="1642"/>
      <c r="L68" s="1642"/>
      <c r="M68" s="1642"/>
      <c r="N68" s="206"/>
      <c r="O68" s="1642"/>
    </row>
    <row r="69" spans="1:15">
      <c r="A69" s="1642"/>
      <c r="B69" s="212"/>
      <c r="C69" s="212"/>
      <c r="D69" s="1642"/>
      <c r="E69" s="1642"/>
      <c r="F69" s="1642"/>
      <c r="G69" s="1642"/>
      <c r="H69" s="1642"/>
      <c r="I69" s="1642"/>
      <c r="J69" s="1642"/>
      <c r="K69" s="1642"/>
      <c r="L69" s="1642"/>
      <c r="M69" s="1642"/>
      <c r="N69" s="212"/>
      <c r="O69" s="1642"/>
    </row>
    <row r="70" spans="1:15">
      <c r="A70" s="215">
        <v>2026</v>
      </c>
      <c r="B70" s="216">
        <f>T5addnl!E70</f>
        <v>61600</v>
      </c>
      <c r="C70" s="216">
        <f>T5addnl!F70</f>
        <v>12500</v>
      </c>
      <c r="D70" s="1642"/>
      <c r="E70" s="1642"/>
      <c r="F70" s="1642"/>
      <c r="G70" s="1642"/>
      <c r="H70" s="1642"/>
      <c r="I70" s="1642"/>
      <c r="J70" s="1642"/>
      <c r="K70" s="1642"/>
      <c r="L70" s="1642"/>
      <c r="M70" s="1642"/>
      <c r="N70" s="1142">
        <f>C70/B70</f>
        <v>0.20292207792207792</v>
      </c>
      <c r="O70" s="1642" t="s">
        <v>296</v>
      </c>
    </row>
    <row r="71" spans="1:15">
      <c r="A71" s="211" t="s">
        <v>299</v>
      </c>
      <c r="B71" s="217"/>
      <c r="C71" s="217"/>
      <c r="D71" s="212"/>
      <c r="E71" s="1642"/>
      <c r="F71" s="1642"/>
      <c r="G71" s="1642"/>
      <c r="H71" s="1642"/>
      <c r="I71" s="1642"/>
      <c r="J71" s="1642"/>
      <c r="K71" s="1642"/>
      <c r="L71" s="1642"/>
      <c r="M71" s="1642"/>
      <c r="N71" s="1642"/>
      <c r="O71" s="1642"/>
    </row>
    <row r="72" spans="1:15">
      <c r="A72" s="49" t="s">
        <v>271</v>
      </c>
      <c r="B72" s="1642"/>
      <c r="C72" s="1642"/>
      <c r="D72" s="1642"/>
      <c r="E72" s="1642"/>
      <c r="F72" s="1642"/>
      <c r="G72" s="1642"/>
      <c r="H72" s="1642"/>
      <c r="I72" s="1642"/>
      <c r="J72" s="1642"/>
      <c r="K72" s="1642"/>
      <c r="L72" s="1642"/>
      <c r="M72" s="1642"/>
      <c r="N72" s="1642"/>
      <c r="O72" s="1642"/>
    </row>
    <row r="73" spans="1:15">
      <c r="A73" s="49"/>
      <c r="B73" s="1642"/>
      <c r="C73" s="1642"/>
      <c r="D73" s="1642"/>
      <c r="E73" s="1642"/>
      <c r="F73" s="1642"/>
      <c r="G73" s="1642"/>
      <c r="H73" s="1642"/>
      <c r="I73" s="1642"/>
      <c r="J73" s="1642"/>
      <c r="K73" s="1642"/>
      <c r="L73" s="1642"/>
      <c r="M73" s="1642"/>
      <c r="N73" s="1642"/>
      <c r="O73" s="1642"/>
    </row>
    <row r="74" spans="1:15">
      <c r="A74" s="49"/>
      <c r="B74" s="1642"/>
      <c r="C74" s="1642"/>
      <c r="D74" s="1642"/>
      <c r="E74" s="1642"/>
      <c r="F74" s="1642"/>
      <c r="G74" s="1642"/>
      <c r="H74" s="1642"/>
      <c r="I74" s="1642"/>
      <c r="J74" s="1642"/>
      <c r="K74" s="1642"/>
      <c r="L74" s="1642"/>
      <c r="M74" s="1642"/>
      <c r="N74" s="1642"/>
      <c r="O74" s="1642"/>
    </row>
    <row r="75" spans="1:15">
      <c r="A75" s="49"/>
      <c r="B75" s="1642"/>
      <c r="C75" s="1642"/>
      <c r="D75" s="1642"/>
      <c r="E75" s="1642"/>
      <c r="F75" s="1642"/>
      <c r="G75" s="1642"/>
      <c r="H75" s="1642"/>
      <c r="I75" s="1642"/>
      <c r="J75" s="1642"/>
      <c r="K75" s="1642"/>
      <c r="L75" s="1642"/>
      <c r="M75" s="1642"/>
      <c r="N75" s="1642"/>
      <c r="O75" s="1642"/>
    </row>
    <row r="76" spans="1:15">
      <c r="A76" s="49"/>
      <c r="B76" s="1642"/>
      <c r="C76" s="1642"/>
      <c r="D76" s="1642"/>
      <c r="E76" s="1642"/>
      <c r="F76" s="1642"/>
      <c r="G76" s="1642"/>
      <c r="H76" s="1642"/>
      <c r="I76" s="1642"/>
      <c r="J76" s="1642"/>
      <c r="K76" s="1642"/>
      <c r="L76" s="1642"/>
      <c r="M76" s="1642"/>
      <c r="N76" s="1642"/>
      <c r="O76" s="1642"/>
    </row>
  </sheetData>
  <mergeCells count="14">
    <mergeCell ref="A2:M2"/>
    <mergeCell ref="A3:A4"/>
    <mergeCell ref="B3:C3"/>
    <mergeCell ref="D3:E3"/>
    <mergeCell ref="F3:G3"/>
    <mergeCell ref="H3:I3"/>
    <mergeCell ref="J3:K3"/>
    <mergeCell ref="L3:M3"/>
    <mergeCell ref="B4:C4"/>
    <mergeCell ref="D4:E4"/>
    <mergeCell ref="F4:G4"/>
    <mergeCell ref="H4:I4"/>
    <mergeCell ref="J4:K4"/>
    <mergeCell ref="L4:M4"/>
  </mergeCells>
  <pageMargins left="0.75" right="0.75" top="1" bottom="1" header="0.5" footer="0.5"/>
  <pageSetup orientation="portrait" horizontalDpi="300" verticalDpi="300" r:id="rId1"/>
  <headerFooter alignWithMargins="0"/>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1933-9135-481A-AF98-07C7814290C5}">
  <sheetPr>
    <tabColor rgb="FF66FF33"/>
  </sheetPr>
  <dimension ref="A1:O58"/>
  <sheetViews>
    <sheetView showGridLines="0" zoomScale="90" zoomScaleNormal="90" workbookViewId="0">
      <selection activeCell="Q18" sqref="Q18"/>
    </sheetView>
  </sheetViews>
  <sheetFormatPr defaultRowHeight="12.75"/>
  <cols>
    <col min="1" max="1" width="10.83203125" customWidth="1"/>
    <col min="2" max="2" width="9.83203125" bestFit="1" customWidth="1"/>
    <col min="3" max="3" width="8.6640625" bestFit="1" customWidth="1"/>
    <col min="4" max="4" width="9" customWidth="1"/>
    <col min="5" max="5" width="9.33203125" bestFit="1" customWidth="1"/>
    <col min="6" max="6" width="9" bestFit="1" customWidth="1"/>
    <col min="7" max="7" width="9.33203125" bestFit="1" customWidth="1"/>
    <col min="8" max="8" width="10.6640625" customWidth="1"/>
    <col min="9" max="9" width="9.33203125" bestFit="1" customWidth="1"/>
    <col min="10" max="10" width="8.6640625" bestFit="1" customWidth="1"/>
    <col min="11" max="11" width="9.33203125" bestFit="1" customWidth="1"/>
    <col min="12" max="12" width="8.6640625" bestFit="1" customWidth="1"/>
    <col min="13" max="13" width="9.33203125" bestFit="1" customWidth="1"/>
    <col min="14" max="14" width="1.6640625" customWidth="1"/>
    <col min="238" max="238" width="5.83203125" bestFit="1" customWidth="1"/>
    <col min="239" max="239" width="8.83203125" bestFit="1" customWidth="1"/>
    <col min="244" max="244" width="11.33203125" bestFit="1" customWidth="1"/>
    <col min="494" max="494" width="5.83203125" bestFit="1" customWidth="1"/>
    <col min="495" max="495" width="8.83203125" bestFit="1" customWidth="1"/>
    <col min="500" max="500" width="11.33203125" bestFit="1" customWidth="1"/>
    <col min="750" max="750" width="5.83203125" bestFit="1" customWidth="1"/>
    <col min="751" max="751" width="8.83203125" bestFit="1" customWidth="1"/>
    <col min="756" max="756" width="11.33203125" bestFit="1" customWidth="1"/>
    <col min="1006" max="1006" width="5.83203125" bestFit="1" customWidth="1"/>
    <col min="1007" max="1007" width="8.83203125" bestFit="1" customWidth="1"/>
    <col min="1012" max="1012" width="11.33203125" bestFit="1" customWidth="1"/>
    <col min="1262" max="1262" width="5.83203125" bestFit="1" customWidth="1"/>
    <col min="1263" max="1263" width="8.83203125" bestFit="1" customWidth="1"/>
    <col min="1268" max="1268" width="11.33203125" bestFit="1" customWidth="1"/>
    <col min="1518" max="1518" width="5.83203125" bestFit="1" customWidth="1"/>
    <col min="1519" max="1519" width="8.83203125" bestFit="1" customWidth="1"/>
    <col min="1524" max="1524" width="11.33203125" bestFit="1" customWidth="1"/>
    <col min="1774" max="1774" width="5.83203125" bestFit="1" customWidth="1"/>
    <col min="1775" max="1775" width="8.83203125" bestFit="1" customWidth="1"/>
    <col min="1780" max="1780" width="11.33203125" bestFit="1" customWidth="1"/>
    <col min="2030" max="2030" width="5.83203125" bestFit="1" customWidth="1"/>
    <col min="2031" max="2031" width="8.83203125" bestFit="1" customWidth="1"/>
    <col min="2036" max="2036" width="11.33203125" bestFit="1" customWidth="1"/>
    <col min="2286" max="2286" width="5.83203125" bestFit="1" customWidth="1"/>
    <col min="2287" max="2287" width="8.83203125" bestFit="1" customWidth="1"/>
    <col min="2292" max="2292" width="11.33203125" bestFit="1" customWidth="1"/>
    <col min="2542" max="2542" width="5.83203125" bestFit="1" customWidth="1"/>
    <col min="2543" max="2543" width="8.83203125" bestFit="1" customWidth="1"/>
    <col min="2548" max="2548" width="11.33203125" bestFit="1" customWidth="1"/>
    <col min="2798" max="2798" width="5.83203125" bestFit="1" customWidth="1"/>
    <col min="2799" max="2799" width="8.83203125" bestFit="1" customWidth="1"/>
    <col min="2804" max="2804" width="11.33203125" bestFit="1" customWidth="1"/>
    <col min="3054" max="3054" width="5.83203125" bestFit="1" customWidth="1"/>
    <col min="3055" max="3055" width="8.83203125" bestFit="1" customWidth="1"/>
    <col min="3060" max="3060" width="11.33203125" bestFit="1" customWidth="1"/>
    <col min="3310" max="3310" width="5.83203125" bestFit="1" customWidth="1"/>
    <col min="3311" max="3311" width="8.83203125" bestFit="1" customWidth="1"/>
    <col min="3316" max="3316" width="11.33203125" bestFit="1" customWidth="1"/>
    <col min="3566" max="3566" width="5.83203125" bestFit="1" customWidth="1"/>
    <col min="3567" max="3567" width="8.83203125" bestFit="1" customWidth="1"/>
    <col min="3572" max="3572" width="11.33203125" bestFit="1" customWidth="1"/>
    <col min="3822" max="3822" width="5.83203125" bestFit="1" customWidth="1"/>
    <col min="3823" max="3823" width="8.83203125" bestFit="1" customWidth="1"/>
    <col min="3828" max="3828" width="11.33203125" bestFit="1" customWidth="1"/>
    <col min="4078" max="4078" width="5.83203125" bestFit="1" customWidth="1"/>
    <col min="4079" max="4079" width="8.83203125" bestFit="1" customWidth="1"/>
    <col min="4084" max="4084" width="11.33203125" bestFit="1" customWidth="1"/>
    <col min="4334" max="4334" width="5.83203125" bestFit="1" customWidth="1"/>
    <col min="4335" max="4335" width="8.83203125" bestFit="1" customWidth="1"/>
    <col min="4340" max="4340" width="11.33203125" bestFit="1" customWidth="1"/>
    <col min="4590" max="4590" width="5.83203125" bestFit="1" customWidth="1"/>
    <col min="4591" max="4591" width="8.83203125" bestFit="1" customWidth="1"/>
    <col min="4596" max="4596" width="11.33203125" bestFit="1" customWidth="1"/>
    <col min="4846" max="4846" width="5.83203125" bestFit="1" customWidth="1"/>
    <col min="4847" max="4847" width="8.83203125" bestFit="1" customWidth="1"/>
    <col min="4852" max="4852" width="11.33203125" bestFit="1" customWidth="1"/>
    <col min="5102" max="5102" width="5.83203125" bestFit="1" customWidth="1"/>
    <col min="5103" max="5103" width="8.83203125" bestFit="1" customWidth="1"/>
    <col min="5108" max="5108" width="11.33203125" bestFit="1" customWidth="1"/>
    <col min="5358" max="5358" width="5.83203125" bestFit="1" customWidth="1"/>
    <col min="5359" max="5359" width="8.83203125" bestFit="1" customWidth="1"/>
    <col min="5364" max="5364" width="11.33203125" bestFit="1" customWidth="1"/>
    <col min="5614" max="5614" width="5.83203125" bestFit="1" customWidth="1"/>
    <col min="5615" max="5615" width="8.83203125" bestFit="1" customWidth="1"/>
    <col min="5620" max="5620" width="11.33203125" bestFit="1" customWidth="1"/>
    <col min="5870" max="5870" width="5.83203125" bestFit="1" customWidth="1"/>
    <col min="5871" max="5871" width="8.83203125" bestFit="1" customWidth="1"/>
    <col min="5876" max="5876" width="11.33203125" bestFit="1" customWidth="1"/>
    <col min="6126" max="6126" width="5.83203125" bestFit="1" customWidth="1"/>
    <col min="6127" max="6127" width="8.83203125" bestFit="1" customWidth="1"/>
    <col min="6132" max="6132" width="11.33203125" bestFit="1" customWidth="1"/>
    <col min="6382" max="6382" width="5.83203125" bestFit="1" customWidth="1"/>
    <col min="6383" max="6383" width="8.83203125" bestFit="1" customWidth="1"/>
    <col min="6388" max="6388" width="11.33203125" bestFit="1" customWidth="1"/>
    <col min="6638" max="6638" width="5.83203125" bestFit="1" customWidth="1"/>
    <col min="6639" max="6639" width="8.83203125" bestFit="1" customWidth="1"/>
    <col min="6644" max="6644" width="11.33203125" bestFit="1" customWidth="1"/>
    <col min="6894" max="6894" width="5.83203125" bestFit="1" customWidth="1"/>
    <col min="6895" max="6895" width="8.83203125" bestFit="1" customWidth="1"/>
    <col min="6900" max="6900" width="11.33203125" bestFit="1" customWidth="1"/>
    <col min="7150" max="7150" width="5.83203125" bestFit="1" customWidth="1"/>
    <col min="7151" max="7151" width="8.83203125" bestFit="1" customWidth="1"/>
    <col min="7156" max="7156" width="11.33203125" bestFit="1" customWidth="1"/>
    <col min="7406" max="7406" width="5.83203125" bestFit="1" customWidth="1"/>
    <col min="7407" max="7407" width="8.83203125" bestFit="1" customWidth="1"/>
    <col min="7412" max="7412" width="11.33203125" bestFit="1" customWidth="1"/>
    <col min="7662" max="7662" width="5.83203125" bestFit="1" customWidth="1"/>
    <col min="7663" max="7663" width="8.83203125" bestFit="1" customWidth="1"/>
    <col min="7668" max="7668" width="11.33203125" bestFit="1" customWidth="1"/>
    <col min="7918" max="7918" width="5.83203125" bestFit="1" customWidth="1"/>
    <col min="7919" max="7919" width="8.83203125" bestFit="1" customWidth="1"/>
    <col min="7924" max="7924" width="11.33203125" bestFit="1" customWidth="1"/>
    <col min="8174" max="8174" width="5.83203125" bestFit="1" customWidth="1"/>
    <col min="8175" max="8175" width="8.83203125" bestFit="1" customWidth="1"/>
    <col min="8180" max="8180" width="11.33203125" bestFit="1" customWidth="1"/>
    <col min="8430" max="8430" width="5.83203125" bestFit="1" customWidth="1"/>
    <col min="8431" max="8431" width="8.83203125" bestFit="1" customWidth="1"/>
    <col min="8436" max="8436" width="11.33203125" bestFit="1" customWidth="1"/>
    <col min="8686" max="8686" width="5.83203125" bestFit="1" customWidth="1"/>
    <col min="8687" max="8687" width="8.83203125" bestFit="1" customWidth="1"/>
    <col min="8692" max="8692" width="11.33203125" bestFit="1" customWidth="1"/>
    <col min="8942" max="8942" width="5.83203125" bestFit="1" customWidth="1"/>
    <col min="8943" max="8943" width="8.83203125" bestFit="1" customWidth="1"/>
    <col min="8948" max="8948" width="11.33203125" bestFit="1" customWidth="1"/>
    <col min="9198" max="9198" width="5.83203125" bestFit="1" customWidth="1"/>
    <col min="9199" max="9199" width="8.83203125" bestFit="1" customWidth="1"/>
    <col min="9204" max="9204" width="11.33203125" bestFit="1" customWidth="1"/>
    <col min="9454" max="9454" width="5.83203125" bestFit="1" customWidth="1"/>
    <col min="9455" max="9455" width="8.83203125" bestFit="1" customWidth="1"/>
    <col min="9460" max="9460" width="11.33203125" bestFit="1" customWidth="1"/>
    <col min="9710" max="9710" width="5.83203125" bestFit="1" customWidth="1"/>
    <col min="9711" max="9711" width="8.83203125" bestFit="1" customWidth="1"/>
    <col min="9716" max="9716" width="11.33203125" bestFit="1" customWidth="1"/>
    <col min="9966" max="9966" width="5.83203125" bestFit="1" customWidth="1"/>
    <col min="9967" max="9967" width="8.83203125" bestFit="1" customWidth="1"/>
    <col min="9972" max="9972" width="11.33203125" bestFit="1" customWidth="1"/>
    <col min="10222" max="10222" width="5.83203125" bestFit="1" customWidth="1"/>
    <col min="10223" max="10223" width="8.83203125" bestFit="1" customWidth="1"/>
    <col min="10228" max="10228" width="11.33203125" bestFit="1" customWidth="1"/>
    <col min="10478" max="10478" width="5.83203125" bestFit="1" customWidth="1"/>
    <col min="10479" max="10479" width="8.83203125" bestFit="1" customWidth="1"/>
    <col min="10484" max="10484" width="11.33203125" bestFit="1" customWidth="1"/>
    <col min="10734" max="10734" width="5.83203125" bestFit="1" customWidth="1"/>
    <col min="10735" max="10735" width="8.83203125" bestFit="1" customWidth="1"/>
    <col min="10740" max="10740" width="11.33203125" bestFit="1" customWidth="1"/>
    <col min="10990" max="10990" width="5.83203125" bestFit="1" customWidth="1"/>
    <col min="10991" max="10991" width="8.83203125" bestFit="1" customWidth="1"/>
    <col min="10996" max="10996" width="11.33203125" bestFit="1" customWidth="1"/>
    <col min="11246" max="11246" width="5.83203125" bestFit="1" customWidth="1"/>
    <col min="11247" max="11247" width="8.83203125" bestFit="1" customWidth="1"/>
    <col min="11252" max="11252" width="11.33203125" bestFit="1" customWidth="1"/>
    <col min="11502" max="11502" width="5.83203125" bestFit="1" customWidth="1"/>
    <col min="11503" max="11503" width="8.83203125" bestFit="1" customWidth="1"/>
    <col min="11508" max="11508" width="11.33203125" bestFit="1" customWidth="1"/>
    <col min="11758" max="11758" width="5.83203125" bestFit="1" customWidth="1"/>
    <col min="11759" max="11759" width="8.83203125" bestFit="1" customWidth="1"/>
    <col min="11764" max="11764" width="11.33203125" bestFit="1" customWidth="1"/>
    <col min="12014" max="12014" width="5.83203125" bestFit="1" customWidth="1"/>
    <col min="12015" max="12015" width="8.83203125" bestFit="1" customWidth="1"/>
    <col min="12020" max="12020" width="11.33203125" bestFit="1" customWidth="1"/>
    <col min="12270" max="12270" width="5.83203125" bestFit="1" customWidth="1"/>
    <col min="12271" max="12271" width="8.83203125" bestFit="1" customWidth="1"/>
    <col min="12276" max="12276" width="11.33203125" bestFit="1" customWidth="1"/>
    <col min="12526" max="12526" width="5.83203125" bestFit="1" customWidth="1"/>
    <col min="12527" max="12527" width="8.83203125" bestFit="1" customWidth="1"/>
    <col min="12532" max="12532" width="11.33203125" bestFit="1" customWidth="1"/>
    <col min="12782" max="12782" width="5.83203125" bestFit="1" customWidth="1"/>
    <col min="12783" max="12783" width="8.83203125" bestFit="1" customWidth="1"/>
    <col min="12788" max="12788" width="11.33203125" bestFit="1" customWidth="1"/>
    <col min="13038" max="13038" width="5.83203125" bestFit="1" customWidth="1"/>
    <col min="13039" max="13039" width="8.83203125" bestFit="1" customWidth="1"/>
    <col min="13044" max="13044" width="11.33203125" bestFit="1" customWidth="1"/>
    <col min="13294" max="13294" width="5.83203125" bestFit="1" customWidth="1"/>
    <col min="13295" max="13295" width="8.83203125" bestFit="1" customWidth="1"/>
    <col min="13300" max="13300" width="11.33203125" bestFit="1" customWidth="1"/>
    <col min="13550" max="13550" width="5.83203125" bestFit="1" customWidth="1"/>
    <col min="13551" max="13551" width="8.83203125" bestFit="1" customWidth="1"/>
    <col min="13556" max="13556" width="11.33203125" bestFit="1" customWidth="1"/>
    <col min="13806" max="13806" width="5.83203125" bestFit="1" customWidth="1"/>
    <col min="13807" max="13807" width="8.83203125" bestFit="1" customWidth="1"/>
    <col min="13812" max="13812" width="11.33203125" bestFit="1" customWidth="1"/>
    <col min="14062" max="14062" width="5.83203125" bestFit="1" customWidth="1"/>
    <col min="14063" max="14063" width="8.83203125" bestFit="1" customWidth="1"/>
    <col min="14068" max="14068" width="11.33203125" bestFit="1" customWidth="1"/>
    <col min="14318" max="14318" width="5.83203125" bestFit="1" customWidth="1"/>
    <col min="14319" max="14319" width="8.83203125" bestFit="1" customWidth="1"/>
    <col min="14324" max="14324" width="11.33203125" bestFit="1" customWidth="1"/>
    <col min="14574" max="14574" width="5.83203125" bestFit="1" customWidth="1"/>
    <col min="14575" max="14575" width="8.83203125" bestFit="1" customWidth="1"/>
    <col min="14580" max="14580" width="11.33203125" bestFit="1" customWidth="1"/>
    <col min="14830" max="14830" width="5.83203125" bestFit="1" customWidth="1"/>
    <col min="14831" max="14831" width="8.83203125" bestFit="1" customWidth="1"/>
    <col min="14836" max="14836" width="11.33203125" bestFit="1" customWidth="1"/>
    <col min="15086" max="15086" width="5.83203125" bestFit="1" customWidth="1"/>
    <col min="15087" max="15087" width="8.83203125" bestFit="1" customWidth="1"/>
    <col min="15092" max="15092" width="11.33203125" bestFit="1" customWidth="1"/>
    <col min="15342" max="15342" width="5.83203125" bestFit="1" customWidth="1"/>
    <col min="15343" max="15343" width="8.83203125" bestFit="1" customWidth="1"/>
    <col min="15348" max="15348" width="11.33203125" bestFit="1" customWidth="1"/>
    <col min="15598" max="15598" width="5.83203125" bestFit="1" customWidth="1"/>
    <col min="15599" max="15599" width="8.83203125" bestFit="1" customWidth="1"/>
    <col min="15604" max="15604" width="11.33203125" bestFit="1" customWidth="1"/>
    <col min="15854" max="15854" width="5.83203125" bestFit="1" customWidth="1"/>
    <col min="15855" max="15855" width="8.83203125" bestFit="1" customWidth="1"/>
    <col min="15860" max="15860" width="11.33203125" bestFit="1" customWidth="1"/>
    <col min="16110" max="16110" width="5.83203125" bestFit="1" customWidth="1"/>
    <col min="16111" max="16111" width="8.83203125" bestFit="1" customWidth="1"/>
    <col min="16116" max="16116" width="11.33203125" bestFit="1" customWidth="1"/>
  </cols>
  <sheetData>
    <row r="1" spans="1:13" ht="15.75">
      <c r="A1" s="60" t="s">
        <v>141</v>
      </c>
    </row>
    <row r="2" spans="1:13" ht="15.75">
      <c r="A2" s="60" t="s">
        <v>300</v>
      </c>
    </row>
    <row r="4" spans="1:13" ht="16.350000000000001" customHeight="1">
      <c r="A4" s="2081"/>
      <c r="B4" s="1733" t="s">
        <v>301</v>
      </c>
      <c r="C4" s="1733"/>
      <c r="D4" s="1733" t="s">
        <v>302</v>
      </c>
      <c r="E4" s="1733"/>
      <c r="F4" s="1733" t="s">
        <v>303</v>
      </c>
      <c r="G4" s="1733"/>
      <c r="H4" s="1733" t="s">
        <v>304</v>
      </c>
      <c r="I4" s="1733"/>
      <c r="J4" s="1733" t="s">
        <v>305</v>
      </c>
      <c r="K4" s="1733"/>
      <c r="L4" s="1733" t="s">
        <v>306</v>
      </c>
      <c r="M4" s="1734"/>
    </row>
    <row r="5" spans="1:13" ht="13.5" thickBot="1">
      <c r="A5" s="2082"/>
      <c r="B5" s="1727"/>
      <c r="C5" s="1727"/>
      <c r="D5" s="1727"/>
      <c r="E5" s="1727"/>
      <c r="F5" s="1727"/>
      <c r="G5" s="1727"/>
      <c r="H5" s="1727"/>
      <c r="I5" s="1727"/>
      <c r="J5" s="1727"/>
      <c r="K5" s="1727"/>
      <c r="L5" s="1727"/>
      <c r="M5" s="1730"/>
    </row>
    <row r="6" spans="1:13" ht="13.5" thickBot="1">
      <c r="A6" s="841" t="s">
        <v>28</v>
      </c>
      <c r="B6" s="1691" t="s">
        <v>36</v>
      </c>
      <c r="C6" s="1691" t="s">
        <v>260</v>
      </c>
      <c r="D6" s="1691" t="s">
        <v>261</v>
      </c>
      <c r="E6" s="1691" t="s">
        <v>126</v>
      </c>
      <c r="F6" s="1691" t="s">
        <v>261</v>
      </c>
      <c r="G6" s="1691" t="s">
        <v>126</v>
      </c>
      <c r="H6" s="1691" t="s">
        <v>261</v>
      </c>
      <c r="I6" s="1691" t="s">
        <v>126</v>
      </c>
      <c r="J6" s="1691" t="s">
        <v>261</v>
      </c>
      <c r="K6" s="1691" t="s">
        <v>126</v>
      </c>
      <c r="L6" s="1691" t="s">
        <v>261</v>
      </c>
      <c r="M6" s="842" t="s">
        <v>126</v>
      </c>
    </row>
    <row r="7" spans="1:13">
      <c r="A7" s="834">
        <v>1980</v>
      </c>
      <c r="B7" s="1318">
        <f>IF(T7_SRManip!B7="","",T7_SRManip!B7)</f>
        <v>27339</v>
      </c>
      <c r="C7" s="1318">
        <f>IF(T7_SRManip!C7="","",T7_SRManip!C7)</f>
        <v>20979</v>
      </c>
      <c r="D7" s="1319">
        <f>IF(T7_SRManip!D7="","",T7_SRManip!D7)</f>
        <v>35</v>
      </c>
      <c r="E7" s="207">
        <f t="shared" ref="E7:E49" si="0">D7/C7*100</f>
        <v>0.16683350016683349</v>
      </c>
      <c r="F7" s="1319">
        <f>IF(T7_SRManip!F7="","",T7_SRManip!F7)</f>
        <v>675</v>
      </c>
      <c r="G7" s="207">
        <f t="shared" ref="G7:G49" si="1">F7/C7*100</f>
        <v>3.2175032175032174</v>
      </c>
      <c r="H7" s="1319">
        <f t="shared" ref="H7:H49" si="2">D7+F7</f>
        <v>710</v>
      </c>
      <c r="I7" s="207">
        <f t="shared" ref="I7:I49" si="3">H7/C7*100</f>
        <v>3.3843367176700507</v>
      </c>
      <c r="J7" s="1318">
        <f>IF(T7_SRManip!J7="","",T7_SRManip!J7)</f>
        <v>13615</v>
      </c>
      <c r="K7" s="207">
        <f t="shared" ref="K7:K49" si="4">J7/C7*100</f>
        <v>64.898231564898239</v>
      </c>
      <c r="L7" s="1318">
        <f>IF(T7_SRManip!L7="","",T7_SRManip!L7)</f>
        <v>6646</v>
      </c>
      <c r="M7" s="843">
        <f t="shared" ref="M7:M49" si="5">L7/C7*100</f>
        <v>31.679298345965012</v>
      </c>
    </row>
    <row r="8" spans="1:13">
      <c r="A8" s="834">
        <v>1981</v>
      </c>
      <c r="B8" s="1318">
        <f>IF(T7_SRManip!B8="","",T7_SRManip!B8)</f>
        <v>35175</v>
      </c>
      <c r="C8" s="1318">
        <f>IF(T7_SRManip!C8="","",T7_SRManip!C8)</f>
        <v>24784</v>
      </c>
      <c r="D8" s="1319">
        <f>IF(T7_SRManip!D8="","",T7_SRManip!D8)</f>
        <v>336</v>
      </c>
      <c r="E8" s="207">
        <f t="shared" si="0"/>
        <v>1.3557133634602969</v>
      </c>
      <c r="F8" s="1319">
        <f>IF(T7_SRManip!F8="","",T7_SRManip!F8)</f>
        <v>1249</v>
      </c>
      <c r="G8" s="207">
        <f t="shared" si="1"/>
        <v>5.0395416397675916</v>
      </c>
      <c r="H8" s="1319">
        <f t="shared" si="2"/>
        <v>1585</v>
      </c>
      <c r="I8" s="207">
        <f t="shared" si="3"/>
        <v>6.3952550032278888</v>
      </c>
      <c r="J8" s="1318">
        <f>IF(T7_SRManip!J8="","",T7_SRManip!J8)</f>
        <v>11013</v>
      </c>
      <c r="K8" s="207">
        <f t="shared" si="4"/>
        <v>44.435926404131699</v>
      </c>
      <c r="L8" s="1318">
        <f>IF(T7_SRManip!L8="","",T7_SRManip!L8)</f>
        <v>12173</v>
      </c>
      <c r="M8" s="843">
        <f t="shared" si="5"/>
        <v>49.116365397030343</v>
      </c>
    </row>
    <row r="9" spans="1:13">
      <c r="A9" s="834">
        <v>1982</v>
      </c>
      <c r="B9" s="1318">
        <f>IF(T7_SRManip!B9="","",T7_SRManip!B9)</f>
        <v>39954</v>
      </c>
      <c r="C9" s="1318">
        <f>IF(T7_SRManip!C9="","",T7_SRManip!C9)</f>
        <v>27633</v>
      </c>
      <c r="D9" s="1319">
        <f>IF(T7_SRManip!D9="","",T7_SRManip!D9)</f>
        <v>479</v>
      </c>
      <c r="E9" s="207">
        <f t="shared" si="0"/>
        <v>1.7334346614555061</v>
      </c>
      <c r="F9" s="1319">
        <f>IF(T7_SRManip!F9="","",T7_SRManip!F9)</f>
        <v>1899</v>
      </c>
      <c r="G9" s="207">
        <f t="shared" si="1"/>
        <v>6.8722180002171314</v>
      </c>
      <c r="H9" s="1319">
        <f t="shared" si="2"/>
        <v>2378</v>
      </c>
      <c r="I9" s="207">
        <f t="shared" si="3"/>
        <v>8.6056526616726376</v>
      </c>
      <c r="J9" s="1318">
        <f>IF(T7_SRManip!J9="","",T7_SRManip!J9)</f>
        <v>13429</v>
      </c>
      <c r="K9" s="207">
        <f t="shared" si="4"/>
        <v>48.597691166359063</v>
      </c>
      <c r="L9" s="1318">
        <f>IF(T7_SRManip!L9="","",T7_SRManip!L9)</f>
        <v>11819</v>
      </c>
      <c r="M9" s="843">
        <f t="shared" si="5"/>
        <v>42.771324141425112</v>
      </c>
    </row>
    <row r="10" spans="1:13">
      <c r="A10" s="834">
        <v>1983</v>
      </c>
      <c r="B10" s="1318">
        <f>IF(T7_SRManip!B10="","",T7_SRManip!B10)</f>
        <v>28216</v>
      </c>
      <c r="C10" s="1318">
        <f>IF(T7_SRManip!C10="","",T7_SRManip!C10)</f>
        <v>21023</v>
      </c>
      <c r="D10" s="1319">
        <f>IF(T7_SRManip!D10="","",T7_SRManip!D10)</f>
        <v>1008</v>
      </c>
      <c r="E10" s="207">
        <f t="shared" si="0"/>
        <v>4.7947486086666986</v>
      </c>
      <c r="F10" s="1319">
        <f>IF(T7_SRManip!F10="","",T7_SRManip!F10)</f>
        <v>846</v>
      </c>
      <c r="G10" s="207">
        <f t="shared" si="1"/>
        <v>4.0241640108452641</v>
      </c>
      <c r="H10" s="1319">
        <f t="shared" si="2"/>
        <v>1854</v>
      </c>
      <c r="I10" s="207">
        <f t="shared" si="3"/>
        <v>8.8189126195119627</v>
      </c>
      <c r="J10" s="1318">
        <f>IF(T7_SRManip!J10="","",T7_SRManip!J10)</f>
        <v>8744</v>
      </c>
      <c r="K10" s="207">
        <f t="shared" si="4"/>
        <v>41.592541502164302</v>
      </c>
      <c r="L10" s="1318">
        <f>IF(T7_SRManip!L10="","",T7_SRManip!L10)</f>
        <v>10424</v>
      </c>
      <c r="M10" s="843">
        <f t="shared" si="5"/>
        <v>49.583789183275464</v>
      </c>
    </row>
    <row r="11" spans="1:13">
      <c r="A11" s="834">
        <v>1984</v>
      </c>
      <c r="B11" s="1318">
        <f>IF(T7_SRManip!B11="","",T7_SRManip!B11)</f>
        <v>20995</v>
      </c>
      <c r="C11" s="1318">
        <f>IF(T7_SRManip!C11="","",T7_SRManip!C11)</f>
        <v>14136</v>
      </c>
      <c r="D11" s="1319">
        <f>IF(T7_SRManip!D11="","",T7_SRManip!D11)</f>
        <v>486</v>
      </c>
      <c r="E11" s="207">
        <f t="shared" si="0"/>
        <v>3.4380305602716468</v>
      </c>
      <c r="F11" s="1319">
        <f>IF(T7_SRManip!F11="","",T7_SRManip!F11)</f>
        <v>938</v>
      </c>
      <c r="G11" s="207">
        <f t="shared" si="1"/>
        <v>6.6355404640633848</v>
      </c>
      <c r="H11" s="1319">
        <f t="shared" si="2"/>
        <v>1424</v>
      </c>
      <c r="I11" s="207">
        <f t="shared" si="3"/>
        <v>10.073571024335031</v>
      </c>
      <c r="J11" s="1318">
        <f>IF(T7_SRManip!J11="","",T7_SRManip!J11)</f>
        <v>4442</v>
      </c>
      <c r="K11" s="207">
        <f t="shared" si="4"/>
        <v>31.423316355404641</v>
      </c>
      <c r="L11" s="1318">
        <f>IF(T7_SRManip!L11="","",T7_SRManip!L11)</f>
        <v>8266</v>
      </c>
      <c r="M11" s="843">
        <f t="shared" si="5"/>
        <v>58.474816072439161</v>
      </c>
    </row>
    <row r="12" spans="1:13">
      <c r="A12" s="834">
        <v>1985</v>
      </c>
      <c r="B12" s="1318">
        <f>IF(T7_SRManip!B12="","",T7_SRManip!B12)</f>
        <v>40760</v>
      </c>
      <c r="C12" s="1318">
        <f>IF(T7_SRManip!C12="","",T7_SRManip!C12)</f>
        <v>14889</v>
      </c>
      <c r="D12" s="1319">
        <f>IF(T7_SRManip!D12="","",T7_SRManip!D12)</f>
        <v>537</v>
      </c>
      <c r="E12" s="207">
        <f t="shared" si="0"/>
        <v>3.6066895023171468</v>
      </c>
      <c r="F12" s="1319">
        <f>IF(T7_SRManip!F12="","",T7_SRManip!F12)</f>
        <v>506</v>
      </c>
      <c r="G12" s="207">
        <f t="shared" si="1"/>
        <v>3.398482100879844</v>
      </c>
      <c r="H12" s="1319">
        <f t="shared" si="2"/>
        <v>1043</v>
      </c>
      <c r="I12" s="207">
        <f t="shared" si="3"/>
        <v>7.0051716031969917</v>
      </c>
      <c r="J12" s="1318">
        <f>IF(T7_SRManip!J12="","",T7_SRManip!J12)</f>
        <v>2570</v>
      </c>
      <c r="K12" s="207">
        <f t="shared" si="4"/>
        <v>17.261065215931222</v>
      </c>
      <c r="L12" s="1318">
        <f>IF(T7_SRManip!L12="","",T7_SRManip!L12)</f>
        <v>11273</v>
      </c>
      <c r="M12" s="843">
        <f t="shared" si="5"/>
        <v>75.71361407750689</v>
      </c>
    </row>
    <row r="13" spans="1:13">
      <c r="A13" s="834">
        <v>1986</v>
      </c>
      <c r="B13" s="1318">
        <f>IF(T7_SRManip!B13="","",T7_SRManip!B13)</f>
        <v>64732</v>
      </c>
      <c r="C13" s="1318">
        <f>IF(T7_SRManip!C13="","",T7_SRManip!C13)</f>
        <v>20154</v>
      </c>
      <c r="D13" s="1319">
        <f>IF(T7_SRManip!D13="","",T7_SRManip!D13)</f>
        <v>411</v>
      </c>
      <c r="E13" s="207">
        <f t="shared" si="0"/>
        <v>2.0392974099434356</v>
      </c>
      <c r="F13" s="1319">
        <f>IF(T7_SRManip!F13="","",T7_SRManip!F13)</f>
        <v>1167</v>
      </c>
      <c r="G13" s="207">
        <f t="shared" si="1"/>
        <v>5.790413813635011</v>
      </c>
      <c r="H13" s="1319">
        <f t="shared" si="2"/>
        <v>1578</v>
      </c>
      <c r="I13" s="207">
        <f t="shared" si="3"/>
        <v>7.8297112235784461</v>
      </c>
      <c r="J13" s="1318">
        <f>IF(T7_SRManip!J13="","",T7_SRManip!J13)</f>
        <v>6582</v>
      </c>
      <c r="K13" s="207">
        <f t="shared" si="4"/>
        <v>32.658529324203634</v>
      </c>
      <c r="L13" s="1318">
        <f>IF(T7_SRManip!L13="","",T7_SRManip!L13)</f>
        <v>11989</v>
      </c>
      <c r="M13" s="843">
        <f t="shared" si="5"/>
        <v>59.486950481294031</v>
      </c>
    </row>
    <row r="14" spans="1:13">
      <c r="A14" s="834">
        <v>1987</v>
      </c>
      <c r="B14" s="1318">
        <f>IF(T7_SRManip!B14="","",T7_SRManip!B14)</f>
        <v>52470</v>
      </c>
      <c r="C14" s="1318">
        <f>IF(T7_SRManip!C14="","",T7_SRManip!C14)</f>
        <v>15927</v>
      </c>
      <c r="D14" s="1319">
        <f>IF(T7_SRManip!D14="","",T7_SRManip!D14)</f>
        <v>245</v>
      </c>
      <c r="E14" s="207">
        <f t="shared" si="0"/>
        <v>1.5382683493438816</v>
      </c>
      <c r="F14" s="1319">
        <f>IF(T7_SRManip!F14="","",T7_SRManip!F14)</f>
        <v>962</v>
      </c>
      <c r="G14" s="207">
        <f t="shared" si="1"/>
        <v>6.0400577635461792</v>
      </c>
      <c r="H14" s="1319">
        <f t="shared" si="2"/>
        <v>1207</v>
      </c>
      <c r="I14" s="207">
        <f t="shared" si="3"/>
        <v>7.5783261128900605</v>
      </c>
      <c r="J14" s="1318">
        <f>IF(T7_SRManip!J14="","",T7_SRManip!J14)</f>
        <v>4000</v>
      </c>
      <c r="K14" s="207">
        <f t="shared" si="4"/>
        <v>25.114585295410308</v>
      </c>
      <c r="L14" s="1318">
        <f>IF(T7_SRManip!L14="","",T7_SRManip!L14)</f>
        <v>10716</v>
      </c>
      <c r="M14" s="843">
        <f t="shared" si="5"/>
        <v>67.281974006404226</v>
      </c>
    </row>
    <row r="15" spans="1:13">
      <c r="A15" s="834">
        <v>1988</v>
      </c>
      <c r="B15" s="1318">
        <f>IF(T7_SRManip!B15="","",T7_SRManip!B15)</f>
        <v>54126</v>
      </c>
      <c r="C15" s="1318">
        <f>IF(T7_SRManip!C15="","",T7_SRManip!C15)</f>
        <v>17385</v>
      </c>
      <c r="D15" s="1319">
        <f>IF(T7_SRManip!D15="","",T7_SRManip!D15)</f>
        <v>1109</v>
      </c>
      <c r="E15" s="207">
        <f t="shared" si="0"/>
        <v>6.3790624101236704</v>
      </c>
      <c r="F15" s="1319">
        <f>IF(T7_SRManip!F15="","",T7_SRManip!F15)</f>
        <v>1132</v>
      </c>
      <c r="G15" s="207">
        <f t="shared" si="1"/>
        <v>6.511360368133448</v>
      </c>
      <c r="H15" s="1319">
        <f t="shared" si="2"/>
        <v>2241</v>
      </c>
      <c r="I15" s="207">
        <f t="shared" si="3"/>
        <v>12.890422778257118</v>
      </c>
      <c r="J15" s="1318">
        <f>IF(T7_SRManip!J15="","",T7_SRManip!J15)</f>
        <v>3567</v>
      </c>
      <c r="K15" s="207">
        <f t="shared" si="4"/>
        <v>20.517687661777394</v>
      </c>
      <c r="L15" s="1318">
        <f>IF(T7_SRManip!L15="","",T7_SRManip!L15)</f>
        <v>11573</v>
      </c>
      <c r="M15" s="843">
        <f t="shared" si="5"/>
        <v>66.568881219442048</v>
      </c>
    </row>
    <row r="16" spans="1:13">
      <c r="A16" s="834">
        <v>1989</v>
      </c>
      <c r="B16" s="1318">
        <f>IF(T7_SRManip!B16="","",T7_SRManip!B16)</f>
        <v>35599</v>
      </c>
      <c r="C16" s="1318">
        <f>IF(T7_SRManip!C16="","",T7_SRManip!C16)</f>
        <v>14757</v>
      </c>
      <c r="D16" s="1319">
        <f>IF(T7_SRManip!D16="","",T7_SRManip!D16)</f>
        <v>349</v>
      </c>
      <c r="E16" s="207">
        <f t="shared" si="0"/>
        <v>2.3649793318425152</v>
      </c>
      <c r="F16" s="1319">
        <f>IF(T7_SRManip!F16="","",T7_SRManip!F16)</f>
        <v>1105</v>
      </c>
      <c r="G16" s="207">
        <f t="shared" si="1"/>
        <v>7.4879718099884807</v>
      </c>
      <c r="H16" s="1319">
        <f t="shared" si="2"/>
        <v>1454</v>
      </c>
      <c r="I16" s="207">
        <f t="shared" si="3"/>
        <v>9.8529511418309959</v>
      </c>
      <c r="J16" s="1318">
        <f>IF(T7_SRManip!J16="","",T7_SRManip!J16)</f>
        <v>6467</v>
      </c>
      <c r="K16" s="207">
        <f t="shared" si="4"/>
        <v>43.823270312394122</v>
      </c>
      <c r="L16" s="1318">
        <f>IF(T7_SRManip!L16="","",T7_SRManip!L16)</f>
        <v>6833</v>
      </c>
      <c r="M16" s="843">
        <f t="shared" si="5"/>
        <v>46.303449210544152</v>
      </c>
    </row>
    <row r="17" spans="1:13">
      <c r="A17" s="834">
        <v>1990</v>
      </c>
      <c r="B17" s="1318">
        <f>IF(T7_SRManip!B17="","",T7_SRManip!B17)</f>
        <v>41439</v>
      </c>
      <c r="C17" s="1318">
        <f>IF(T7_SRManip!C17="","",T7_SRManip!C17)</f>
        <v>17638</v>
      </c>
      <c r="D17" s="1319">
        <f>IF(T7_SRManip!D17="","",T7_SRManip!D17)</f>
        <v>885</v>
      </c>
      <c r="E17" s="207">
        <f t="shared" si="0"/>
        <v>5.0175756888536114</v>
      </c>
      <c r="F17" s="1319">
        <f>IF(T7_SRManip!F17="","",T7_SRManip!F17)</f>
        <v>1138</v>
      </c>
      <c r="G17" s="207">
        <f t="shared" si="1"/>
        <v>6.451978682390294</v>
      </c>
      <c r="H17" s="1319">
        <f t="shared" si="2"/>
        <v>2023</v>
      </c>
      <c r="I17" s="207">
        <f t="shared" si="3"/>
        <v>11.469554371243905</v>
      </c>
      <c r="J17" s="1318">
        <f>IF(T7_SRManip!J17="","",T7_SRManip!J17)</f>
        <v>5757</v>
      </c>
      <c r="K17" s="207">
        <f t="shared" si="4"/>
        <v>32.639755074271463</v>
      </c>
      <c r="L17" s="1318">
        <f>IF(T7_SRManip!L17="","",T7_SRManip!L17)</f>
        <v>9850</v>
      </c>
      <c r="M17" s="843">
        <f t="shared" si="5"/>
        <v>55.845333938088217</v>
      </c>
    </row>
    <row r="18" spans="1:13">
      <c r="A18" s="834">
        <v>1991</v>
      </c>
      <c r="B18" s="1318">
        <f>IF(T7_SRManip!B18="","",T7_SRManip!B18)</f>
        <v>23755</v>
      </c>
      <c r="C18" s="1318">
        <f>IF(T7_SRManip!C18="","",T7_SRManip!C18)</f>
        <v>13156</v>
      </c>
      <c r="D18" s="1319">
        <f>IF(T7_SRManip!D18="","",T7_SRManip!D18)</f>
        <v>518</v>
      </c>
      <c r="E18" s="207">
        <f t="shared" si="0"/>
        <v>3.9373669808452414</v>
      </c>
      <c r="F18" s="1319">
        <f>IF(T7_SRManip!F18="","",T7_SRManip!F18)</f>
        <v>787</v>
      </c>
      <c r="G18" s="207">
        <f t="shared" si="1"/>
        <v>5.9820614168440258</v>
      </c>
      <c r="H18" s="1319">
        <f t="shared" si="2"/>
        <v>1305</v>
      </c>
      <c r="I18" s="207">
        <f t="shared" si="3"/>
        <v>9.9194283976892663</v>
      </c>
      <c r="J18" s="1318">
        <f>IF(T7_SRManip!J18="","",T7_SRManip!J18)</f>
        <v>5834</v>
      </c>
      <c r="K18" s="207">
        <f t="shared" si="4"/>
        <v>44.344785649133478</v>
      </c>
      <c r="L18" s="1318">
        <f>IF(T7_SRManip!L18="","",T7_SRManip!L18)</f>
        <v>6013</v>
      </c>
      <c r="M18" s="843">
        <f t="shared" si="5"/>
        <v>45.705381574946792</v>
      </c>
    </row>
    <row r="19" spans="1:13">
      <c r="A19" s="834">
        <v>1992</v>
      </c>
      <c r="B19" s="1318">
        <f>IF(T7_SRManip!B19="","",T7_SRManip!B19)</f>
        <v>39700</v>
      </c>
      <c r="C19" s="1318">
        <f>IF(T7_SRManip!C19="","",T7_SRManip!C19)</f>
        <v>20647</v>
      </c>
      <c r="D19" s="1319">
        <f>IF(T7_SRManip!D19="","",T7_SRManip!D19)</f>
        <v>334</v>
      </c>
      <c r="E19" s="207">
        <f t="shared" si="0"/>
        <v>1.617668426405773</v>
      </c>
      <c r="F19" s="1319">
        <f>IF(T7_SRManip!F19="","",T7_SRManip!F19)</f>
        <v>1257</v>
      </c>
      <c r="G19" s="207">
        <f t="shared" si="1"/>
        <v>6.0880515329103506</v>
      </c>
      <c r="H19" s="1319">
        <f t="shared" si="2"/>
        <v>1591</v>
      </c>
      <c r="I19" s="207">
        <f t="shared" si="3"/>
        <v>7.7057199593161236</v>
      </c>
      <c r="J19" s="1318">
        <f>IF(T7_SRManip!J19="","",T7_SRManip!J19)</f>
        <v>5994</v>
      </c>
      <c r="K19" s="207">
        <f t="shared" si="4"/>
        <v>29.030851939749112</v>
      </c>
      <c r="L19" s="1318">
        <f>IF(T7_SRManip!L19="","",T7_SRManip!L19)</f>
        <v>13056</v>
      </c>
      <c r="M19" s="843">
        <f t="shared" si="5"/>
        <v>63.234368189083156</v>
      </c>
    </row>
    <row r="20" spans="1:13">
      <c r="A20" s="834">
        <v>1993</v>
      </c>
      <c r="B20" s="1318">
        <f>IF(T7_SRManip!B20="","",T7_SRManip!B20)</f>
        <v>41241</v>
      </c>
      <c r="C20" s="1318">
        <f>IF(T7_SRManip!C20="","",T7_SRManip!C20)</f>
        <v>17425</v>
      </c>
      <c r="D20" s="1319">
        <f>IF(T7_SRManip!D20="","",T7_SRManip!D20)</f>
        <v>143</v>
      </c>
      <c r="E20" s="207">
        <f t="shared" si="0"/>
        <v>0.82065997130559543</v>
      </c>
      <c r="F20" s="1319">
        <f>IF(T7_SRManip!F20="","",T7_SRManip!F20)</f>
        <v>1060</v>
      </c>
      <c r="G20" s="207">
        <f t="shared" si="1"/>
        <v>6.0832137733142035</v>
      </c>
      <c r="H20" s="1319">
        <f t="shared" si="2"/>
        <v>1203</v>
      </c>
      <c r="I20" s="207">
        <f t="shared" si="3"/>
        <v>6.9038737446197995</v>
      </c>
      <c r="J20" s="1318">
        <f>IF(T7_SRManip!J20="","",T7_SRManip!J20)</f>
        <v>4028</v>
      </c>
      <c r="K20" s="207">
        <f t="shared" si="4"/>
        <v>23.116212338593975</v>
      </c>
      <c r="L20" s="1318">
        <f>IF(T7_SRManip!L20="","",T7_SRManip!L20)</f>
        <v>12189</v>
      </c>
      <c r="M20" s="843">
        <f t="shared" si="5"/>
        <v>69.951219512195124</v>
      </c>
    </row>
    <row r="21" spans="1:13">
      <c r="A21" s="834">
        <v>1994</v>
      </c>
      <c r="B21" s="1318">
        <f>IF(T7_SRManip!B21="","",T7_SRManip!B21)</f>
        <v>7787</v>
      </c>
      <c r="C21" s="1318">
        <f>IF(T7_SRManip!C21="","",T7_SRManip!C21)</f>
        <v>3757</v>
      </c>
      <c r="D21" s="1319">
        <f>IF(T7_SRManip!D21="","",T7_SRManip!D21)</f>
        <v>147</v>
      </c>
      <c r="E21" s="207">
        <f t="shared" si="0"/>
        <v>3.9126963002395527</v>
      </c>
      <c r="F21" s="1319">
        <f>IF(T7_SRManip!F21="","",T7_SRManip!F21)</f>
        <v>181</v>
      </c>
      <c r="G21" s="207">
        <f t="shared" si="1"/>
        <v>4.8176736758051639</v>
      </c>
      <c r="H21" s="1319">
        <f t="shared" si="2"/>
        <v>328</v>
      </c>
      <c r="I21" s="207">
        <f t="shared" si="3"/>
        <v>8.7303699760447167</v>
      </c>
      <c r="J21" s="1318">
        <f>IF(T7_SRManip!J21="","",T7_SRManip!J21)</f>
        <v>1476</v>
      </c>
      <c r="K21" s="207">
        <f t="shared" si="4"/>
        <v>39.286664892201223</v>
      </c>
      <c r="L21" s="1318">
        <f>IF(T7_SRManip!L21="","",T7_SRManip!L21)</f>
        <v>1954</v>
      </c>
      <c r="M21" s="843">
        <f t="shared" si="5"/>
        <v>52.00958211338834</v>
      </c>
    </row>
    <row r="22" spans="1:13">
      <c r="A22" s="834">
        <v>1995</v>
      </c>
      <c r="B22" s="1318">
        <f>IF(T7_SRManip!B22="","",T7_SRManip!B22)</f>
        <v>5292</v>
      </c>
      <c r="C22" s="1318">
        <f>IF(T7_SRManip!C22="","",T7_SRManip!C22)</f>
        <v>3415</v>
      </c>
      <c r="D22" s="1319">
        <f>IF(T7_SRManip!D22="","",T7_SRManip!D22)</f>
        <v>3</v>
      </c>
      <c r="E22" s="207">
        <f t="shared" si="0"/>
        <v>8.7847730600292828E-2</v>
      </c>
      <c r="F22" s="1319">
        <f>IF(T7_SRManip!F22="","",T7_SRManip!F22)</f>
        <v>169</v>
      </c>
      <c r="G22" s="207">
        <f t="shared" si="1"/>
        <v>4.9487554904831619</v>
      </c>
      <c r="H22" s="1319">
        <f t="shared" si="2"/>
        <v>172</v>
      </c>
      <c r="I22" s="207">
        <f t="shared" si="3"/>
        <v>5.0366032210834559</v>
      </c>
      <c r="J22" s="1318">
        <f>IF(T7_SRManip!J22="","",T7_SRManip!J22)</f>
        <v>2057</v>
      </c>
      <c r="K22" s="207">
        <f t="shared" si="4"/>
        <v>60.234260614934108</v>
      </c>
      <c r="L22" s="1318">
        <f>IF(T7_SRManip!L22="","",T7_SRManip!L22)</f>
        <v>1186</v>
      </c>
      <c r="M22" s="843">
        <f t="shared" si="5"/>
        <v>34.729136163982432</v>
      </c>
    </row>
    <row r="23" spans="1:13">
      <c r="A23" s="834">
        <v>1996</v>
      </c>
      <c r="B23" s="1318">
        <f>IF(T7_SRManip!B23="","",T7_SRManip!B23)</f>
        <v>17280</v>
      </c>
      <c r="C23" s="1318">
        <f>IF(T7_SRManip!C23="","",T7_SRManip!C23)</f>
        <v>9286</v>
      </c>
      <c r="D23" s="1319">
        <f>IF(T7_SRManip!D23="","",T7_SRManip!D23)</f>
        <v>9</v>
      </c>
      <c r="E23" s="207">
        <f t="shared" si="0"/>
        <v>9.6920094766314885E-2</v>
      </c>
      <c r="F23" s="1319">
        <f>IF(T7_SRManip!F23="","",T7_SRManip!F23)</f>
        <v>487</v>
      </c>
      <c r="G23" s="207">
        <f t="shared" si="1"/>
        <v>5.2444540167994829</v>
      </c>
      <c r="H23" s="1319">
        <f t="shared" si="2"/>
        <v>496</v>
      </c>
      <c r="I23" s="207">
        <f t="shared" si="3"/>
        <v>5.3413741115657976</v>
      </c>
      <c r="J23" s="1318">
        <f>IF(T7_SRManip!J23="","",T7_SRManip!J23)</f>
        <v>5016</v>
      </c>
      <c r="K23" s="207">
        <f t="shared" si="4"/>
        <v>54.016799483092825</v>
      </c>
      <c r="L23" s="1318">
        <f>IF(T7_SRManip!L23="","",T7_SRManip!L23)</f>
        <v>3775</v>
      </c>
      <c r="M23" s="843">
        <f t="shared" si="5"/>
        <v>40.652595304759856</v>
      </c>
    </row>
    <row r="24" spans="1:13">
      <c r="A24" s="834">
        <v>1997</v>
      </c>
      <c r="B24" s="1318">
        <f>IF(T7_SRManip!B24="","",T7_SRManip!B24)</f>
        <v>82938</v>
      </c>
      <c r="C24" s="1318">
        <f>IF(T7_SRManip!C24="","",T7_SRManip!C24)</f>
        <v>8705</v>
      </c>
      <c r="D24" s="1319">
        <f>IF(T7_SRManip!D24="","",T7_SRManip!D24)</f>
        <v>5</v>
      </c>
      <c r="E24" s="207">
        <f t="shared" si="0"/>
        <v>5.7438253877082138E-2</v>
      </c>
      <c r="F24" s="1319">
        <f>IF(T7_SRManip!F24="","",T7_SRManip!F24)</f>
        <v>583</v>
      </c>
      <c r="G24" s="207">
        <f t="shared" si="1"/>
        <v>6.6973004020677767</v>
      </c>
      <c r="H24" s="1319">
        <f t="shared" si="2"/>
        <v>588</v>
      </c>
      <c r="I24" s="207">
        <f t="shared" si="3"/>
        <v>6.7547386559448599</v>
      </c>
      <c r="J24" s="1318">
        <f>IF(T7_SRManip!J24="","",T7_SRManip!J24)</f>
        <v>3408</v>
      </c>
      <c r="K24" s="207">
        <f t="shared" si="4"/>
        <v>39.149913842619185</v>
      </c>
      <c r="L24" s="1318">
        <f>IF(T7_SRManip!L24="","",T7_SRManip!L24)</f>
        <v>4710</v>
      </c>
      <c r="M24" s="843">
        <f t="shared" si="5"/>
        <v>54.106835152211374</v>
      </c>
    </row>
    <row r="25" spans="1:13">
      <c r="A25" s="834">
        <v>1998</v>
      </c>
      <c r="B25" s="1318">
        <f>IF(T7_SRManip!B25="","",T7_SRManip!B25)</f>
        <v>26928</v>
      </c>
      <c r="C25" s="1318">
        <f>IF(T7_SRManip!C25="","",T7_SRManip!C25)</f>
        <v>13814</v>
      </c>
      <c r="D25" s="1319">
        <f>IF(T7_SRManip!D25="","",T7_SRManip!D25)</f>
        <v>13</v>
      </c>
      <c r="E25" s="207">
        <f t="shared" si="0"/>
        <v>9.4107427247719699E-2</v>
      </c>
      <c r="F25" s="1319">
        <f>IF(T7_SRManip!F25="","",T7_SRManip!F25)</f>
        <v>687</v>
      </c>
      <c r="G25" s="207">
        <f t="shared" si="1"/>
        <v>4.973215578398726</v>
      </c>
      <c r="H25" s="1319">
        <f t="shared" si="2"/>
        <v>700</v>
      </c>
      <c r="I25" s="207">
        <f t="shared" si="3"/>
        <v>5.067323005646446</v>
      </c>
      <c r="J25" s="1318">
        <f>IF(T7_SRManip!J25="","",T7_SRManip!J25)</f>
        <v>5760</v>
      </c>
      <c r="K25" s="207">
        <f t="shared" si="4"/>
        <v>41.696829303605035</v>
      </c>
      <c r="L25" s="1318">
        <f>IF(T7_SRManip!L25="","",T7_SRManip!L25)</f>
        <v>7355</v>
      </c>
      <c r="M25" s="843">
        <f t="shared" si="5"/>
        <v>53.243086723613729</v>
      </c>
    </row>
    <row r="26" spans="1:13">
      <c r="A26" s="834">
        <v>1999</v>
      </c>
      <c r="B26" s="1318">
        <f>IF(T7_SRManip!B26="","",T7_SRManip!B26)</f>
        <v>13796</v>
      </c>
      <c r="C26" s="1318">
        <f>IF(T7_SRManip!C26="","",T7_SRManip!C26)</f>
        <v>5848</v>
      </c>
      <c r="D26" s="1319">
        <f>IF(T7_SRManip!D26="","",T7_SRManip!D26)</f>
        <v>6</v>
      </c>
      <c r="E26" s="207">
        <f t="shared" si="0"/>
        <v>0.10259917920656635</v>
      </c>
      <c r="F26" s="1319">
        <f>IF(T7_SRManip!F26="","",T7_SRManip!F26)</f>
        <v>278</v>
      </c>
      <c r="G26" s="207">
        <f t="shared" si="1"/>
        <v>4.7537619699042413</v>
      </c>
      <c r="H26" s="1319">
        <f t="shared" si="2"/>
        <v>284</v>
      </c>
      <c r="I26" s="207">
        <f t="shared" si="3"/>
        <v>4.856361149110807</v>
      </c>
      <c r="J26" s="1318">
        <f>IF(T7_SRManip!J26="","",T7_SRManip!J26)</f>
        <v>2709</v>
      </c>
      <c r="K26" s="207">
        <f t="shared" si="4"/>
        <v>46.32352941176471</v>
      </c>
      <c r="L26" s="1318">
        <f>IF(T7_SRManip!L26="","",T7_SRManip!L26)</f>
        <v>2856</v>
      </c>
      <c r="M26" s="843">
        <f t="shared" si="5"/>
        <v>48.837209302325576</v>
      </c>
    </row>
    <row r="27" spans="1:13">
      <c r="A27" s="834">
        <v>2000</v>
      </c>
      <c r="B27" s="1318">
        <f>IF(T7_SRManip!B27="","",T7_SRManip!B27)</f>
        <v>64702</v>
      </c>
      <c r="C27" s="1318">
        <f>IF(T7_SRManip!C27="","",T7_SRManip!C27)</f>
        <v>14033</v>
      </c>
      <c r="D27" s="1319">
        <f>IF(T7_SRManip!D27="","",T7_SRManip!D27)</f>
        <v>28</v>
      </c>
      <c r="E27" s="207">
        <f t="shared" si="0"/>
        <v>0.19952968003990593</v>
      </c>
      <c r="F27" s="1319">
        <f>IF(T7_SRManip!F27="","",T7_SRManip!F27)</f>
        <v>867</v>
      </c>
      <c r="G27" s="207">
        <f t="shared" si="1"/>
        <v>6.1782940212356587</v>
      </c>
      <c r="H27" s="1319">
        <f t="shared" si="2"/>
        <v>895</v>
      </c>
      <c r="I27" s="207">
        <f t="shared" si="3"/>
        <v>6.377823701275565</v>
      </c>
      <c r="J27" s="1318">
        <f>IF(T7_SRManip!J27="","",T7_SRManip!J27)</f>
        <v>4883</v>
      </c>
      <c r="K27" s="207">
        <f t="shared" si="4"/>
        <v>34.796550986959311</v>
      </c>
      <c r="L27" s="1318">
        <f>IF(T7_SRManip!L27="","",T7_SRManip!L27)</f>
        <v>8255</v>
      </c>
      <c r="M27" s="843">
        <f t="shared" si="5"/>
        <v>58.82562531176513</v>
      </c>
    </row>
    <row r="28" spans="1:13">
      <c r="A28" s="834">
        <v>2001</v>
      </c>
      <c r="B28" s="1318">
        <f>IF(T7_SRManip!B28="","",T7_SRManip!B28)</f>
        <v>262212</v>
      </c>
      <c r="C28" s="1318">
        <f>IF(T7_SRManip!C28="","",T7_SRManip!C28)</f>
        <v>63626</v>
      </c>
      <c r="D28" s="1319">
        <f>IF(T7_SRManip!D28="","",T7_SRManip!D28)</f>
        <v>877</v>
      </c>
      <c r="E28" s="207">
        <f t="shared" si="0"/>
        <v>1.3783673341086977</v>
      </c>
      <c r="F28" s="1319">
        <f>IF(T7_SRManip!F28="","",T7_SRManip!F28)</f>
        <v>8235</v>
      </c>
      <c r="G28" s="207">
        <f t="shared" si="1"/>
        <v>12.942822116744725</v>
      </c>
      <c r="H28" s="1319">
        <f t="shared" si="2"/>
        <v>9112</v>
      </c>
      <c r="I28" s="207">
        <f t="shared" si="3"/>
        <v>14.321189450853424</v>
      </c>
      <c r="J28" s="1318">
        <f>IF(T7_SRManip!J28="","",T7_SRManip!J28)</f>
        <v>9392</v>
      </c>
      <c r="K28" s="207">
        <f t="shared" si="4"/>
        <v>14.76126111966806</v>
      </c>
      <c r="L28" s="1318">
        <f>IF(T7_SRManip!L28="","",T7_SRManip!L28)</f>
        <v>45273</v>
      </c>
      <c r="M28" s="843">
        <f t="shared" si="5"/>
        <v>71.154873793732122</v>
      </c>
    </row>
    <row r="29" spans="1:13">
      <c r="A29" s="834">
        <v>2002</v>
      </c>
      <c r="B29" s="1318">
        <f>IF(T7_SRManip!B29="","",T7_SRManip!B29)</f>
        <v>174142</v>
      </c>
      <c r="C29" s="1318">
        <f>IF(T7_SRManip!C29="","",T7_SRManip!C29)</f>
        <v>53221</v>
      </c>
      <c r="D29" s="1319">
        <f>IF(T7_SRManip!D29="","",T7_SRManip!D29)</f>
        <v>967</v>
      </c>
      <c r="E29" s="207">
        <f t="shared" si="0"/>
        <v>1.8169519550553352</v>
      </c>
      <c r="F29" s="1319">
        <f>IF(T7_SRManip!F29="","",T7_SRManip!F29)</f>
        <v>5755</v>
      </c>
      <c r="G29" s="207">
        <f t="shared" si="1"/>
        <v>10.813400725277617</v>
      </c>
      <c r="H29" s="1319">
        <f t="shared" si="2"/>
        <v>6722</v>
      </c>
      <c r="I29" s="207">
        <f t="shared" si="3"/>
        <v>12.630352680332951</v>
      </c>
      <c r="J29" s="1318">
        <f>IF(T7_SRManip!J29="","",T7_SRManip!J29)</f>
        <v>16042</v>
      </c>
      <c r="K29" s="207">
        <f t="shared" si="4"/>
        <v>30.14223708686421</v>
      </c>
      <c r="L29" s="1318">
        <f>IF(T7_SRManip!L29="","",T7_SRManip!L29)</f>
        <v>30213</v>
      </c>
      <c r="M29" s="843">
        <f t="shared" si="5"/>
        <v>56.768944589541725</v>
      </c>
    </row>
    <row r="30" spans="1:13">
      <c r="A30" s="834">
        <v>2003</v>
      </c>
      <c r="B30" s="1318">
        <f>IF(T7_SRManip!B30="","",T7_SRManip!B30)</f>
        <v>138708</v>
      </c>
      <c r="C30" s="1318">
        <f>IF(T7_SRManip!C30="","",T7_SRManip!C30)</f>
        <v>51014</v>
      </c>
      <c r="D30" s="1319">
        <f>IF(T7_SRManip!D30="","",T7_SRManip!D30)</f>
        <v>815</v>
      </c>
      <c r="E30" s="207">
        <f t="shared" si="0"/>
        <v>1.5976006586427256</v>
      </c>
      <c r="F30" s="1319">
        <f>IF(T7_SRManip!F30="","",T7_SRManip!F30)</f>
        <v>4002</v>
      </c>
      <c r="G30" s="207">
        <f t="shared" si="1"/>
        <v>7.8449053201082055</v>
      </c>
      <c r="H30" s="1319">
        <f t="shared" si="2"/>
        <v>4817</v>
      </c>
      <c r="I30" s="207">
        <f t="shared" si="3"/>
        <v>9.4425059787509316</v>
      </c>
      <c r="J30" s="1318">
        <f>IF(T7_SRManip!J30="","",T7_SRManip!J30)</f>
        <v>13466</v>
      </c>
      <c r="K30" s="207">
        <f t="shared" si="4"/>
        <v>26.396675422433059</v>
      </c>
      <c r="L30" s="1318">
        <f>IF(T7_SRManip!L30="","",T7_SRManip!L30)</f>
        <v>32324</v>
      </c>
      <c r="M30" s="843">
        <f t="shared" si="5"/>
        <v>63.362998392598115</v>
      </c>
    </row>
    <row r="31" spans="1:13">
      <c r="A31" s="834">
        <v>2004</v>
      </c>
      <c r="B31" s="1318">
        <f>IF(T7_SRManip!B31="","",T7_SRManip!B31)</f>
        <v>126334</v>
      </c>
      <c r="C31" s="1318">
        <f>IF(T7_SRManip!C31="","",T7_SRManip!C31)</f>
        <v>33220</v>
      </c>
      <c r="D31" s="1319">
        <f>IF(T7_SRManip!D31="","",T7_SRManip!D31)</f>
        <v>721</v>
      </c>
      <c r="E31" s="207">
        <f t="shared" si="0"/>
        <v>2.1703792895845875</v>
      </c>
      <c r="F31" s="1319">
        <f>IF(T7_SRManip!F31="","",T7_SRManip!F31)</f>
        <v>2872</v>
      </c>
      <c r="G31" s="207">
        <f t="shared" si="1"/>
        <v>8.6453943407585783</v>
      </c>
      <c r="H31" s="1319">
        <f t="shared" si="2"/>
        <v>3593</v>
      </c>
      <c r="I31" s="207">
        <f t="shared" si="3"/>
        <v>10.815773630343168</v>
      </c>
      <c r="J31" s="1318">
        <f>IF(T7_SRManip!J31="","",T7_SRManip!J31)</f>
        <v>8040</v>
      </c>
      <c r="K31" s="207">
        <f t="shared" si="4"/>
        <v>24.202287778446717</v>
      </c>
      <c r="L31" s="1318">
        <f>IF(T7_SRManip!L31="","",T7_SRManip!L31)</f>
        <v>21367</v>
      </c>
      <c r="M31" s="843">
        <f t="shared" si="5"/>
        <v>64.319686935580975</v>
      </c>
    </row>
    <row r="32" spans="1:13">
      <c r="A32" s="834">
        <v>2005</v>
      </c>
      <c r="B32" s="1318">
        <f>IF(T7_SRManip!B32="","",T7_SRManip!B32)</f>
        <v>51483</v>
      </c>
      <c r="C32" s="1318">
        <f>IF(T7_SRManip!C32="","",T7_SRManip!C32)</f>
        <v>15697</v>
      </c>
      <c r="D32" s="1319">
        <f>IF(T7_SRManip!D32="","",T7_SRManip!D32)</f>
        <v>267</v>
      </c>
      <c r="E32" s="207">
        <f t="shared" si="0"/>
        <v>1.7009619672548895</v>
      </c>
      <c r="F32" s="1319">
        <f>IF(T7_SRManip!F32="","",T7_SRManip!F32)</f>
        <v>963</v>
      </c>
      <c r="G32" s="207">
        <f t="shared" si="1"/>
        <v>6.1349302414474103</v>
      </c>
      <c r="H32" s="1319">
        <f t="shared" si="2"/>
        <v>1230</v>
      </c>
      <c r="I32" s="207">
        <f t="shared" si="3"/>
        <v>7.8358922087022993</v>
      </c>
      <c r="J32" s="1318">
        <f>IF(T7_SRManip!J32="","",T7_SRManip!J32)</f>
        <v>4272</v>
      </c>
      <c r="K32" s="207">
        <f t="shared" si="4"/>
        <v>27.215391476078231</v>
      </c>
      <c r="L32" s="1318">
        <f>IF(T7_SRManip!L32="","",T7_SRManip!L32)</f>
        <v>10131</v>
      </c>
      <c r="M32" s="843">
        <f t="shared" si="5"/>
        <v>64.540995094604057</v>
      </c>
    </row>
    <row r="33" spans="1:15">
      <c r="A33" s="834">
        <v>2006</v>
      </c>
      <c r="B33" s="1318">
        <f>IF(T7_SRManip!B33="","",T7_SRManip!B33)</f>
        <v>53109</v>
      </c>
      <c r="C33" s="1318">
        <f>IF(T7_SRManip!C33="","",T7_SRManip!C33)</f>
        <v>16789</v>
      </c>
      <c r="D33" s="1319">
        <f>IF(T7_SRManip!D33="","",T7_SRManip!D33)</f>
        <v>258</v>
      </c>
      <c r="E33" s="207">
        <f t="shared" si="0"/>
        <v>1.5367204717374472</v>
      </c>
      <c r="F33" s="1319">
        <f>IF(T7_SRManip!F33="","",T7_SRManip!F33)</f>
        <v>1046</v>
      </c>
      <c r="G33" s="207">
        <f t="shared" si="1"/>
        <v>6.2302698195246888</v>
      </c>
      <c r="H33" s="1319">
        <f t="shared" si="2"/>
        <v>1304</v>
      </c>
      <c r="I33" s="207">
        <f t="shared" si="3"/>
        <v>7.7669902912621351</v>
      </c>
      <c r="J33" s="1318">
        <f>IF(T7_SRManip!J33="","",T7_SRManip!J33)</f>
        <v>5848</v>
      </c>
      <c r="K33" s="207">
        <f t="shared" si="4"/>
        <v>34.832330692715466</v>
      </c>
      <c r="L33" s="1318">
        <f>IF(T7_SRManip!L33="","",T7_SRManip!L33)</f>
        <v>9485</v>
      </c>
      <c r="M33" s="843">
        <f t="shared" si="5"/>
        <v>56.495324319494912</v>
      </c>
    </row>
    <row r="34" spans="1:15">
      <c r="A34" s="834">
        <v>2007</v>
      </c>
      <c r="B34" s="1318">
        <f>IF(T7_SRManip!B34="","",T7_SRManip!B34)</f>
        <v>45478</v>
      </c>
      <c r="C34" s="1318">
        <f>IF(T7_SRManip!C34="","",T7_SRManip!C34)</f>
        <v>10492</v>
      </c>
      <c r="D34" s="1319">
        <f>IF(T7_SRManip!D34="","",T7_SRManip!D34)</f>
        <v>146</v>
      </c>
      <c r="E34" s="207">
        <f t="shared" si="0"/>
        <v>1.3915364086923372</v>
      </c>
      <c r="F34" s="1319">
        <f>IF(T7_SRManip!F34="","",T7_SRManip!F34)</f>
        <v>763</v>
      </c>
      <c r="G34" s="207">
        <f t="shared" si="1"/>
        <v>7.2722073961113232</v>
      </c>
      <c r="H34" s="1319">
        <f t="shared" si="2"/>
        <v>909</v>
      </c>
      <c r="I34" s="207">
        <f t="shared" si="3"/>
        <v>8.6637438048036604</v>
      </c>
      <c r="J34" s="1318">
        <f>IF(T7_SRManip!J34="","",T7_SRManip!J34)</f>
        <v>2334</v>
      </c>
      <c r="K34" s="207">
        <f t="shared" si="4"/>
        <v>22.245520396492566</v>
      </c>
      <c r="L34" s="1318">
        <f>IF(T7_SRManip!L34="","",T7_SRManip!L34)</f>
        <v>7088</v>
      </c>
      <c r="M34" s="843">
        <f t="shared" si="5"/>
        <v>67.556233320625239</v>
      </c>
    </row>
    <row r="35" spans="1:15">
      <c r="A35" s="834">
        <v>2008</v>
      </c>
      <c r="B35" s="1318">
        <f>IF(T7_SRManip!B35="","",T7_SRManip!B35)</f>
        <v>101003</v>
      </c>
      <c r="C35" s="1318">
        <f>IF(T7_SRManip!C35="","",T7_SRManip!C35)</f>
        <v>24072</v>
      </c>
      <c r="D35" s="1319">
        <f>IF(T7_SRManip!D35="","",T7_SRManip!D35)</f>
        <v>524</v>
      </c>
      <c r="E35" s="207">
        <f t="shared" si="0"/>
        <v>2.1768029245596545</v>
      </c>
      <c r="F35" s="1319">
        <f>IF(T7_SRManip!F35="","",T7_SRManip!F35)</f>
        <v>3304</v>
      </c>
      <c r="G35" s="207">
        <f t="shared" si="1"/>
        <v>13.725490196078432</v>
      </c>
      <c r="H35" s="1319">
        <f t="shared" si="2"/>
        <v>3828</v>
      </c>
      <c r="I35" s="207">
        <f t="shared" si="3"/>
        <v>15.902293120638086</v>
      </c>
      <c r="J35" s="1318">
        <f>IF(T7_SRManip!J35="","",T7_SRManip!J35)</f>
        <v>2378</v>
      </c>
      <c r="K35" s="207">
        <f t="shared" si="4"/>
        <v>9.8786972416085082</v>
      </c>
      <c r="L35" s="1318">
        <f>IF(T7_SRManip!L35="","",T7_SRManip!L35)</f>
        <v>17574</v>
      </c>
      <c r="M35" s="843">
        <f t="shared" si="5"/>
        <v>73.00598205383848</v>
      </c>
    </row>
    <row r="36" spans="1:15" ht="12.75" customHeight="1">
      <c r="A36" s="834">
        <v>2009</v>
      </c>
      <c r="B36" s="1318">
        <f>IF(T7_SRManip!B36="","",T7_SRManip!B36)</f>
        <v>90117</v>
      </c>
      <c r="C36" s="1318">
        <f>IF(T7_SRManip!C36="","",T7_SRManip!C36)</f>
        <v>20516</v>
      </c>
      <c r="D36" s="1319">
        <f>IF(T7_SRManip!D36="","",T7_SRManip!D36)</f>
        <v>339</v>
      </c>
      <c r="E36" s="207">
        <f t="shared" si="0"/>
        <v>1.6523688828231624</v>
      </c>
      <c r="F36" s="1319">
        <f>IF(T7_SRManip!F36="","",T7_SRManip!F36)</f>
        <v>1769</v>
      </c>
      <c r="G36" s="207">
        <f t="shared" si="1"/>
        <v>8.6225385065314875</v>
      </c>
      <c r="H36" s="1319">
        <f t="shared" si="2"/>
        <v>2108</v>
      </c>
      <c r="I36" s="207">
        <f t="shared" si="3"/>
        <v>10.274907389354651</v>
      </c>
      <c r="J36" s="1318">
        <f>IF(T7_SRManip!J36="","",T7_SRManip!J36)</f>
        <v>3378</v>
      </c>
      <c r="K36" s="207">
        <f t="shared" si="4"/>
        <v>16.46519789432638</v>
      </c>
      <c r="L36" s="1318">
        <f>IF(T7_SRManip!L36="","",T7_SRManip!L36)</f>
        <v>14947</v>
      </c>
      <c r="M36" s="843">
        <f t="shared" si="5"/>
        <v>72.855332423474366</v>
      </c>
    </row>
    <row r="37" spans="1:15" ht="12.75" customHeight="1">
      <c r="A37" s="834">
        <v>2010</v>
      </c>
      <c r="B37" s="1318">
        <f>IF(T7_SRManip!B37="","",T7_SRManip!B37)</f>
        <v>166291</v>
      </c>
      <c r="C37" s="1318">
        <f>IF(T7_SRManip!C37="","",T7_SRManip!C37)</f>
        <v>34968</v>
      </c>
      <c r="D37" s="1319">
        <f>IF(T7_SRManip!D37="","",T7_SRManip!D37)</f>
        <v>660</v>
      </c>
      <c r="E37" s="207">
        <f t="shared" si="0"/>
        <v>1.887439945092656</v>
      </c>
      <c r="F37" s="1319">
        <f>IF(T7_SRManip!F37="","",T7_SRManip!F37)</f>
        <v>5227</v>
      </c>
      <c r="G37" s="207">
        <f t="shared" si="1"/>
        <v>14.947952413635324</v>
      </c>
      <c r="H37" s="1319">
        <f t="shared" si="2"/>
        <v>5887</v>
      </c>
      <c r="I37" s="207">
        <f t="shared" si="3"/>
        <v>16.835392358727979</v>
      </c>
      <c r="J37" s="1318">
        <f>IF(T7_SRManip!J37="","",T7_SRManip!J37)</f>
        <v>2063</v>
      </c>
      <c r="K37" s="207">
        <f t="shared" si="4"/>
        <v>5.8996797071608329</v>
      </c>
      <c r="L37" s="1318">
        <f>IF(T7_SRManip!L37="","",T7_SRManip!L37)</f>
        <v>26622</v>
      </c>
      <c r="M37" s="843">
        <f t="shared" si="5"/>
        <v>76.1324639670556</v>
      </c>
    </row>
    <row r="38" spans="1:15" ht="12.75" customHeight="1">
      <c r="A38" s="834">
        <v>2011</v>
      </c>
      <c r="B38" s="1318">
        <f>IF(T7_SRManip!B38="","",T7_SRManip!B38)</f>
        <v>124001</v>
      </c>
      <c r="C38" s="1318">
        <f>IF(T7_SRManip!C38="","",T7_SRManip!C38)</f>
        <v>30780</v>
      </c>
      <c r="D38" s="1319">
        <f>IF(T7_SRManip!D38="","",T7_SRManip!D38)</f>
        <v>452</v>
      </c>
      <c r="E38" s="207">
        <f t="shared" si="0"/>
        <v>1.4684860298895386</v>
      </c>
      <c r="F38" s="1319">
        <f>IF(T7_SRManip!F38="","",T7_SRManip!F38)</f>
        <v>2272</v>
      </c>
      <c r="G38" s="207">
        <f t="shared" si="1"/>
        <v>7.3814165042235214</v>
      </c>
      <c r="H38" s="1319">
        <f t="shared" si="2"/>
        <v>2724</v>
      </c>
      <c r="I38" s="207">
        <f t="shared" si="3"/>
        <v>8.8499025341130597</v>
      </c>
      <c r="J38" s="1318">
        <f>IF(T7_SRManip!J38="","",T7_SRManip!J38)</f>
        <v>3180</v>
      </c>
      <c r="K38" s="207">
        <f t="shared" si="4"/>
        <v>10.331384015594541</v>
      </c>
      <c r="L38" s="1318">
        <f>IF(T7_SRManip!L38="","",T7_SRManip!L38)</f>
        <v>24526</v>
      </c>
      <c r="M38" s="843">
        <f t="shared" si="5"/>
        <v>79.681611435997397</v>
      </c>
    </row>
    <row r="39" spans="1:15" ht="12.75" customHeight="1">
      <c r="A39" s="834">
        <v>2012</v>
      </c>
      <c r="B39" s="1318">
        <f>IF(T7_SRManip!B39="","",T7_SRManip!B39)</f>
        <v>114106</v>
      </c>
      <c r="C39" s="1318">
        <f>IF(T7_SRManip!C39="","",T7_SRManip!C39)</f>
        <v>35288</v>
      </c>
      <c r="D39" s="1319">
        <f>IF(T7_SRManip!D39="","",T7_SRManip!D39)</f>
        <v>482</v>
      </c>
      <c r="E39" s="207">
        <f t="shared" si="0"/>
        <v>1.3659034232600318</v>
      </c>
      <c r="F39" s="1319">
        <f>IF(T7_SRManip!F39="","",T7_SRManip!F39)</f>
        <v>3283</v>
      </c>
      <c r="G39" s="207">
        <f t="shared" si="1"/>
        <v>9.3034459306279746</v>
      </c>
      <c r="H39" s="1319">
        <f t="shared" si="2"/>
        <v>3765</v>
      </c>
      <c r="I39" s="207">
        <f t="shared" si="3"/>
        <v>10.669349353888007</v>
      </c>
      <c r="J39" s="1318">
        <f>IF(T7_SRManip!J39="","",T7_SRManip!J39)</f>
        <v>5652</v>
      </c>
      <c r="K39" s="207">
        <f t="shared" si="4"/>
        <v>16.016776241215144</v>
      </c>
      <c r="L39" s="1318">
        <f>IF(T7_SRManip!L39="","",T7_SRManip!L39)</f>
        <v>25634</v>
      </c>
      <c r="M39" s="843">
        <f t="shared" si="5"/>
        <v>72.642257991385179</v>
      </c>
    </row>
    <row r="40" spans="1:15" ht="12.75" customHeight="1">
      <c r="A40" s="834">
        <v>2013</v>
      </c>
      <c r="B40" s="1318">
        <f>IF(T7_SRManip!B40="","",T7_SRManip!B40)</f>
        <v>68901</v>
      </c>
      <c r="C40" s="1318">
        <f>IF(T7_SRManip!C40="","",T7_SRManip!C40)</f>
        <v>22469</v>
      </c>
      <c r="D40" s="1319">
        <f>IF(T7_SRManip!D40="","",T7_SRManip!D40)</f>
        <v>313</v>
      </c>
      <c r="E40" s="207">
        <f t="shared" si="0"/>
        <v>1.3930303974364682</v>
      </c>
      <c r="F40" s="1319">
        <f>IF(T7_SRManip!F40="","",T7_SRManip!F40)</f>
        <v>1865</v>
      </c>
      <c r="G40" s="207">
        <f t="shared" si="1"/>
        <v>8.3003248920735242</v>
      </c>
      <c r="H40" s="1319">
        <f t="shared" si="2"/>
        <v>2178</v>
      </c>
      <c r="I40" s="207">
        <f t="shared" si="3"/>
        <v>9.6933552895099915</v>
      </c>
      <c r="J40" s="1318">
        <f>IF(T7_SRManip!J40="","",T7_SRManip!J40)</f>
        <v>5538</v>
      </c>
      <c r="K40" s="207">
        <f t="shared" si="4"/>
        <v>24.647291824291244</v>
      </c>
      <c r="L40" s="1318">
        <f>IF(T7_SRManip!L40="","",T7_SRManip!L40)</f>
        <v>14576</v>
      </c>
      <c r="M40" s="843">
        <f t="shared" si="5"/>
        <v>64.871600872312968</v>
      </c>
    </row>
    <row r="41" spans="1:15" ht="12.75" customHeight="1">
      <c r="A41" s="834">
        <v>2014</v>
      </c>
      <c r="B41" s="1318">
        <f>IF(T7_SRManip!B41="","",T7_SRManip!B41)</f>
        <v>137860</v>
      </c>
      <c r="C41" s="1318">
        <f>IF(T7_SRManip!C41="","",T7_SRManip!C41)</f>
        <v>46015</v>
      </c>
      <c r="D41" s="1319">
        <f>IF(T7_SRManip!D41="","",T7_SRManip!D41)</f>
        <v>783</v>
      </c>
      <c r="E41" s="207">
        <f t="shared" si="0"/>
        <v>1.7016190372704552</v>
      </c>
      <c r="F41" s="1319">
        <f>IF(T7_SRManip!F41="","",T7_SRManip!F41)</f>
        <v>4932</v>
      </c>
      <c r="G41" s="207">
        <f t="shared" si="1"/>
        <v>10.718244050852983</v>
      </c>
      <c r="H41" s="1319">
        <f t="shared" si="2"/>
        <v>5715</v>
      </c>
      <c r="I41" s="207">
        <f t="shared" si="3"/>
        <v>12.419863088123439</v>
      </c>
      <c r="J41" s="1318">
        <f>IF(T7_SRManip!J41="","",T7_SRManip!J41)</f>
        <v>7365</v>
      </c>
      <c r="K41" s="207">
        <f t="shared" si="4"/>
        <v>16.005650331413669</v>
      </c>
      <c r="L41" s="1318">
        <f>IF(T7_SRManip!L41="","",T7_SRManip!L41)</f>
        <v>32065</v>
      </c>
      <c r="M41" s="843">
        <f t="shared" si="5"/>
        <v>69.683798761273493</v>
      </c>
    </row>
    <row r="42" spans="1:15" ht="12.75" customHeight="1">
      <c r="A42" s="834">
        <v>2015</v>
      </c>
      <c r="B42" s="1318">
        <f>IF(T7_SRManip!B42="","",T7_SRManip!B42)</f>
        <v>166076</v>
      </c>
      <c r="C42" s="1318">
        <f>IF(T7_SRManip!C42="","",T7_SRManip!C42)</f>
        <v>30621</v>
      </c>
      <c r="D42" s="1319">
        <f>IF(T7_SRManip!D42="","",T7_SRManip!D42)</f>
        <v>590</v>
      </c>
      <c r="E42" s="207">
        <f t="shared" si="0"/>
        <v>1.9267822736030826</v>
      </c>
      <c r="F42" s="1319">
        <f>IF(T7_SRManip!F42="","",T7_SRManip!F42)</f>
        <v>3509</v>
      </c>
      <c r="G42" s="207">
        <f t="shared" si="1"/>
        <v>11.459455928937658</v>
      </c>
      <c r="H42" s="1319">
        <f t="shared" si="2"/>
        <v>4099</v>
      </c>
      <c r="I42" s="207">
        <f t="shared" si="3"/>
        <v>13.38623820254074</v>
      </c>
      <c r="J42" s="1318">
        <f>IF(T7_SRManip!J42="","",T7_SRManip!J42)</f>
        <v>3768</v>
      </c>
      <c r="K42" s="207">
        <f t="shared" si="4"/>
        <v>12.305280689722739</v>
      </c>
      <c r="L42" s="1318">
        <f>IF(T7_SRManip!L42="","",T7_SRManip!L42)</f>
        <v>22577</v>
      </c>
      <c r="M42" s="843">
        <f t="shared" si="5"/>
        <v>73.7304464256556</v>
      </c>
    </row>
    <row r="43" spans="1:15">
      <c r="A43" s="834">
        <v>2016</v>
      </c>
      <c r="B43" s="1318">
        <f>IF(T7_SRManip!B43="","",T7_SRManip!B43)</f>
        <v>111594</v>
      </c>
      <c r="C43" s="1318">
        <f>IF(T7_SRManip!C43="","",T7_SRManip!C43)</f>
        <v>23861</v>
      </c>
      <c r="D43" s="1319">
        <f>IF(T7_SRManip!D43="","",T7_SRManip!D43)</f>
        <v>405</v>
      </c>
      <c r="E43" s="207">
        <f t="shared" si="0"/>
        <v>1.697330371736306</v>
      </c>
      <c r="F43" s="1319">
        <f>IF(T7_SRManip!F43="","",T7_SRManip!F43)</f>
        <v>2221</v>
      </c>
      <c r="G43" s="207">
        <f t="shared" si="1"/>
        <v>9.3080759398181119</v>
      </c>
      <c r="H43" s="1319">
        <f t="shared" si="2"/>
        <v>2626</v>
      </c>
      <c r="I43" s="207">
        <f t="shared" si="3"/>
        <v>11.005406311554419</v>
      </c>
      <c r="J43" s="1318">
        <f>IF(T7_SRManip!J43="","",T7_SRManip!J43)</f>
        <v>4883</v>
      </c>
      <c r="K43" s="207">
        <f t="shared" si="4"/>
        <v>20.464356062193538</v>
      </c>
      <c r="L43" s="1318">
        <f>IF(T7_SRManip!L43="","",T7_SRManip!L43)</f>
        <v>16161</v>
      </c>
      <c r="M43" s="843">
        <f t="shared" si="5"/>
        <v>67.729768241062828</v>
      </c>
    </row>
    <row r="44" spans="1:15">
      <c r="A44" s="834">
        <v>2017</v>
      </c>
      <c r="B44" s="1318">
        <f>IF(T7_SRManip!B44="","",T7_SRManip!B44)</f>
        <v>60048</v>
      </c>
      <c r="C44" s="1318">
        <f>IF(T7_SRManip!C44="","",T7_SRManip!C44)</f>
        <v>7242</v>
      </c>
      <c r="D44" s="1319">
        <f>IF(T7_SRManip!D44="","",T7_SRManip!D44)</f>
        <v>81</v>
      </c>
      <c r="E44" s="207">
        <f t="shared" si="0"/>
        <v>1.1184755592377795</v>
      </c>
      <c r="F44" s="1319">
        <f>IF(T7_SRManip!F44="","",T7_SRManip!F44)</f>
        <v>542</v>
      </c>
      <c r="G44" s="207">
        <f t="shared" si="1"/>
        <v>7.4841204087268718</v>
      </c>
      <c r="H44" s="1319">
        <f t="shared" si="2"/>
        <v>623</v>
      </c>
      <c r="I44" s="207">
        <f t="shared" si="3"/>
        <v>8.6025959679646498</v>
      </c>
      <c r="J44" s="1318">
        <f>IF(T7_SRManip!J44="","",T7_SRManip!J44)</f>
        <v>2190</v>
      </c>
      <c r="K44" s="207">
        <f t="shared" si="4"/>
        <v>30.240265120132559</v>
      </c>
      <c r="L44" s="1318">
        <f>IF(T7_SRManip!L44="","",T7_SRManip!L44)</f>
        <v>4425</v>
      </c>
      <c r="M44" s="843">
        <f t="shared" si="5"/>
        <v>61.101905550952772</v>
      </c>
    </row>
    <row r="45" spans="1:15" ht="15.75">
      <c r="A45" s="834">
        <v>2018</v>
      </c>
      <c r="B45" s="1318">
        <f>IF(T7_SRManip!B45="","",T7_SRManip!B45)</f>
        <v>68494</v>
      </c>
      <c r="C45" s="1318">
        <f>IF(T7_SRManip!C45="","",T7_SRManip!C45)</f>
        <v>11521</v>
      </c>
      <c r="D45" s="1319">
        <f>IF(T7_SRManip!D45="","",T7_SRManip!D45)</f>
        <v>138</v>
      </c>
      <c r="E45" s="207">
        <f t="shared" si="0"/>
        <v>1.1978126898706709</v>
      </c>
      <c r="F45" s="1319">
        <f>IF(T7_SRManip!F45="","",T7_SRManip!F45)</f>
        <v>1150</v>
      </c>
      <c r="G45" s="207">
        <f t="shared" si="1"/>
        <v>9.9817724155889245</v>
      </c>
      <c r="H45" s="1319">
        <f t="shared" si="2"/>
        <v>1288</v>
      </c>
      <c r="I45" s="207">
        <f t="shared" si="3"/>
        <v>11.179585105459596</v>
      </c>
      <c r="J45" s="1318">
        <f>IF(T7_SRManip!J45="","",T7_SRManip!J45)</f>
        <v>3544</v>
      </c>
      <c r="K45" s="207">
        <f t="shared" si="4"/>
        <v>30.76121864421491</v>
      </c>
      <c r="L45" s="1318">
        <f>IF(T7_SRManip!L45="","",T7_SRManip!L45)</f>
        <v>6632</v>
      </c>
      <c r="M45" s="843">
        <f t="shared" si="5"/>
        <v>57.564447530596311</v>
      </c>
      <c r="O45" s="60"/>
    </row>
    <row r="46" spans="1:15" ht="15.75">
      <c r="A46" s="834">
        <v>2019</v>
      </c>
      <c r="B46" s="1318">
        <f>IF(T7_SRManip!B46="","",T7_SRManip!B46)</f>
        <v>43189</v>
      </c>
      <c r="C46" s="1318">
        <f>IF(T7_SRManip!C46="","",T7_SRManip!C46)</f>
        <v>7499</v>
      </c>
      <c r="D46" s="1319">
        <f>IF(T7_SRManip!D46="","",T7_SRManip!D46)</f>
        <v>49</v>
      </c>
      <c r="E46" s="207">
        <f t="shared" si="0"/>
        <v>0.65342045606080812</v>
      </c>
      <c r="F46" s="1319">
        <f>IF(T7_SRManip!F46="","",T7_SRManip!F46)</f>
        <v>493</v>
      </c>
      <c r="G46" s="207">
        <f t="shared" si="1"/>
        <v>6.5742098946526202</v>
      </c>
      <c r="H46" s="1319">
        <f t="shared" si="2"/>
        <v>542</v>
      </c>
      <c r="I46" s="207">
        <f t="shared" si="3"/>
        <v>7.2276303507134276</v>
      </c>
      <c r="J46" s="1318">
        <f>IF(T7_SRManip!J46="","",T7_SRManip!J46)</f>
        <v>2749</v>
      </c>
      <c r="K46" s="207">
        <f t="shared" si="4"/>
        <v>36.658221096146157</v>
      </c>
      <c r="L46" s="1318">
        <f>IF(T7_SRManip!L46="","",T7_SRManip!L46)</f>
        <v>4183</v>
      </c>
      <c r="M46" s="843">
        <f t="shared" si="5"/>
        <v>55.780770769435925</v>
      </c>
      <c r="O46" s="60"/>
    </row>
    <row r="47" spans="1:15" ht="15.75">
      <c r="A47" s="834">
        <v>2020</v>
      </c>
      <c r="B47" s="1318">
        <f>IF(T7_SRManip!B47="","",T7_SRManip!B47)</f>
        <v>51543</v>
      </c>
      <c r="C47" s="1318">
        <f>IF(T7_SRManip!C47="","",T7_SRManip!C47)</f>
        <v>14558</v>
      </c>
      <c r="D47" s="1319">
        <f>IF(T7_SRManip!D47="","",T7_SRManip!D47)</f>
        <v>71</v>
      </c>
      <c r="E47" s="207">
        <f t="shared" si="0"/>
        <v>0.48770435499381787</v>
      </c>
      <c r="F47" s="1319">
        <f>IF(T7_SRManip!F47="","",T7_SRManip!F47)</f>
        <v>782</v>
      </c>
      <c r="G47" s="207">
        <f t="shared" si="1"/>
        <v>5.3716169803544442</v>
      </c>
      <c r="H47" s="1319">
        <f t="shared" si="2"/>
        <v>853</v>
      </c>
      <c r="I47" s="207">
        <f t="shared" si="3"/>
        <v>5.8593213353482625</v>
      </c>
      <c r="J47" s="1318">
        <f>IF(T7_SRManip!J47="","",T7_SRManip!J47)</f>
        <v>4999</v>
      </c>
      <c r="K47" s="207">
        <f t="shared" si="4"/>
        <v>34.338508036818247</v>
      </c>
      <c r="L47" s="1318">
        <f>IF(T7_SRManip!L47="","",T7_SRManip!L47)</f>
        <v>8293</v>
      </c>
      <c r="M47" s="843">
        <f t="shared" si="5"/>
        <v>56.965242478362413</v>
      </c>
      <c r="O47" s="60"/>
    </row>
    <row r="48" spans="1:15" ht="15.75">
      <c r="A48" s="834">
        <v>2021</v>
      </c>
      <c r="B48" s="1318">
        <f>IF(T7_SRManip!B48="","",T7_SRManip!B48)</f>
        <v>50944</v>
      </c>
      <c r="C48" s="1318">
        <f>IF(T7_SRManip!C48="","",T7_SRManip!C48)</f>
        <v>9256</v>
      </c>
      <c r="D48" s="1319">
        <f>IF(T7_SRManip!D48="","",T7_SRManip!D48)</f>
        <v>116</v>
      </c>
      <c r="E48" s="207">
        <f t="shared" si="0"/>
        <v>1.2532411408815902</v>
      </c>
      <c r="F48" s="1319">
        <f>IF(T7_SRManip!F48="","",T7_SRManip!F48)</f>
        <v>467</v>
      </c>
      <c r="G48" s="207">
        <f t="shared" si="1"/>
        <v>5.0453759723422644</v>
      </c>
      <c r="H48" s="1319">
        <f t="shared" si="2"/>
        <v>583</v>
      </c>
      <c r="I48" s="207">
        <f t="shared" si="3"/>
        <v>6.2986171132238544</v>
      </c>
      <c r="J48" s="1318">
        <f>IF(T7_SRManip!J48="","",T7_SRManip!J48)</f>
        <v>2103</v>
      </c>
      <c r="K48" s="207">
        <f t="shared" si="4"/>
        <v>22.720397579948141</v>
      </c>
      <c r="L48" s="1318">
        <f>IF(T7_SRManip!L48="","",T7_SRManip!L48)</f>
        <v>6508</v>
      </c>
      <c r="M48" s="843">
        <f t="shared" si="5"/>
        <v>70.311149524632668</v>
      </c>
      <c r="O48" s="60"/>
    </row>
    <row r="49" spans="1:15" ht="15.75">
      <c r="A49" s="834">
        <v>2022</v>
      </c>
      <c r="B49" s="1318">
        <f>IF(T7_SRManip!B49="","",T7_SRManip!B49)</f>
        <v>102130</v>
      </c>
      <c r="C49" s="1318">
        <f>IF(T7_SRManip!C49="","",T7_SRManip!C49)</f>
        <v>22127</v>
      </c>
      <c r="D49" s="1319">
        <f>IF(T7_SRManip!D49="","",T7_SRManip!D49)</f>
        <v>312</v>
      </c>
      <c r="E49" s="207">
        <f t="shared" si="0"/>
        <v>1.410042030098974</v>
      </c>
      <c r="F49" s="1319">
        <f>IF(T7_SRManip!F49="","",T7_SRManip!F49)</f>
        <v>2050</v>
      </c>
      <c r="G49" s="207">
        <f t="shared" si="1"/>
        <v>9.2646992362272336</v>
      </c>
      <c r="H49" s="1319">
        <f t="shared" si="2"/>
        <v>2362</v>
      </c>
      <c r="I49" s="207">
        <f t="shared" si="3"/>
        <v>10.674741266326208</v>
      </c>
      <c r="J49" s="1318">
        <f>IF(T7_SRManip!J49="","",T7_SRManip!J49)</f>
        <v>2321</v>
      </c>
      <c r="K49" s="207">
        <f t="shared" si="4"/>
        <v>10.489447281601663</v>
      </c>
      <c r="L49" s="1318">
        <f>IF(T7_SRManip!L49="","",T7_SRManip!L49)</f>
        <v>17314</v>
      </c>
      <c r="M49" s="843">
        <f t="shared" si="5"/>
        <v>78.248293939530882</v>
      </c>
      <c r="O49" s="60"/>
    </row>
    <row r="50" spans="1:15" ht="15.75">
      <c r="A50" s="834">
        <v>2023</v>
      </c>
      <c r="B50" s="1318">
        <f>IF(T7_SRManip!B50="","",T7_SRManip!B50)</f>
        <v>80928</v>
      </c>
      <c r="C50" s="1318">
        <f>IF(T7_SRManip!C50="","",T7_SRManip!C50)</f>
        <v>10629</v>
      </c>
      <c r="D50" s="1319">
        <f>IF(T7_SRManip!D50="","",T7_SRManip!D50)</f>
        <v>97</v>
      </c>
      <c r="E50" s="207">
        <f t="shared" ref="E50" si="6">D50/C50*100</f>
        <v>0.91259761031141218</v>
      </c>
      <c r="F50" s="1319">
        <f>IF(T7_SRManip!F50="","",T7_SRManip!F50)</f>
        <v>942</v>
      </c>
      <c r="G50" s="207">
        <f t="shared" ref="G50" si="7">F50/C50*100</f>
        <v>8.8625458650860853</v>
      </c>
      <c r="H50" s="1319">
        <f t="shared" ref="H50" si="8">D50+F50</f>
        <v>1039</v>
      </c>
      <c r="I50" s="207">
        <f t="shared" ref="I50" si="9">H50/C50*100</f>
        <v>9.7751434753974973</v>
      </c>
      <c r="J50" s="1318">
        <f>IF(T7_SRManip!J50="","",T7_SRManip!J50)</f>
        <v>2441</v>
      </c>
      <c r="K50" s="207">
        <f t="shared" ref="K50" si="10">J50/C50*100</f>
        <v>22.965471822372756</v>
      </c>
      <c r="L50" s="1318">
        <f>IF(T7_SRManip!L50="","",T7_SRManip!L50)</f>
        <v>7093</v>
      </c>
      <c r="M50" s="843">
        <f t="shared" ref="M50" si="11">L50/C50*100</f>
        <v>66.732524226173666</v>
      </c>
      <c r="O50" s="60"/>
    </row>
    <row r="51" spans="1:15" ht="15.75">
      <c r="A51" s="834">
        <v>2024</v>
      </c>
      <c r="B51" s="1318">
        <f>IF(T7_SRManip!B51="","",T7_SRManip!B51)</f>
        <v>68564</v>
      </c>
      <c r="C51" s="1318">
        <f>IF(T7_SRManip!C51="","",T7_SRManip!C51)</f>
        <v>10190</v>
      </c>
      <c r="D51" s="1319">
        <f>IF(T7_SRManip!D51="","",T7_SRManip!D51)</f>
        <v>95</v>
      </c>
      <c r="E51" s="207">
        <f t="shared" ref="E51" si="12">D51/C51*100</f>
        <v>0.93228655544651629</v>
      </c>
      <c r="F51" s="1319">
        <f>IF(T7_SRManip!F51="","",T7_SRManip!F51)</f>
        <v>613</v>
      </c>
      <c r="G51" s="207">
        <f t="shared" ref="G51" si="13">F51/C51*100</f>
        <v>6.0157016683022571</v>
      </c>
      <c r="H51" s="1319">
        <f t="shared" ref="H51" si="14">D51+F51</f>
        <v>708</v>
      </c>
      <c r="I51" s="207">
        <f t="shared" ref="I51" si="15">H51/C51*100</f>
        <v>6.9479882237487729</v>
      </c>
      <c r="J51" s="1318">
        <f>IF(T7_SRManip!J51="","",T7_SRManip!J51)</f>
        <v>715</v>
      </c>
      <c r="K51" s="207">
        <f t="shared" ref="K51" si="16">J51/C51*100</f>
        <v>7.0166830225711481</v>
      </c>
      <c r="L51" s="1318">
        <f>IF(T7_SRManip!L51="","",T7_SRManip!L51)</f>
        <v>8645</v>
      </c>
      <c r="M51" s="843">
        <f t="shared" ref="M51" si="17">L51/C51*100</f>
        <v>84.838076545632973</v>
      </c>
      <c r="O51" s="60"/>
    </row>
    <row r="52" spans="1:15" ht="15.75">
      <c r="A52" s="1657">
        <v>2025</v>
      </c>
      <c r="B52" s="836">
        <f>IF(T7_SRManip!B52="","",T7_SRManip!B52)</f>
        <v>82973</v>
      </c>
      <c r="C52" s="836">
        <f>IF(T7_SRManip!C52="","",T7_SRManip!C52)</f>
        <v>12864</v>
      </c>
      <c r="D52" s="837">
        <f>IF(T7_SRManip!D52="","",T7_SRManip!D52)</f>
        <v>151</v>
      </c>
      <c r="E52" s="838">
        <f t="shared" ref="E52" si="18">D52/C52*100</f>
        <v>1.173818407960199</v>
      </c>
      <c r="F52" s="837">
        <f>IF(T7_SRManip!F52="","",T7_SRManip!F52)</f>
        <v>884</v>
      </c>
      <c r="G52" s="838">
        <f t="shared" ref="G52" si="19">F52/C52*100</f>
        <v>6.871890547263682</v>
      </c>
      <c r="H52" s="837">
        <f t="shared" ref="H52" si="20">D52+F52</f>
        <v>1035</v>
      </c>
      <c r="I52" s="838">
        <f t="shared" ref="I52" si="21">H52/C52*100</f>
        <v>8.0457089552238799</v>
      </c>
      <c r="J52" s="836">
        <f>IF(T7_SRManip!J52="","",T7_SRManip!J52)</f>
        <v>3221</v>
      </c>
      <c r="K52" s="838">
        <f t="shared" ref="K52" si="22">J52/C52*100</f>
        <v>25.038868159203982</v>
      </c>
      <c r="L52" s="836">
        <f>IF(T7_SRManip!L52="","",T7_SRManip!L52)</f>
        <v>8548</v>
      </c>
      <c r="M52" s="844">
        <f t="shared" ref="M52" si="23">L52/C52*100</f>
        <v>66.449004975124382</v>
      </c>
      <c r="O52" s="60"/>
    </row>
    <row r="53" spans="1:15" ht="35.25" customHeight="1">
      <c r="A53" s="1748" t="s">
        <v>307</v>
      </c>
      <c r="B53" s="1748"/>
      <c r="C53" s="1748"/>
      <c r="D53" s="1748"/>
      <c r="E53" s="1748"/>
      <c r="F53" s="1748"/>
      <c r="G53" s="1748"/>
      <c r="H53" s="1748"/>
      <c r="I53" s="1748"/>
      <c r="J53" s="1748"/>
      <c r="K53" s="1748"/>
      <c r="L53" s="1748"/>
      <c r="M53" s="1748"/>
    </row>
    <row r="54" spans="1:15" ht="35.25" customHeight="1">
      <c r="A54" s="1748" t="s">
        <v>308</v>
      </c>
      <c r="B54" s="1748"/>
      <c r="C54" s="1748"/>
      <c r="D54" s="1748"/>
      <c r="E54" s="1748"/>
      <c r="F54" s="1748"/>
      <c r="G54" s="1748"/>
      <c r="H54" s="1748"/>
      <c r="I54" s="1748"/>
      <c r="J54" s="1748"/>
      <c r="K54" s="1748"/>
      <c r="L54" s="1748"/>
      <c r="M54" s="1748"/>
    </row>
    <row r="55" spans="1:15" ht="35.25" customHeight="1">
      <c r="A55" s="1748" t="s">
        <v>309</v>
      </c>
      <c r="B55" s="1748"/>
      <c r="C55" s="1748"/>
      <c r="D55" s="1748"/>
      <c r="E55" s="1748"/>
      <c r="F55" s="1748"/>
      <c r="G55" s="1748"/>
      <c r="H55" s="1748"/>
      <c r="I55" s="1748"/>
      <c r="J55" s="1748"/>
      <c r="K55" s="1748"/>
      <c r="L55" s="1748"/>
      <c r="M55" s="1748"/>
    </row>
    <row r="56" spans="1:15" ht="18.75">
      <c r="A56" s="235" t="s">
        <v>310</v>
      </c>
      <c r="B56" s="133"/>
      <c r="C56" s="133"/>
      <c r="D56" s="133"/>
      <c r="E56" s="133"/>
      <c r="F56" s="133"/>
      <c r="G56" s="133"/>
      <c r="H56" s="133"/>
      <c r="I56" s="133"/>
      <c r="J56" s="133"/>
      <c r="K56" s="133"/>
      <c r="L56" s="133"/>
      <c r="M56" s="133"/>
    </row>
    <row r="57" spans="1:15" ht="15.75">
      <c r="A57" s="60"/>
    </row>
    <row r="58" spans="1:15" ht="15.75">
      <c r="A58" s="60" t="s">
        <v>87</v>
      </c>
    </row>
  </sheetData>
  <mergeCells count="10">
    <mergeCell ref="A53:M53"/>
    <mergeCell ref="A54:M54"/>
    <mergeCell ref="A55:M55"/>
    <mergeCell ref="L4:M5"/>
    <mergeCell ref="A4:A5"/>
    <mergeCell ref="B4:C5"/>
    <mergeCell ref="D4:E5"/>
    <mergeCell ref="F4:G5"/>
    <mergeCell ref="H4:I5"/>
    <mergeCell ref="J4:K5"/>
  </mergeCells>
  <pageMargins left="0.75" right="0.75" top="1" bottom="1" header="0.5" footer="0.5"/>
  <pageSetup orientation="portrait"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ED5F-02DE-418D-9A3B-5AA60A6E51D2}">
  <sheetPr>
    <tabColor rgb="FF66FF33"/>
  </sheetPr>
  <dimension ref="A1:S76"/>
  <sheetViews>
    <sheetView tabSelected="1" zoomScaleNormal="100" workbookViewId="0">
      <pane ySplit="4" topLeftCell="A5" activePane="bottomLeft" state="frozen"/>
      <selection pane="bottomLeft" activeCell="C49" sqref="C49"/>
      <selection activeCell="J33" sqref="J33"/>
    </sheetView>
  </sheetViews>
  <sheetFormatPr defaultColWidth="9.33203125" defaultRowHeight="12.75"/>
  <cols>
    <col min="1" max="1" width="15.6640625" style="75" customWidth="1"/>
    <col min="2" max="8" width="12.83203125" style="75" customWidth="1"/>
    <col min="9" max="9" width="40.33203125" style="75" customWidth="1"/>
    <col min="10" max="18" width="12.83203125" style="75" customWidth="1"/>
    <col min="19" max="19" width="9.6640625" style="75" bestFit="1" customWidth="1"/>
    <col min="20" max="16384" width="9.33203125" style="75"/>
  </cols>
  <sheetData>
    <row r="1" spans="1:18" ht="13.5" customHeight="1">
      <c r="A1" s="1788" t="s">
        <v>311</v>
      </c>
      <c r="B1" s="1788"/>
      <c r="C1" s="1788"/>
      <c r="D1" s="1788"/>
      <c r="E1" s="1788"/>
      <c r="F1" s="1788"/>
      <c r="G1" s="1788"/>
      <c r="H1" s="1788"/>
      <c r="I1" s="1788"/>
      <c r="J1" s="1788"/>
      <c r="K1" s="1788"/>
      <c r="L1" s="1788"/>
      <c r="M1" s="1788"/>
      <c r="N1" s="1788"/>
      <c r="O1" s="815" t="s">
        <v>312</v>
      </c>
      <c r="P1" s="1645"/>
      <c r="Q1" s="1645"/>
      <c r="R1" s="1645"/>
    </row>
    <row r="2" spans="1:18" ht="12.75" customHeight="1">
      <c r="A2" s="1645"/>
      <c r="B2" s="1645"/>
      <c r="C2" s="1788" t="s">
        <v>313</v>
      </c>
      <c r="D2" s="1788"/>
      <c r="E2" s="1788"/>
      <c r="F2" s="1788"/>
      <c r="G2" s="1645" t="s">
        <v>181</v>
      </c>
      <c r="H2" s="1788" t="s">
        <v>314</v>
      </c>
      <c r="I2" s="1788"/>
      <c r="J2" s="1645"/>
      <c r="K2" s="1645" t="s">
        <v>315</v>
      </c>
      <c r="L2" s="1645" t="s">
        <v>316</v>
      </c>
      <c r="M2" s="1645" t="s">
        <v>317</v>
      </c>
      <c r="N2" s="1645"/>
      <c r="O2" s="815" t="s">
        <v>318</v>
      </c>
      <c r="P2" s="1645"/>
      <c r="Q2" s="1645"/>
      <c r="R2" s="1645"/>
    </row>
    <row r="3" spans="1:18">
      <c r="A3" s="1645"/>
      <c r="B3" s="1645" t="s">
        <v>177</v>
      </c>
      <c r="C3" s="1788" t="s">
        <v>319</v>
      </c>
      <c r="D3" s="1788"/>
      <c r="E3" s="1788"/>
      <c r="F3" s="1645"/>
      <c r="G3" s="1645" t="s">
        <v>320</v>
      </c>
      <c r="H3" s="1645" t="s">
        <v>321</v>
      </c>
      <c r="I3" s="1645" t="s">
        <v>179</v>
      </c>
      <c r="J3" s="1645" t="s">
        <v>183</v>
      </c>
      <c r="K3" s="1645" t="s">
        <v>322</v>
      </c>
      <c r="L3" s="1645" t="s">
        <v>323</v>
      </c>
      <c r="M3" s="1645" t="s">
        <v>324</v>
      </c>
      <c r="N3" s="1645" t="s">
        <v>325</v>
      </c>
      <c r="O3" s="1645" t="s">
        <v>326</v>
      </c>
      <c r="P3" s="1645"/>
      <c r="Q3" s="1645"/>
      <c r="R3" s="1645"/>
    </row>
    <row r="4" spans="1:18">
      <c r="A4" s="1645" t="s">
        <v>28</v>
      </c>
      <c r="B4" s="1645" t="s">
        <v>327</v>
      </c>
      <c r="C4" s="1645" t="s">
        <v>197</v>
      </c>
      <c r="D4" s="1645" t="s">
        <v>189</v>
      </c>
      <c r="E4" s="1645" t="s">
        <v>328</v>
      </c>
      <c r="F4" s="1645" t="s">
        <v>179</v>
      </c>
      <c r="G4" s="1645" t="s">
        <v>329</v>
      </c>
      <c r="H4" s="1645" t="s">
        <v>197</v>
      </c>
      <c r="I4" s="1645" t="s">
        <v>330</v>
      </c>
      <c r="J4" s="1645" t="s">
        <v>331</v>
      </c>
      <c r="K4" s="1645" t="s">
        <v>197</v>
      </c>
      <c r="L4" s="1645" t="s">
        <v>332</v>
      </c>
      <c r="M4" s="1645" t="s">
        <v>197</v>
      </c>
      <c r="N4" s="1645" t="s">
        <v>323</v>
      </c>
      <c r="O4" s="1645" t="s">
        <v>179</v>
      </c>
      <c r="P4" s="1645" t="s">
        <v>28</v>
      </c>
      <c r="Q4" s="1645" t="s">
        <v>115</v>
      </c>
      <c r="R4" s="1645" t="s">
        <v>47</v>
      </c>
    </row>
    <row r="5" spans="1:18">
      <c r="A5" s="1645">
        <v>1980</v>
      </c>
      <c r="B5" s="292">
        <v>22497.833703998313</v>
      </c>
      <c r="C5" s="292"/>
      <c r="D5" s="292"/>
      <c r="E5" s="292">
        <v>15.833703998311712</v>
      </c>
      <c r="F5" s="292"/>
      <c r="G5" s="292">
        <v>22482</v>
      </c>
      <c r="H5" s="292">
        <v>0</v>
      </c>
      <c r="I5" s="292">
        <v>1181</v>
      </c>
      <c r="J5" s="292">
        <f t="shared" ref="J5:J47" si="0">G5-H5-I5</f>
        <v>21301</v>
      </c>
      <c r="K5" s="1645"/>
      <c r="L5" s="1645">
        <v>0</v>
      </c>
      <c r="M5" s="1645"/>
      <c r="N5" s="1645"/>
      <c r="O5" s="1645"/>
      <c r="P5" s="1645">
        <v>1980</v>
      </c>
      <c r="Q5" s="292">
        <f t="shared" ref="Q5:Q45" si="1">VLOOKUP(P5,$A$4:$N$45,2,FALSE)</f>
        <v>22497.833703998313</v>
      </c>
      <c r="R5" s="1645">
        <f t="shared" ref="R5:R45" si="2">RANK(Q5,$Q$5:$Q$52,0)</f>
        <v>29</v>
      </c>
    </row>
    <row r="6" spans="1:18">
      <c r="A6" s="1645">
        <v>1981</v>
      </c>
      <c r="B6" s="292">
        <v>18746.284412704194</v>
      </c>
      <c r="C6" s="292"/>
      <c r="D6" s="292"/>
      <c r="E6" s="292">
        <v>9.2844127041922491</v>
      </c>
      <c r="F6" s="292"/>
      <c r="G6" s="292">
        <v>18737</v>
      </c>
      <c r="H6" s="292">
        <v>0</v>
      </c>
      <c r="I6" s="292">
        <v>1364</v>
      </c>
      <c r="J6" s="292">
        <f t="shared" si="0"/>
        <v>17373</v>
      </c>
      <c r="K6" s="1645"/>
      <c r="L6" s="1645">
        <v>0</v>
      </c>
      <c r="M6" s="1645"/>
      <c r="N6" s="1645"/>
      <c r="O6" s="1645"/>
      <c r="P6" s="1645">
        <v>1981</v>
      </c>
      <c r="Q6" s="292">
        <f t="shared" si="1"/>
        <v>18746.284412704194</v>
      </c>
      <c r="R6" s="1645">
        <f t="shared" si="2"/>
        <v>35</v>
      </c>
    </row>
    <row r="7" spans="1:18">
      <c r="A7" s="1645">
        <v>1982</v>
      </c>
      <c r="B7" s="292">
        <v>14368.762014515496</v>
      </c>
      <c r="C7" s="292"/>
      <c r="D7" s="292"/>
      <c r="E7" s="292">
        <v>116.76201451549628</v>
      </c>
      <c r="F7" s="292"/>
      <c r="G7" s="292">
        <v>14252</v>
      </c>
      <c r="H7" s="292">
        <v>0</v>
      </c>
      <c r="I7" s="292">
        <v>1295</v>
      </c>
      <c r="J7" s="292">
        <f t="shared" si="0"/>
        <v>12957</v>
      </c>
      <c r="K7" s="1645"/>
      <c r="L7" s="1645">
        <v>0</v>
      </c>
      <c r="M7" s="1645"/>
      <c r="N7" s="1645"/>
      <c r="O7" s="1645"/>
      <c r="P7" s="1645">
        <v>1982</v>
      </c>
      <c r="Q7" s="292">
        <f t="shared" si="1"/>
        <v>14368.762014515496</v>
      </c>
      <c r="R7" s="1645">
        <f t="shared" si="2"/>
        <v>40</v>
      </c>
    </row>
    <row r="8" spans="1:18">
      <c r="A8" s="1645">
        <v>1983</v>
      </c>
      <c r="B8" s="292">
        <v>13145.410209758595</v>
      </c>
      <c r="C8" s="292"/>
      <c r="D8" s="292"/>
      <c r="E8" s="292">
        <v>92.410209758595158</v>
      </c>
      <c r="F8" s="292"/>
      <c r="G8" s="292">
        <v>13053</v>
      </c>
      <c r="H8" s="292">
        <v>0</v>
      </c>
      <c r="I8" s="292">
        <v>297</v>
      </c>
      <c r="J8" s="292">
        <f t="shared" si="0"/>
        <v>12756</v>
      </c>
      <c r="K8" s="1645"/>
      <c r="L8" s="1645">
        <v>0</v>
      </c>
      <c r="M8" s="1645"/>
      <c r="N8" s="1645"/>
      <c r="O8" s="1645"/>
      <c r="P8" s="1645">
        <v>1983</v>
      </c>
      <c r="Q8" s="292">
        <f t="shared" si="1"/>
        <v>13145.410209758595</v>
      </c>
      <c r="R8" s="1645">
        <f t="shared" si="2"/>
        <v>43</v>
      </c>
    </row>
    <row r="9" spans="1:18">
      <c r="A9" s="1645">
        <v>1984</v>
      </c>
      <c r="B9" s="292">
        <v>18764.773584411501</v>
      </c>
      <c r="C9" s="292"/>
      <c r="D9" s="292"/>
      <c r="E9" s="292">
        <v>21.773584411502796</v>
      </c>
      <c r="F9" s="292"/>
      <c r="G9" s="292">
        <v>18743</v>
      </c>
      <c r="H9" s="292">
        <v>0</v>
      </c>
      <c r="I9" s="292">
        <v>457</v>
      </c>
      <c r="J9" s="292">
        <f t="shared" si="0"/>
        <v>18286</v>
      </c>
      <c r="K9" s="1645"/>
      <c r="L9" s="1645">
        <v>0</v>
      </c>
      <c r="M9" s="1645"/>
      <c r="N9" s="1645"/>
      <c r="O9" s="1645"/>
      <c r="P9" s="1645">
        <v>1984</v>
      </c>
      <c r="Q9" s="292">
        <f t="shared" si="1"/>
        <v>18764.773584411501</v>
      </c>
      <c r="R9" s="1645">
        <f t="shared" si="2"/>
        <v>33</v>
      </c>
    </row>
    <row r="10" spans="1:18">
      <c r="A10" s="1645">
        <v>1985</v>
      </c>
      <c r="B10" s="292">
        <v>18521.920731707316</v>
      </c>
      <c r="C10" s="292"/>
      <c r="D10" s="292"/>
      <c r="E10" s="292">
        <v>35.920731707317074</v>
      </c>
      <c r="F10" s="292"/>
      <c r="G10" s="292">
        <v>18486</v>
      </c>
      <c r="H10" s="292">
        <v>0</v>
      </c>
      <c r="I10" s="292">
        <v>1453</v>
      </c>
      <c r="J10" s="292">
        <f t="shared" si="0"/>
        <v>17033</v>
      </c>
      <c r="K10" s="1645"/>
      <c r="L10" s="1645">
        <v>0</v>
      </c>
      <c r="M10" s="1645"/>
      <c r="N10" s="1645"/>
      <c r="O10" s="1645"/>
      <c r="P10" s="1645">
        <v>1985</v>
      </c>
      <c r="Q10" s="292">
        <f t="shared" si="1"/>
        <v>18521.920731707316</v>
      </c>
      <c r="R10" s="1645">
        <f t="shared" si="2"/>
        <v>36</v>
      </c>
    </row>
    <row r="11" spans="1:18">
      <c r="A11" s="1645">
        <v>1986</v>
      </c>
      <c r="B11" s="292">
        <v>18751.837455577661</v>
      </c>
      <c r="C11" s="292">
        <v>0</v>
      </c>
      <c r="D11" s="292"/>
      <c r="E11" s="292">
        <v>108.83745557766099</v>
      </c>
      <c r="F11" s="292"/>
      <c r="G11" s="292">
        <v>18643</v>
      </c>
      <c r="H11" s="292">
        <v>0</v>
      </c>
      <c r="I11" s="292">
        <v>1116</v>
      </c>
      <c r="J11" s="292">
        <f t="shared" si="0"/>
        <v>17527</v>
      </c>
      <c r="K11" s="1645"/>
      <c r="L11" s="1645">
        <v>0</v>
      </c>
      <c r="M11" s="1645"/>
      <c r="N11" s="1645"/>
      <c r="O11" s="1645"/>
      <c r="P11" s="1645">
        <v>1986</v>
      </c>
      <c r="Q11" s="292">
        <f t="shared" si="1"/>
        <v>18751.837455577661</v>
      </c>
      <c r="R11" s="1645">
        <f t="shared" si="2"/>
        <v>34</v>
      </c>
    </row>
    <row r="12" spans="1:18">
      <c r="A12" s="1645">
        <v>1987</v>
      </c>
      <c r="B12" s="292">
        <v>22714.537723916797</v>
      </c>
      <c r="C12" s="292">
        <v>6.4</v>
      </c>
      <c r="D12" s="292"/>
      <c r="E12" s="292">
        <v>141.13772391679788</v>
      </c>
      <c r="F12" s="292"/>
      <c r="G12" s="292">
        <v>22567</v>
      </c>
      <c r="H12" s="292">
        <v>0</v>
      </c>
      <c r="I12" s="292">
        <v>1684</v>
      </c>
      <c r="J12" s="292">
        <f t="shared" si="0"/>
        <v>20883</v>
      </c>
      <c r="K12" s="1645"/>
      <c r="L12" s="1645">
        <v>0</v>
      </c>
      <c r="M12" s="1645"/>
      <c r="N12" s="1645"/>
      <c r="O12" s="1645"/>
      <c r="P12" s="1645">
        <v>1987</v>
      </c>
      <c r="Q12" s="292">
        <f t="shared" si="1"/>
        <v>22714.537723916797</v>
      </c>
      <c r="R12" s="1645">
        <f t="shared" si="2"/>
        <v>27</v>
      </c>
    </row>
    <row r="13" spans="1:18">
      <c r="A13" s="1645">
        <v>1988</v>
      </c>
      <c r="B13" s="292">
        <v>22719.547212441314</v>
      </c>
      <c r="C13" s="292">
        <v>8.6</v>
      </c>
      <c r="D13" s="292"/>
      <c r="E13" s="292">
        <v>80.947212441314548</v>
      </c>
      <c r="F13" s="292"/>
      <c r="G13" s="292">
        <v>22630</v>
      </c>
      <c r="H13" s="292">
        <v>0</v>
      </c>
      <c r="I13" s="292">
        <v>1497</v>
      </c>
      <c r="J13" s="292">
        <f t="shared" si="0"/>
        <v>21133</v>
      </c>
      <c r="K13" s="1645"/>
      <c r="L13" s="1645">
        <v>0</v>
      </c>
      <c r="M13" s="1645"/>
      <c r="N13" s="1645"/>
      <c r="O13" s="1645"/>
      <c r="P13" s="1645">
        <v>1988</v>
      </c>
      <c r="Q13" s="292">
        <f t="shared" si="1"/>
        <v>22719.547212441314</v>
      </c>
      <c r="R13" s="1645">
        <f t="shared" si="2"/>
        <v>26</v>
      </c>
    </row>
    <row r="14" spans="1:18">
      <c r="A14" s="1645">
        <v>1989</v>
      </c>
      <c r="B14" s="292">
        <v>22201.100833626864</v>
      </c>
      <c r="C14" s="292">
        <v>19.899999999999999</v>
      </c>
      <c r="D14" s="292"/>
      <c r="E14" s="292">
        <v>9.2008336268639184</v>
      </c>
      <c r="F14" s="292"/>
      <c r="G14" s="292">
        <v>22172</v>
      </c>
      <c r="H14" s="292">
        <v>0</v>
      </c>
      <c r="I14" s="292">
        <v>100</v>
      </c>
      <c r="J14" s="292">
        <f t="shared" si="0"/>
        <v>22072</v>
      </c>
      <c r="K14" s="1645"/>
      <c r="L14" s="1645">
        <v>0</v>
      </c>
      <c r="M14" s="1645"/>
      <c r="N14" s="1645"/>
      <c r="O14" s="1645"/>
      <c r="P14" s="1645">
        <v>1989</v>
      </c>
      <c r="Q14" s="292">
        <f t="shared" si="1"/>
        <v>22201.100833626864</v>
      </c>
      <c r="R14" s="1645">
        <f t="shared" si="2"/>
        <v>30</v>
      </c>
    </row>
    <row r="15" spans="1:18">
      <c r="A15" s="1645">
        <v>1990</v>
      </c>
      <c r="B15" s="292">
        <v>18794.135821834247</v>
      </c>
      <c r="C15" s="292">
        <v>3.9000000000000004</v>
      </c>
      <c r="D15" s="292"/>
      <c r="E15" s="292">
        <v>15.235821834246437</v>
      </c>
      <c r="F15" s="292"/>
      <c r="G15" s="292">
        <v>18775</v>
      </c>
      <c r="H15" s="292">
        <v>0</v>
      </c>
      <c r="I15" s="292">
        <v>111</v>
      </c>
      <c r="J15" s="292">
        <f t="shared" si="0"/>
        <v>18664</v>
      </c>
      <c r="K15" s="1645"/>
      <c r="L15" s="1645">
        <v>0</v>
      </c>
      <c r="M15" s="1645"/>
      <c r="N15" s="1645"/>
      <c r="O15" s="1645"/>
      <c r="P15" s="1645">
        <v>1990</v>
      </c>
      <c r="Q15" s="292">
        <f t="shared" si="1"/>
        <v>18794.135821834247</v>
      </c>
      <c r="R15" s="1645">
        <f t="shared" si="2"/>
        <v>32</v>
      </c>
    </row>
    <row r="16" spans="1:18">
      <c r="A16" s="1645">
        <v>1991</v>
      </c>
      <c r="B16" s="292">
        <v>14322.884064316902</v>
      </c>
      <c r="C16" s="292">
        <v>0.79999999999999982</v>
      </c>
      <c r="D16" s="292"/>
      <c r="E16" s="292">
        <v>9.0840643169023565</v>
      </c>
      <c r="F16" s="292"/>
      <c r="G16" s="292">
        <v>14313</v>
      </c>
      <c r="H16" s="292">
        <v>0</v>
      </c>
      <c r="I16" s="292">
        <v>171</v>
      </c>
      <c r="J16" s="292">
        <f t="shared" si="0"/>
        <v>14142</v>
      </c>
      <c r="K16" s="1645"/>
      <c r="L16" s="1645">
        <v>0</v>
      </c>
      <c r="M16" s="1645"/>
      <c r="N16" s="1645"/>
      <c r="O16" s="1645"/>
      <c r="P16" s="1645">
        <v>1991</v>
      </c>
      <c r="Q16" s="292">
        <f t="shared" si="1"/>
        <v>14322.884064316902</v>
      </c>
      <c r="R16" s="1645">
        <f t="shared" si="2"/>
        <v>41</v>
      </c>
    </row>
    <row r="17" spans="1:18">
      <c r="A17" s="1645">
        <v>1992</v>
      </c>
      <c r="B17" s="292">
        <v>9428.2330263670792</v>
      </c>
      <c r="C17" s="292">
        <v>16</v>
      </c>
      <c r="D17" s="292"/>
      <c r="E17" s="292">
        <v>35.233026367078736</v>
      </c>
      <c r="F17" s="292"/>
      <c r="G17" s="292">
        <v>9377</v>
      </c>
      <c r="H17" s="292">
        <v>0</v>
      </c>
      <c r="I17" s="292">
        <v>46</v>
      </c>
      <c r="J17" s="292">
        <f t="shared" si="0"/>
        <v>9331</v>
      </c>
      <c r="K17" s="1645"/>
      <c r="L17" s="1645">
        <v>0</v>
      </c>
      <c r="M17" s="1645"/>
      <c r="N17" s="1645"/>
      <c r="O17" s="1645"/>
      <c r="P17" s="1645">
        <v>1992</v>
      </c>
      <c r="Q17" s="292">
        <f t="shared" si="1"/>
        <v>9428.2330263670792</v>
      </c>
      <c r="R17" s="1645">
        <f t="shared" si="2"/>
        <v>46</v>
      </c>
    </row>
    <row r="18" spans="1:18">
      <c r="A18" s="1645">
        <v>1993</v>
      </c>
      <c r="B18" s="292">
        <v>14021.477461833312</v>
      </c>
      <c r="C18" s="292">
        <v>15.7</v>
      </c>
      <c r="D18" s="292"/>
      <c r="E18" s="292">
        <v>80.777461833312429</v>
      </c>
      <c r="F18" s="292"/>
      <c r="G18" s="292">
        <v>13925</v>
      </c>
      <c r="H18" s="292">
        <v>0</v>
      </c>
      <c r="I18" s="292">
        <v>328</v>
      </c>
      <c r="J18" s="292">
        <f t="shared" si="0"/>
        <v>13597</v>
      </c>
      <c r="K18" s="1645"/>
      <c r="L18" s="1645">
        <v>0</v>
      </c>
      <c r="M18" s="1645"/>
      <c r="N18" s="1645"/>
      <c r="O18" s="1645"/>
      <c r="P18" s="1645">
        <v>1993</v>
      </c>
      <c r="Q18" s="292">
        <f t="shared" si="1"/>
        <v>14021.477461833312</v>
      </c>
      <c r="R18" s="1645">
        <f t="shared" si="2"/>
        <v>42</v>
      </c>
    </row>
    <row r="19" spans="1:18">
      <c r="A19" s="1645">
        <v>1994</v>
      </c>
      <c r="B19" s="292">
        <v>14691.013438167316</v>
      </c>
      <c r="C19" s="292">
        <v>28.200000000000003</v>
      </c>
      <c r="D19" s="292"/>
      <c r="E19" s="292">
        <v>22.81343816731566</v>
      </c>
      <c r="F19" s="292"/>
      <c r="G19" s="292">
        <v>14640</v>
      </c>
      <c r="H19" s="292">
        <v>0</v>
      </c>
      <c r="I19" s="292">
        <v>171</v>
      </c>
      <c r="J19" s="292">
        <f t="shared" si="0"/>
        <v>14469</v>
      </c>
      <c r="K19" s="1645"/>
      <c r="L19" s="1645">
        <v>0</v>
      </c>
      <c r="M19" s="1645"/>
      <c r="N19" s="1645"/>
      <c r="O19" s="1645"/>
      <c r="P19" s="1645">
        <v>1994</v>
      </c>
      <c r="Q19" s="292">
        <f t="shared" si="1"/>
        <v>14691.013438167316</v>
      </c>
      <c r="R19" s="1645">
        <f t="shared" si="2"/>
        <v>39</v>
      </c>
    </row>
    <row r="20" spans="1:18">
      <c r="A20" s="1645">
        <v>1995</v>
      </c>
      <c r="B20" s="292">
        <v>12454.651080550098</v>
      </c>
      <c r="C20" s="292">
        <v>13.600000000000001</v>
      </c>
      <c r="D20" s="292"/>
      <c r="E20" s="292">
        <v>5.1080550098231647E-2</v>
      </c>
      <c r="F20" s="292"/>
      <c r="G20" s="292">
        <v>12441</v>
      </c>
      <c r="H20" s="292">
        <v>0</v>
      </c>
      <c r="I20" s="292">
        <v>417</v>
      </c>
      <c r="J20" s="292">
        <f t="shared" si="0"/>
        <v>12024</v>
      </c>
      <c r="K20" s="1645"/>
      <c r="L20" s="1645">
        <v>0</v>
      </c>
      <c r="M20" s="1645"/>
      <c r="N20" s="1645"/>
      <c r="O20" s="1645"/>
      <c r="P20" s="1645">
        <v>1995</v>
      </c>
      <c r="Q20" s="292">
        <f t="shared" si="1"/>
        <v>12454.651080550098</v>
      </c>
      <c r="R20" s="1645">
        <f t="shared" si="2"/>
        <v>44</v>
      </c>
    </row>
    <row r="21" spans="1:18">
      <c r="A21" s="1645">
        <v>1996</v>
      </c>
      <c r="B21" s="292">
        <v>12080.3</v>
      </c>
      <c r="C21" s="292">
        <v>34.299999999999997</v>
      </c>
      <c r="D21" s="292"/>
      <c r="E21" s="292">
        <v>15</v>
      </c>
      <c r="F21" s="292"/>
      <c r="G21" s="292">
        <v>12031</v>
      </c>
      <c r="H21" s="292">
        <v>0</v>
      </c>
      <c r="I21" s="292">
        <v>374</v>
      </c>
      <c r="J21" s="292">
        <f t="shared" si="0"/>
        <v>11657</v>
      </c>
      <c r="K21" s="1645"/>
      <c r="L21" s="1645">
        <v>0</v>
      </c>
      <c r="M21" s="1645"/>
      <c r="N21" s="1645"/>
      <c r="O21" s="1645"/>
      <c r="P21" s="1645">
        <v>1996</v>
      </c>
      <c r="Q21" s="292">
        <f t="shared" si="1"/>
        <v>12080.3</v>
      </c>
      <c r="R21" s="1645">
        <f t="shared" si="2"/>
        <v>45</v>
      </c>
    </row>
    <row r="22" spans="1:18">
      <c r="A22" s="1645">
        <v>1997</v>
      </c>
      <c r="B22" s="292">
        <v>17708.5</v>
      </c>
      <c r="C22" s="292">
        <v>15.5</v>
      </c>
      <c r="D22" s="292"/>
      <c r="E22" s="292">
        <v>6</v>
      </c>
      <c r="F22" s="292"/>
      <c r="G22" s="292">
        <v>17687</v>
      </c>
      <c r="H22" s="292">
        <v>0</v>
      </c>
      <c r="I22" s="292">
        <v>270</v>
      </c>
      <c r="J22" s="292">
        <f t="shared" si="0"/>
        <v>17417</v>
      </c>
      <c r="K22" s="1645"/>
      <c r="L22" s="1645">
        <v>0</v>
      </c>
      <c r="M22" s="1645"/>
      <c r="N22" s="1645"/>
      <c r="O22" s="1645"/>
      <c r="P22" s="1645">
        <v>1997</v>
      </c>
      <c r="Q22" s="292">
        <f t="shared" si="1"/>
        <v>17708.5</v>
      </c>
      <c r="R22" s="1645">
        <f t="shared" si="2"/>
        <v>37</v>
      </c>
    </row>
    <row r="23" spans="1:18">
      <c r="A23" s="1645">
        <v>1998</v>
      </c>
      <c r="B23" s="292">
        <v>15535.6</v>
      </c>
      <c r="C23" s="292">
        <v>26.799999999999997</v>
      </c>
      <c r="D23" s="292"/>
      <c r="E23" s="292">
        <v>0.8</v>
      </c>
      <c r="F23" s="292"/>
      <c r="G23" s="292">
        <v>15508</v>
      </c>
      <c r="H23" s="292">
        <v>0</v>
      </c>
      <c r="I23" s="292">
        <v>335</v>
      </c>
      <c r="J23" s="292">
        <f t="shared" si="0"/>
        <v>15173</v>
      </c>
      <c r="K23" s="1645"/>
      <c r="L23" s="1645">
        <v>0</v>
      </c>
      <c r="M23" s="1645"/>
      <c r="N23" s="1645"/>
      <c r="O23" s="1645"/>
      <c r="P23" s="1645">
        <v>1998</v>
      </c>
      <c r="Q23" s="292">
        <f t="shared" si="1"/>
        <v>15535.6</v>
      </c>
      <c r="R23" s="1645">
        <f t="shared" si="2"/>
        <v>38</v>
      </c>
    </row>
    <row r="24" spans="1:18">
      <c r="A24" s="1645">
        <v>1999</v>
      </c>
      <c r="B24" s="292">
        <v>21866.799999999999</v>
      </c>
      <c r="C24" s="292">
        <v>50.8</v>
      </c>
      <c r="D24" s="292"/>
      <c r="E24" s="292">
        <v>1</v>
      </c>
      <c r="F24" s="292"/>
      <c r="G24" s="292">
        <v>21815</v>
      </c>
      <c r="H24" s="292">
        <v>0</v>
      </c>
      <c r="I24" s="292">
        <v>395</v>
      </c>
      <c r="J24" s="292">
        <f t="shared" si="0"/>
        <v>21420</v>
      </c>
      <c r="K24" s="1645"/>
      <c r="L24" s="1645">
        <v>0</v>
      </c>
      <c r="M24" s="1645"/>
      <c r="N24" s="1645"/>
      <c r="O24" s="1645"/>
      <c r="P24" s="1645">
        <v>1999</v>
      </c>
      <c r="Q24" s="292">
        <f t="shared" si="1"/>
        <v>21866.799999999999</v>
      </c>
      <c r="R24" s="1645">
        <f t="shared" si="2"/>
        <v>31</v>
      </c>
    </row>
    <row r="25" spans="1:18">
      <c r="A25" s="1645">
        <v>2000</v>
      </c>
      <c r="B25" s="292">
        <v>22595.1</v>
      </c>
      <c r="C25" s="292">
        <v>17</v>
      </c>
      <c r="D25" s="292"/>
      <c r="E25" s="292">
        <v>0.10000000000000009</v>
      </c>
      <c r="F25" s="292"/>
      <c r="G25" s="292">
        <v>22578</v>
      </c>
      <c r="H25" s="292">
        <v>0</v>
      </c>
      <c r="I25" s="292">
        <v>209</v>
      </c>
      <c r="J25" s="292">
        <f t="shared" si="0"/>
        <v>22369</v>
      </c>
      <c r="K25" s="1645"/>
      <c r="L25" s="1645">
        <v>39</v>
      </c>
      <c r="M25" s="292">
        <v>1092</v>
      </c>
      <c r="N25" s="1645">
        <v>442</v>
      </c>
      <c r="O25" s="1645"/>
      <c r="P25" s="1645">
        <v>2000</v>
      </c>
      <c r="Q25" s="292">
        <f t="shared" si="1"/>
        <v>22595.1</v>
      </c>
      <c r="R25" s="1645">
        <f t="shared" si="2"/>
        <v>28</v>
      </c>
    </row>
    <row r="26" spans="1:18">
      <c r="A26" s="1645">
        <v>2001</v>
      </c>
      <c r="B26" s="292">
        <v>52960.480000000003</v>
      </c>
      <c r="C26" s="292">
        <v>64</v>
      </c>
      <c r="D26" s="292"/>
      <c r="E26" s="292">
        <v>1.48</v>
      </c>
      <c r="F26" s="292"/>
      <c r="G26" s="292">
        <v>52895</v>
      </c>
      <c r="H26" s="292">
        <v>0</v>
      </c>
      <c r="I26" s="292">
        <v>692</v>
      </c>
      <c r="J26" s="292">
        <f t="shared" si="0"/>
        <v>52203</v>
      </c>
      <c r="K26" s="1645"/>
      <c r="L26" s="1645">
        <v>82</v>
      </c>
      <c r="M26" s="292">
        <v>4380</v>
      </c>
      <c r="N26" s="292">
        <v>2346</v>
      </c>
      <c r="O26" s="1645"/>
      <c r="P26" s="1645">
        <v>2001</v>
      </c>
      <c r="Q26" s="292">
        <f t="shared" si="1"/>
        <v>52960.480000000003</v>
      </c>
      <c r="R26" s="1645">
        <f t="shared" si="2"/>
        <v>20</v>
      </c>
    </row>
    <row r="27" spans="1:18">
      <c r="A27" s="1645">
        <v>2002</v>
      </c>
      <c r="B27" s="292">
        <v>89523.5</v>
      </c>
      <c r="C27" s="292">
        <v>1446.5</v>
      </c>
      <c r="D27" s="292"/>
      <c r="E27" s="292">
        <v>8</v>
      </c>
      <c r="F27" s="292"/>
      <c r="G27" s="292">
        <v>88069</v>
      </c>
      <c r="H27" s="292">
        <v>112.7</v>
      </c>
      <c r="I27" s="292">
        <v>2093</v>
      </c>
      <c r="J27" s="292">
        <f t="shared" si="0"/>
        <v>85863.3</v>
      </c>
      <c r="K27" s="1645">
        <v>36</v>
      </c>
      <c r="L27" s="1645">
        <v>197</v>
      </c>
      <c r="M27" s="292">
        <v>4535</v>
      </c>
      <c r="N27" s="292">
        <v>2720</v>
      </c>
      <c r="O27" s="1645"/>
      <c r="P27" s="1645">
        <v>2002</v>
      </c>
      <c r="Q27" s="292">
        <f t="shared" si="1"/>
        <v>89523.5</v>
      </c>
      <c r="R27" s="1645">
        <f t="shared" si="2"/>
        <v>3</v>
      </c>
    </row>
    <row r="28" spans="1:18">
      <c r="A28" s="1645">
        <v>2003</v>
      </c>
      <c r="B28" s="292">
        <v>83057.8</v>
      </c>
      <c r="C28" s="292">
        <v>1944.8</v>
      </c>
      <c r="D28" s="292"/>
      <c r="E28" s="292">
        <v>36</v>
      </c>
      <c r="F28" s="292"/>
      <c r="G28" s="292">
        <v>81077</v>
      </c>
      <c r="H28" s="292">
        <v>415.15</v>
      </c>
      <c r="I28" s="292">
        <v>4297</v>
      </c>
      <c r="J28" s="292">
        <f t="shared" si="0"/>
        <v>76364.850000000006</v>
      </c>
      <c r="K28" s="1645">
        <v>40</v>
      </c>
      <c r="L28" s="1645">
        <v>223</v>
      </c>
      <c r="M28" s="292">
        <v>5187</v>
      </c>
      <c r="N28" s="292">
        <v>2178</v>
      </c>
      <c r="O28" s="1645"/>
      <c r="P28" s="1645">
        <v>2003</v>
      </c>
      <c r="Q28" s="292">
        <f t="shared" si="1"/>
        <v>83057.8</v>
      </c>
      <c r="R28" s="1645">
        <f t="shared" si="2"/>
        <v>4</v>
      </c>
    </row>
    <row r="29" spans="1:18">
      <c r="A29" s="1645">
        <v>2004</v>
      </c>
      <c r="B29" s="292">
        <v>65622.660588235289</v>
      </c>
      <c r="C29" s="292">
        <v>1245.5999999999999</v>
      </c>
      <c r="D29" s="292">
        <v>219.06058823529412</v>
      </c>
      <c r="E29" s="292">
        <v>3</v>
      </c>
      <c r="F29" s="292"/>
      <c r="G29" s="292">
        <v>64155</v>
      </c>
      <c r="H29" s="292">
        <v>259.89999999999998</v>
      </c>
      <c r="I29" s="292">
        <v>8394</v>
      </c>
      <c r="J29" s="292">
        <f t="shared" si="0"/>
        <v>55501.1</v>
      </c>
      <c r="K29" s="1645">
        <v>36</v>
      </c>
      <c r="L29" s="1645">
        <v>157</v>
      </c>
      <c r="M29" s="292">
        <v>5849</v>
      </c>
      <c r="N29" s="292">
        <v>1874</v>
      </c>
      <c r="O29" s="1645"/>
      <c r="P29" s="1645">
        <v>2004</v>
      </c>
      <c r="Q29" s="292">
        <f t="shared" si="1"/>
        <v>65622.660588235289</v>
      </c>
      <c r="R29" s="1645">
        <f t="shared" si="2"/>
        <v>12</v>
      </c>
    </row>
    <row r="30" spans="1:18">
      <c r="A30" s="1645">
        <v>2005</v>
      </c>
      <c r="B30" s="292">
        <v>60272</v>
      </c>
      <c r="C30" s="292">
        <v>1621</v>
      </c>
      <c r="D30" s="292">
        <v>2787</v>
      </c>
      <c r="E30" s="292">
        <v>0</v>
      </c>
      <c r="F30" s="292"/>
      <c r="G30" s="292">
        <v>55864</v>
      </c>
      <c r="H30" s="292">
        <v>422.72727272727275</v>
      </c>
      <c r="I30" s="292">
        <v>7642</v>
      </c>
      <c r="J30" s="292">
        <f t="shared" si="0"/>
        <v>47799.272727272728</v>
      </c>
      <c r="K30" s="1645">
        <v>2</v>
      </c>
      <c r="L30" s="1645">
        <v>338</v>
      </c>
      <c r="M30" s="292">
        <v>2192</v>
      </c>
      <c r="N30" s="1645">
        <v>894</v>
      </c>
      <c r="O30" s="1645"/>
      <c r="P30" s="1645">
        <v>2005</v>
      </c>
      <c r="Q30" s="292">
        <f t="shared" si="1"/>
        <v>60272</v>
      </c>
      <c r="R30" s="1645">
        <f t="shared" si="2"/>
        <v>14</v>
      </c>
    </row>
    <row r="31" spans="1:18">
      <c r="A31" s="1645">
        <v>2006</v>
      </c>
      <c r="B31" s="292">
        <v>77572.600000000006</v>
      </c>
      <c r="C31" s="292">
        <v>4925.6000000000004</v>
      </c>
      <c r="D31" s="292">
        <v>4819</v>
      </c>
      <c r="E31" s="292">
        <v>9</v>
      </c>
      <c r="F31" s="292"/>
      <c r="G31" s="292">
        <v>67819</v>
      </c>
      <c r="H31" s="292">
        <v>276</v>
      </c>
      <c r="I31" s="292">
        <v>16319</v>
      </c>
      <c r="J31" s="292">
        <f t="shared" si="0"/>
        <v>51224</v>
      </c>
      <c r="K31" s="1645">
        <v>19</v>
      </c>
      <c r="L31" s="1645">
        <v>216</v>
      </c>
      <c r="M31" s="292">
        <v>3864</v>
      </c>
      <c r="N31" s="292">
        <v>1340</v>
      </c>
      <c r="O31" s="1645"/>
      <c r="P31" s="1645">
        <v>2006</v>
      </c>
      <c r="Q31" s="292">
        <f t="shared" si="1"/>
        <v>77572.600000000006</v>
      </c>
      <c r="R31" s="1645">
        <f t="shared" si="2"/>
        <v>8</v>
      </c>
    </row>
    <row r="32" spans="1:18">
      <c r="A32" s="1645">
        <v>2007</v>
      </c>
      <c r="B32" s="292">
        <v>37035</v>
      </c>
      <c r="C32" s="292">
        <v>2214</v>
      </c>
      <c r="D32" s="292">
        <v>1122</v>
      </c>
      <c r="E32" s="292">
        <v>0</v>
      </c>
      <c r="F32" s="292"/>
      <c r="G32" s="292">
        <v>33699</v>
      </c>
      <c r="H32" s="292">
        <v>136</v>
      </c>
      <c r="I32" s="292">
        <v>5375</v>
      </c>
      <c r="J32" s="292">
        <f t="shared" si="0"/>
        <v>28188</v>
      </c>
      <c r="K32" s="1645">
        <v>12</v>
      </c>
      <c r="L32" s="1645">
        <v>294</v>
      </c>
      <c r="M32" s="292">
        <v>3900</v>
      </c>
      <c r="N32" s="292">
        <v>1070</v>
      </c>
      <c r="O32" s="1645"/>
      <c r="P32" s="1645">
        <v>2007</v>
      </c>
      <c r="Q32" s="292">
        <f t="shared" si="1"/>
        <v>37035</v>
      </c>
      <c r="R32" s="1645">
        <f t="shared" si="2"/>
        <v>24</v>
      </c>
    </row>
    <row r="33" spans="1:19">
      <c r="A33" s="1645">
        <v>2008</v>
      </c>
      <c r="B33" s="292">
        <v>55532</v>
      </c>
      <c r="C33" s="292">
        <v>2140</v>
      </c>
      <c r="D33" s="292">
        <v>1370</v>
      </c>
      <c r="E33" s="292">
        <v>59</v>
      </c>
      <c r="F33" s="292">
        <v>0</v>
      </c>
      <c r="G33" s="292">
        <v>51963</v>
      </c>
      <c r="H33" s="292">
        <v>942</v>
      </c>
      <c r="I33" s="292">
        <v>9029</v>
      </c>
      <c r="J33" s="292">
        <f t="shared" si="0"/>
        <v>41992</v>
      </c>
      <c r="K33" s="1645">
        <v>55</v>
      </c>
      <c r="L33" s="1645">
        <v>188</v>
      </c>
      <c r="M33" s="292">
        <v>2597</v>
      </c>
      <c r="N33" s="292">
        <v>1861</v>
      </c>
      <c r="O33" s="1645"/>
      <c r="P33" s="1645">
        <v>2008</v>
      </c>
      <c r="Q33" s="292">
        <f t="shared" si="1"/>
        <v>55532</v>
      </c>
      <c r="R33" s="1645">
        <f t="shared" si="2"/>
        <v>17</v>
      </c>
      <c r="S33" s="1645"/>
    </row>
    <row r="34" spans="1:19">
      <c r="A34" s="1645">
        <v>2009</v>
      </c>
      <c r="B34" s="292">
        <v>53881</v>
      </c>
      <c r="C34" s="292">
        <v>2341</v>
      </c>
      <c r="D34" s="292">
        <v>2524</v>
      </c>
      <c r="E34" s="292">
        <v>22</v>
      </c>
      <c r="F34" s="292">
        <v>0</v>
      </c>
      <c r="G34" s="292">
        <v>48994</v>
      </c>
      <c r="H34" s="292">
        <v>175</v>
      </c>
      <c r="I34" s="292">
        <v>11650</v>
      </c>
      <c r="J34" s="292">
        <f t="shared" si="0"/>
        <v>37169</v>
      </c>
      <c r="K34" s="1645">
        <v>90</v>
      </c>
      <c r="L34" s="1645">
        <v>185</v>
      </c>
      <c r="M34" s="292">
        <v>2458.4</v>
      </c>
      <c r="N34" s="292">
        <v>1190.01</v>
      </c>
      <c r="O34" s="1645"/>
      <c r="P34" s="1645">
        <v>2009</v>
      </c>
      <c r="Q34" s="292">
        <f t="shared" si="1"/>
        <v>53881</v>
      </c>
      <c r="R34" s="1645">
        <f t="shared" si="2"/>
        <v>19</v>
      </c>
      <c r="S34" s="1645"/>
    </row>
    <row r="35" spans="1:19">
      <c r="A35" s="1645">
        <v>2010</v>
      </c>
      <c r="B35" s="292">
        <v>72346.2</v>
      </c>
      <c r="C35" s="292">
        <v>2738.2</v>
      </c>
      <c r="D35" s="292">
        <v>4720</v>
      </c>
      <c r="E35" s="292">
        <v>20</v>
      </c>
      <c r="F35" s="292">
        <v>230</v>
      </c>
      <c r="G35" s="292">
        <v>64638</v>
      </c>
      <c r="H35" s="292">
        <v>434.59032258064519</v>
      </c>
      <c r="I35" s="292">
        <v>15569</v>
      </c>
      <c r="J35" s="292">
        <f t="shared" si="0"/>
        <v>48634.409677419353</v>
      </c>
      <c r="K35" s="1645">
        <v>451</v>
      </c>
      <c r="L35" s="1645">
        <v>48</v>
      </c>
      <c r="M35" s="292">
        <v>2480.5500000000002</v>
      </c>
      <c r="N35" s="292">
        <v>3524.31</v>
      </c>
      <c r="O35" s="1645"/>
      <c r="P35" s="1645">
        <v>2010</v>
      </c>
      <c r="Q35" s="292">
        <f t="shared" si="1"/>
        <v>72346.2</v>
      </c>
      <c r="R35" s="1645">
        <f t="shared" si="2"/>
        <v>9</v>
      </c>
      <c r="S35" s="1645"/>
    </row>
    <row r="36" spans="1:19">
      <c r="A36" s="1645">
        <v>2011</v>
      </c>
      <c r="B36" s="292">
        <v>80573.649999999994</v>
      </c>
      <c r="C36" s="292">
        <v>5575.65</v>
      </c>
      <c r="D36" s="292">
        <v>5004</v>
      </c>
      <c r="E36" s="292">
        <v>0</v>
      </c>
      <c r="F36" s="292">
        <v>0</v>
      </c>
      <c r="G36" s="292">
        <v>69994</v>
      </c>
      <c r="H36" s="292">
        <v>302.51603773584907</v>
      </c>
      <c r="I36" s="292">
        <v>20645</v>
      </c>
      <c r="J36" s="292">
        <f t="shared" si="0"/>
        <v>49046.483962264145</v>
      </c>
      <c r="K36" s="1645">
        <v>86</v>
      </c>
      <c r="L36" s="1645">
        <v>55</v>
      </c>
      <c r="M36" s="292">
        <v>5545.6</v>
      </c>
      <c r="N36" s="292">
        <v>1207.8800000000001</v>
      </c>
      <c r="O36" s="1645"/>
      <c r="P36" s="1645">
        <v>2011</v>
      </c>
      <c r="Q36" s="292">
        <f t="shared" si="1"/>
        <v>80573.649999999994</v>
      </c>
      <c r="R36" s="1645">
        <f t="shared" si="2"/>
        <v>5</v>
      </c>
      <c r="S36" s="1645"/>
    </row>
    <row r="37" spans="1:19">
      <c r="A37" s="1645">
        <v>2012</v>
      </c>
      <c r="B37" s="292">
        <v>58299.7</v>
      </c>
      <c r="C37" s="292">
        <v>3280.7</v>
      </c>
      <c r="D37" s="292">
        <v>1692</v>
      </c>
      <c r="E37" s="292">
        <v>23</v>
      </c>
      <c r="F37" s="292">
        <v>0</v>
      </c>
      <c r="G37" s="292">
        <v>53304</v>
      </c>
      <c r="H37" s="292">
        <v>230.785593220339</v>
      </c>
      <c r="I37" s="292">
        <v>7824</v>
      </c>
      <c r="J37" s="292">
        <f t="shared" si="0"/>
        <v>45249.214406779662</v>
      </c>
      <c r="K37" s="1645">
        <v>65</v>
      </c>
      <c r="L37" s="1645">
        <v>23</v>
      </c>
      <c r="M37" s="292">
        <v>3979.95</v>
      </c>
      <c r="N37" s="292">
        <v>3400.09</v>
      </c>
      <c r="O37" s="1645"/>
      <c r="P37" s="1645">
        <v>2012</v>
      </c>
      <c r="Q37" s="292">
        <f t="shared" si="1"/>
        <v>58299.7</v>
      </c>
      <c r="R37" s="1645">
        <f t="shared" si="2"/>
        <v>15</v>
      </c>
      <c r="S37" s="1645"/>
    </row>
    <row r="38" spans="1:19">
      <c r="A38" s="1645">
        <v>2013</v>
      </c>
      <c r="B38" s="292">
        <v>67603.199999999997</v>
      </c>
      <c r="C38" s="292">
        <v>2058.1999999999998</v>
      </c>
      <c r="D38" s="292">
        <v>1954</v>
      </c>
      <c r="E38" s="292">
        <v>33</v>
      </c>
      <c r="F38" s="292">
        <v>50</v>
      </c>
      <c r="G38" s="292">
        <v>63508</v>
      </c>
      <c r="H38" s="292">
        <v>176.41836734693879</v>
      </c>
      <c r="I38" s="292">
        <v>13347</v>
      </c>
      <c r="J38" s="292">
        <f t="shared" si="0"/>
        <v>49984.581632653062</v>
      </c>
      <c r="K38" s="1645">
        <v>148</v>
      </c>
      <c r="L38" s="1645">
        <v>240</v>
      </c>
      <c r="M38" s="292">
        <v>2898.85</v>
      </c>
      <c r="N38" s="292">
        <v>3451.96</v>
      </c>
      <c r="O38" s="1645"/>
      <c r="P38" s="1645">
        <v>2013</v>
      </c>
      <c r="Q38" s="292">
        <f t="shared" si="1"/>
        <v>67603.199999999997</v>
      </c>
      <c r="R38" s="1645">
        <f t="shared" si="2"/>
        <v>11</v>
      </c>
      <c r="S38" s="1645"/>
    </row>
    <row r="39" spans="1:19">
      <c r="A39" s="1645">
        <v>2014</v>
      </c>
      <c r="B39" s="292">
        <v>78254.45</v>
      </c>
      <c r="C39" s="292">
        <v>2385.4499999999998</v>
      </c>
      <c r="D39" s="292">
        <v>2743</v>
      </c>
      <c r="E39" s="292">
        <v>45</v>
      </c>
      <c r="F39" s="292">
        <v>210</v>
      </c>
      <c r="G39" s="292">
        <v>72871</v>
      </c>
      <c r="H39" s="292">
        <v>307.57432432432432</v>
      </c>
      <c r="I39" s="292">
        <v>19179</v>
      </c>
      <c r="J39" s="292">
        <f t="shared" si="0"/>
        <v>53384.42567567568</v>
      </c>
      <c r="K39" s="1645">
        <v>146</v>
      </c>
      <c r="L39" s="1645">
        <v>150</v>
      </c>
      <c r="M39" s="292">
        <v>2874.8</v>
      </c>
      <c r="N39" s="292">
        <v>3573.52</v>
      </c>
      <c r="O39" s="1645"/>
      <c r="P39" s="1645">
        <v>2014</v>
      </c>
      <c r="Q39" s="292">
        <f t="shared" si="1"/>
        <v>78254.45</v>
      </c>
      <c r="R39" s="1645">
        <f t="shared" si="2"/>
        <v>7</v>
      </c>
      <c r="S39" s="1645"/>
    </row>
    <row r="40" spans="1:19">
      <c r="A40" s="1645">
        <v>2015</v>
      </c>
      <c r="B40" s="292">
        <v>126881.65</v>
      </c>
      <c r="C40" s="292">
        <v>6151.65</v>
      </c>
      <c r="D40" s="292">
        <v>3938</v>
      </c>
      <c r="E40" s="292">
        <v>105</v>
      </c>
      <c r="F40" s="292">
        <v>30</v>
      </c>
      <c r="G40" s="292">
        <v>116657</v>
      </c>
      <c r="H40" s="292">
        <v>608.70000000000005</v>
      </c>
      <c r="I40" s="292">
        <v>37733</v>
      </c>
      <c r="J40" s="292">
        <f t="shared" si="0"/>
        <v>78315.3</v>
      </c>
      <c r="K40" s="1645">
        <v>177</v>
      </c>
      <c r="L40" s="1645">
        <v>284</v>
      </c>
      <c r="M40" s="292">
        <v>4822.7</v>
      </c>
      <c r="N40" s="292">
        <v>10409.89</v>
      </c>
      <c r="O40" s="1645"/>
      <c r="P40" s="1645">
        <v>2015</v>
      </c>
      <c r="Q40" s="292">
        <f t="shared" si="1"/>
        <v>126881.65</v>
      </c>
      <c r="R40" s="1645">
        <f t="shared" si="2"/>
        <v>1</v>
      </c>
      <c r="S40" s="1645"/>
    </row>
    <row r="41" spans="1:19">
      <c r="A41" s="682">
        <v>2016</v>
      </c>
      <c r="B41" s="684">
        <v>91047.5</v>
      </c>
      <c r="C41" s="699">
        <v>3705.5</v>
      </c>
      <c r="D41" s="699">
        <v>2990</v>
      </c>
      <c r="E41" s="682">
        <v>60</v>
      </c>
      <c r="F41" s="682">
        <v>100</v>
      </c>
      <c r="G41" s="684">
        <v>84192</v>
      </c>
      <c r="H41" s="699">
        <v>360.9</v>
      </c>
      <c r="I41" s="684">
        <v>20415</v>
      </c>
      <c r="J41" s="292">
        <f t="shared" si="0"/>
        <v>63416.100000000006</v>
      </c>
      <c r="K41" s="699">
        <v>204.5</v>
      </c>
      <c r="L41" s="682">
        <v>218</v>
      </c>
      <c r="M41" s="684">
        <v>4213.55</v>
      </c>
      <c r="N41" s="684">
        <v>3540.85</v>
      </c>
      <c r="O41" s="1645"/>
      <c r="P41" s="1645">
        <v>2016</v>
      </c>
      <c r="Q41" s="292">
        <f t="shared" si="1"/>
        <v>91047.5</v>
      </c>
      <c r="R41" s="1645">
        <f t="shared" si="2"/>
        <v>2</v>
      </c>
      <c r="S41" s="1645"/>
    </row>
    <row r="42" spans="1:19">
      <c r="A42" s="1645">
        <v>2017</v>
      </c>
      <c r="B42" s="684">
        <v>68204.2</v>
      </c>
      <c r="C42" s="699">
        <v>3853</v>
      </c>
      <c r="D42" s="699">
        <v>0</v>
      </c>
      <c r="E42" s="682">
        <v>47</v>
      </c>
      <c r="F42" s="682">
        <v>160</v>
      </c>
      <c r="G42" s="684">
        <v>64144</v>
      </c>
      <c r="H42" s="699">
        <v>136</v>
      </c>
      <c r="I42" s="684">
        <v>16168</v>
      </c>
      <c r="J42" s="292">
        <f t="shared" si="0"/>
        <v>47840</v>
      </c>
      <c r="K42" s="699">
        <v>126</v>
      </c>
      <c r="L42" s="682">
        <v>158</v>
      </c>
      <c r="M42" s="684">
        <v>4325.3500000000004</v>
      </c>
      <c r="N42" s="684">
        <v>1577.84</v>
      </c>
      <c r="O42" s="1645"/>
      <c r="P42" s="1645">
        <v>2017</v>
      </c>
      <c r="Q42" s="292">
        <f t="shared" si="1"/>
        <v>68204.2</v>
      </c>
      <c r="R42" s="1645">
        <f t="shared" si="2"/>
        <v>10</v>
      </c>
      <c r="S42" s="1645"/>
    </row>
    <row r="43" spans="1:19">
      <c r="A43" s="682">
        <v>2018</v>
      </c>
      <c r="B43" s="684">
        <v>42119.5</v>
      </c>
      <c r="C43" s="699">
        <v>1140</v>
      </c>
      <c r="D43" s="699">
        <v>0</v>
      </c>
      <c r="E43" s="682">
        <v>24</v>
      </c>
      <c r="F43" s="682">
        <v>50</v>
      </c>
      <c r="G43" s="684">
        <v>40906</v>
      </c>
      <c r="H43" s="699">
        <v>12</v>
      </c>
      <c r="I43" s="684">
        <v>9448</v>
      </c>
      <c r="J43" s="292">
        <f t="shared" si="0"/>
        <v>31446</v>
      </c>
      <c r="K43" s="699">
        <v>122</v>
      </c>
      <c r="L43" s="682">
        <v>68</v>
      </c>
      <c r="M43" s="684">
        <v>3385</v>
      </c>
      <c r="N43" s="684">
        <v>1268</v>
      </c>
      <c r="O43" s="1645"/>
      <c r="P43" s="1645">
        <v>2018</v>
      </c>
      <c r="Q43" s="292">
        <f t="shared" si="1"/>
        <v>42119.5</v>
      </c>
      <c r="R43" s="1645">
        <f t="shared" si="2"/>
        <v>23</v>
      </c>
      <c r="S43" s="1645"/>
    </row>
    <row r="44" spans="1:19">
      <c r="A44" s="1645">
        <v>2019</v>
      </c>
      <c r="B44" s="292">
        <v>34556</v>
      </c>
      <c r="C44" s="292">
        <v>11</v>
      </c>
      <c r="D44" s="292">
        <v>0</v>
      </c>
      <c r="E44" s="292">
        <f>14+9</f>
        <v>23</v>
      </c>
      <c r="F44" s="292">
        <v>50</v>
      </c>
      <c r="G44" s="292">
        <v>34472</v>
      </c>
      <c r="H44" s="292">
        <v>6</v>
      </c>
      <c r="I44" s="292">
        <v>5587</v>
      </c>
      <c r="J44" s="292">
        <f t="shared" si="0"/>
        <v>28879</v>
      </c>
      <c r="K44" s="1645">
        <v>0</v>
      </c>
      <c r="L44" s="1645">
        <v>27</v>
      </c>
      <c r="M44" s="684">
        <v>6025</v>
      </c>
      <c r="N44" s="1645">
        <v>1404</v>
      </c>
      <c r="O44" s="1645"/>
      <c r="P44" s="1645">
        <v>2019</v>
      </c>
      <c r="Q44" s="292">
        <f t="shared" si="1"/>
        <v>34556</v>
      </c>
      <c r="R44" s="1645">
        <f t="shared" si="2"/>
        <v>25</v>
      </c>
      <c r="S44" s="1645"/>
    </row>
    <row r="45" spans="1:19">
      <c r="A45" s="682">
        <v>2020</v>
      </c>
      <c r="B45" s="292">
        <v>65466</v>
      </c>
      <c r="C45" s="292">
        <v>1389</v>
      </c>
      <c r="D45" s="292">
        <v>0</v>
      </c>
      <c r="E45" s="292">
        <v>13</v>
      </c>
      <c r="F45" s="292">
        <v>0</v>
      </c>
      <c r="G45" s="292">
        <v>64064</v>
      </c>
      <c r="H45" s="292">
        <v>6</v>
      </c>
      <c r="I45" s="292">
        <v>8410</v>
      </c>
      <c r="J45" s="292">
        <f t="shared" si="0"/>
        <v>55648</v>
      </c>
      <c r="K45" s="1645">
        <v>166</v>
      </c>
      <c r="L45" s="1645">
        <v>36</v>
      </c>
      <c r="M45" s="684">
        <v>5894</v>
      </c>
      <c r="N45" s="1645">
        <v>1728</v>
      </c>
      <c r="O45" s="1645"/>
      <c r="P45" s="1645">
        <v>2020</v>
      </c>
      <c r="Q45" s="292">
        <f t="shared" si="1"/>
        <v>65466</v>
      </c>
      <c r="R45" s="1645">
        <f t="shared" si="2"/>
        <v>13</v>
      </c>
      <c r="S45" s="1645"/>
    </row>
    <row r="46" spans="1:19">
      <c r="A46" s="1645">
        <v>2021</v>
      </c>
      <c r="B46" s="292">
        <v>56800</v>
      </c>
      <c r="C46" s="483">
        <v>2284</v>
      </c>
      <c r="D46" s="292">
        <v>0</v>
      </c>
      <c r="E46" s="292">
        <v>7</v>
      </c>
      <c r="F46" s="292">
        <v>20</v>
      </c>
      <c r="G46" s="292">
        <v>54489</v>
      </c>
      <c r="H46" s="292">
        <v>23</v>
      </c>
      <c r="I46" s="292">
        <v>11225</v>
      </c>
      <c r="J46" s="292">
        <f t="shared" si="0"/>
        <v>43241</v>
      </c>
      <c r="K46" s="483">
        <v>78</v>
      </c>
      <c r="L46" s="1645">
        <v>62</v>
      </c>
      <c r="M46" s="1645">
        <f>5052+(2090*0.1)</f>
        <v>5261</v>
      </c>
      <c r="N46" s="483">
        <f>1412+171+(45*0.01)</f>
        <v>1583.45</v>
      </c>
      <c r="O46" s="1645"/>
      <c r="P46" s="1645">
        <v>2021</v>
      </c>
      <c r="Q46" s="292">
        <f>B46</f>
        <v>56800</v>
      </c>
      <c r="R46" s="522"/>
      <c r="S46" s="1645">
        <f>RANK(Q46,$Q$5:$Q$52,0)</f>
        <v>16</v>
      </c>
    </row>
    <row r="47" spans="1:19">
      <c r="A47" s="682">
        <v>2022</v>
      </c>
      <c r="B47" s="292">
        <v>78494</v>
      </c>
      <c r="C47" s="483">
        <v>3549</v>
      </c>
      <c r="D47" s="292">
        <v>0</v>
      </c>
      <c r="E47" s="292">
        <v>65</v>
      </c>
      <c r="F47" s="292">
        <v>70</v>
      </c>
      <c r="G47" s="292">
        <v>74810</v>
      </c>
      <c r="H47" s="292">
        <v>12</v>
      </c>
      <c r="I47" s="292">
        <v>16086</v>
      </c>
      <c r="J47" s="292">
        <f t="shared" si="0"/>
        <v>58712</v>
      </c>
      <c r="K47" s="483">
        <v>290</v>
      </c>
      <c r="L47" s="1645">
        <v>19</v>
      </c>
      <c r="M47" s="483">
        <f>6355+(1373*0.15)</f>
        <v>6560.95</v>
      </c>
      <c r="N47" s="483">
        <v>1202</v>
      </c>
      <c r="O47" s="1645"/>
      <c r="P47" s="1645">
        <v>2022</v>
      </c>
      <c r="Q47" s="292">
        <f>B47</f>
        <v>78494</v>
      </c>
      <c r="R47" s="522"/>
      <c r="S47" s="1645">
        <f>RANK(Q47,$Q$5:$Q$52,0)</f>
        <v>6</v>
      </c>
    </row>
    <row r="48" spans="1:19">
      <c r="A48" s="1645">
        <v>2023</v>
      </c>
      <c r="B48" s="292">
        <v>54722</v>
      </c>
      <c r="C48" s="483">
        <v>2162</v>
      </c>
      <c r="D48" s="292">
        <v>0</v>
      </c>
      <c r="E48" s="292">
        <v>51</v>
      </c>
      <c r="F48" s="292">
        <v>70</v>
      </c>
      <c r="G48" s="292">
        <v>52439</v>
      </c>
      <c r="H48" s="292">
        <v>75</v>
      </c>
      <c r="I48" s="292">
        <v>11002</v>
      </c>
      <c r="J48" s="292">
        <f>G48-H48-I48</f>
        <v>41362</v>
      </c>
      <c r="K48" s="483">
        <v>61</v>
      </c>
      <c r="L48" s="1645">
        <v>73</v>
      </c>
      <c r="M48" s="483">
        <v>5943</v>
      </c>
      <c r="N48" s="483">
        <v>1759</v>
      </c>
      <c r="O48" s="1645"/>
      <c r="P48" s="1645">
        <v>2023</v>
      </c>
      <c r="Q48" s="292">
        <f>B48</f>
        <v>54722</v>
      </c>
      <c r="R48" s="522"/>
      <c r="S48" s="1645"/>
    </row>
    <row r="49" spans="1:18">
      <c r="A49" s="1645">
        <v>2024</v>
      </c>
      <c r="B49" s="292">
        <v>42511</v>
      </c>
      <c r="C49" s="483">
        <v>899</v>
      </c>
      <c r="D49" s="292">
        <v>0</v>
      </c>
      <c r="E49" s="292">
        <v>0</v>
      </c>
      <c r="F49" s="292">
        <v>50</v>
      </c>
      <c r="G49" s="292">
        <v>41562</v>
      </c>
      <c r="H49" s="292">
        <v>23</v>
      </c>
      <c r="I49" s="292">
        <v>6999</v>
      </c>
      <c r="J49" s="292">
        <f>G49-H49-I49</f>
        <v>34540</v>
      </c>
      <c r="K49" s="483">
        <v>99</v>
      </c>
      <c r="L49" s="1645">
        <v>25</v>
      </c>
      <c r="M49" s="483">
        <v>3406</v>
      </c>
      <c r="N49" s="483">
        <v>1338</v>
      </c>
      <c r="O49" s="1645">
        <v>4</v>
      </c>
      <c r="P49" s="1645">
        <v>2024</v>
      </c>
      <c r="Q49" s="292">
        <f>B49</f>
        <v>42511</v>
      </c>
      <c r="R49" s="522"/>
    </row>
    <row r="50" spans="1:18">
      <c r="A50" s="1645">
        <v>2025</v>
      </c>
      <c r="B50" s="292">
        <v>43623</v>
      </c>
      <c r="C50" s="483">
        <v>570.5</v>
      </c>
      <c r="D50" s="292">
        <v>0</v>
      </c>
      <c r="E50" s="292">
        <v>48</v>
      </c>
      <c r="F50" s="292">
        <v>10</v>
      </c>
      <c r="G50" s="292">
        <v>43012</v>
      </c>
      <c r="H50" s="292">
        <v>3.75</v>
      </c>
      <c r="I50" s="292">
        <v>7650</v>
      </c>
      <c r="J50" s="292">
        <f>G50-H50-I50</f>
        <v>35358.25</v>
      </c>
      <c r="K50" s="483">
        <v>23.849999999999998</v>
      </c>
      <c r="L50" s="1645">
        <v>26</v>
      </c>
      <c r="M50" s="483">
        <v>1161</v>
      </c>
      <c r="N50" s="483">
        <v>1738</v>
      </c>
      <c r="O50" s="1645"/>
      <c r="P50" s="1645">
        <v>2025</v>
      </c>
      <c r="Q50" s="292">
        <f>B50</f>
        <v>43623</v>
      </c>
      <c r="R50" s="522"/>
    </row>
    <row r="52" spans="1:18">
      <c r="A52" s="515" t="s">
        <v>57</v>
      </c>
      <c r="B52" s="700">
        <f>AVERAGE(B5:B14)</f>
        <v>19243.200788265804</v>
      </c>
      <c r="C52" s="292"/>
      <c r="D52" s="292"/>
      <c r="E52" s="292"/>
      <c r="F52" s="292"/>
      <c r="G52" s="292"/>
      <c r="H52" s="292"/>
      <c r="I52" s="292"/>
      <c r="J52" s="292"/>
      <c r="K52" s="1645"/>
      <c r="L52" s="1645"/>
      <c r="M52" s="1645"/>
      <c r="N52" s="1645"/>
      <c r="O52" s="1645"/>
      <c r="P52" s="1645">
        <v>2024</v>
      </c>
      <c r="Q52" s="292">
        <f>B73</f>
        <v>0</v>
      </c>
      <c r="R52" s="1645">
        <f>RANK(Q52,$Q$5:$Q$52,0)</f>
        <v>47</v>
      </c>
    </row>
    <row r="53" spans="1:18">
      <c r="A53" s="1645" t="s">
        <v>58</v>
      </c>
      <c r="B53" s="292">
        <f>MIN(B5:B14)</f>
        <v>13145.410209758595</v>
      </c>
      <c r="C53" s="292"/>
      <c r="D53" s="292"/>
      <c r="E53" s="292"/>
      <c r="F53" s="292"/>
      <c r="G53" s="292"/>
      <c r="H53" s="292"/>
      <c r="I53" s="292"/>
      <c r="J53" s="292"/>
      <c r="K53" s="1645"/>
      <c r="L53" s="1645"/>
      <c r="M53" s="1645"/>
      <c r="N53" s="1645"/>
      <c r="O53" s="1645"/>
      <c r="P53" s="1645"/>
      <c r="Q53" s="1645"/>
      <c r="R53" s="1645"/>
    </row>
    <row r="54" spans="1:18">
      <c r="A54" s="1645" t="s">
        <v>59</v>
      </c>
      <c r="B54" s="292">
        <f>MAX(B5:B14)</f>
        <v>22719.547212441314</v>
      </c>
      <c r="C54" s="292"/>
      <c r="D54" s="292"/>
      <c r="E54" s="292"/>
      <c r="F54" s="292"/>
      <c r="G54" s="292"/>
      <c r="H54" s="292"/>
      <c r="I54" s="292"/>
      <c r="J54" s="292"/>
      <c r="K54" s="1645"/>
      <c r="L54" s="1645"/>
      <c r="M54" s="1645"/>
      <c r="N54" s="1645"/>
      <c r="O54" s="1645"/>
      <c r="P54" s="1645"/>
      <c r="Q54" s="1645"/>
      <c r="R54" s="1645"/>
    </row>
    <row r="55" spans="1:18">
      <c r="A55" s="515" t="s">
        <v>60</v>
      </c>
      <c r="B55" s="700">
        <f>AVERAGE(B15:B24)</f>
        <v>15090.359489306895</v>
      </c>
      <c r="C55" s="292"/>
      <c r="D55" s="292"/>
      <c r="E55" s="292"/>
      <c r="F55" s="292"/>
      <c r="G55" s="292"/>
      <c r="H55" s="292"/>
      <c r="I55" s="292"/>
      <c r="J55" s="292"/>
      <c r="K55" s="1645"/>
      <c r="L55" s="1645"/>
      <c r="M55" s="1645"/>
      <c r="N55" s="1645"/>
      <c r="O55" s="1645"/>
      <c r="P55" s="1645"/>
      <c r="Q55" s="1645"/>
      <c r="R55" s="1645"/>
    </row>
    <row r="56" spans="1:18">
      <c r="A56" s="1645" t="s">
        <v>58</v>
      </c>
      <c r="B56" s="292">
        <f>MIN(B15:B24)</f>
        <v>9428.2330263670792</v>
      </c>
      <c r="C56" s="292"/>
      <c r="D56" s="292"/>
      <c r="E56" s="292"/>
      <c r="F56" s="292"/>
      <c r="G56" s="292"/>
      <c r="H56" s="292"/>
      <c r="I56" s="292"/>
      <c r="J56" s="292"/>
      <c r="K56" s="1645"/>
      <c r="L56" s="1645"/>
      <c r="M56" s="1645"/>
      <c r="N56" s="1645"/>
      <c r="O56" s="1645"/>
      <c r="P56" s="1645"/>
      <c r="Q56" s="1645"/>
      <c r="R56" s="1645"/>
    </row>
    <row r="57" spans="1:18">
      <c r="A57" s="1645" t="s">
        <v>59</v>
      </c>
      <c r="B57" s="292">
        <f>MAX(B15:B24)</f>
        <v>21866.799999999999</v>
      </c>
      <c r="C57" s="292"/>
      <c r="D57" s="292"/>
      <c r="E57" s="292"/>
      <c r="F57" s="292"/>
      <c r="G57" s="292"/>
      <c r="H57" s="292"/>
      <c r="I57" s="292"/>
      <c r="J57" s="292"/>
      <c r="K57" s="1645"/>
      <c r="L57" s="1645"/>
      <c r="M57" s="1645"/>
      <c r="N57" s="1645"/>
      <c r="O57" s="1645"/>
      <c r="P57" s="1645"/>
      <c r="Q57" s="1645"/>
      <c r="R57" s="1645"/>
    </row>
    <row r="58" spans="1:18">
      <c r="A58" s="515" t="s">
        <v>246</v>
      </c>
      <c r="B58" s="700">
        <f>AVERAGE(B25:B34)</f>
        <v>59805.214058823534</v>
      </c>
      <c r="C58" s="292"/>
      <c r="D58" s="292"/>
      <c r="E58" s="292"/>
      <c r="F58" s="292"/>
      <c r="G58" s="292"/>
      <c r="H58" s="292"/>
      <c r="I58" s="292"/>
      <c r="J58" s="292"/>
      <c r="K58" s="1645"/>
      <c r="L58" s="1645"/>
      <c r="M58" s="1645"/>
      <c r="N58" s="1645"/>
      <c r="O58" s="1645"/>
      <c r="P58" s="1645"/>
      <c r="Q58" s="1645"/>
      <c r="R58" s="1645"/>
    </row>
    <row r="59" spans="1:18">
      <c r="A59" s="1645" t="s">
        <v>58</v>
      </c>
      <c r="B59" s="292">
        <f>MIN(B25:B34)</f>
        <v>22595.1</v>
      </c>
      <c r="C59" s="292"/>
      <c r="D59" s="292"/>
      <c r="E59" s="292"/>
      <c r="F59" s="292"/>
      <c r="G59" s="292"/>
      <c r="H59" s="292"/>
      <c r="I59" s="292"/>
      <c r="J59" s="292"/>
      <c r="K59" s="1645"/>
      <c r="L59" s="1645"/>
      <c r="M59" s="1645"/>
      <c r="N59" s="1645"/>
      <c r="O59" s="1645"/>
      <c r="P59" s="1645"/>
      <c r="Q59" s="1645"/>
      <c r="R59" s="1645"/>
    </row>
    <row r="60" spans="1:18">
      <c r="A60" s="1645" t="s">
        <v>59</v>
      </c>
      <c r="B60" s="292">
        <f>MAX(B25:B34)</f>
        <v>89523.5</v>
      </c>
      <c r="C60" s="292"/>
      <c r="D60" s="292"/>
      <c r="E60" s="292"/>
      <c r="F60" s="292"/>
      <c r="G60" s="292"/>
      <c r="H60" s="292"/>
      <c r="I60" s="292"/>
      <c r="J60" s="292"/>
      <c r="K60" s="1645"/>
      <c r="L60" s="1645"/>
      <c r="M60" s="1645"/>
      <c r="N60" s="1645"/>
      <c r="O60" s="1645"/>
      <c r="P60" s="1645"/>
      <c r="Q60" s="1645"/>
      <c r="R60" s="1645"/>
    </row>
    <row r="61" spans="1:18">
      <c r="A61" s="515" t="s">
        <v>247</v>
      </c>
      <c r="B61" s="700">
        <f>AVERAGE(B35:B44)</f>
        <v>71988.604999999996</v>
      </c>
      <c r="C61" s="292"/>
      <c r="D61" s="292"/>
      <c r="E61" s="292"/>
      <c r="F61" s="292"/>
      <c r="G61" s="292"/>
      <c r="H61" s="292"/>
      <c r="I61" s="292"/>
      <c r="J61" s="292"/>
      <c r="K61" s="1645"/>
      <c r="L61" s="1645"/>
      <c r="M61" s="1645"/>
      <c r="N61" s="1645"/>
      <c r="O61" s="1645"/>
      <c r="P61" s="1645"/>
      <c r="Q61" s="1645"/>
      <c r="R61" s="1645"/>
    </row>
    <row r="62" spans="1:18">
      <c r="A62" s="1645" t="s">
        <v>58</v>
      </c>
      <c r="B62" s="292">
        <f>MIN(B35:B44)</f>
        <v>34556</v>
      </c>
      <c r="C62" s="292"/>
      <c r="D62" s="292"/>
      <c r="E62" s="292"/>
      <c r="F62" s="292"/>
      <c r="G62" s="292"/>
      <c r="H62" s="292"/>
      <c r="I62" s="292"/>
      <c r="J62" s="292"/>
      <c r="K62" s="1645"/>
      <c r="L62" s="1645"/>
      <c r="M62" s="1645"/>
      <c r="N62" s="1645"/>
      <c r="O62" s="1645"/>
      <c r="P62" s="1645"/>
      <c r="Q62" s="1645"/>
      <c r="R62" s="1645"/>
    </row>
    <row r="63" spans="1:18">
      <c r="A63" s="1645" t="s">
        <v>59</v>
      </c>
      <c r="B63" s="292">
        <f>MAX(B35:B44)</f>
        <v>126881.65</v>
      </c>
      <c r="C63" s="292"/>
      <c r="D63" s="292"/>
      <c r="E63" s="292"/>
      <c r="F63" s="292"/>
      <c r="G63" s="292"/>
      <c r="H63" s="292"/>
      <c r="I63" s="292"/>
      <c r="J63" s="292"/>
      <c r="K63" s="1645"/>
      <c r="L63" s="1645"/>
      <c r="M63" s="1645"/>
      <c r="N63" s="1645"/>
      <c r="O63" s="1645"/>
      <c r="P63" s="1645"/>
      <c r="Q63" s="1645"/>
      <c r="R63" s="1645"/>
    </row>
    <row r="64" spans="1:18">
      <c r="A64" s="1570" t="s">
        <v>333</v>
      </c>
      <c r="B64" s="1571">
        <f>AVERAGE(B45:B50)</f>
        <v>56936</v>
      </c>
      <c r="C64" s="292"/>
      <c r="D64" s="292"/>
      <c r="E64" s="1645"/>
      <c r="F64" s="1645"/>
      <c r="G64" s="1645"/>
      <c r="H64" s="1645"/>
      <c r="I64" s="1645"/>
      <c r="J64" s="1645"/>
      <c r="K64" s="1645"/>
      <c r="L64" s="1645"/>
      <c r="M64" s="1645"/>
      <c r="N64" s="1645"/>
      <c r="O64" s="1645"/>
      <c r="P64" s="1645"/>
      <c r="Q64" s="1645"/>
      <c r="R64" s="1645"/>
    </row>
    <row r="65" spans="1:4">
      <c r="A65" s="1645" t="s">
        <v>58</v>
      </c>
      <c r="B65" s="292">
        <f>MIN(B45:B50)</f>
        <v>42511</v>
      </c>
      <c r="C65" s="292"/>
      <c r="D65" s="1645"/>
    </row>
    <row r="66" spans="1:4">
      <c r="A66" s="1645" t="s">
        <v>59</v>
      </c>
      <c r="B66" s="292">
        <f>MAX(B45:B50)</f>
        <v>78494</v>
      </c>
      <c r="C66" s="1645"/>
      <c r="D66" s="1645"/>
    </row>
    <row r="67" spans="1:4">
      <c r="A67" s="1645"/>
      <c r="B67" s="292"/>
      <c r="C67" s="1645"/>
      <c r="D67" s="1645"/>
    </row>
    <row r="68" spans="1:4">
      <c r="A68" s="515" t="s">
        <v>334</v>
      </c>
      <c r="B68" s="700">
        <f>AVERAGE(B40:B49)</f>
        <v>66080.184999999998</v>
      </c>
      <c r="C68" s="1645" t="s">
        <v>68</v>
      </c>
      <c r="D68" s="1645"/>
    </row>
    <row r="69" spans="1:4">
      <c r="A69" s="682">
        <v>2025</v>
      </c>
      <c r="B69" s="293">
        <f>$B$50/B68</f>
        <v>0.66015251016624732</v>
      </c>
      <c r="C69" s="1645" t="s">
        <v>335</v>
      </c>
      <c r="D69" s="292">
        <f>AVERAGE(B26:B49)</f>
        <v>66389.003774509794</v>
      </c>
    </row>
    <row r="70" spans="1:4">
      <c r="A70" s="682">
        <v>2025</v>
      </c>
      <c r="B70" s="293">
        <f>$B$50/D69</f>
        <v>0.65708170811186573</v>
      </c>
      <c r="C70" s="1645" t="s">
        <v>336</v>
      </c>
      <c r="D70" s="292">
        <f>AVERAGE(B5:B25)</f>
        <v>17425.271560748901</v>
      </c>
    </row>
    <row r="71" spans="1:4">
      <c r="A71" s="682">
        <v>2025</v>
      </c>
      <c r="B71" s="293">
        <f>$B$50/D70</f>
        <v>2.5034330080836442</v>
      </c>
      <c r="C71" s="1645"/>
      <c r="D71" s="1645"/>
    </row>
    <row r="73" spans="1:4">
      <c r="A73" s="294" t="s">
        <v>64</v>
      </c>
      <c r="B73" s="1572"/>
      <c r="C73" s="1645"/>
      <c r="D73" s="1645"/>
    </row>
    <row r="74" spans="1:4">
      <c r="A74" s="1645" t="s">
        <v>66</v>
      </c>
      <c r="B74" s="292">
        <f>AVERAGE(B41:B50)</f>
        <v>57754.319999999992</v>
      </c>
      <c r="C74" s="1645" t="s">
        <v>68</v>
      </c>
      <c r="D74" s="1645"/>
    </row>
    <row r="75" spans="1:4">
      <c r="A75" s="1645" t="s">
        <v>67</v>
      </c>
      <c r="B75" s="293">
        <f>B73/B74</f>
        <v>0</v>
      </c>
      <c r="C75" s="1645" t="s">
        <v>69</v>
      </c>
      <c r="D75" s="1645"/>
    </row>
    <row r="76" spans="1:4">
      <c r="A76" s="1645" t="s">
        <v>67</v>
      </c>
      <c r="B76" s="293">
        <f>B73/B49</f>
        <v>0</v>
      </c>
      <c r="C76" s="1645"/>
      <c r="D76" s="1645"/>
    </row>
  </sheetData>
  <mergeCells count="4">
    <mergeCell ref="A1:N1"/>
    <mergeCell ref="C2:F2"/>
    <mergeCell ref="H2:I2"/>
    <mergeCell ref="C3:E3"/>
  </mergeCells>
  <pageMargins left="0.75" right="0.75" top="1" bottom="1" header="0.5" footer="0.5"/>
  <pageSetup scale="86" orientation="portrait"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A3919-7010-4EE9-8CB1-8D25836B5BAE}">
  <sheetPr>
    <tabColor rgb="FF66FF33"/>
  </sheetPr>
  <dimension ref="B1:Q45"/>
  <sheetViews>
    <sheetView showGridLines="0" topLeftCell="A26" zoomScaleNormal="100" workbookViewId="0">
      <selection activeCell="J45" sqref="J45"/>
    </sheetView>
  </sheetViews>
  <sheetFormatPr defaultColWidth="9.33203125" defaultRowHeight="12.75"/>
  <cols>
    <col min="1" max="1" width="9.33203125" style="74"/>
    <col min="2" max="2" width="10.83203125" style="74" customWidth="1"/>
    <col min="3" max="3" width="11" style="74" bestFit="1" customWidth="1"/>
    <col min="4" max="10" width="9.83203125" style="74" customWidth="1"/>
    <col min="11" max="11" width="12.83203125" style="74" customWidth="1"/>
    <col min="12" max="12" width="9.83203125" style="74" customWidth="1"/>
    <col min="13" max="13" width="10.33203125" style="74" customWidth="1"/>
    <col min="14" max="15" width="9.83203125" style="74" customWidth="1"/>
    <col min="16" max="16" width="1.6640625" style="74" customWidth="1"/>
    <col min="17" max="16384" width="9.33203125" style="74"/>
  </cols>
  <sheetData>
    <row r="1" spans="2:15" ht="15.75">
      <c r="B1" s="611" t="s">
        <v>141</v>
      </c>
      <c r="C1" s="689"/>
      <c r="D1" s="689"/>
      <c r="E1" s="689"/>
      <c r="F1" s="553"/>
      <c r="G1" s="553"/>
      <c r="H1" s="689"/>
      <c r="I1" s="553"/>
      <c r="J1" s="689"/>
      <c r="K1" s="689"/>
      <c r="L1" s="553"/>
      <c r="M1" s="553"/>
      <c r="N1" s="689"/>
      <c r="O1" s="689"/>
    </row>
    <row r="2" spans="2:15" ht="15.75">
      <c r="B2" s="295" t="s">
        <v>337</v>
      </c>
      <c r="C2" s="689"/>
      <c r="D2" s="689"/>
      <c r="E2" s="689"/>
      <c r="F2" s="553"/>
      <c r="G2" s="553"/>
      <c r="H2" s="689"/>
      <c r="I2" s="553"/>
      <c r="J2" s="689"/>
      <c r="K2" s="689"/>
      <c r="L2" s="553"/>
      <c r="M2" s="553"/>
      <c r="N2" s="689"/>
      <c r="O2" s="689"/>
    </row>
    <row r="4" spans="2:15" ht="41.85" customHeight="1">
      <c r="B4" s="845"/>
      <c r="C4" s="846"/>
      <c r="D4" s="1789" t="s">
        <v>338</v>
      </c>
      <c r="E4" s="1762"/>
      <c r="F4" s="1762"/>
      <c r="G4" s="1790"/>
      <c r="H4" s="1791" t="s">
        <v>339</v>
      </c>
      <c r="I4" s="1789" t="s">
        <v>340</v>
      </c>
      <c r="J4" s="1790"/>
      <c r="K4" s="847"/>
      <c r="L4" s="1793" t="s">
        <v>341</v>
      </c>
      <c r="M4" s="848"/>
      <c r="N4" s="1795" t="s">
        <v>342</v>
      </c>
      <c r="O4" s="849"/>
    </row>
    <row r="5" spans="2:15" ht="26.25" customHeight="1" thickBot="1">
      <c r="B5" s="639"/>
      <c r="C5" s="1797" t="s">
        <v>343</v>
      </c>
      <c r="D5" s="1799" t="s">
        <v>344</v>
      </c>
      <c r="E5" s="1800"/>
      <c r="F5" s="1800"/>
      <c r="G5" s="1324"/>
      <c r="H5" s="1792"/>
      <c r="I5" s="1648" t="s">
        <v>321</v>
      </c>
      <c r="J5" s="608" t="s">
        <v>179</v>
      </c>
      <c r="K5" s="1797" t="s">
        <v>345</v>
      </c>
      <c r="L5" s="1794"/>
      <c r="M5" s="1636" t="s">
        <v>346</v>
      </c>
      <c r="N5" s="1796"/>
      <c r="O5" s="850" t="s">
        <v>347</v>
      </c>
    </row>
    <row r="6" spans="2:15" ht="14.25">
      <c r="B6" s="853" t="s">
        <v>28</v>
      </c>
      <c r="C6" s="1798"/>
      <c r="D6" s="1323" t="s">
        <v>197</v>
      </c>
      <c r="E6" s="494" t="s">
        <v>189</v>
      </c>
      <c r="F6" s="494" t="s">
        <v>348</v>
      </c>
      <c r="G6" s="1311" t="s">
        <v>179</v>
      </c>
      <c r="H6" s="1792"/>
      <c r="I6" s="1310" t="s">
        <v>197</v>
      </c>
      <c r="J6" s="1312" t="s">
        <v>349</v>
      </c>
      <c r="K6" s="1798"/>
      <c r="L6" s="1310" t="s">
        <v>197</v>
      </c>
      <c r="M6" s="494" t="s">
        <v>332</v>
      </c>
      <c r="N6" s="494" t="s">
        <v>197</v>
      </c>
      <c r="O6" s="1072" t="s">
        <v>350</v>
      </c>
    </row>
    <row r="7" spans="2:15">
      <c r="B7" s="1313" t="s">
        <v>220</v>
      </c>
      <c r="C7" s="1314">
        <f>IF(ISERROR(AVERAGE([1]T8UCCHSuManip!B5:B9))=TRUE,0,AVERAGE([1]T8UCCHSuManip!B5:B9))</f>
        <v>17504.612785077617</v>
      </c>
      <c r="D7" s="1315">
        <f>IF(ISERROR(AVERAGE([1]T8UCCHSuManip!C5:C9))=TRUE,0,AVERAGE([1]T8UCCHSuManip!C5:C9))</f>
        <v>0</v>
      </c>
      <c r="E7" s="1314">
        <f>IF(ISERROR(AVERAGE([1]T8UCCHSuManip!D5:D9))=TRUE,0,AVERAGE([1]T8UCCHSuManip!D5:D9))</f>
        <v>0</v>
      </c>
      <c r="F7" s="1315">
        <f>IF(ISERROR(AVERAGE([1]T8UCCHSuManip!E5:E9))=TRUE,0,AVERAGE([1]T8UCCHSuManip!E5:E9))</f>
        <v>51.212785077619642</v>
      </c>
      <c r="G7" s="1315">
        <f>IF(ISERROR(AVERAGE([1]T8UCCHSuManip!F5:F9))=TRUE,0,AVERAGE([1]T8UCCHSuManip!F5:F9))</f>
        <v>0</v>
      </c>
      <c r="H7" s="1314">
        <f>IF(ISERROR(AVERAGE([1]T8UCCHSuManip!G5:G9))=TRUE,0,AVERAGE([1]T8UCCHSuManip!G5:G9))</f>
        <v>17453.400000000001</v>
      </c>
      <c r="I7" s="1315">
        <f>IF(ISERROR(AVERAGE([1]T8UCCHSuManip!H5:H9))=TRUE,0,AVERAGE([1]T8UCCHSuManip!H5:H9))</f>
        <v>0</v>
      </c>
      <c r="J7" s="1314">
        <f>IF(ISERROR(AVERAGE([1]T8UCCHSuManip!I5:I9))=TRUE,0,AVERAGE([1]T8UCCHSuManip!I5:I9))</f>
        <v>918.8</v>
      </c>
      <c r="K7" s="1315">
        <f>IF(ISERROR(AVERAGE([1]T8UCCHSuManip!J5:J9))=TRUE,0,AVERAGE([1]T8UCCHSuManip!J5:J9))</f>
        <v>16534.599999999999</v>
      </c>
      <c r="L7" s="1315">
        <f>IF(ISERROR(AVERAGE([1]T8UCCHSuManip!K5:K9))=TRUE,0,AVERAGE([1]T8UCCHSuManip!K5:K9))</f>
        <v>0</v>
      </c>
      <c r="M7" s="1315">
        <f>IF(ISERROR(AVERAGE([1]T8UCCHSuManip!L5:L9))=TRUE,0,AVERAGE([1]T8UCCHSuManip!L5:L9))</f>
        <v>0</v>
      </c>
      <c r="N7" s="1314">
        <f>IF(ISERROR(AVERAGE([1]T8UCCHSuManip!M5:M9))=TRUE,0,AVERAGE([1]T8UCCHSuManip!M5:M9))</f>
        <v>0</v>
      </c>
      <c r="O7" s="1316">
        <f>IF(ISERROR(AVERAGE([1]T8UCCHSuManip!N5:N9))=TRUE,0,AVERAGE([1]T8UCCHSuManip!N5:N9))</f>
        <v>0</v>
      </c>
    </row>
    <row r="8" spans="2:15">
      <c r="B8" s="851" t="s">
        <v>221</v>
      </c>
      <c r="C8" s="1320">
        <f>IF(ISERROR(AVERAGE([1]T8UCCHSuManip!B10:B14))=TRUE,0,AVERAGE([1]T8UCCHSuManip!B10:B14))</f>
        <v>20981.78879145399</v>
      </c>
      <c r="D8" s="1321">
        <f>IF(ISERROR(AVERAGE([1]T8UCCHSuManip!C10:C14))=TRUE,0,AVERAGE([1]T8UCCHSuManip!C10:C14))</f>
        <v>8.7249999999999996</v>
      </c>
      <c r="E8" s="1320">
        <f>IF(ISERROR(AVERAGE([1]T8UCCHSuManip!D10:D14))=TRUE,0,AVERAGE([1]T8UCCHSuManip!D10:D14))</f>
        <v>0</v>
      </c>
      <c r="F8" s="1321">
        <f>IF(ISERROR(AVERAGE([1]T8UCCHSuManip!E10:E14))=TRUE,0,AVERAGE([1]T8UCCHSuManip!E10:E14))</f>
        <v>75.208791453990884</v>
      </c>
      <c r="G8" s="1321">
        <f>IF(ISERROR(AVERAGE([1]T8UCCHSuManip!F10:F14))=TRUE,0,AVERAGE([1]T8UCCHSuManip!F10:F14))</f>
        <v>0</v>
      </c>
      <c r="H8" s="1320">
        <f>IF(ISERROR(AVERAGE([1]T8UCCHSuManip!G10:G14))=TRUE,0,AVERAGE([1]T8UCCHSuManip!G10:G14))</f>
        <v>20899.599999999999</v>
      </c>
      <c r="I8" s="1321">
        <f>IF(ISERROR(AVERAGE([1]T8UCCHSuManip!H10:H14))=TRUE,0,AVERAGE([1]T8UCCHSuManip!H10:H14))</f>
        <v>0</v>
      </c>
      <c r="J8" s="1320">
        <f>IF(ISERROR(AVERAGE([1]T8UCCHSuManip!I10:I14))=TRUE,0,AVERAGE([1]T8UCCHSuManip!I10:I14))</f>
        <v>1170</v>
      </c>
      <c r="K8" s="1321">
        <f>IF(ISERROR(AVERAGE([1]T8UCCHSuManip!J10:J14))=TRUE,0,AVERAGE([1]T8UCCHSuManip!J10:J14))</f>
        <v>19729.599999999999</v>
      </c>
      <c r="L8" s="1321">
        <f>IF(ISERROR(AVERAGE([1]T8UCCHSuManip!K10:K14))=TRUE,0,AVERAGE([1]T8UCCHSuManip!K10:K14))</f>
        <v>0</v>
      </c>
      <c r="M8" s="1321">
        <f>IF(ISERROR(AVERAGE([1]T8UCCHSuManip!L10:L14))=TRUE,0,AVERAGE([1]T8UCCHSuManip!L10:L14))</f>
        <v>0</v>
      </c>
      <c r="N8" s="1320">
        <f>IF(ISERROR(AVERAGE([1]T8UCCHSuManip!M10:M14))=TRUE,0,AVERAGE([1]T8UCCHSuManip!M10:M14))</f>
        <v>0</v>
      </c>
      <c r="O8" s="852">
        <f>IF(ISERROR(AVERAGE([1]T8UCCHSuManip!N10:N14))=TRUE,0,AVERAGE([1]T8UCCHSuManip!N10:N14))</f>
        <v>0</v>
      </c>
    </row>
    <row r="9" spans="2:15">
      <c r="B9" s="851" t="s">
        <v>222</v>
      </c>
      <c r="C9" s="1320">
        <f>IF(ISERROR(AVERAGE([1]T8UCCHSuManip!B15:B19))=TRUE,0,AVERAGE([1]T8UCCHSuManip!B15:B19))</f>
        <v>14251.548762503769</v>
      </c>
      <c r="D9" s="1321">
        <f>IF(ISERROR(AVERAGE([1]T8UCCHSuManip!C15:C19))=TRUE,0,AVERAGE([1]T8UCCHSuManip!C15:C19))</f>
        <v>12.919999999999998</v>
      </c>
      <c r="E9" s="1320">
        <f>IF(ISERROR(AVERAGE([1]T8UCCHSuManip!D15:D19))=TRUE,0,AVERAGE([1]T8UCCHSuManip!D15:D19))</f>
        <v>0</v>
      </c>
      <c r="F9" s="1321">
        <f>IF(ISERROR(AVERAGE([1]T8UCCHSuManip!E15:E19))=TRUE,0,AVERAGE([1]T8UCCHSuManip!E15:E19))</f>
        <v>32.628762503771121</v>
      </c>
      <c r="G9" s="1321">
        <f>IF(ISERROR(AVERAGE([1]T8UCCHSuManip!F15:F19))=TRUE,0,AVERAGE([1]T8UCCHSuManip!F15:F19))</f>
        <v>0</v>
      </c>
      <c r="H9" s="1320">
        <f>IF(ISERROR(AVERAGE([1]T8UCCHSuManip!G15:G19))=TRUE,0,AVERAGE([1]T8UCCHSuManip!G15:G19))</f>
        <v>14206</v>
      </c>
      <c r="I9" s="1321">
        <f>IF(ISERROR(AVERAGE([1]T8UCCHSuManip!H15:H19))=TRUE,0,AVERAGE([1]T8UCCHSuManip!H15:H19))</f>
        <v>0</v>
      </c>
      <c r="J9" s="1320">
        <f>IF(ISERROR(AVERAGE([1]T8UCCHSuManip!I15:I19))=TRUE,0,AVERAGE([1]T8UCCHSuManip!I15:I19))</f>
        <v>165.4</v>
      </c>
      <c r="K9" s="1321">
        <f>IF(ISERROR(AVERAGE([1]T8UCCHSuManip!J15:J19))=TRUE,0,AVERAGE([1]T8UCCHSuManip!J15:J19))</f>
        <v>14040.6</v>
      </c>
      <c r="L9" s="1321">
        <f>IF(ISERROR(AVERAGE([1]T8UCCHSuManip!K15:K19))=TRUE,0,AVERAGE([1]T8UCCHSuManip!K15:K19))</f>
        <v>0</v>
      </c>
      <c r="M9" s="1321">
        <f>IF(ISERROR(AVERAGE([1]T8UCCHSuManip!L15:L19))=TRUE,0,AVERAGE([1]T8UCCHSuManip!L15:L19))</f>
        <v>0</v>
      </c>
      <c r="N9" s="1320">
        <f>IF(ISERROR(AVERAGE([1]T8UCCHSuManip!M15:M19))=TRUE,0,AVERAGE([1]T8UCCHSuManip!M15:M19))</f>
        <v>0</v>
      </c>
      <c r="O9" s="852">
        <f>IF(ISERROR(AVERAGE([1]T8UCCHSuManip!N15:N19))=TRUE,0,AVERAGE([1]T8UCCHSuManip!N15:N19))</f>
        <v>0</v>
      </c>
    </row>
    <row r="10" spans="2:15">
      <c r="B10" s="853">
        <v>1995</v>
      </c>
      <c r="C10" s="702">
        <f>IF([1]T8UCCHSuManip!B20="",0,[1]T8UCCHSuManip!B20)</f>
        <v>12454.651080550098</v>
      </c>
      <c r="D10" s="1322">
        <f>IF([1]T8UCCHSuManip!C20="",0,[1]T8UCCHSuManip!C20)</f>
        <v>13.600000000000001</v>
      </c>
      <c r="E10" s="702">
        <f>IF([1]T8UCCHSuManip!D20="",0,[1]T8UCCHSuManip!D20)</f>
        <v>0</v>
      </c>
      <c r="F10" s="1322">
        <f>IF([1]T8UCCHSuManip!E20="",0,[1]T8UCCHSuManip!E20)</f>
        <v>5.1080550098231647E-2</v>
      </c>
      <c r="G10" s="1322">
        <f>IF([1]T8UCCHSuManip!F20="",0,[1]T8UCCHSuManip!F20)</f>
        <v>0</v>
      </c>
      <c r="H10" s="702">
        <f>IF([1]T8UCCHSuManip!G20="",0,[1]T8UCCHSuManip!G20)</f>
        <v>12441</v>
      </c>
      <c r="I10" s="1322">
        <f>IF([1]T8UCCHSuManip!H20="",0,[1]T8UCCHSuManip!H20)</f>
        <v>0</v>
      </c>
      <c r="J10" s="702">
        <f>IF([1]T8UCCHSuManip!I20="",0,[1]T8UCCHSuManip!I20)</f>
        <v>417</v>
      </c>
      <c r="K10" s="1322">
        <f>IF([1]T8UCCHSuManip!J20="",0,[1]T8UCCHSuManip!J20)</f>
        <v>12024</v>
      </c>
      <c r="L10" s="1322">
        <f>IF([1]T8UCCHSuManip!K20="",0,[1]T8UCCHSuManip!K20)</f>
        <v>0</v>
      </c>
      <c r="M10" s="1322">
        <f>IF([1]T8UCCHSuManip!L20="",0,[1]T8UCCHSuManip!L20)</f>
        <v>0</v>
      </c>
      <c r="N10" s="702">
        <f>IF([1]T8UCCHSuManip!M20="",0,[1]T8UCCHSuManip!M20)</f>
        <v>0</v>
      </c>
      <c r="O10" s="854">
        <f>IF([1]T8UCCHSuManip!N20="",0,[1]T8UCCHSuManip!N20)</f>
        <v>0</v>
      </c>
    </row>
    <row r="11" spans="2:15">
      <c r="B11" s="853">
        <v>1996</v>
      </c>
      <c r="C11" s="702">
        <f>IF([1]T8UCCHSuManip!B21="",0,[1]T8UCCHSuManip!B21)</f>
        <v>12080.3</v>
      </c>
      <c r="D11" s="1322">
        <f>IF([1]T8UCCHSuManip!C21="",0,[1]T8UCCHSuManip!C21)</f>
        <v>34.299999999999997</v>
      </c>
      <c r="E11" s="702">
        <f>IF([1]T8UCCHSuManip!D21="",0,[1]T8UCCHSuManip!D21)</f>
        <v>0</v>
      </c>
      <c r="F11" s="1322">
        <f>IF([1]T8UCCHSuManip!E21="",0,[1]T8UCCHSuManip!E21)</f>
        <v>15</v>
      </c>
      <c r="G11" s="1322">
        <f>IF([1]T8UCCHSuManip!F21="",0,[1]T8UCCHSuManip!F21)</f>
        <v>0</v>
      </c>
      <c r="H11" s="702">
        <f>IF([1]T8UCCHSuManip!G21="",0,[1]T8UCCHSuManip!G21)</f>
        <v>12031</v>
      </c>
      <c r="I11" s="1322">
        <f>IF([1]T8UCCHSuManip!H21="",0,[1]T8UCCHSuManip!H21)</f>
        <v>0</v>
      </c>
      <c r="J11" s="702">
        <f>IF([1]T8UCCHSuManip!I21="",0,[1]T8UCCHSuManip!I21)</f>
        <v>374</v>
      </c>
      <c r="K11" s="1322">
        <f>IF([1]T8UCCHSuManip!J21="",0,[1]T8UCCHSuManip!J21)</f>
        <v>11657</v>
      </c>
      <c r="L11" s="1322">
        <f>IF([1]T8UCCHSuManip!K21="",0,[1]T8UCCHSuManip!K21)</f>
        <v>0</v>
      </c>
      <c r="M11" s="1322">
        <f>IF([1]T8UCCHSuManip!L21="",0,[1]T8UCCHSuManip!L21)</f>
        <v>0</v>
      </c>
      <c r="N11" s="702">
        <f>IF([1]T8UCCHSuManip!M21="",0,[1]T8UCCHSuManip!M21)</f>
        <v>0</v>
      </c>
      <c r="O11" s="854">
        <f>IF([1]T8UCCHSuManip!N21="",0,[1]T8UCCHSuManip!N21)</f>
        <v>0</v>
      </c>
    </row>
    <row r="12" spans="2:15">
      <c r="B12" s="853">
        <v>1997</v>
      </c>
      <c r="C12" s="702">
        <f>IF([1]T8UCCHSuManip!B22="",0,[1]T8UCCHSuManip!B22)</f>
        <v>17708.5</v>
      </c>
      <c r="D12" s="1322">
        <f>IF([1]T8UCCHSuManip!C22="",0,[1]T8UCCHSuManip!C22)</f>
        <v>15.5</v>
      </c>
      <c r="E12" s="702">
        <f>IF([1]T8UCCHSuManip!D22="",0,[1]T8UCCHSuManip!D22)</f>
        <v>0</v>
      </c>
      <c r="F12" s="1322">
        <f>IF([1]T8UCCHSuManip!E22="",0,[1]T8UCCHSuManip!E22)</f>
        <v>6</v>
      </c>
      <c r="G12" s="1322">
        <f>IF([1]T8UCCHSuManip!F22="",0,[1]T8UCCHSuManip!F22)</f>
        <v>0</v>
      </c>
      <c r="H12" s="702">
        <f>IF([1]T8UCCHSuManip!G22="",0,[1]T8UCCHSuManip!G22)</f>
        <v>17687</v>
      </c>
      <c r="I12" s="1322">
        <f>IF([1]T8UCCHSuManip!H22="",0,[1]T8UCCHSuManip!H22)</f>
        <v>0</v>
      </c>
      <c r="J12" s="702">
        <f>IF([1]T8UCCHSuManip!I22="",0,[1]T8UCCHSuManip!I22)</f>
        <v>270</v>
      </c>
      <c r="K12" s="1322">
        <f>IF([1]T8UCCHSuManip!J22="",0,[1]T8UCCHSuManip!J22)</f>
        <v>17417</v>
      </c>
      <c r="L12" s="1322">
        <f>IF([1]T8UCCHSuManip!K22="",0,[1]T8UCCHSuManip!K22)</f>
        <v>0</v>
      </c>
      <c r="M12" s="1322">
        <f>IF([1]T8UCCHSuManip!L22="",0,[1]T8UCCHSuManip!L22)</f>
        <v>0</v>
      </c>
      <c r="N12" s="702">
        <f>IF([1]T8UCCHSuManip!M22="",0,[1]T8UCCHSuManip!M22)</f>
        <v>0</v>
      </c>
      <c r="O12" s="854">
        <f>IF([1]T8UCCHSuManip!N22="",0,[1]T8UCCHSuManip!N22)</f>
        <v>0</v>
      </c>
    </row>
    <row r="13" spans="2:15">
      <c r="B13" s="853">
        <v>1998</v>
      </c>
      <c r="C13" s="702">
        <f>IF([1]T8UCCHSuManip!B23="",0,[1]T8UCCHSuManip!B23)</f>
        <v>15535.6</v>
      </c>
      <c r="D13" s="1322">
        <f>IF([1]T8UCCHSuManip!C23="",0,[1]T8UCCHSuManip!C23)</f>
        <v>26.799999999999997</v>
      </c>
      <c r="E13" s="702">
        <f>IF([1]T8UCCHSuManip!D23="",0,[1]T8UCCHSuManip!D23)</f>
        <v>0</v>
      </c>
      <c r="F13" s="1322">
        <f>IF([1]T8UCCHSuManip!E23="",0,[1]T8UCCHSuManip!E23)</f>
        <v>0.8</v>
      </c>
      <c r="G13" s="1322">
        <f>IF([1]T8UCCHSuManip!F23="",0,[1]T8UCCHSuManip!F23)</f>
        <v>0</v>
      </c>
      <c r="H13" s="702">
        <f>IF([1]T8UCCHSuManip!G23="",0,[1]T8UCCHSuManip!G23)</f>
        <v>15508</v>
      </c>
      <c r="I13" s="1322">
        <f>IF([1]T8UCCHSuManip!H23="",0,[1]T8UCCHSuManip!H23)</f>
        <v>0</v>
      </c>
      <c r="J13" s="702">
        <f>IF([1]T8UCCHSuManip!I23="",0,[1]T8UCCHSuManip!I23)</f>
        <v>335</v>
      </c>
      <c r="K13" s="1322">
        <f>IF([1]T8UCCHSuManip!J23="",0,[1]T8UCCHSuManip!J23)</f>
        <v>15173</v>
      </c>
      <c r="L13" s="1322">
        <f>IF([1]T8UCCHSuManip!K23="",0,[1]T8UCCHSuManip!K23)</f>
        <v>0</v>
      </c>
      <c r="M13" s="1322">
        <f>IF([1]T8UCCHSuManip!L23="",0,[1]T8UCCHSuManip!L23)</f>
        <v>0</v>
      </c>
      <c r="N13" s="702">
        <f>IF([1]T8UCCHSuManip!M23="",0,[1]T8UCCHSuManip!M23)</f>
        <v>0</v>
      </c>
      <c r="O13" s="854">
        <f>IF([1]T8UCCHSuManip!N23="",0,[1]T8UCCHSuManip!N23)</f>
        <v>0</v>
      </c>
    </row>
    <row r="14" spans="2:15">
      <c r="B14" s="853">
        <v>1999</v>
      </c>
      <c r="C14" s="702">
        <f>IF([1]T8UCCHSuManip!B24="",0,[1]T8UCCHSuManip!B24)</f>
        <v>21866.799999999999</v>
      </c>
      <c r="D14" s="1322">
        <f>IF([1]T8UCCHSuManip!C24="",0,[1]T8UCCHSuManip!C24)</f>
        <v>50.8</v>
      </c>
      <c r="E14" s="702">
        <f>IF([1]T8UCCHSuManip!D24="",0,[1]T8UCCHSuManip!D24)</f>
        <v>0</v>
      </c>
      <c r="F14" s="1322">
        <f>IF([1]T8UCCHSuManip!E24="",0,[1]T8UCCHSuManip!E24)</f>
        <v>1</v>
      </c>
      <c r="G14" s="1322">
        <f>IF([1]T8UCCHSuManip!F24="",0,[1]T8UCCHSuManip!F24)</f>
        <v>0</v>
      </c>
      <c r="H14" s="702">
        <f>IF([1]T8UCCHSuManip!G24="",0,[1]T8UCCHSuManip!G24)</f>
        <v>21815</v>
      </c>
      <c r="I14" s="1322">
        <f>IF([1]T8UCCHSuManip!H24="",0,[1]T8UCCHSuManip!H24)</f>
        <v>0</v>
      </c>
      <c r="J14" s="702">
        <f>IF([1]T8UCCHSuManip!I24="",0,[1]T8UCCHSuManip!I24)</f>
        <v>395</v>
      </c>
      <c r="K14" s="1322">
        <f>IF([1]T8UCCHSuManip!J24="",0,[1]T8UCCHSuManip!J24)</f>
        <v>21420</v>
      </c>
      <c r="L14" s="1322">
        <f>IF([1]T8UCCHSuManip!K24="",0,[1]T8UCCHSuManip!K24)</f>
        <v>0</v>
      </c>
      <c r="M14" s="1322">
        <f>IF([1]T8UCCHSuManip!L24="",0,[1]T8UCCHSuManip!L24)</f>
        <v>0</v>
      </c>
      <c r="N14" s="702">
        <f>IF([1]T8UCCHSuManip!M24="",0,[1]T8UCCHSuManip!M24)</f>
        <v>0</v>
      </c>
      <c r="O14" s="854">
        <f>IF([1]T8UCCHSuManip!N24="",0,[1]T8UCCHSuManip!N24)</f>
        <v>0</v>
      </c>
    </row>
    <row r="15" spans="2:15">
      <c r="B15" s="853">
        <v>2000</v>
      </c>
      <c r="C15" s="702">
        <f>IF([1]T8UCCHSuManip!B25="",0,[1]T8UCCHSuManip!B25)</f>
        <v>22595.1</v>
      </c>
      <c r="D15" s="1322">
        <f>IF([1]T8UCCHSuManip!C25="",0,[1]T8UCCHSuManip!C25)</f>
        <v>17</v>
      </c>
      <c r="E15" s="702">
        <f>IF([1]T8UCCHSuManip!D25="",0,[1]T8UCCHSuManip!D25)</f>
        <v>0</v>
      </c>
      <c r="F15" s="1322">
        <f>IF([1]T8UCCHSuManip!E25="",0,[1]T8UCCHSuManip!E25)</f>
        <v>0.10000000000000009</v>
      </c>
      <c r="G15" s="1322">
        <f>IF([1]T8UCCHSuManip!F25="",0,[1]T8UCCHSuManip!F25)</f>
        <v>0</v>
      </c>
      <c r="H15" s="702">
        <f>IF([1]T8UCCHSuManip!G25="",0,[1]T8UCCHSuManip!G25)</f>
        <v>22578</v>
      </c>
      <c r="I15" s="1322">
        <f>IF([1]T8UCCHSuManip!H25="",0,[1]T8UCCHSuManip!H25)</f>
        <v>0</v>
      </c>
      <c r="J15" s="702">
        <f>IF([1]T8UCCHSuManip!I25="",0,[1]T8UCCHSuManip!I25)</f>
        <v>209</v>
      </c>
      <c r="K15" s="1322">
        <f>IF([1]T8UCCHSuManip!J25="",0,[1]T8UCCHSuManip!J25)</f>
        <v>22369</v>
      </c>
      <c r="L15" s="1322">
        <f>IF([1]T8UCCHSuManip!K25="",0,[1]T8UCCHSuManip!K25)</f>
        <v>0</v>
      </c>
      <c r="M15" s="1322">
        <f>IF([1]T8UCCHSuManip!L25="",0,[1]T8UCCHSuManip!L25)</f>
        <v>39</v>
      </c>
      <c r="N15" s="702">
        <f>IF([1]T8UCCHSuManip!M25="",0,[1]T8UCCHSuManip!M25)</f>
        <v>1092</v>
      </c>
      <c r="O15" s="854">
        <f>IF([1]T8UCCHSuManip!N25="",0,[1]T8UCCHSuManip!N25)</f>
        <v>442</v>
      </c>
    </row>
    <row r="16" spans="2:15">
      <c r="B16" s="853">
        <v>2001</v>
      </c>
      <c r="C16" s="702">
        <f>IF([1]T8UCCHSuManip!B26="",0,[1]T8UCCHSuManip!B26)</f>
        <v>52960.480000000003</v>
      </c>
      <c r="D16" s="1322">
        <f>IF([1]T8UCCHSuManip!C26="",0,[1]T8UCCHSuManip!C26)</f>
        <v>64</v>
      </c>
      <c r="E16" s="702">
        <f>IF([1]T8UCCHSuManip!D26="",0,[1]T8UCCHSuManip!D26)</f>
        <v>0</v>
      </c>
      <c r="F16" s="1322">
        <f>IF([1]T8UCCHSuManip!E26="",0,[1]T8UCCHSuManip!E26)</f>
        <v>1.48</v>
      </c>
      <c r="G16" s="1322">
        <f>IF([1]T8UCCHSuManip!F26="",0,[1]T8UCCHSuManip!F26)</f>
        <v>0</v>
      </c>
      <c r="H16" s="702">
        <f>IF([1]T8UCCHSuManip!G26="",0,[1]T8UCCHSuManip!G26)</f>
        <v>52895</v>
      </c>
      <c r="I16" s="1322">
        <f>IF([1]T8UCCHSuManip!H26="",0,[1]T8UCCHSuManip!H26)</f>
        <v>0</v>
      </c>
      <c r="J16" s="702">
        <f>IF([1]T8UCCHSuManip!I26="",0,[1]T8UCCHSuManip!I26)</f>
        <v>692</v>
      </c>
      <c r="K16" s="1322">
        <f>IF([1]T8UCCHSuManip!J26="",0,[1]T8UCCHSuManip!J26)</f>
        <v>52203</v>
      </c>
      <c r="L16" s="1322">
        <f>IF([1]T8UCCHSuManip!K26="",0,[1]T8UCCHSuManip!K26)</f>
        <v>0</v>
      </c>
      <c r="M16" s="1322">
        <f>IF([1]T8UCCHSuManip!L26="",0,[1]T8UCCHSuManip!L26)</f>
        <v>82</v>
      </c>
      <c r="N16" s="702">
        <f>IF([1]T8UCCHSuManip!M26="",0,[1]T8UCCHSuManip!M26)</f>
        <v>4380</v>
      </c>
      <c r="O16" s="854">
        <f>IF([1]T8UCCHSuManip!N26="",0,[1]T8UCCHSuManip!N26)</f>
        <v>2346</v>
      </c>
    </row>
    <row r="17" spans="2:16">
      <c r="B17" s="853">
        <v>2002</v>
      </c>
      <c r="C17" s="702">
        <f>IF([1]T8UCCHSuManip!B27="",0,[1]T8UCCHSuManip!B27)</f>
        <v>89523.5</v>
      </c>
      <c r="D17" s="1322">
        <f>IF([1]T8UCCHSuManip!C27="",0,[1]T8UCCHSuManip!C27)</f>
        <v>1446.5</v>
      </c>
      <c r="E17" s="702">
        <f>IF([1]T8UCCHSuManip!D27="",0,[1]T8UCCHSuManip!D27)</f>
        <v>0</v>
      </c>
      <c r="F17" s="1322">
        <f>IF([1]T8UCCHSuManip!E27="",0,[1]T8UCCHSuManip!E27)</f>
        <v>8</v>
      </c>
      <c r="G17" s="1322">
        <f>IF([1]T8UCCHSuManip!F27="",0,[1]T8UCCHSuManip!F27)</f>
        <v>0</v>
      </c>
      <c r="H17" s="702">
        <f>IF([1]T8UCCHSuManip!G27="",0,[1]T8UCCHSuManip!G27)</f>
        <v>88069</v>
      </c>
      <c r="I17" s="1322">
        <f>IF([1]T8UCCHSuManip!H27="",0,[1]T8UCCHSuManip!H27)</f>
        <v>112.7</v>
      </c>
      <c r="J17" s="702">
        <f>IF([1]T8UCCHSuManip!I27="",0,[1]T8UCCHSuManip!I27)</f>
        <v>2093</v>
      </c>
      <c r="K17" s="1322">
        <f>IF([1]T8UCCHSuManip!J27="",0,[1]T8UCCHSuManip!J27)</f>
        <v>85863.3</v>
      </c>
      <c r="L17" s="1322">
        <f>IF([1]T8UCCHSuManip!K27="",0,[1]T8UCCHSuManip!K27)</f>
        <v>36</v>
      </c>
      <c r="M17" s="1322">
        <f>IF([1]T8UCCHSuManip!L27="",0,[1]T8UCCHSuManip!L27)</f>
        <v>197</v>
      </c>
      <c r="N17" s="702">
        <f>IF([1]T8UCCHSuManip!M27="",0,[1]T8UCCHSuManip!M27)</f>
        <v>4535</v>
      </c>
      <c r="O17" s="854">
        <f>IF([1]T8UCCHSuManip!N27="",0,[1]T8UCCHSuManip!N27)</f>
        <v>2720</v>
      </c>
      <c r="P17" s="1675"/>
    </row>
    <row r="18" spans="2:16">
      <c r="B18" s="853">
        <v>2003</v>
      </c>
      <c r="C18" s="702">
        <f>IF([1]T8UCCHSuManip!B28="",0,[1]T8UCCHSuManip!B28)</f>
        <v>83057.8</v>
      </c>
      <c r="D18" s="1322">
        <f>IF([1]T8UCCHSuManip!C28="",0,[1]T8UCCHSuManip!C28)</f>
        <v>1944.8</v>
      </c>
      <c r="E18" s="702">
        <f>IF([1]T8UCCHSuManip!D28="",0,[1]T8UCCHSuManip!D28)</f>
        <v>0</v>
      </c>
      <c r="F18" s="1322">
        <f>IF([1]T8UCCHSuManip!E28="",0,[1]T8UCCHSuManip!E28)</f>
        <v>36</v>
      </c>
      <c r="G18" s="1322">
        <f>IF([1]T8UCCHSuManip!F28="",0,[1]T8UCCHSuManip!F28)</f>
        <v>0</v>
      </c>
      <c r="H18" s="702">
        <f>IF([1]T8UCCHSuManip!G28="",0,[1]T8UCCHSuManip!G28)</f>
        <v>81077</v>
      </c>
      <c r="I18" s="1322">
        <f>IF([1]T8UCCHSuManip!H28="",0,[1]T8UCCHSuManip!H28)</f>
        <v>415.15</v>
      </c>
      <c r="J18" s="702">
        <f>IF([1]T8UCCHSuManip!I28="",0,[1]T8UCCHSuManip!I28)</f>
        <v>4297</v>
      </c>
      <c r="K18" s="1322">
        <f>IF([1]T8UCCHSuManip!J28="",0,[1]T8UCCHSuManip!J28)</f>
        <v>76364.850000000006</v>
      </c>
      <c r="L18" s="1322">
        <f>IF([1]T8UCCHSuManip!K28="",0,[1]T8UCCHSuManip!K28)</f>
        <v>40</v>
      </c>
      <c r="M18" s="1322">
        <f>IF([1]T8UCCHSuManip!L28="",0,[1]T8UCCHSuManip!L28)</f>
        <v>223</v>
      </c>
      <c r="N18" s="702">
        <f>IF([1]T8UCCHSuManip!M28="",0,[1]T8UCCHSuManip!M28)</f>
        <v>5187</v>
      </c>
      <c r="O18" s="854">
        <f>IF([1]T8UCCHSuManip!N28="",0,[1]T8UCCHSuManip!N28)</f>
        <v>2178</v>
      </c>
      <c r="P18" s="1675"/>
    </row>
    <row r="19" spans="2:16">
      <c r="B19" s="853">
        <v>2004</v>
      </c>
      <c r="C19" s="702">
        <f>IF([1]T8UCCHSuManip!B29="",0,[1]T8UCCHSuManip!B29)</f>
        <v>65622.660588235289</v>
      </c>
      <c r="D19" s="1322">
        <f>IF([1]T8UCCHSuManip!C29="",0,[1]T8UCCHSuManip!C29)</f>
        <v>1245.5999999999999</v>
      </c>
      <c r="E19" s="702">
        <f>IF([1]T8UCCHSuManip!D29="",0,[1]T8UCCHSuManip!D29)</f>
        <v>219.06058823529412</v>
      </c>
      <c r="F19" s="1322">
        <f>IF([1]T8UCCHSuManip!E29="",0,[1]T8UCCHSuManip!E29)</f>
        <v>3</v>
      </c>
      <c r="G19" s="1322">
        <f>IF([1]T8UCCHSuManip!F29="",0,[1]T8UCCHSuManip!F29)</f>
        <v>0</v>
      </c>
      <c r="H19" s="702">
        <f>IF([1]T8UCCHSuManip!G29="",0,[1]T8UCCHSuManip!G29)</f>
        <v>64155</v>
      </c>
      <c r="I19" s="1322">
        <f>IF([1]T8UCCHSuManip!H29="",0,[1]T8UCCHSuManip!H29)</f>
        <v>259.89999999999998</v>
      </c>
      <c r="J19" s="702">
        <f>IF([1]T8UCCHSuManip!I29="",0,[1]T8UCCHSuManip!I29)</f>
        <v>8394</v>
      </c>
      <c r="K19" s="1322">
        <f>IF([1]T8UCCHSuManip!J29="",0,[1]T8UCCHSuManip!J29)</f>
        <v>55501.1</v>
      </c>
      <c r="L19" s="1322">
        <f>IF([1]T8UCCHSuManip!K29="",0,[1]T8UCCHSuManip!K29)</f>
        <v>36</v>
      </c>
      <c r="M19" s="1322">
        <f>IF([1]T8UCCHSuManip!L29="",0,[1]T8UCCHSuManip!L29)</f>
        <v>157</v>
      </c>
      <c r="N19" s="702">
        <f>IF([1]T8UCCHSuManip!M29="",0,[1]T8UCCHSuManip!M29)</f>
        <v>5849</v>
      </c>
      <c r="O19" s="854">
        <f>IF([1]T8UCCHSuManip!N29="",0,[1]T8UCCHSuManip!N29)</f>
        <v>1874</v>
      </c>
      <c r="P19" s="1675"/>
    </row>
    <row r="20" spans="2:16">
      <c r="B20" s="853">
        <v>2005</v>
      </c>
      <c r="C20" s="702">
        <f>IF([1]T8UCCHSuManip!B30="",0,[1]T8UCCHSuManip!B30)</f>
        <v>60272</v>
      </c>
      <c r="D20" s="1322">
        <f>IF([1]T8UCCHSuManip!C30="",0,[1]T8UCCHSuManip!C30)</f>
        <v>1621</v>
      </c>
      <c r="E20" s="702">
        <f>IF([1]T8UCCHSuManip!D30="",0,[1]T8UCCHSuManip!D30)</f>
        <v>2787</v>
      </c>
      <c r="F20" s="1322">
        <f>IF([1]T8UCCHSuManip!E30="",0,[1]T8UCCHSuManip!E30)</f>
        <v>0</v>
      </c>
      <c r="G20" s="1322">
        <f>IF([1]T8UCCHSuManip!F30="",0,[1]T8UCCHSuManip!F30)</f>
        <v>0</v>
      </c>
      <c r="H20" s="702">
        <f>IF([1]T8UCCHSuManip!G30="",0,[1]T8UCCHSuManip!G30)</f>
        <v>55864</v>
      </c>
      <c r="I20" s="1322">
        <f>IF([1]T8UCCHSuManip!H30="",0,[1]T8UCCHSuManip!H30)</f>
        <v>422.72727272727275</v>
      </c>
      <c r="J20" s="702">
        <f>IF([1]T8UCCHSuManip!I30="",0,[1]T8UCCHSuManip!I30)</f>
        <v>7642</v>
      </c>
      <c r="K20" s="1322">
        <f>IF([1]T8UCCHSuManip!J30="",0,[1]T8UCCHSuManip!J30)</f>
        <v>47799.272727272728</v>
      </c>
      <c r="L20" s="1322">
        <f>IF([1]T8UCCHSuManip!K30="",0,[1]T8UCCHSuManip!K30)</f>
        <v>2</v>
      </c>
      <c r="M20" s="1322">
        <f>IF([1]T8UCCHSuManip!L30="",0,[1]T8UCCHSuManip!L30)</f>
        <v>338</v>
      </c>
      <c r="N20" s="702">
        <f>IF([1]T8UCCHSuManip!M30="",0,[1]T8UCCHSuManip!M30)</f>
        <v>2192</v>
      </c>
      <c r="O20" s="854">
        <f>IF([1]T8UCCHSuManip!N30="",0,[1]T8UCCHSuManip!N30)</f>
        <v>894</v>
      </c>
      <c r="P20" s="1675"/>
    </row>
    <row r="21" spans="2:16">
      <c r="B21" s="853">
        <v>2006</v>
      </c>
      <c r="C21" s="702">
        <f>IF([1]T8UCCHSuManip!B31="",0,[1]T8UCCHSuManip!B31)</f>
        <v>77572.600000000006</v>
      </c>
      <c r="D21" s="1322">
        <f>IF([1]T8UCCHSuManip!C31="",0,[1]T8UCCHSuManip!C31)</f>
        <v>4925.6000000000004</v>
      </c>
      <c r="E21" s="702">
        <f>IF([1]T8UCCHSuManip!D31="",0,[1]T8UCCHSuManip!D31)</f>
        <v>4819</v>
      </c>
      <c r="F21" s="1322">
        <f>IF([1]T8UCCHSuManip!E31="",0,[1]T8UCCHSuManip!E31)</f>
        <v>9</v>
      </c>
      <c r="G21" s="1322">
        <f>IF([1]T8UCCHSuManip!F31="",0,[1]T8UCCHSuManip!F31)</f>
        <v>0</v>
      </c>
      <c r="H21" s="702">
        <f>IF([1]T8UCCHSuManip!G31="",0,[1]T8UCCHSuManip!G31)</f>
        <v>67819</v>
      </c>
      <c r="I21" s="1322">
        <f>IF([1]T8UCCHSuManip!H31="",0,[1]T8UCCHSuManip!H31)</f>
        <v>276</v>
      </c>
      <c r="J21" s="702">
        <f>IF([1]T8UCCHSuManip!I31="",0,[1]T8UCCHSuManip!I31)</f>
        <v>16319</v>
      </c>
      <c r="K21" s="1322">
        <f>IF([1]T8UCCHSuManip!J31="",0,[1]T8UCCHSuManip!J31)</f>
        <v>51224</v>
      </c>
      <c r="L21" s="1322">
        <f>IF([1]T8UCCHSuManip!K31="",0,[1]T8UCCHSuManip!K31)</f>
        <v>19</v>
      </c>
      <c r="M21" s="1322">
        <f>IF([1]T8UCCHSuManip!L31="",0,[1]T8UCCHSuManip!L31)</f>
        <v>216</v>
      </c>
      <c r="N21" s="702">
        <f>IF([1]T8UCCHSuManip!M31="",0,[1]T8UCCHSuManip!M31)</f>
        <v>3864</v>
      </c>
      <c r="O21" s="854">
        <f>IF([1]T8UCCHSuManip!N31="",0,[1]T8UCCHSuManip!N31)</f>
        <v>1340</v>
      </c>
      <c r="P21" s="1675"/>
    </row>
    <row r="22" spans="2:16">
      <c r="B22" s="853">
        <v>2007</v>
      </c>
      <c r="C22" s="702">
        <f>IF([1]T8UCCHSuManip!B32="",0,[1]T8UCCHSuManip!B32)</f>
        <v>37035</v>
      </c>
      <c r="D22" s="1322">
        <f>IF([1]T8UCCHSuManip!C32="",0,[1]T8UCCHSuManip!C32)</f>
        <v>2214</v>
      </c>
      <c r="E22" s="702">
        <f>IF([1]T8UCCHSuManip!D32="",0,[1]T8UCCHSuManip!D32)</f>
        <v>1122</v>
      </c>
      <c r="F22" s="1322">
        <f>IF([1]T8UCCHSuManip!E32="",0,[1]T8UCCHSuManip!E32)</f>
        <v>0</v>
      </c>
      <c r="G22" s="1322">
        <f>IF([1]T8UCCHSuManip!F32="",0,[1]T8UCCHSuManip!F32)</f>
        <v>0</v>
      </c>
      <c r="H22" s="702">
        <f>IF([1]T8UCCHSuManip!G32="",0,[1]T8UCCHSuManip!G32)</f>
        <v>33699</v>
      </c>
      <c r="I22" s="1322">
        <f>IF([1]T8UCCHSuManip!H32="",0,[1]T8UCCHSuManip!H32)</f>
        <v>136</v>
      </c>
      <c r="J22" s="702">
        <f>IF([1]T8UCCHSuManip!I32="",0,[1]T8UCCHSuManip!I32)</f>
        <v>5375</v>
      </c>
      <c r="K22" s="1322">
        <f>IF([1]T8UCCHSuManip!J32="",0,[1]T8UCCHSuManip!J32)</f>
        <v>28188</v>
      </c>
      <c r="L22" s="1322">
        <f>IF([1]T8UCCHSuManip!K32="",0,[1]T8UCCHSuManip!K32)</f>
        <v>12</v>
      </c>
      <c r="M22" s="1322">
        <f>IF([1]T8UCCHSuManip!L32="",0,[1]T8UCCHSuManip!L32)</f>
        <v>294</v>
      </c>
      <c r="N22" s="702">
        <f>IF([1]T8UCCHSuManip!M32="",0,[1]T8UCCHSuManip!M32)</f>
        <v>3900</v>
      </c>
      <c r="O22" s="854">
        <f>IF([1]T8UCCHSuManip!N32="",0,[1]T8UCCHSuManip!N32)</f>
        <v>1070</v>
      </c>
      <c r="P22" s="1675"/>
    </row>
    <row r="23" spans="2:16">
      <c r="B23" s="853">
        <v>2008</v>
      </c>
      <c r="C23" s="702">
        <f>IF([1]T8UCCHSuManip!B33="",0,[1]T8UCCHSuManip!B33)</f>
        <v>55532</v>
      </c>
      <c r="D23" s="1322">
        <f>IF([1]T8UCCHSuManip!C33="",0,[1]T8UCCHSuManip!C33)</f>
        <v>2140</v>
      </c>
      <c r="E23" s="702">
        <f>IF([1]T8UCCHSuManip!D33="",0,[1]T8UCCHSuManip!D33)</f>
        <v>1370</v>
      </c>
      <c r="F23" s="1322">
        <f>IF([1]T8UCCHSuManip!E33="",0,[1]T8UCCHSuManip!E33)</f>
        <v>59</v>
      </c>
      <c r="G23" s="1322">
        <f>IF([1]T8UCCHSuManip!F33="",0,[1]T8UCCHSuManip!F33)</f>
        <v>0</v>
      </c>
      <c r="H23" s="702">
        <f>IF([1]T8UCCHSuManip!G33="",0,[1]T8UCCHSuManip!G33)</f>
        <v>51963</v>
      </c>
      <c r="I23" s="1322">
        <f>IF([1]T8UCCHSuManip!H33="",0,[1]T8UCCHSuManip!H33)</f>
        <v>942</v>
      </c>
      <c r="J23" s="702">
        <f>IF([1]T8UCCHSuManip!I33="",0,[1]T8UCCHSuManip!I33)</f>
        <v>9029</v>
      </c>
      <c r="K23" s="1322">
        <f>IF([1]T8UCCHSuManip!J33="",0,[1]T8UCCHSuManip!J33)</f>
        <v>41992</v>
      </c>
      <c r="L23" s="1322">
        <f>IF([1]T8UCCHSuManip!K33="",0,[1]T8UCCHSuManip!K33)</f>
        <v>55</v>
      </c>
      <c r="M23" s="1322">
        <f>IF([1]T8UCCHSuManip!L33="",0,[1]T8UCCHSuManip!L33)</f>
        <v>188</v>
      </c>
      <c r="N23" s="702">
        <f>IF([1]T8UCCHSuManip!M33="",0,[1]T8UCCHSuManip!M33)</f>
        <v>2597</v>
      </c>
      <c r="O23" s="854">
        <f>IF([1]T8UCCHSuManip!N33="",0,[1]T8UCCHSuManip!N33)</f>
        <v>1861</v>
      </c>
      <c r="P23" s="1675"/>
    </row>
    <row r="24" spans="2:16">
      <c r="B24" s="853">
        <v>2009</v>
      </c>
      <c r="C24" s="702">
        <f>IF([1]T8UCCHSuManip!B34="",0,[1]T8UCCHSuManip!B34)</f>
        <v>53881</v>
      </c>
      <c r="D24" s="1322">
        <f>IF([1]T8UCCHSuManip!C34="",0,[1]T8UCCHSuManip!C34)</f>
        <v>2341</v>
      </c>
      <c r="E24" s="702">
        <f>IF([1]T8UCCHSuManip!D34="",0,[1]T8UCCHSuManip!D34)</f>
        <v>2524</v>
      </c>
      <c r="F24" s="1322">
        <f>IF([1]T8UCCHSuManip!E34="",0,[1]T8UCCHSuManip!E34)</f>
        <v>22</v>
      </c>
      <c r="G24" s="1322">
        <f>IF([1]T8UCCHSuManip!F34="",0,[1]T8UCCHSuManip!F34)</f>
        <v>0</v>
      </c>
      <c r="H24" s="702">
        <f>IF([1]T8UCCHSuManip!G34="",0,[1]T8UCCHSuManip!G34)</f>
        <v>48994</v>
      </c>
      <c r="I24" s="1322">
        <f>IF([1]T8UCCHSuManip!H34="",0,[1]T8UCCHSuManip!H34)</f>
        <v>175</v>
      </c>
      <c r="J24" s="702">
        <f>IF([1]T8UCCHSuManip!I34="",0,[1]T8UCCHSuManip!I34)</f>
        <v>11650</v>
      </c>
      <c r="K24" s="1322">
        <f>IF([1]T8UCCHSuManip!J34="",0,[1]T8UCCHSuManip!J34)</f>
        <v>37169</v>
      </c>
      <c r="L24" s="1322">
        <f>IF([1]T8UCCHSuManip!K34="",0,[1]T8UCCHSuManip!K34)</f>
        <v>90</v>
      </c>
      <c r="M24" s="1322">
        <f>IF([1]T8UCCHSuManip!L34="",0,[1]T8UCCHSuManip!L34)</f>
        <v>185</v>
      </c>
      <c r="N24" s="702">
        <f>IF([1]T8UCCHSuManip!M34="",0,[1]T8UCCHSuManip!M34)</f>
        <v>2458.4</v>
      </c>
      <c r="O24" s="854">
        <f>IF([1]T8UCCHSuManip!N34="",0,[1]T8UCCHSuManip!N34)</f>
        <v>1190.01</v>
      </c>
      <c r="P24" s="1675"/>
    </row>
    <row r="25" spans="2:16">
      <c r="B25" s="853">
        <v>2010</v>
      </c>
      <c r="C25" s="702">
        <f>IF([1]T8UCCHSuManip!B35="",0,[1]T8UCCHSuManip!B35)</f>
        <v>72346.2</v>
      </c>
      <c r="D25" s="1322">
        <f>IF([1]T8UCCHSuManip!C35="",0,[1]T8UCCHSuManip!C35)</f>
        <v>2738.2</v>
      </c>
      <c r="E25" s="702">
        <f>IF([1]T8UCCHSuManip!D35="",0,[1]T8UCCHSuManip!D35)</f>
        <v>4720</v>
      </c>
      <c r="F25" s="1322">
        <f>IF([1]T8UCCHSuManip!E35="",0,[1]T8UCCHSuManip!E35)</f>
        <v>20</v>
      </c>
      <c r="G25" s="1322">
        <f>IF([1]T8UCCHSuManip!F35="",0,[1]T8UCCHSuManip!F35)</f>
        <v>230</v>
      </c>
      <c r="H25" s="702">
        <f>IF([1]T8UCCHSuManip!G35="",0,[1]T8UCCHSuManip!G35)</f>
        <v>64638</v>
      </c>
      <c r="I25" s="1322">
        <f>IF([1]T8UCCHSuManip!H35="",0,[1]T8UCCHSuManip!H35)</f>
        <v>434.59032258064519</v>
      </c>
      <c r="J25" s="702">
        <f>IF([1]T8UCCHSuManip!I35="",0,[1]T8UCCHSuManip!I35)</f>
        <v>15569</v>
      </c>
      <c r="K25" s="1322">
        <f>IF([1]T8UCCHSuManip!J35="",0,[1]T8UCCHSuManip!J35)</f>
        <v>48634.409677419353</v>
      </c>
      <c r="L25" s="1322">
        <f>IF([1]T8UCCHSuManip!K35="",0,[1]T8UCCHSuManip!K35)</f>
        <v>451</v>
      </c>
      <c r="M25" s="1322">
        <f>IF([1]T8UCCHSuManip!L35="",0,[1]T8UCCHSuManip!L35)</f>
        <v>48</v>
      </c>
      <c r="N25" s="702">
        <f>IF([1]T8UCCHSuManip!M35="",0,[1]T8UCCHSuManip!M35)</f>
        <v>2480.5500000000002</v>
      </c>
      <c r="O25" s="854">
        <f>IF([1]T8UCCHSuManip!N35="",0,[1]T8UCCHSuManip!N35)</f>
        <v>3524.31</v>
      </c>
      <c r="P25" s="1675"/>
    </row>
    <row r="26" spans="2:16">
      <c r="B26" s="853">
        <v>2011</v>
      </c>
      <c r="C26" s="702">
        <f>IF([1]T8UCCHSuManip!B36="",0,[1]T8UCCHSuManip!B36)</f>
        <v>80573.649999999994</v>
      </c>
      <c r="D26" s="1322">
        <f>IF([1]T8UCCHSuManip!C36="",0,[1]T8UCCHSuManip!C36)</f>
        <v>5575.65</v>
      </c>
      <c r="E26" s="702">
        <f>IF([1]T8UCCHSuManip!D36="",0,[1]T8UCCHSuManip!D36)</f>
        <v>5004</v>
      </c>
      <c r="F26" s="1322">
        <f>IF([1]T8UCCHSuManip!E36="",0,[1]T8UCCHSuManip!E36)</f>
        <v>0</v>
      </c>
      <c r="G26" s="1322">
        <f>IF([1]T8UCCHSuManip!F36="",0,[1]T8UCCHSuManip!F36)</f>
        <v>0</v>
      </c>
      <c r="H26" s="702">
        <f>IF([1]T8UCCHSuManip!G36="",0,[1]T8UCCHSuManip!G36)</f>
        <v>69994</v>
      </c>
      <c r="I26" s="1322">
        <f>IF([1]T8UCCHSuManip!H36="",0,[1]T8UCCHSuManip!H36)</f>
        <v>302.51603773584907</v>
      </c>
      <c r="J26" s="702">
        <f>IF([1]T8UCCHSuManip!I36="",0,[1]T8UCCHSuManip!I36)</f>
        <v>20645</v>
      </c>
      <c r="K26" s="1322">
        <f>IF([1]T8UCCHSuManip!J36="",0,[1]T8UCCHSuManip!J36)</f>
        <v>49046.483962264145</v>
      </c>
      <c r="L26" s="1322">
        <f>IF([1]T8UCCHSuManip!K36="",0,[1]T8UCCHSuManip!K36)</f>
        <v>86</v>
      </c>
      <c r="M26" s="1322">
        <f>IF([1]T8UCCHSuManip!L36="",0,[1]T8UCCHSuManip!L36)</f>
        <v>55</v>
      </c>
      <c r="N26" s="702">
        <f>IF([1]T8UCCHSuManip!M36="",0,[1]T8UCCHSuManip!M36)</f>
        <v>5545.6</v>
      </c>
      <c r="O26" s="854">
        <f>IF([1]T8UCCHSuManip!N36="",0,[1]T8UCCHSuManip!N36)</f>
        <v>1207.8800000000001</v>
      </c>
      <c r="P26" s="1675"/>
    </row>
    <row r="27" spans="2:16">
      <c r="B27" s="853">
        <v>2012</v>
      </c>
      <c r="C27" s="702">
        <f>IF([1]T8UCCHSuManip!B37="",0,[1]T8UCCHSuManip!B37)</f>
        <v>58299.7</v>
      </c>
      <c r="D27" s="1322">
        <f>IF([1]T8UCCHSuManip!C37="",0,[1]T8UCCHSuManip!C37)</f>
        <v>3280.7</v>
      </c>
      <c r="E27" s="702">
        <f>IF([1]T8UCCHSuManip!D37="",0,[1]T8UCCHSuManip!D37)</f>
        <v>1692</v>
      </c>
      <c r="F27" s="1322">
        <f>IF([1]T8UCCHSuManip!E37="",0,[1]T8UCCHSuManip!E37)</f>
        <v>23</v>
      </c>
      <c r="G27" s="1322">
        <f>IF([1]T8UCCHSuManip!F37="",0,[1]T8UCCHSuManip!F37)</f>
        <v>0</v>
      </c>
      <c r="H27" s="702">
        <f>IF([1]T8UCCHSuManip!G37="",0,[1]T8UCCHSuManip!G37)</f>
        <v>53304</v>
      </c>
      <c r="I27" s="1322">
        <f>IF([1]T8UCCHSuManip!H37="",0,[1]T8UCCHSuManip!H37)</f>
        <v>230.785593220339</v>
      </c>
      <c r="J27" s="702">
        <f>IF([1]T8UCCHSuManip!I37="",0,[1]T8UCCHSuManip!I37)</f>
        <v>7824</v>
      </c>
      <c r="K27" s="1322">
        <f>IF([1]T8UCCHSuManip!J37="",0,[1]T8UCCHSuManip!J37)</f>
        <v>45249.214406779662</v>
      </c>
      <c r="L27" s="1322">
        <f>IF([1]T8UCCHSuManip!K37="",0,[1]T8UCCHSuManip!K37)</f>
        <v>65</v>
      </c>
      <c r="M27" s="1322">
        <f>IF([1]T8UCCHSuManip!L37="",0,[1]T8UCCHSuManip!L37)</f>
        <v>23</v>
      </c>
      <c r="N27" s="702">
        <f>IF([1]T8UCCHSuManip!M37="",0,[1]T8UCCHSuManip!M37)</f>
        <v>3979.95</v>
      </c>
      <c r="O27" s="854">
        <f>IF([1]T8UCCHSuManip!N37="",0,[1]T8UCCHSuManip!N37)</f>
        <v>3400.09</v>
      </c>
      <c r="P27" s="1675"/>
    </row>
    <row r="28" spans="2:16">
      <c r="B28" s="853">
        <v>2013</v>
      </c>
      <c r="C28" s="702">
        <f>IF([1]T8UCCHSuManip!B38="",0,[1]T8UCCHSuManip!B38)</f>
        <v>67603.199999999997</v>
      </c>
      <c r="D28" s="1322">
        <f>IF([1]T8UCCHSuManip!C38="",0,[1]T8UCCHSuManip!C38)</f>
        <v>2058.1999999999998</v>
      </c>
      <c r="E28" s="702">
        <f>IF([1]T8UCCHSuManip!D38="",0,[1]T8UCCHSuManip!D38)</f>
        <v>1954</v>
      </c>
      <c r="F28" s="1322">
        <f>IF([1]T8UCCHSuManip!E38="",0,[1]T8UCCHSuManip!E38)</f>
        <v>33</v>
      </c>
      <c r="G28" s="1322">
        <f>IF([1]T8UCCHSuManip!F38="",0,[1]T8UCCHSuManip!F38)</f>
        <v>50</v>
      </c>
      <c r="H28" s="702">
        <f>IF([1]T8UCCHSuManip!G38="",0,[1]T8UCCHSuManip!G38)</f>
        <v>63508</v>
      </c>
      <c r="I28" s="1322">
        <f>IF([1]T8UCCHSuManip!H38="",0,[1]T8UCCHSuManip!H38)</f>
        <v>176.41836734693879</v>
      </c>
      <c r="J28" s="702">
        <f>IF([1]T8UCCHSuManip!I38="",0,[1]T8UCCHSuManip!I38)</f>
        <v>13347</v>
      </c>
      <c r="K28" s="1322">
        <f>IF([1]T8UCCHSuManip!J38="",0,[1]T8UCCHSuManip!J38)</f>
        <v>49984.581632653062</v>
      </c>
      <c r="L28" s="1322">
        <f>IF([1]T8UCCHSuManip!K38="",0,[1]T8UCCHSuManip!K38)</f>
        <v>148</v>
      </c>
      <c r="M28" s="1322">
        <f>IF([1]T8UCCHSuManip!L38="",0,[1]T8UCCHSuManip!L38)</f>
        <v>240</v>
      </c>
      <c r="N28" s="702">
        <f>IF([1]T8UCCHSuManip!M38="",0,[1]T8UCCHSuManip!M38)</f>
        <v>2898.85</v>
      </c>
      <c r="O28" s="854">
        <f>IF([1]T8UCCHSuManip!N38="",0,[1]T8UCCHSuManip!N38)</f>
        <v>3451.96</v>
      </c>
      <c r="P28" s="1675"/>
    </row>
    <row r="29" spans="2:16">
      <c r="B29" s="853">
        <v>2014</v>
      </c>
      <c r="C29" s="702">
        <f>IF([1]T8UCCHSuManip!B39="",0,[1]T8UCCHSuManip!B39)</f>
        <v>78254.45</v>
      </c>
      <c r="D29" s="1322">
        <f>IF([1]T8UCCHSuManip!C39="",0,[1]T8UCCHSuManip!C39)</f>
        <v>2385.4499999999998</v>
      </c>
      <c r="E29" s="702">
        <f>IF([1]T8UCCHSuManip!D39="",0,[1]T8UCCHSuManip!D39)</f>
        <v>2743</v>
      </c>
      <c r="F29" s="1322">
        <f>IF([1]T8UCCHSuManip!E39="",0,[1]T8UCCHSuManip!E39)</f>
        <v>45</v>
      </c>
      <c r="G29" s="1322">
        <f>IF([1]T8UCCHSuManip!F39="",0,[1]T8UCCHSuManip!F39)</f>
        <v>210</v>
      </c>
      <c r="H29" s="702">
        <f>IF([1]T8UCCHSuManip!G39="",0,[1]T8UCCHSuManip!G39)</f>
        <v>72871</v>
      </c>
      <c r="I29" s="1322">
        <f>IF([1]T8UCCHSuManip!H39="",0,[1]T8UCCHSuManip!H39)</f>
        <v>307.57432432432432</v>
      </c>
      <c r="J29" s="702">
        <f>IF([1]T8UCCHSuManip!I39="",0,[1]T8UCCHSuManip!I39)</f>
        <v>19179</v>
      </c>
      <c r="K29" s="1322">
        <f>IF([1]T8UCCHSuManip!J39="",0,[1]T8UCCHSuManip!J39)</f>
        <v>53384.42567567568</v>
      </c>
      <c r="L29" s="1322">
        <f>IF([1]T8UCCHSuManip!K39="",0,[1]T8UCCHSuManip!K39)</f>
        <v>146</v>
      </c>
      <c r="M29" s="1322">
        <f>IF([1]T8UCCHSuManip!L39="",0,[1]T8UCCHSuManip!L39)</f>
        <v>150</v>
      </c>
      <c r="N29" s="702">
        <f>IF([1]T8UCCHSuManip!M39="",0,[1]T8UCCHSuManip!M39)</f>
        <v>2874.8</v>
      </c>
      <c r="O29" s="854">
        <f>IF([1]T8UCCHSuManip!N39="",0,[1]T8UCCHSuManip!N39)</f>
        <v>3573.52</v>
      </c>
      <c r="P29" s="1675"/>
    </row>
    <row r="30" spans="2:16">
      <c r="B30" s="853">
        <v>2015</v>
      </c>
      <c r="C30" s="702">
        <f>IF([1]T8UCCHSuManip!B40="",0,[1]T8UCCHSuManip!B40)</f>
        <v>126881.65</v>
      </c>
      <c r="D30" s="1322">
        <f>IF([1]T8UCCHSuManip!C40="",0,[1]T8UCCHSuManip!C40)</f>
        <v>6151.65</v>
      </c>
      <c r="E30" s="702">
        <f>IF([1]T8UCCHSuManip!D40="",0,[1]T8UCCHSuManip!D40)</f>
        <v>3938</v>
      </c>
      <c r="F30" s="1322">
        <f>IF([1]T8UCCHSuManip!E40="",0,[1]T8UCCHSuManip!E40)</f>
        <v>105</v>
      </c>
      <c r="G30" s="1322">
        <f>IF([1]T8UCCHSuManip!F40="",0,[1]T8UCCHSuManip!F40)</f>
        <v>30</v>
      </c>
      <c r="H30" s="702">
        <f>IF([1]T8UCCHSuManip!G40="",0,[1]T8UCCHSuManip!G40)</f>
        <v>116657</v>
      </c>
      <c r="I30" s="1322">
        <f>IF([1]T8UCCHSuManip!H40="",0,[1]T8UCCHSuManip!H40)</f>
        <v>608.70000000000005</v>
      </c>
      <c r="J30" s="702">
        <f>IF([1]T8UCCHSuManip!I40="",0,[1]T8UCCHSuManip!I40)</f>
        <v>37733</v>
      </c>
      <c r="K30" s="1322">
        <f>IF([1]T8UCCHSuManip!J40="",0,[1]T8UCCHSuManip!J40)</f>
        <v>78315.3</v>
      </c>
      <c r="L30" s="1322">
        <f>IF([1]T8UCCHSuManip!K40="",0,[1]T8UCCHSuManip!K40)</f>
        <v>177</v>
      </c>
      <c r="M30" s="1322">
        <f>IF([1]T8UCCHSuManip!L40="",0,[1]T8UCCHSuManip!L40)</f>
        <v>284</v>
      </c>
      <c r="N30" s="702">
        <f>IF([1]T8UCCHSuManip!M40="",0,[1]T8UCCHSuManip!M40)</f>
        <v>4822.7</v>
      </c>
      <c r="O30" s="854">
        <f>IF([1]T8UCCHSuManip!N40="",0,[1]T8UCCHSuManip!N40)</f>
        <v>10409.89</v>
      </c>
      <c r="P30" s="1675"/>
    </row>
    <row r="31" spans="2:16">
      <c r="B31" s="853">
        <v>2016</v>
      </c>
      <c r="C31" s="702">
        <f>IF([1]T8UCCHSuManip!B41="",0,[1]T8UCCHSuManip!B41)</f>
        <v>91047.5</v>
      </c>
      <c r="D31" s="1322">
        <f>IF([1]T8UCCHSuManip!C41="",0,[1]T8UCCHSuManip!C41)</f>
        <v>3705.5</v>
      </c>
      <c r="E31" s="702">
        <f>IF([1]T8UCCHSuManip!D41="",0,[1]T8UCCHSuManip!D41)</f>
        <v>2990</v>
      </c>
      <c r="F31" s="1322">
        <f>IF([1]T8UCCHSuManip!E41="",0,[1]T8UCCHSuManip!E41)</f>
        <v>60</v>
      </c>
      <c r="G31" s="1322">
        <f>IF([1]T8UCCHSuManip!F41="",0,[1]T8UCCHSuManip!F41)</f>
        <v>100</v>
      </c>
      <c r="H31" s="702">
        <f>IF([1]T8UCCHSuManip!G41="",0,[1]T8UCCHSuManip!G41)</f>
        <v>84192</v>
      </c>
      <c r="I31" s="1322">
        <f>IF([1]T8UCCHSuManip!H41="",0,[1]T8UCCHSuManip!H41)</f>
        <v>360.9</v>
      </c>
      <c r="J31" s="702">
        <f>IF([1]T8UCCHSuManip!I41="",0,[1]T8UCCHSuManip!I41)</f>
        <v>20415</v>
      </c>
      <c r="K31" s="1322">
        <f>IF([1]T8UCCHSuManip!J41="",0,[1]T8UCCHSuManip!J41)</f>
        <v>63416.100000000006</v>
      </c>
      <c r="L31" s="1322">
        <f>IF([1]T8UCCHSuManip!K41="",0,[1]T8UCCHSuManip!K41)</f>
        <v>204.5</v>
      </c>
      <c r="M31" s="1322">
        <f>IF([1]T8UCCHSuManip!L41="",0,[1]T8UCCHSuManip!L41)</f>
        <v>218</v>
      </c>
      <c r="N31" s="702">
        <f>IF([1]T8UCCHSuManip!M41="",0,[1]T8UCCHSuManip!M41)</f>
        <v>4213.55</v>
      </c>
      <c r="O31" s="854">
        <f>IF([1]T8UCCHSuManip!N41="",0,[1]T8UCCHSuManip!N41)</f>
        <v>3540.85</v>
      </c>
      <c r="P31" s="1675"/>
    </row>
    <row r="32" spans="2:16">
      <c r="B32" s="853">
        <v>2017</v>
      </c>
      <c r="C32" s="702">
        <f>IF([1]T8UCCHSuManip!B42="",0,[1]T8UCCHSuManip!B42)</f>
        <v>68204.2</v>
      </c>
      <c r="D32" s="1322">
        <f>IF([1]T8UCCHSuManip!C42="",0,[1]T8UCCHSuManip!C42)</f>
        <v>3853</v>
      </c>
      <c r="E32" s="702">
        <f>IF([1]T8UCCHSuManip!D42="",0,[1]T8UCCHSuManip!D42)</f>
        <v>0</v>
      </c>
      <c r="F32" s="1322">
        <f>IF([1]T8UCCHSuManip!E42="",0,[1]T8UCCHSuManip!E42)</f>
        <v>47</v>
      </c>
      <c r="G32" s="1322">
        <f>IF([1]T8UCCHSuManip!F42="",0,[1]T8UCCHSuManip!F42)</f>
        <v>160</v>
      </c>
      <c r="H32" s="702">
        <f>IF([1]T8UCCHSuManip!G42="",0,[1]T8UCCHSuManip!G42)</f>
        <v>64144</v>
      </c>
      <c r="I32" s="1322">
        <f>IF([1]T8UCCHSuManip!H42="",0,[1]T8UCCHSuManip!H42)</f>
        <v>136</v>
      </c>
      <c r="J32" s="702">
        <f>IF([1]T8UCCHSuManip!I42="",0,[1]T8UCCHSuManip!I42)</f>
        <v>16168</v>
      </c>
      <c r="K32" s="1322">
        <f>IF([1]T8UCCHSuManip!J42="",0,[1]T8UCCHSuManip!J42)</f>
        <v>47840</v>
      </c>
      <c r="L32" s="1322">
        <f>IF([1]T8UCCHSuManip!K42="",0,[1]T8UCCHSuManip!K42)</f>
        <v>126</v>
      </c>
      <c r="M32" s="1322">
        <f>IF([1]T8UCCHSuManip!L42="",0,[1]T8UCCHSuManip!L42)</f>
        <v>158</v>
      </c>
      <c r="N32" s="702">
        <f>IF([1]T8UCCHSuManip!M42="",0,[1]T8UCCHSuManip!M42)</f>
        <v>4325.3500000000004</v>
      </c>
      <c r="O32" s="854">
        <f>IF([1]T8UCCHSuManip!N42="",0,[1]T8UCCHSuManip!N42)</f>
        <v>1577.84</v>
      </c>
      <c r="P32" s="494"/>
    </row>
    <row r="33" spans="2:17">
      <c r="B33" s="853">
        <v>2018</v>
      </c>
      <c r="C33" s="702">
        <f>IF([1]T8UCCHSuManip!B43="",0,[1]T8UCCHSuManip!B43)</f>
        <v>42119.5</v>
      </c>
      <c r="D33" s="1322">
        <f>IF([1]T8UCCHSuManip!C43="",0,[1]T8UCCHSuManip!C43)</f>
        <v>1140</v>
      </c>
      <c r="E33" s="702">
        <f>IF([1]T8UCCHSuManip!D43="",0,[1]T8UCCHSuManip!D43)</f>
        <v>0</v>
      </c>
      <c r="F33" s="1322">
        <f>IF([1]T8UCCHSuManip!E43="",0,[1]T8UCCHSuManip!E43)</f>
        <v>24</v>
      </c>
      <c r="G33" s="1322">
        <f>IF([1]T8UCCHSuManip!F43="",0,[1]T8UCCHSuManip!F43)</f>
        <v>50</v>
      </c>
      <c r="H33" s="702">
        <f>IF([1]T8UCCHSuManip!G43="",0,[1]T8UCCHSuManip!G43)</f>
        <v>40906</v>
      </c>
      <c r="I33" s="1322">
        <f>IF([1]T8UCCHSuManip!H43="",0,[1]T8UCCHSuManip!H43)</f>
        <v>12</v>
      </c>
      <c r="J33" s="702">
        <f>IF([1]T8UCCHSuManip!I43="",0,[1]T8UCCHSuManip!I43)</f>
        <v>9448</v>
      </c>
      <c r="K33" s="1322">
        <f>IF([1]T8UCCHSuManip!J43="",0,[1]T8UCCHSuManip!J43)</f>
        <v>31446</v>
      </c>
      <c r="L33" s="1322">
        <f>IF([1]T8UCCHSuManip!K43="",0,[1]T8UCCHSuManip!K43)</f>
        <v>122</v>
      </c>
      <c r="M33" s="1322">
        <f>IF([1]T8UCCHSuManip!L43="",0,[1]T8UCCHSuManip!L43)</f>
        <v>68</v>
      </c>
      <c r="N33" s="702">
        <f>IF([1]T8UCCHSuManip!M43="",0,[1]T8UCCHSuManip!M43)</f>
        <v>3385</v>
      </c>
      <c r="O33" s="854">
        <f>IF([1]T8UCCHSuManip!N43="",0,[1]T8UCCHSuManip!N43)</f>
        <v>1268</v>
      </c>
      <c r="P33" s="1675"/>
      <c r="Q33" s="1675"/>
    </row>
    <row r="34" spans="2:17">
      <c r="B34" s="853">
        <v>2019</v>
      </c>
      <c r="C34" s="702">
        <f>IF([1]T8UCCHSuManip!B44="",0,[1]T8UCCHSuManip!B44)</f>
        <v>34556</v>
      </c>
      <c r="D34" s="1322">
        <f>IF([1]T8UCCHSuManip!C44="",0,[1]T8UCCHSuManip!C44)</f>
        <v>11</v>
      </c>
      <c r="E34" s="702">
        <f>IF([1]T8UCCHSuManip!D44="",0,[1]T8UCCHSuManip!D44)</f>
        <v>0</v>
      </c>
      <c r="F34" s="1322">
        <f>IF([1]T8UCCHSuManip!E44="",0,[1]T8UCCHSuManip!E44)</f>
        <v>23</v>
      </c>
      <c r="G34" s="1322">
        <f>IF([1]T8UCCHSuManip!F44="",0,[1]T8UCCHSuManip!F44)</f>
        <v>50</v>
      </c>
      <c r="H34" s="702">
        <f>IF([1]T8UCCHSuManip!G44="",0,[1]T8UCCHSuManip!G44)</f>
        <v>34472</v>
      </c>
      <c r="I34" s="1322">
        <f>IF([1]T8UCCHSuManip!H44="",0,[1]T8UCCHSuManip!H44)</f>
        <v>6</v>
      </c>
      <c r="J34" s="702">
        <f>IF([1]T8UCCHSuManip!I44="",0,[1]T8UCCHSuManip!I44)</f>
        <v>5587</v>
      </c>
      <c r="K34" s="1322">
        <f>IF([1]T8UCCHSuManip!J44="",0,[1]T8UCCHSuManip!J44)</f>
        <v>28879</v>
      </c>
      <c r="L34" s="1322">
        <f>IF([1]T8UCCHSuManip!K44="",0,[1]T8UCCHSuManip!K44)</f>
        <v>0</v>
      </c>
      <c r="M34" s="1322">
        <f>IF([1]T8UCCHSuManip!L44="",0,[1]T8UCCHSuManip!L44)</f>
        <v>27</v>
      </c>
      <c r="N34" s="702">
        <f>IF([1]T8UCCHSuManip!M44="",0,[1]T8UCCHSuManip!M44)</f>
        <v>6025</v>
      </c>
      <c r="O34" s="854">
        <f>IF([1]T8UCCHSuManip!N44="",0,[1]T8UCCHSuManip!N44)</f>
        <v>1404</v>
      </c>
      <c r="P34" s="1675"/>
      <c r="Q34" s="1675"/>
    </row>
    <row r="35" spans="2:17">
      <c r="B35" s="853">
        <v>2020</v>
      </c>
      <c r="C35" s="702">
        <f>IF([1]T8UCCHSuManip!B45="",0,[1]T8UCCHSuManip!B45)</f>
        <v>65466</v>
      </c>
      <c r="D35" s="1322">
        <f>IF([1]T8UCCHSuManip!C45="",0,[1]T8UCCHSuManip!C45)</f>
        <v>1389</v>
      </c>
      <c r="E35" s="702">
        <f>IF([1]T8UCCHSuManip!D45="",0,[1]T8UCCHSuManip!D45)</f>
        <v>0</v>
      </c>
      <c r="F35" s="1322">
        <f>IF([1]T8UCCHSuManip!E45="",0,[1]T8UCCHSuManip!E45)</f>
        <v>13</v>
      </c>
      <c r="G35" s="1322">
        <f>IF([1]T8UCCHSuManip!F45="",0,[1]T8UCCHSuManip!F45)</f>
        <v>0</v>
      </c>
      <c r="H35" s="702">
        <f>IF([1]T8UCCHSuManip!G45="",0,[1]T8UCCHSuManip!G45)</f>
        <v>64064</v>
      </c>
      <c r="I35" s="1322">
        <f>IF([1]T8UCCHSuManip!H45="",0,[1]T8UCCHSuManip!H45)</f>
        <v>6</v>
      </c>
      <c r="J35" s="702">
        <f>IF([1]T8UCCHSuManip!I45="",0,[1]T8UCCHSuManip!I45)</f>
        <v>8410</v>
      </c>
      <c r="K35" s="1322">
        <f>IF([1]T8UCCHSuManip!J45="",0,[1]T8UCCHSuManip!J45)</f>
        <v>55648</v>
      </c>
      <c r="L35" s="1322">
        <f>IF([1]T8UCCHSuManip!K45="",0,[1]T8UCCHSuManip!K45)</f>
        <v>166</v>
      </c>
      <c r="M35" s="1322">
        <f>IF([1]T8UCCHSuManip!L45="",0,[1]T8UCCHSuManip!L45)</f>
        <v>36</v>
      </c>
      <c r="N35" s="702">
        <f>IF([1]T8UCCHSuManip!M45="",0,[1]T8UCCHSuManip!M45)</f>
        <v>5894</v>
      </c>
      <c r="O35" s="854">
        <f>IF([1]T8UCCHSuManip!N45="",0,[1]T8UCCHSuManip!N45)</f>
        <v>1728</v>
      </c>
      <c r="P35" s="1675"/>
      <c r="Q35" s="1675"/>
    </row>
    <row r="36" spans="2:17" ht="13.35" customHeight="1">
      <c r="B36" s="853">
        <v>2021</v>
      </c>
      <c r="C36" s="702">
        <f>IF([1]T8UCCHSuManip!B46="",0,[1]T8UCCHSuManip!B46)</f>
        <v>56800</v>
      </c>
      <c r="D36" s="1322">
        <f>IF([1]T8UCCHSuManip!C46="",0,[1]T8UCCHSuManip!C46)</f>
        <v>2284</v>
      </c>
      <c r="E36" s="702">
        <f>IF([1]T8UCCHSuManip!D46="",0,[1]T8UCCHSuManip!D46)</f>
        <v>0</v>
      </c>
      <c r="F36" s="1322">
        <f>IF([1]T8UCCHSuManip!E46="",0,[1]T8UCCHSuManip!E46)</f>
        <v>7</v>
      </c>
      <c r="G36" s="1322">
        <f>IF([1]T8UCCHSuManip!F46="",0,[1]T8UCCHSuManip!F46)</f>
        <v>20</v>
      </c>
      <c r="H36" s="702">
        <f>IF([1]T8UCCHSuManip!G46="",0,[1]T8UCCHSuManip!G46)</f>
        <v>54489</v>
      </c>
      <c r="I36" s="1322">
        <f>IF([1]T8UCCHSuManip!H46="",0,[1]T8UCCHSuManip!H46)</f>
        <v>23</v>
      </c>
      <c r="J36" s="702">
        <f>IF([1]T8UCCHSuManip!I46="",0,[1]T8UCCHSuManip!I46)</f>
        <v>11225</v>
      </c>
      <c r="K36" s="1322">
        <f>IF([1]T8UCCHSuManip!J46="",0,[1]T8UCCHSuManip!J46)</f>
        <v>43241</v>
      </c>
      <c r="L36" s="1322">
        <f>IF([1]T8UCCHSuManip!K46="",0,[1]T8UCCHSuManip!K46)</f>
        <v>78</v>
      </c>
      <c r="M36" s="1322">
        <f>IF([1]T8UCCHSuManip!L46="",0,[1]T8UCCHSuManip!L46)</f>
        <v>62</v>
      </c>
      <c r="N36" s="702">
        <f>IF([1]T8UCCHSuManip!M46="",0,[1]T8UCCHSuManip!M46)</f>
        <v>5261</v>
      </c>
      <c r="O36" s="854">
        <f>IF([1]T8UCCHSuManip!N46="",0,[1]T8UCCHSuManip!N46)</f>
        <v>1583.45</v>
      </c>
      <c r="P36" s="1675"/>
      <c r="Q36" s="611"/>
    </row>
    <row r="37" spans="2:17" ht="13.35" customHeight="1">
      <c r="B37" s="853">
        <v>2022</v>
      </c>
      <c r="C37" s="702">
        <f>IF([1]T8UCCHSuManip!B47="",0,[1]T8UCCHSuManip!B47)</f>
        <v>78494</v>
      </c>
      <c r="D37" s="1322">
        <f>IF([1]T8UCCHSuManip!C47="",0,[1]T8UCCHSuManip!C47)</f>
        <v>3549</v>
      </c>
      <c r="E37" s="702">
        <f>IF([1]T8UCCHSuManip!D47="",0,[1]T8UCCHSuManip!D47)</f>
        <v>0</v>
      </c>
      <c r="F37" s="1322">
        <f>IF([1]T8UCCHSuManip!E47="",0,[1]T8UCCHSuManip!E47)</f>
        <v>65</v>
      </c>
      <c r="G37" s="1322">
        <f>IF([1]T8UCCHSuManip!F47="",0,[1]T8UCCHSuManip!F47)</f>
        <v>70</v>
      </c>
      <c r="H37" s="702">
        <f>IF([1]T8UCCHSuManip!G47="",0,[1]T8UCCHSuManip!G47)</f>
        <v>74810</v>
      </c>
      <c r="I37" s="1322">
        <f>IF([1]T8UCCHSuManip!H47="",0,[1]T8UCCHSuManip!H47)</f>
        <v>12</v>
      </c>
      <c r="J37" s="702">
        <f>IF([1]T8UCCHSuManip!I47="",0,[1]T8UCCHSuManip!I47)</f>
        <v>16086</v>
      </c>
      <c r="K37" s="1322">
        <f>IF([1]T8UCCHSuManip!J47="",0,[1]T8UCCHSuManip!J47)</f>
        <v>58712</v>
      </c>
      <c r="L37" s="1322">
        <f>IF([1]T8UCCHSuManip!K47="",0,[1]T8UCCHSuManip!K47)</f>
        <v>290</v>
      </c>
      <c r="M37" s="1322">
        <f>IF([1]T8UCCHSuManip!L47="",0,[1]T8UCCHSuManip!L47)</f>
        <v>19</v>
      </c>
      <c r="N37" s="702">
        <f>IF([1]T8UCCHSuManip!M47="",0,[1]T8UCCHSuManip!M47)</f>
        <v>6560.95</v>
      </c>
      <c r="O37" s="854">
        <f>IF([1]T8UCCHSuManip!N47="",0,[1]T8UCCHSuManip!N47)</f>
        <v>1202</v>
      </c>
      <c r="P37" s="1675"/>
      <c r="Q37" s="611"/>
    </row>
    <row r="38" spans="2:17" ht="13.35" customHeight="1">
      <c r="B38" s="853">
        <v>2023</v>
      </c>
      <c r="C38" s="702">
        <f>IF([1]T8UCCHSuManip!B48="",0,[1]T8UCCHSuManip!B48)</f>
        <v>54722</v>
      </c>
      <c r="D38" s="1322">
        <f>IF([1]T8UCCHSuManip!C48="",0,[1]T8UCCHSuManip!C48)</f>
        <v>2162</v>
      </c>
      <c r="E38" s="702">
        <f>IF([1]T8UCCHSuManip!D48="",0,[1]T8UCCHSuManip!D48)</f>
        <v>0</v>
      </c>
      <c r="F38" s="1322">
        <f>IF([1]T8UCCHSuManip!E48="",0,[1]T8UCCHSuManip!E48)</f>
        <v>51</v>
      </c>
      <c r="G38" s="1322">
        <f>IF([1]T8UCCHSuManip!F48="",0,[1]T8UCCHSuManip!F48)</f>
        <v>70</v>
      </c>
      <c r="H38" s="702">
        <f>IF([1]T8UCCHSuManip!G48="",0,[1]T8UCCHSuManip!G48)</f>
        <v>52439</v>
      </c>
      <c r="I38" s="1322">
        <f>IF([1]T8UCCHSuManip!H48="",0,[1]T8UCCHSuManip!H48)</f>
        <v>75</v>
      </c>
      <c r="J38" s="702">
        <f>IF([1]T8UCCHSuManip!I48="",0,[1]T8UCCHSuManip!I48)</f>
        <v>11002</v>
      </c>
      <c r="K38" s="1322">
        <f>IF([1]T8UCCHSuManip!J48="",0,[1]T8UCCHSuManip!J48)</f>
        <v>41362</v>
      </c>
      <c r="L38" s="1322">
        <f>IF([1]T8UCCHSuManip!K48="",0,[1]T8UCCHSuManip!K48)</f>
        <v>61</v>
      </c>
      <c r="M38" s="1322">
        <f>IF([1]T8UCCHSuManip!L48="",0,[1]T8UCCHSuManip!L48)</f>
        <v>73</v>
      </c>
      <c r="N38" s="702">
        <f>IF([1]T8UCCHSuManip!M48="",0,[1]T8UCCHSuManip!M48)</f>
        <v>5943</v>
      </c>
      <c r="O38" s="854">
        <f>IF([1]T8UCCHSuManip!N48="",0,[1]T8UCCHSuManip!N48)</f>
        <v>1759</v>
      </c>
      <c r="P38" s="1675"/>
      <c r="Q38" s="611"/>
    </row>
    <row r="39" spans="2:17" ht="11.25" customHeight="1">
      <c r="B39" s="853">
        <v>2024</v>
      </c>
      <c r="C39" s="702">
        <f>IF([1]T8UCCHSuManip!B49="",0,[1]T8UCCHSuManip!B49)</f>
        <v>42511</v>
      </c>
      <c r="D39" s="1322">
        <f>IF([1]T8UCCHSuManip!C49="",0,[1]T8UCCHSuManip!C49)</f>
        <v>899</v>
      </c>
      <c r="E39" s="702">
        <f>IF([1]T8UCCHSuManip!D49="",0,[1]T8UCCHSuManip!D49)</f>
        <v>0</v>
      </c>
      <c r="F39" s="1322">
        <f>IF([1]T8UCCHSuManip!E49="",0,[1]T8UCCHSuManip!E49)</f>
        <v>0</v>
      </c>
      <c r="G39" s="1322">
        <f>IF([1]T8UCCHSuManip!F49="",0,[1]T8UCCHSuManip!F49)</f>
        <v>50</v>
      </c>
      <c r="H39" s="702">
        <f>IF([1]T8UCCHSuManip!G49="",0,[1]T8UCCHSuManip!G49)</f>
        <v>41562</v>
      </c>
      <c r="I39" s="1322">
        <f>IF([1]T8UCCHSuManip!H49="",0,[1]T8UCCHSuManip!H49)</f>
        <v>23</v>
      </c>
      <c r="J39" s="702">
        <f>IF([1]T8UCCHSuManip!I49="",0,[1]T8UCCHSuManip!I49)</f>
        <v>6999</v>
      </c>
      <c r="K39" s="1322">
        <f>IF([1]T8UCCHSuManip!J49="",0,[1]T8UCCHSuManip!J49)</f>
        <v>34540</v>
      </c>
      <c r="L39" s="1322">
        <f>IF([1]T8UCCHSuManip!K49="",0,[1]T8UCCHSuManip!K49)</f>
        <v>99</v>
      </c>
      <c r="M39" s="1322">
        <f>IF([1]T8UCCHSuManip!L49="",0,[1]T8UCCHSuManip!L49)</f>
        <v>25</v>
      </c>
      <c r="N39" s="702">
        <f>IF([1]T8UCCHSuManip!M49="",0,[1]T8UCCHSuManip!M49)</f>
        <v>3406</v>
      </c>
      <c r="O39" s="854">
        <f>IF([1]T8UCCHSuManip!N49="",0,[1]T8UCCHSuManip!N49)</f>
        <v>1338</v>
      </c>
      <c r="P39" s="1675"/>
      <c r="Q39" s="611"/>
    </row>
    <row r="40" spans="2:17" ht="12.75" customHeight="1">
      <c r="B40" s="855">
        <v>2025</v>
      </c>
      <c r="C40" s="856">
        <f>IF([1]T8UCCHSuManip!B50="",0,[1]T8UCCHSuManip!B50)</f>
        <v>43623</v>
      </c>
      <c r="D40" s="857">
        <f>IF([1]T8UCCHSuManip!C50="",0,[1]T8UCCHSuManip!C50)</f>
        <v>570.5</v>
      </c>
      <c r="E40" s="856">
        <f>IF([1]T8UCCHSuManip!D50="",0,[1]T8UCCHSuManip!D50)</f>
        <v>0</v>
      </c>
      <c r="F40" s="857">
        <f>IF([1]T8UCCHSuManip!E50="",0,[1]T8UCCHSuManip!E50)</f>
        <v>48</v>
      </c>
      <c r="G40" s="857">
        <f>IF([1]T8UCCHSuManip!F50="",0,[1]T8UCCHSuManip!F50)</f>
        <v>10</v>
      </c>
      <c r="H40" s="856">
        <f>IF([1]T8UCCHSuManip!G50="",0,[1]T8UCCHSuManip!G50)</f>
        <v>43012</v>
      </c>
      <c r="I40" s="857">
        <f>IF([1]T8UCCHSuManip!H50="",0,[1]T8UCCHSuManip!H50)</f>
        <v>3.75</v>
      </c>
      <c r="J40" s="856">
        <f>IF([1]T8UCCHSuManip!I50="",0,[1]T8UCCHSuManip!I50)</f>
        <v>7650</v>
      </c>
      <c r="K40" s="857">
        <f>IF([1]T8UCCHSuManip!J50="",0,[1]T8UCCHSuManip!J50)</f>
        <v>35358.25</v>
      </c>
      <c r="L40" s="857">
        <f>IF([1]T8UCCHSuManip!K50="",0,[1]T8UCCHSuManip!K50)</f>
        <v>23.849999999999998</v>
      </c>
      <c r="M40" s="857">
        <f>IF([1]T8UCCHSuManip!L50="",0,[1]T8UCCHSuManip!L50)</f>
        <v>26</v>
      </c>
      <c r="N40" s="856">
        <f>IF([1]T8UCCHSuManip!M50="",0,[1]T8UCCHSuManip!M50)</f>
        <v>1161</v>
      </c>
      <c r="O40" s="858">
        <f>IF([1]T8UCCHSuManip!N50="",0,[1]T8UCCHSuManip!N50)</f>
        <v>1738</v>
      </c>
      <c r="P40" s="1675"/>
      <c r="Q40" s="1675"/>
    </row>
    <row r="41" spans="2:17" ht="17.100000000000001" customHeight="1">
      <c r="B41" s="1757" t="s">
        <v>351</v>
      </c>
      <c r="C41" s="1757"/>
      <c r="D41" s="1757"/>
      <c r="E41" s="1757"/>
      <c r="F41" s="1757"/>
      <c r="G41" s="1757"/>
      <c r="H41" s="1757"/>
      <c r="I41" s="1757"/>
      <c r="J41" s="1757"/>
      <c r="K41" s="1757"/>
      <c r="L41" s="1757"/>
      <c r="M41" s="1757"/>
      <c r="N41" s="1757"/>
      <c r="O41" s="1757"/>
      <c r="P41" s="1675"/>
      <c r="Q41" s="1675"/>
    </row>
    <row r="42" spans="2:17" ht="18" customHeight="1">
      <c r="B42" s="1757" t="s">
        <v>352</v>
      </c>
      <c r="C42" s="1757"/>
      <c r="D42" s="1757"/>
      <c r="E42" s="1757"/>
      <c r="F42" s="1757"/>
      <c r="G42" s="1757"/>
      <c r="H42" s="1757"/>
      <c r="I42" s="1757"/>
      <c r="J42" s="1757"/>
      <c r="K42" s="1757"/>
      <c r="L42" s="1757"/>
      <c r="M42" s="1757"/>
      <c r="N42" s="1757"/>
      <c r="O42" s="1757"/>
      <c r="P42" s="1675"/>
      <c r="Q42" s="1675"/>
    </row>
    <row r="43" spans="2:17" ht="19.5" customHeight="1">
      <c r="B43" s="1632" t="s">
        <v>353</v>
      </c>
      <c r="C43" s="441"/>
      <c r="D43" s="441"/>
      <c r="E43" s="441"/>
      <c r="F43" s="441"/>
      <c r="G43" s="441"/>
      <c r="H43" s="441"/>
      <c r="I43" s="441"/>
      <c r="J43" s="441"/>
      <c r="K43" s="441"/>
      <c r="L43" s="441"/>
      <c r="M43" s="441"/>
      <c r="N43" s="441"/>
      <c r="O43" s="441"/>
      <c r="P43" s="1675"/>
      <c r="Q43" s="1675"/>
    </row>
    <row r="44" spans="2:17" ht="18" customHeight="1">
      <c r="B44" s="1632" t="s">
        <v>354</v>
      </c>
      <c r="C44" s="441"/>
      <c r="D44" s="441"/>
      <c r="E44" s="441"/>
      <c r="F44" s="441"/>
      <c r="G44" s="441"/>
      <c r="H44" s="441"/>
      <c r="I44" s="441"/>
      <c r="J44" s="441"/>
      <c r="K44" s="441"/>
      <c r="L44" s="441"/>
      <c r="M44" s="441"/>
      <c r="N44" s="441"/>
      <c r="O44" s="441"/>
      <c r="P44" s="1675"/>
      <c r="Q44" s="1675"/>
    </row>
    <row r="45" spans="2:17" ht="15.75">
      <c r="B45" s="84" t="s">
        <v>87</v>
      </c>
      <c r="C45" s="1675"/>
      <c r="D45" s="1675"/>
      <c r="E45" s="1675"/>
      <c r="F45" s="1675"/>
      <c r="G45" s="1675"/>
      <c r="H45" s="1675"/>
      <c r="I45" s="1675"/>
      <c r="J45" s="1675"/>
      <c r="K45" s="1675"/>
      <c r="L45" s="1675"/>
      <c r="M45" s="1675"/>
      <c r="N45" s="1675"/>
      <c r="O45" s="1675"/>
      <c r="P45" s="1675"/>
      <c r="Q45" s="1675"/>
    </row>
  </sheetData>
  <mergeCells count="10">
    <mergeCell ref="B42:O42"/>
    <mergeCell ref="B41:O41"/>
    <mergeCell ref="D4:G4"/>
    <mergeCell ref="H4:H6"/>
    <mergeCell ref="I4:J4"/>
    <mergeCell ref="L4:L5"/>
    <mergeCell ref="N4:N5"/>
    <mergeCell ref="C5:C6"/>
    <mergeCell ref="D5:F5"/>
    <mergeCell ref="K5:K6"/>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C4D62-53CB-4BA5-A5B2-02BBD72BA844}">
  <sheetPr>
    <tabColor rgb="FFFFFFCC"/>
  </sheetPr>
  <dimension ref="A1:R1154"/>
  <sheetViews>
    <sheetView topLeftCell="A12" zoomScaleNormal="100" zoomScaleSheetLayoutView="100" workbookViewId="0">
      <selection activeCell="C31" sqref="C31"/>
    </sheetView>
  </sheetViews>
  <sheetFormatPr defaultColWidth="9.33203125" defaultRowHeight="12.75"/>
  <cols>
    <col min="1" max="1" width="14.83203125" style="47" customWidth="1"/>
    <col min="2" max="13" width="9.33203125" style="47"/>
    <col min="14" max="14" width="9.83203125" style="47" customWidth="1"/>
    <col min="15" max="15" width="11" style="47" bestFit="1" customWidth="1"/>
    <col min="16" max="16384" width="9.33203125" style="47"/>
  </cols>
  <sheetData>
    <row r="1" spans="1:18" ht="15.75">
      <c r="A1" s="243" t="s">
        <v>355</v>
      </c>
    </row>
    <row r="2" spans="1:18">
      <c r="A2" s="236"/>
    </row>
    <row r="3" spans="1:18" ht="24" customHeight="1">
      <c r="A3" s="1805" t="s">
        <v>356</v>
      </c>
      <c r="B3" s="1806"/>
      <c r="C3" s="1806"/>
      <c r="D3" s="1806"/>
      <c r="E3" s="1806"/>
      <c r="F3" s="1806"/>
      <c r="G3" s="1806"/>
      <c r="H3" s="1806"/>
      <c r="I3" s="1806"/>
      <c r="J3" s="1806"/>
      <c r="K3" s="1806"/>
    </row>
    <row r="4" spans="1:18">
      <c r="A4" s="326"/>
      <c r="B4" s="327" t="s">
        <v>260</v>
      </c>
      <c r="C4" s="1807" t="s">
        <v>357</v>
      </c>
      <c r="D4" s="1807"/>
      <c r="E4" s="1807"/>
      <c r="F4" s="1807" t="s">
        <v>357</v>
      </c>
      <c r="G4" s="1807"/>
      <c r="H4" s="1807" t="s">
        <v>357</v>
      </c>
      <c r="I4" s="1804"/>
      <c r="J4" s="1803" t="s">
        <v>358</v>
      </c>
      <c r="K4" s="1804"/>
    </row>
    <row r="5" spans="1:18">
      <c r="A5" s="328"/>
      <c r="B5" s="329" t="s">
        <v>359</v>
      </c>
      <c r="C5" s="1650" t="s">
        <v>360</v>
      </c>
      <c r="D5" s="1803" t="s">
        <v>361</v>
      </c>
      <c r="E5" s="1804"/>
      <c r="F5" s="1803" t="s">
        <v>362</v>
      </c>
      <c r="G5" s="1804"/>
      <c r="H5" s="1803" t="s">
        <v>363</v>
      </c>
      <c r="I5" s="1804"/>
      <c r="J5" s="1803" t="s">
        <v>364</v>
      </c>
      <c r="K5" s="1804"/>
      <c r="N5" s="1801" t="s">
        <v>365</v>
      </c>
      <c r="O5" s="1801" t="s">
        <v>366</v>
      </c>
    </row>
    <row r="6" spans="1:18">
      <c r="A6" s="330" t="s">
        <v>28</v>
      </c>
      <c r="B6" s="330" t="s">
        <v>367</v>
      </c>
      <c r="C6" s="1650" t="s">
        <v>368</v>
      </c>
      <c r="D6" s="1649" t="s">
        <v>369</v>
      </c>
      <c r="E6" s="1649" t="s">
        <v>368</v>
      </c>
      <c r="F6" s="330" t="s">
        <v>369</v>
      </c>
      <c r="G6" s="331" t="s">
        <v>368</v>
      </c>
      <c r="H6" s="332" t="s">
        <v>369</v>
      </c>
      <c r="I6" s="332" t="s">
        <v>368</v>
      </c>
      <c r="J6" s="1651" t="s">
        <v>370</v>
      </c>
      <c r="K6" s="1650" t="s">
        <v>371</v>
      </c>
      <c r="M6" s="1650" t="s">
        <v>360</v>
      </c>
      <c r="N6" s="1802"/>
      <c r="O6" s="1802"/>
    </row>
    <row r="7" spans="1:18">
      <c r="A7" s="329" t="s">
        <v>372</v>
      </c>
      <c r="B7" s="333">
        <v>21824.742268041231</v>
      </c>
      <c r="C7" s="334">
        <v>100</v>
      </c>
      <c r="D7" s="335">
        <v>1772</v>
      </c>
      <c r="E7" s="335">
        <v>55.800000000000004</v>
      </c>
      <c r="F7" s="336">
        <v>82</v>
      </c>
      <c r="G7" s="337">
        <v>2.6562076749435679</v>
      </c>
      <c r="H7" s="338">
        <f t="shared" ref="H7:H31" si="0">D7+F7</f>
        <v>1854</v>
      </c>
      <c r="I7" s="339">
        <f t="shared" ref="I7:I31" si="1">C7+E7+G7</f>
        <v>158.45620767494358</v>
      </c>
      <c r="J7" s="340">
        <f t="shared" ref="J7:J30" si="2">I7/B7</f>
        <v>7.2603930772175401E-3</v>
      </c>
      <c r="K7" s="341">
        <v>0.02</v>
      </c>
      <c r="M7" s="455">
        <f t="shared" ref="M7:M30" si="3">C7/$B7</f>
        <v>4.5819555975436955E-3</v>
      </c>
      <c r="N7" s="455">
        <f t="shared" ref="N7:N30" si="4">E7/$B7</f>
        <v>2.5567312234293822E-3</v>
      </c>
      <c r="O7" s="455">
        <f t="shared" ref="O7:O30" si="5">G7/$B7</f>
        <v>1.2170625624446205E-4</v>
      </c>
    </row>
    <row r="8" spans="1:18">
      <c r="A8" s="329" t="s">
        <v>373</v>
      </c>
      <c r="B8" s="333">
        <v>33711.164480269748</v>
      </c>
      <c r="C8" s="334">
        <v>3095</v>
      </c>
      <c r="D8" s="335">
        <v>2073</v>
      </c>
      <c r="E8" s="335">
        <v>82.100000000000009</v>
      </c>
      <c r="F8" s="336">
        <v>278</v>
      </c>
      <c r="G8" s="337">
        <v>3.3795638126009693</v>
      </c>
      <c r="H8" s="338">
        <f t="shared" si="0"/>
        <v>2351</v>
      </c>
      <c r="I8" s="339">
        <f t="shared" si="1"/>
        <v>3180.4795638126011</v>
      </c>
      <c r="J8" s="340">
        <f t="shared" si="2"/>
        <v>9.4344992611395895E-2</v>
      </c>
      <c r="K8" s="341">
        <v>0.02</v>
      </c>
      <c r="M8" s="455">
        <f t="shared" si="3"/>
        <v>9.1809347072879119E-2</v>
      </c>
      <c r="N8" s="455">
        <f t="shared" si="4"/>
        <v>2.4353949578944673E-3</v>
      </c>
      <c r="O8" s="455">
        <f t="shared" si="5"/>
        <v>1.0025058062230211E-4</v>
      </c>
      <c r="R8" s="149"/>
    </row>
    <row r="9" spans="1:18">
      <c r="A9" s="329" t="s">
        <v>374</v>
      </c>
      <c r="B9" s="333">
        <v>23451.971136084536</v>
      </c>
      <c r="C9" s="334">
        <v>217</v>
      </c>
      <c r="D9" s="335">
        <v>1312</v>
      </c>
      <c r="E9" s="335">
        <v>63.900000000000006</v>
      </c>
      <c r="F9" s="336">
        <v>186</v>
      </c>
      <c r="G9" s="337">
        <v>2.1654744525547445</v>
      </c>
      <c r="H9" s="338">
        <f t="shared" si="0"/>
        <v>1498</v>
      </c>
      <c r="I9" s="339">
        <f t="shared" si="1"/>
        <v>283.06547445255472</v>
      </c>
      <c r="J9" s="340">
        <f t="shared" si="2"/>
        <v>1.2070007796360201E-2</v>
      </c>
      <c r="K9" s="341">
        <v>0.02</v>
      </c>
      <c r="M9" s="455">
        <f t="shared" si="3"/>
        <v>9.25295356798864E-3</v>
      </c>
      <c r="N9" s="455">
        <f t="shared" si="4"/>
        <v>2.7247176635690051E-3</v>
      </c>
      <c r="O9" s="455">
        <f t="shared" si="5"/>
        <v>9.2336564802556075E-5</v>
      </c>
    </row>
    <row r="10" spans="1:18">
      <c r="A10" s="329" t="s">
        <v>375</v>
      </c>
      <c r="B10" s="333">
        <v>29566.143906793393</v>
      </c>
      <c r="C10" s="334">
        <v>238</v>
      </c>
      <c r="D10" s="335">
        <v>1620</v>
      </c>
      <c r="E10" s="335">
        <v>69.8</v>
      </c>
      <c r="F10" s="336">
        <v>72</v>
      </c>
      <c r="G10" s="337">
        <v>1.2957686127477233</v>
      </c>
      <c r="H10" s="338">
        <f t="shared" si="0"/>
        <v>1692</v>
      </c>
      <c r="I10" s="339">
        <f t="shared" si="1"/>
        <v>309.09576861274775</v>
      </c>
      <c r="J10" s="340">
        <f t="shared" si="2"/>
        <v>1.0454382201046076E-2</v>
      </c>
      <c r="K10" s="341">
        <v>0.02</v>
      </c>
      <c r="M10" s="455">
        <f t="shared" si="3"/>
        <v>8.0497477368130822E-3</v>
      </c>
      <c r="N10" s="455">
        <f t="shared" si="4"/>
        <v>2.3608083698720716E-3</v>
      </c>
      <c r="O10" s="455">
        <f t="shared" si="5"/>
        <v>4.3826094360921898E-5</v>
      </c>
    </row>
    <row r="11" spans="1:18" ht="12.75" customHeight="1">
      <c r="A11" s="329" t="s">
        <v>376</v>
      </c>
      <c r="B11" s="333">
        <v>14660.248052175886</v>
      </c>
      <c r="C11" s="334">
        <v>65</v>
      </c>
      <c r="D11" s="335">
        <v>548</v>
      </c>
      <c r="E11" s="335">
        <v>32.200000000000003</v>
      </c>
      <c r="F11" s="336">
        <v>65</v>
      </c>
      <c r="G11" s="337">
        <v>0.9806505888951208</v>
      </c>
      <c r="H11" s="338">
        <f t="shared" si="0"/>
        <v>613</v>
      </c>
      <c r="I11" s="339">
        <f t="shared" si="1"/>
        <v>98.180650588895119</v>
      </c>
      <c r="J11" s="340">
        <f t="shared" si="2"/>
        <v>6.6970661232654289E-3</v>
      </c>
      <c r="K11" s="341">
        <v>0.02</v>
      </c>
      <c r="M11" s="455">
        <f t="shared" si="3"/>
        <v>4.4337585400100136E-3</v>
      </c>
      <c r="N11" s="455">
        <f t="shared" si="4"/>
        <v>2.1964157690511146E-3</v>
      </c>
      <c r="O11" s="455">
        <f t="shared" si="5"/>
        <v>6.68918142043014E-5</v>
      </c>
    </row>
    <row r="12" spans="1:18">
      <c r="A12" s="329" t="s">
        <v>377</v>
      </c>
      <c r="B12" s="333">
        <v>16708.691781946993</v>
      </c>
      <c r="C12" s="334">
        <v>15</v>
      </c>
      <c r="D12" s="335">
        <v>639</v>
      </c>
      <c r="E12" s="335">
        <v>36.9</v>
      </c>
      <c r="F12" s="336">
        <v>51</v>
      </c>
      <c r="G12" s="337">
        <v>0.8963201286949527</v>
      </c>
      <c r="H12" s="338">
        <f t="shared" si="0"/>
        <v>690</v>
      </c>
      <c r="I12" s="339">
        <f t="shared" si="1"/>
        <v>52.796320128694951</v>
      </c>
      <c r="J12" s="340">
        <f t="shared" si="2"/>
        <v>3.1598117206123257E-3</v>
      </c>
      <c r="K12" s="341">
        <v>0.02</v>
      </c>
      <c r="M12" s="455">
        <f t="shared" si="3"/>
        <v>8.9773635158001065E-4</v>
      </c>
      <c r="N12" s="455">
        <f t="shared" si="4"/>
        <v>2.2084314248868261E-3</v>
      </c>
      <c r="O12" s="455">
        <f t="shared" si="5"/>
        <v>5.3643944145488829E-5</v>
      </c>
    </row>
    <row r="13" spans="1:18">
      <c r="A13" s="329" t="s">
        <v>378</v>
      </c>
      <c r="B13" s="333">
        <v>15071.572057439611</v>
      </c>
      <c r="C13" s="334">
        <v>75</v>
      </c>
      <c r="D13" s="335">
        <v>817</v>
      </c>
      <c r="E13" s="335">
        <v>35.700000000000003</v>
      </c>
      <c r="F13" s="336">
        <v>26</v>
      </c>
      <c r="G13" s="337">
        <v>0.98265962005427809</v>
      </c>
      <c r="H13" s="338">
        <f t="shared" si="0"/>
        <v>843</v>
      </c>
      <c r="I13" s="339">
        <f t="shared" si="1"/>
        <v>111.68265962005428</v>
      </c>
      <c r="J13" s="340">
        <f t="shared" si="2"/>
        <v>7.4101533134312706E-3</v>
      </c>
      <c r="K13" s="341">
        <v>0.02</v>
      </c>
      <c r="M13" s="455">
        <f t="shared" si="3"/>
        <v>4.9762559415942676E-3</v>
      </c>
      <c r="N13" s="455">
        <f t="shared" si="4"/>
        <v>2.3686978281988714E-3</v>
      </c>
      <c r="O13" s="455">
        <f t="shared" si="5"/>
        <v>6.5199543638131552E-5</v>
      </c>
    </row>
    <row r="14" spans="1:18">
      <c r="A14" s="329" t="s">
        <v>379</v>
      </c>
      <c r="B14" s="333">
        <v>13943.308887554147</v>
      </c>
      <c r="C14" s="334">
        <v>9</v>
      </c>
      <c r="D14" s="335">
        <v>562</v>
      </c>
      <c r="E14" s="335">
        <v>19.600000000000001</v>
      </c>
      <c r="F14" s="336">
        <v>115</v>
      </c>
      <c r="G14" s="337">
        <v>7.1478696741854639</v>
      </c>
      <c r="H14" s="338">
        <f t="shared" si="0"/>
        <v>677</v>
      </c>
      <c r="I14" s="339">
        <f t="shared" si="1"/>
        <v>35.747869674185466</v>
      </c>
      <c r="J14" s="340">
        <f t="shared" si="2"/>
        <v>2.5638010290436981E-3</v>
      </c>
      <c r="K14" s="341">
        <v>0.02</v>
      </c>
      <c r="M14" s="455">
        <f t="shared" si="3"/>
        <v>6.4547089020120863E-4</v>
      </c>
      <c r="N14" s="455">
        <f t="shared" si="4"/>
        <v>1.4056921608826324E-3</v>
      </c>
      <c r="O14" s="455">
        <f t="shared" si="5"/>
        <v>5.1263797795985722E-4</v>
      </c>
    </row>
    <row r="15" spans="1:18">
      <c r="A15" s="329" t="s">
        <v>380</v>
      </c>
      <c r="B15" s="333">
        <v>11575.059209519166</v>
      </c>
      <c r="C15" s="334">
        <v>4</v>
      </c>
      <c r="D15" s="335">
        <v>664</v>
      </c>
      <c r="E15" s="335">
        <v>21.5</v>
      </c>
      <c r="F15" s="336">
        <v>47</v>
      </c>
      <c r="G15" s="337">
        <v>2.1757303370786518</v>
      </c>
      <c r="H15" s="338">
        <f t="shared" si="0"/>
        <v>711</v>
      </c>
      <c r="I15" s="339">
        <f t="shared" si="1"/>
        <v>27.675730337078651</v>
      </c>
      <c r="J15" s="340">
        <f t="shared" si="2"/>
        <v>2.3909795912161313E-3</v>
      </c>
      <c r="K15" s="341">
        <v>0.02</v>
      </c>
      <c r="M15" s="455">
        <f t="shared" si="3"/>
        <v>3.4557058651678052E-4</v>
      </c>
      <c r="N15" s="455">
        <f t="shared" si="4"/>
        <v>1.8574419025276952E-3</v>
      </c>
      <c r="O15" s="455">
        <f t="shared" si="5"/>
        <v>1.8796710217165556E-4</v>
      </c>
    </row>
    <row r="16" spans="1:18">
      <c r="A16" s="329" t="s">
        <v>381</v>
      </c>
      <c r="B16" s="333">
        <v>20035.378294724564</v>
      </c>
      <c r="C16" s="334">
        <v>89</v>
      </c>
      <c r="D16" s="335">
        <v>1274</v>
      </c>
      <c r="E16" s="335">
        <v>44.300000000000004</v>
      </c>
      <c r="F16" s="336">
        <v>106</v>
      </c>
      <c r="G16" s="337">
        <v>4.5853669319186565</v>
      </c>
      <c r="H16" s="338">
        <f t="shared" si="0"/>
        <v>1380</v>
      </c>
      <c r="I16" s="339">
        <f t="shared" si="1"/>
        <v>137.88536693191867</v>
      </c>
      <c r="J16" s="340">
        <f t="shared" si="2"/>
        <v>6.8820945082042556E-3</v>
      </c>
      <c r="K16" s="341">
        <v>0.02</v>
      </c>
      <c r="M16" s="455">
        <f t="shared" si="3"/>
        <v>4.4421422291504344E-3</v>
      </c>
      <c r="N16" s="455">
        <f t="shared" si="4"/>
        <v>2.211088772487239E-3</v>
      </c>
      <c r="O16" s="455">
        <f t="shared" si="5"/>
        <v>2.2886350656658235E-4</v>
      </c>
    </row>
    <row r="17" spans="1:18">
      <c r="A17" s="329" t="s">
        <v>382</v>
      </c>
      <c r="B17" s="333">
        <v>16740</v>
      </c>
      <c r="C17" s="334">
        <v>23</v>
      </c>
      <c r="D17" s="335">
        <v>1236</v>
      </c>
      <c r="E17" s="335">
        <v>81</v>
      </c>
      <c r="F17" s="336">
        <v>147</v>
      </c>
      <c r="G17" s="337">
        <v>9.9458876069966529</v>
      </c>
      <c r="H17" s="338">
        <f t="shared" si="0"/>
        <v>1383</v>
      </c>
      <c r="I17" s="339">
        <f t="shared" si="1"/>
        <v>113.94588760699665</v>
      </c>
      <c r="J17" s="340">
        <f t="shared" si="2"/>
        <v>6.8068033218038624E-3</v>
      </c>
      <c r="K17" s="341">
        <v>0.02</v>
      </c>
      <c r="M17" s="455">
        <f t="shared" si="3"/>
        <v>1.3739545997610513E-3</v>
      </c>
      <c r="N17" s="455">
        <f t="shared" si="4"/>
        <v>4.8387096774193551E-3</v>
      </c>
      <c r="O17" s="455">
        <f t="shared" si="5"/>
        <v>5.9413904462345601E-4</v>
      </c>
    </row>
    <row r="18" spans="1:18">
      <c r="A18" s="329" t="s">
        <v>383</v>
      </c>
      <c r="B18" s="333">
        <v>17332</v>
      </c>
      <c r="C18" s="334">
        <v>70</v>
      </c>
      <c r="D18" s="335">
        <v>1771</v>
      </c>
      <c r="E18" s="335">
        <v>59.400000000000006</v>
      </c>
      <c r="F18" s="336">
        <v>48</v>
      </c>
      <c r="G18" s="337">
        <v>2.4968674698795184</v>
      </c>
      <c r="H18" s="338">
        <f t="shared" si="0"/>
        <v>1819</v>
      </c>
      <c r="I18" s="339">
        <f t="shared" si="1"/>
        <v>131.89686746987951</v>
      </c>
      <c r="J18" s="340">
        <f t="shared" si="2"/>
        <v>7.6100200478813468E-3</v>
      </c>
      <c r="K18" s="341">
        <v>0.02</v>
      </c>
      <c r="M18" s="455">
        <f t="shared" si="3"/>
        <v>4.0387722132471729E-3</v>
      </c>
      <c r="N18" s="455">
        <f t="shared" si="4"/>
        <v>3.427186706669744E-3</v>
      </c>
      <c r="O18" s="455">
        <f t="shared" si="5"/>
        <v>1.44061127964431E-4</v>
      </c>
    </row>
    <row r="19" spans="1:18">
      <c r="A19" s="329" t="s">
        <v>384</v>
      </c>
      <c r="B19" s="333">
        <v>15655</v>
      </c>
      <c r="C19" s="334">
        <v>27</v>
      </c>
      <c r="D19" s="335">
        <v>432</v>
      </c>
      <c r="E19" s="335">
        <v>21.6</v>
      </c>
      <c r="F19" s="336">
        <v>63</v>
      </c>
      <c r="G19" s="337">
        <v>3.4117563739376777</v>
      </c>
      <c r="H19" s="338">
        <f t="shared" si="0"/>
        <v>495</v>
      </c>
      <c r="I19" s="339">
        <f t="shared" si="1"/>
        <v>52.011756373937679</v>
      </c>
      <c r="J19" s="340">
        <f t="shared" si="2"/>
        <v>3.3223734509062715E-3</v>
      </c>
      <c r="K19" s="341">
        <v>0.02</v>
      </c>
      <c r="M19" s="455">
        <f t="shared" si="3"/>
        <v>1.7246885978920473E-3</v>
      </c>
      <c r="N19" s="455">
        <f t="shared" si="4"/>
        <v>1.3797508783136379E-3</v>
      </c>
      <c r="O19" s="455">
        <f t="shared" si="5"/>
        <v>2.1793397470058624E-4</v>
      </c>
    </row>
    <row r="20" spans="1:18">
      <c r="A20" s="329" t="s">
        <v>385</v>
      </c>
      <c r="B20" s="333">
        <v>14928</v>
      </c>
      <c r="C20" s="334">
        <v>58</v>
      </c>
      <c r="D20" s="335">
        <v>460</v>
      </c>
      <c r="E20" s="335">
        <v>39.300000000000004</v>
      </c>
      <c r="F20" s="336">
        <v>51</v>
      </c>
      <c r="G20" s="337">
        <v>2.8011035653650254</v>
      </c>
      <c r="H20" s="338">
        <f t="shared" si="0"/>
        <v>511</v>
      </c>
      <c r="I20" s="339">
        <f t="shared" si="1"/>
        <v>100.10110356536504</v>
      </c>
      <c r="J20" s="340">
        <f t="shared" si="2"/>
        <v>6.7055937543786864E-3</v>
      </c>
      <c r="K20" s="341">
        <v>0.02</v>
      </c>
      <c r="M20" s="455">
        <f t="shared" si="3"/>
        <v>3.8853161843515542E-3</v>
      </c>
      <c r="N20" s="455">
        <f t="shared" si="4"/>
        <v>2.6326366559485536E-3</v>
      </c>
      <c r="O20" s="455">
        <f t="shared" si="5"/>
        <v>1.8764091407857887E-4</v>
      </c>
    </row>
    <row r="21" spans="1:18">
      <c r="A21" s="329" t="s">
        <v>386</v>
      </c>
      <c r="B21" s="333">
        <v>20117</v>
      </c>
      <c r="C21" s="334">
        <v>52</v>
      </c>
      <c r="D21" s="335">
        <v>704</v>
      </c>
      <c r="E21" s="335">
        <v>77.100000000000009</v>
      </c>
      <c r="F21" s="336">
        <v>98</v>
      </c>
      <c r="G21" s="337">
        <v>9.1445245901639343</v>
      </c>
      <c r="H21" s="338">
        <f t="shared" si="0"/>
        <v>802</v>
      </c>
      <c r="I21" s="339">
        <f t="shared" si="1"/>
        <v>138.24452459016396</v>
      </c>
      <c r="J21" s="340">
        <f t="shared" si="2"/>
        <v>6.8720248839371657E-3</v>
      </c>
      <c r="K21" s="341">
        <v>0.02</v>
      </c>
      <c r="M21" s="455">
        <f t="shared" si="3"/>
        <v>2.5848784610031316E-3</v>
      </c>
      <c r="N21" s="455">
        <f t="shared" si="4"/>
        <v>3.8325794104488746E-3</v>
      </c>
      <c r="O21" s="455">
        <f t="shared" si="5"/>
        <v>4.5456701248515854E-4</v>
      </c>
    </row>
    <row r="22" spans="1:18">
      <c r="A22" s="329" t="s">
        <v>387</v>
      </c>
      <c r="B22" s="333">
        <v>22379</v>
      </c>
      <c r="C22" s="334">
        <v>48</v>
      </c>
      <c r="D22" s="335">
        <v>898</v>
      </c>
      <c r="E22" s="335">
        <v>68.3</v>
      </c>
      <c r="F22" s="336">
        <v>42</v>
      </c>
      <c r="G22" s="337">
        <v>2.9605205008593174</v>
      </c>
      <c r="H22" s="338">
        <f t="shared" si="0"/>
        <v>940</v>
      </c>
      <c r="I22" s="339">
        <f t="shared" si="1"/>
        <v>119.26052050085931</v>
      </c>
      <c r="J22" s="340">
        <f t="shared" si="2"/>
        <v>5.3291264355359632E-3</v>
      </c>
      <c r="K22" s="341">
        <v>0.02</v>
      </c>
      <c r="M22" s="455">
        <f t="shared" si="3"/>
        <v>2.1448679565664237E-3</v>
      </c>
      <c r="N22" s="455">
        <f t="shared" si="4"/>
        <v>3.0519683631976403E-3</v>
      </c>
      <c r="O22" s="455">
        <f t="shared" si="5"/>
        <v>1.3229011577189855E-4</v>
      </c>
      <c r="R22" s="149"/>
    </row>
    <row r="23" spans="1:18">
      <c r="A23" s="342" t="s">
        <v>388</v>
      </c>
      <c r="B23" s="333">
        <v>9448</v>
      </c>
      <c r="C23" s="334">
        <v>0</v>
      </c>
      <c r="D23" s="343">
        <v>233</v>
      </c>
      <c r="E23" s="344">
        <v>18.506116207951074</v>
      </c>
      <c r="F23" s="336">
        <v>8</v>
      </c>
      <c r="G23" s="337">
        <v>0.41419878296146051</v>
      </c>
      <c r="H23" s="338">
        <f t="shared" si="0"/>
        <v>241</v>
      </c>
      <c r="I23" s="345">
        <f t="shared" si="1"/>
        <v>18.920314990912534</v>
      </c>
      <c r="J23" s="340">
        <f t="shared" si="2"/>
        <v>2.0025735595800734E-3</v>
      </c>
      <c r="K23" s="341">
        <v>0.02</v>
      </c>
      <c r="M23" s="455">
        <f t="shared" si="3"/>
        <v>0</v>
      </c>
      <c r="N23" s="455">
        <f t="shared" si="4"/>
        <v>1.9587337222640847E-3</v>
      </c>
      <c r="O23" s="455">
        <f t="shared" si="5"/>
        <v>4.3839837315988624E-5</v>
      </c>
    </row>
    <row r="24" spans="1:18">
      <c r="A24" s="342" t="s">
        <v>389</v>
      </c>
      <c r="B24" s="333">
        <v>11323</v>
      </c>
      <c r="C24" s="334">
        <v>8.531250191333271</v>
      </c>
      <c r="D24" s="343">
        <v>177</v>
      </c>
      <c r="E24" s="344">
        <v>19.835022571719819</v>
      </c>
      <c r="F24" s="336">
        <v>15</v>
      </c>
      <c r="G24" s="337">
        <v>0.97489823609226611</v>
      </c>
      <c r="H24" s="338">
        <f t="shared" si="0"/>
        <v>192</v>
      </c>
      <c r="I24" s="345">
        <f t="shared" si="1"/>
        <v>29.341170999145355</v>
      </c>
      <c r="J24" s="340">
        <f t="shared" si="2"/>
        <v>2.5912894991738369E-3</v>
      </c>
      <c r="K24" s="341">
        <v>0.02</v>
      </c>
      <c r="M24" s="455">
        <f t="shared" si="3"/>
        <v>7.5344433377490694E-4</v>
      </c>
      <c r="N24" s="455">
        <f t="shared" si="4"/>
        <v>1.7517462308328021E-3</v>
      </c>
      <c r="O24" s="455">
        <f t="shared" si="5"/>
        <v>8.6098934566127897E-5</v>
      </c>
    </row>
    <row r="25" spans="1:18">
      <c r="A25" s="342" t="s">
        <v>390</v>
      </c>
      <c r="B25" s="333">
        <v>9440</v>
      </c>
      <c r="C25" s="334">
        <v>5.7869862818035767</v>
      </c>
      <c r="D25" s="343">
        <v>95.4</v>
      </c>
      <c r="E25" s="344">
        <v>11.340000000000002</v>
      </c>
      <c r="F25" s="336">
        <v>19</v>
      </c>
      <c r="G25" s="337">
        <v>1.660700757575758</v>
      </c>
      <c r="H25" s="338">
        <f t="shared" si="0"/>
        <v>114.4</v>
      </c>
      <c r="I25" s="345">
        <f t="shared" si="1"/>
        <v>18.787687039379335</v>
      </c>
      <c r="J25" s="340">
        <f t="shared" si="2"/>
        <v>1.9902210846800142E-3</v>
      </c>
      <c r="K25" s="341">
        <v>0.02</v>
      </c>
      <c r="M25" s="455">
        <f t="shared" si="3"/>
        <v>6.1302820781817548E-4</v>
      </c>
      <c r="N25" s="455">
        <f t="shared" si="4"/>
        <v>1.2012711864406781E-3</v>
      </c>
      <c r="O25" s="455">
        <f t="shared" si="5"/>
        <v>1.7592169042116081E-4</v>
      </c>
    </row>
    <row r="26" spans="1:18">
      <c r="A26" s="342" t="s">
        <v>391</v>
      </c>
      <c r="B26" s="333">
        <v>14545</v>
      </c>
      <c r="C26" s="334">
        <v>10.370081067403724</v>
      </c>
      <c r="D26" s="343">
        <v>260.88</v>
      </c>
      <c r="E26" s="344">
        <v>35.931559050531526</v>
      </c>
      <c r="F26" s="336">
        <v>0</v>
      </c>
      <c r="G26" s="337">
        <v>0</v>
      </c>
      <c r="H26" s="338">
        <f t="shared" si="0"/>
        <v>260.88</v>
      </c>
      <c r="I26" s="345">
        <f t="shared" si="1"/>
        <v>46.30164011793525</v>
      </c>
      <c r="J26" s="765">
        <f t="shared" si="2"/>
        <v>3.1833372373967169E-3</v>
      </c>
      <c r="K26" s="341">
        <v>0.02</v>
      </c>
      <c r="M26" s="455">
        <f t="shared" si="3"/>
        <v>7.1296535355130453E-4</v>
      </c>
      <c r="N26" s="455">
        <f t="shared" si="4"/>
        <v>2.4703718838454125E-3</v>
      </c>
      <c r="O26" s="455">
        <f t="shared" si="5"/>
        <v>0</v>
      </c>
    </row>
    <row r="27" spans="1:18">
      <c r="A27" s="342" t="s">
        <v>392</v>
      </c>
      <c r="B27" s="333">
        <v>13654</v>
      </c>
      <c r="C27" s="334">
        <v>8.1678664416941356</v>
      </c>
      <c r="D27" s="343">
        <v>251.05599999999998</v>
      </c>
      <c r="E27" s="344">
        <v>28.082897801077618</v>
      </c>
      <c r="F27" s="336">
        <v>24</v>
      </c>
      <c r="G27" s="337">
        <v>1.7653846153846153</v>
      </c>
      <c r="H27" s="338">
        <f t="shared" si="0"/>
        <v>275.05599999999998</v>
      </c>
      <c r="I27" s="345">
        <f t="shared" si="1"/>
        <v>38.01614885815637</v>
      </c>
      <c r="J27" s="765">
        <f t="shared" si="2"/>
        <v>2.784249952992264E-3</v>
      </c>
      <c r="K27" s="341">
        <v>0.02</v>
      </c>
      <c r="M27" s="455">
        <f t="shared" si="3"/>
        <v>5.9820319625707749E-4</v>
      </c>
      <c r="N27" s="455">
        <f t="shared" si="4"/>
        <v>2.0567524389246829E-3</v>
      </c>
      <c r="O27" s="455">
        <f t="shared" si="5"/>
        <v>1.2929431781050354E-4</v>
      </c>
    </row>
    <row r="28" spans="1:18">
      <c r="A28" s="342" t="s">
        <v>393</v>
      </c>
      <c r="B28" s="333">
        <v>15111</v>
      </c>
      <c r="C28" s="334">
        <v>7.7904011462395806</v>
      </c>
      <c r="D28" s="343">
        <v>385.06719999999996</v>
      </c>
      <c r="E28" s="344">
        <v>30.059119126256007</v>
      </c>
      <c r="F28" s="336">
        <v>22.387335864985761</v>
      </c>
      <c r="G28" s="337">
        <v>2.0458086095651264</v>
      </c>
      <c r="H28" s="338">
        <f t="shared" si="0"/>
        <v>407.4545358649857</v>
      </c>
      <c r="I28" s="345">
        <f t="shared" si="1"/>
        <v>39.895328882060717</v>
      </c>
      <c r="J28" s="765">
        <f t="shared" si="2"/>
        <v>2.6401514712501304E-3</v>
      </c>
      <c r="K28" s="341">
        <v>0.02</v>
      </c>
      <c r="M28" s="455">
        <f t="shared" si="3"/>
        <v>5.1554504309705388E-4</v>
      </c>
      <c r="N28" s="455">
        <f t="shared" si="4"/>
        <v>1.9892210393922314E-3</v>
      </c>
      <c r="O28" s="455">
        <f t="shared" si="5"/>
        <v>1.3538538876084485E-4</v>
      </c>
    </row>
    <row r="29" spans="1:18">
      <c r="A29" s="342" t="s">
        <v>394</v>
      </c>
      <c r="B29" s="333">
        <v>14699</v>
      </c>
      <c r="C29" s="334">
        <v>23</v>
      </c>
      <c r="D29" s="343">
        <v>166</v>
      </c>
      <c r="E29" s="344">
        <v>18</v>
      </c>
      <c r="F29" s="336">
        <v>11</v>
      </c>
      <c r="G29" s="337">
        <v>1</v>
      </c>
      <c r="H29" s="338">
        <f t="shared" si="0"/>
        <v>177</v>
      </c>
      <c r="I29" s="345">
        <f t="shared" si="1"/>
        <v>42</v>
      </c>
      <c r="J29" s="765">
        <f t="shared" si="2"/>
        <v>2.8573372338254301E-3</v>
      </c>
      <c r="K29" s="341">
        <v>0.02</v>
      </c>
      <c r="M29" s="455">
        <f t="shared" si="3"/>
        <v>1.5647322947139261E-3</v>
      </c>
      <c r="N29" s="455">
        <f t="shared" si="4"/>
        <v>1.2245731002108987E-3</v>
      </c>
      <c r="O29" s="455">
        <f t="shared" si="5"/>
        <v>6.8031838900605489E-5</v>
      </c>
    </row>
    <row r="30" spans="1:18">
      <c r="A30" s="342" t="s">
        <v>395</v>
      </c>
      <c r="B30" s="1282">
        <v>25396</v>
      </c>
      <c r="C30" s="1283">
        <v>21</v>
      </c>
      <c r="D30" s="335">
        <v>438</v>
      </c>
      <c r="E30" s="335">
        <v>35</v>
      </c>
      <c r="F30" s="1284">
        <v>60</v>
      </c>
      <c r="G30" s="1284">
        <v>7</v>
      </c>
      <c r="H30" s="338">
        <f t="shared" si="0"/>
        <v>498</v>
      </c>
      <c r="I30" s="339">
        <f t="shared" si="1"/>
        <v>63</v>
      </c>
      <c r="J30" s="1285">
        <f t="shared" si="2"/>
        <v>2.4807056229327455E-3</v>
      </c>
      <c r="K30" s="341">
        <v>0.02</v>
      </c>
      <c r="M30" s="455">
        <f t="shared" si="3"/>
        <v>8.2690187431091512E-4</v>
      </c>
      <c r="N30" s="455">
        <f t="shared" si="4"/>
        <v>1.3781697905181918E-3</v>
      </c>
      <c r="O30" s="455">
        <f t="shared" si="5"/>
        <v>2.7563395810363837E-4</v>
      </c>
    </row>
    <row r="31" spans="1:18">
      <c r="A31" s="342" t="s">
        <v>396</v>
      </c>
      <c r="B31" s="1582"/>
      <c r="C31" s="1587"/>
      <c r="D31" s="335">
        <v>357</v>
      </c>
      <c r="E31" s="335">
        <v>25</v>
      </c>
      <c r="F31" s="1284">
        <v>24</v>
      </c>
      <c r="G31" s="1284">
        <v>3</v>
      </c>
      <c r="H31" s="338">
        <f t="shared" si="0"/>
        <v>381</v>
      </c>
      <c r="I31" s="339">
        <f t="shared" si="1"/>
        <v>28</v>
      </c>
      <c r="J31" s="1285" t="e">
        <f t="shared" ref="J31" si="6">I31/B31</f>
        <v>#DIV/0!</v>
      </c>
      <c r="K31" s="341">
        <v>0.02</v>
      </c>
      <c r="M31" s="455"/>
      <c r="N31" s="455"/>
      <c r="O31" s="455"/>
    </row>
    <row r="32" spans="1:18" ht="12.75" customHeight="1"/>
    <row r="33" spans="1:18" ht="24" customHeight="1">
      <c r="A33" s="47" t="s">
        <v>397</v>
      </c>
      <c r="B33" s="346">
        <f>AVERAGE(B25:B29)</f>
        <v>13489.8</v>
      </c>
      <c r="C33" s="349">
        <f>B26/B33</f>
        <v>1.0782220640780442</v>
      </c>
    </row>
    <row r="34" spans="1:18" ht="24.75" customHeight="1">
      <c r="A34" s="47" t="s">
        <v>63</v>
      </c>
      <c r="B34" s="346">
        <f>AVERAGE(B20:B29)</f>
        <v>14564.4</v>
      </c>
    </row>
    <row r="35" spans="1:18" ht="36.75" customHeight="1">
      <c r="A35" s="47" t="s">
        <v>58</v>
      </c>
      <c r="B35" s="149">
        <f>MIN(B20:B29)</f>
        <v>9440</v>
      </c>
    </row>
    <row r="36" spans="1:18" ht="12.75" customHeight="1">
      <c r="A36" s="47" t="s">
        <v>59</v>
      </c>
      <c r="B36" s="149">
        <f>MAX(B20:B29)</f>
        <v>22379</v>
      </c>
    </row>
    <row r="37" spans="1:18" ht="12.75" customHeight="1">
      <c r="B37" s="149"/>
    </row>
    <row r="38" spans="1:18" ht="12.75" customHeight="1">
      <c r="A38" s="47" t="s">
        <v>398</v>
      </c>
      <c r="B38" s="149">
        <v>14400</v>
      </c>
    </row>
    <row r="39" spans="1:18" ht="12.75" customHeight="1">
      <c r="A39" s="47" t="s">
        <v>399</v>
      </c>
      <c r="B39" s="349">
        <f>B30/B38</f>
        <v>1.763611111111111</v>
      </c>
      <c r="C39" s="47" t="s">
        <v>251</v>
      </c>
    </row>
    <row r="40" spans="1:18" ht="12.75" customHeight="1">
      <c r="B40" s="149"/>
    </row>
    <row r="41" spans="1:18" ht="12.75" customHeight="1"/>
    <row r="42" spans="1:18" ht="12.75" customHeight="1">
      <c r="A42" s="347" t="s">
        <v>400</v>
      </c>
      <c r="B42" s="394">
        <v>17400</v>
      </c>
    </row>
    <row r="43" spans="1:18">
      <c r="A43" s="47" t="s">
        <v>66</v>
      </c>
      <c r="B43" s="149">
        <f>AVERAGE(B21:B30)</f>
        <v>15611.2</v>
      </c>
      <c r="H43" s="348"/>
    </row>
    <row r="44" spans="1:18">
      <c r="A44" s="47" t="s">
        <v>67</v>
      </c>
      <c r="B44" s="349">
        <f>B42/B43</f>
        <v>1.1145844009429127</v>
      </c>
      <c r="C44" s="47" t="s">
        <v>68</v>
      </c>
    </row>
    <row r="45" spans="1:18">
      <c r="A45" s="47" t="s">
        <v>67</v>
      </c>
      <c r="B45" s="349">
        <f>B42/B28</f>
        <v>1.1514790549930514</v>
      </c>
      <c r="C45" s="47" t="s">
        <v>69</v>
      </c>
    </row>
    <row r="47" spans="1:18">
      <c r="R47" s="149"/>
    </row>
    <row r="61" spans="18:18">
      <c r="R61" s="149"/>
    </row>
    <row r="68" spans="18:18">
      <c r="R68" s="149"/>
    </row>
    <row r="75" spans="18:18">
      <c r="R75" s="149"/>
    </row>
    <row r="82" spans="18:18">
      <c r="R82" s="149"/>
    </row>
    <row r="89" spans="18:18">
      <c r="R89" s="149"/>
    </row>
    <row r="96" spans="18:18">
      <c r="R96" s="149"/>
    </row>
    <row r="103" spans="18:18">
      <c r="R103" s="149"/>
    </row>
    <row r="104" spans="18:18">
      <c r="R104" s="149"/>
    </row>
    <row r="105" spans="18:18">
      <c r="R105" s="149"/>
    </row>
    <row r="112" spans="18:18">
      <c r="R112" s="149"/>
    </row>
    <row r="119" spans="18:18">
      <c r="R119" s="149"/>
    </row>
    <row r="120" spans="18:18">
      <c r="R120" s="149"/>
    </row>
    <row r="121" spans="18:18">
      <c r="R121" s="149"/>
    </row>
    <row r="128" spans="18:18">
      <c r="R128" s="149"/>
    </row>
    <row r="135" spans="18:18">
      <c r="R135" s="149"/>
    </row>
    <row r="136" spans="18:18">
      <c r="R136" s="149"/>
    </row>
    <row r="137" spans="18:18">
      <c r="R137" s="149"/>
    </row>
    <row r="142" spans="18:18">
      <c r="R142" s="149"/>
    </row>
    <row r="144" spans="18:18">
      <c r="R144" s="149"/>
    </row>
    <row r="151" spans="18:18">
      <c r="R151" s="149"/>
    </row>
    <row r="153" spans="18:18">
      <c r="R153" s="149"/>
    </row>
    <row r="157" spans="18:18">
      <c r="R157" s="149"/>
    </row>
    <row r="158" spans="18:18">
      <c r="R158" s="149"/>
    </row>
    <row r="160" spans="18:18">
      <c r="R160" s="149"/>
    </row>
    <row r="167" spans="18:18">
      <c r="R167" s="149"/>
    </row>
    <row r="168" spans="18:18">
      <c r="R168" s="149"/>
    </row>
    <row r="169" spans="18:18">
      <c r="R169" s="149"/>
    </row>
    <row r="173" spans="18:18">
      <c r="R173" s="149"/>
    </row>
    <row r="174" spans="18:18">
      <c r="R174" s="149"/>
    </row>
    <row r="176" spans="18:18">
      <c r="R176" s="149"/>
    </row>
    <row r="183" spans="18:18">
      <c r="R183" s="149"/>
    </row>
    <row r="184" spans="18:18">
      <c r="R184" s="149"/>
    </row>
    <row r="185" spans="18:18">
      <c r="R185" s="149"/>
    </row>
    <row r="192" spans="18:18">
      <c r="R192" s="149"/>
    </row>
    <row r="199" spans="18:18">
      <c r="R199" s="149"/>
    </row>
    <row r="200" spans="18:18">
      <c r="R200" s="149"/>
    </row>
    <row r="201" spans="18:18">
      <c r="R201" s="149"/>
    </row>
    <row r="205" spans="18:18">
      <c r="R205" s="149"/>
    </row>
    <row r="208" spans="18:18">
      <c r="R208" s="149"/>
    </row>
    <row r="215" spans="18:18">
      <c r="R215" s="149"/>
    </row>
    <row r="216" spans="18:18">
      <c r="R216" s="149"/>
    </row>
    <row r="217" spans="18:18">
      <c r="R217" s="149"/>
    </row>
    <row r="224" spans="18:18">
      <c r="R224" s="149"/>
    </row>
    <row r="231" spans="18:18">
      <c r="R231" s="149"/>
    </row>
    <row r="232" spans="18:18">
      <c r="R232" s="149"/>
    </row>
    <row r="233" spans="18:18">
      <c r="R233" s="149"/>
    </row>
    <row r="240" spans="18:18">
      <c r="R240" s="149"/>
    </row>
    <row r="247" spans="18:18">
      <c r="R247" s="149"/>
    </row>
    <row r="248" spans="18:18">
      <c r="R248" s="149"/>
    </row>
    <row r="249" spans="18:18">
      <c r="R249" s="149"/>
    </row>
    <row r="256" spans="18:18">
      <c r="R256" s="149"/>
    </row>
    <row r="263" spans="18:18">
      <c r="R263" s="149"/>
    </row>
    <row r="264" spans="18:18">
      <c r="R264" s="149"/>
    </row>
    <row r="265" spans="18:18">
      <c r="R265" s="149"/>
    </row>
    <row r="272" spans="18:18">
      <c r="R272" s="149"/>
    </row>
    <row r="279" spans="18:18">
      <c r="R279" s="149"/>
    </row>
    <row r="280" spans="18:18">
      <c r="R280" s="149"/>
    </row>
    <row r="281" spans="18:18">
      <c r="R281" s="149"/>
    </row>
    <row r="295" spans="18:18">
      <c r="R295" s="149"/>
    </row>
    <row r="296" spans="18:18">
      <c r="R296" s="149"/>
    </row>
    <row r="297" spans="18:18">
      <c r="R297" s="149"/>
    </row>
    <row r="301" spans="18:18">
      <c r="R301" s="149"/>
    </row>
    <row r="302" spans="18:18">
      <c r="R302" s="149"/>
    </row>
    <row r="303" spans="18:18">
      <c r="R303" s="149"/>
    </row>
    <row r="304" spans="18:18">
      <c r="R304" s="149"/>
    </row>
    <row r="311" spans="18:18">
      <c r="R311" s="149"/>
    </row>
    <row r="312" spans="18:18">
      <c r="R312" s="149"/>
    </row>
    <row r="313" spans="18:18">
      <c r="R313" s="149"/>
    </row>
    <row r="317" spans="18:18">
      <c r="R317" s="149"/>
    </row>
    <row r="318" spans="18:18">
      <c r="R318" s="149"/>
    </row>
    <row r="319" spans="18:18">
      <c r="R319" s="149"/>
    </row>
    <row r="320" spans="18:18">
      <c r="R320" s="149"/>
    </row>
    <row r="327" spans="18:18">
      <c r="R327" s="149"/>
    </row>
    <row r="328" spans="18:18">
      <c r="R328" s="149"/>
    </row>
    <row r="329" spans="18:18">
      <c r="R329" s="149"/>
    </row>
    <row r="330" spans="18:18">
      <c r="R330" s="149"/>
    </row>
    <row r="332" spans="18:18">
      <c r="R332" s="149"/>
    </row>
    <row r="333" spans="18:18">
      <c r="R333" s="149"/>
    </row>
    <row r="334" spans="18:18">
      <c r="R334" s="149"/>
    </row>
    <row r="335" spans="18:18">
      <c r="R335" s="149"/>
    </row>
    <row r="336" spans="18:18">
      <c r="R336" s="149"/>
    </row>
    <row r="343" spans="18:18">
      <c r="R343" s="149"/>
    </row>
    <row r="344" spans="18:18">
      <c r="R344" s="149"/>
    </row>
    <row r="345" spans="18:18">
      <c r="R345" s="149"/>
    </row>
    <row r="346" spans="18:18">
      <c r="R346" s="149"/>
    </row>
    <row r="348" spans="18:18">
      <c r="R348" s="149"/>
    </row>
    <row r="349" spans="18:18">
      <c r="R349" s="149"/>
    </row>
    <row r="350" spans="18:18">
      <c r="R350" s="149"/>
    </row>
    <row r="351" spans="18:18">
      <c r="R351" s="149"/>
    </row>
    <row r="352" spans="18:18">
      <c r="R352" s="149"/>
    </row>
    <row r="359" spans="18:18">
      <c r="R359" s="149"/>
    </row>
    <row r="360" spans="18:18">
      <c r="R360" s="149"/>
    </row>
    <row r="361" spans="18:18">
      <c r="R361" s="149"/>
    </row>
    <row r="362" spans="18:18">
      <c r="R362" s="149"/>
    </row>
    <row r="364" spans="18:18">
      <c r="R364" s="149"/>
    </row>
    <row r="365" spans="18:18">
      <c r="R365" s="149"/>
    </row>
    <row r="366" spans="18:18">
      <c r="R366" s="149"/>
    </row>
    <row r="367" spans="18:18">
      <c r="R367" s="149"/>
    </row>
    <row r="368" spans="18:18">
      <c r="R368" s="149"/>
    </row>
    <row r="375" spans="18:18">
      <c r="R375" s="149"/>
    </row>
    <row r="377" spans="18:18">
      <c r="R377" s="149"/>
    </row>
    <row r="378" spans="18:18">
      <c r="R378" s="149"/>
    </row>
    <row r="380" spans="18:18">
      <c r="R380" s="149"/>
    </row>
    <row r="381" spans="18:18">
      <c r="R381" s="149"/>
    </row>
    <row r="382" spans="18:18">
      <c r="R382" s="149"/>
    </row>
    <row r="383" spans="18:18">
      <c r="R383" s="149"/>
    </row>
    <row r="384" spans="18:18">
      <c r="R384" s="149"/>
    </row>
    <row r="391" spans="18:18">
      <c r="R391" s="149"/>
    </row>
    <row r="393" spans="18:18">
      <c r="R393" s="149"/>
    </row>
    <row r="394" spans="18:18">
      <c r="R394" s="149"/>
    </row>
    <row r="396" spans="18:18">
      <c r="R396" s="149"/>
    </row>
    <row r="397" spans="18:18">
      <c r="R397" s="149"/>
    </row>
    <row r="398" spans="18:18">
      <c r="R398" s="149"/>
    </row>
    <row r="399" spans="18:18">
      <c r="R399" s="149"/>
    </row>
    <row r="400" spans="18:18">
      <c r="R400" s="149"/>
    </row>
    <row r="401" spans="18:18">
      <c r="R401" s="149"/>
    </row>
    <row r="402" spans="18:18">
      <c r="R402" s="149"/>
    </row>
    <row r="403" spans="18:18">
      <c r="R403" s="149"/>
    </row>
    <row r="404" spans="18:18">
      <c r="R404" s="149"/>
    </row>
    <row r="407" spans="18:18">
      <c r="R407" s="149"/>
    </row>
    <row r="409" spans="18:18">
      <c r="R409" s="149"/>
    </row>
    <row r="410" spans="18:18">
      <c r="R410" s="149"/>
    </row>
    <row r="412" spans="18:18">
      <c r="R412" s="149"/>
    </row>
    <row r="413" spans="18:18">
      <c r="R413" s="149"/>
    </row>
    <row r="414" spans="18:18">
      <c r="R414" s="149"/>
    </row>
    <row r="415" spans="18:18">
      <c r="R415" s="149"/>
    </row>
    <row r="416" spans="18:18">
      <c r="R416" s="149"/>
    </row>
    <row r="417" spans="18:18">
      <c r="R417" s="149"/>
    </row>
    <row r="418" spans="18:18">
      <c r="R418" s="149"/>
    </row>
    <row r="423" spans="18:18">
      <c r="R423" s="149"/>
    </row>
    <row r="424" spans="18:18">
      <c r="R424" s="149"/>
    </row>
    <row r="425" spans="18:18">
      <c r="R425" s="149"/>
    </row>
    <row r="426" spans="18:18">
      <c r="R426" s="149"/>
    </row>
    <row r="428" spans="18:18">
      <c r="R428" s="149"/>
    </row>
    <row r="429" spans="18:18">
      <c r="R429" s="149"/>
    </row>
    <row r="430" spans="18:18">
      <c r="R430" s="149"/>
    </row>
    <row r="431" spans="18:18">
      <c r="R431" s="149"/>
    </row>
    <row r="432" spans="18:18">
      <c r="R432" s="149"/>
    </row>
    <row r="433" spans="18:18">
      <c r="R433" s="149"/>
    </row>
    <row r="434" spans="18:18">
      <c r="R434" s="149"/>
    </row>
    <row r="435" spans="18:18">
      <c r="R435" s="149"/>
    </row>
    <row r="439" spans="18:18">
      <c r="R439" s="149"/>
    </row>
    <row r="441" spans="18:18">
      <c r="R441" s="149"/>
    </row>
    <row r="442" spans="18:18">
      <c r="R442" s="149"/>
    </row>
    <row r="444" spans="18:18">
      <c r="R444" s="149"/>
    </row>
    <row r="445" spans="18:18">
      <c r="R445" s="149"/>
    </row>
    <row r="446" spans="18:18">
      <c r="R446" s="149"/>
    </row>
    <row r="447" spans="18:18">
      <c r="R447" s="149"/>
    </row>
    <row r="448" spans="18:18">
      <c r="R448" s="149"/>
    </row>
    <row r="449" spans="18:18">
      <c r="R449" s="149"/>
    </row>
    <row r="450" spans="18:18">
      <c r="R450" s="149"/>
    </row>
    <row r="451" spans="18:18">
      <c r="R451" s="149"/>
    </row>
    <row r="455" spans="18:18">
      <c r="R455" s="149"/>
    </row>
    <row r="456" spans="18:18">
      <c r="R456" s="149"/>
    </row>
    <row r="457" spans="18:18">
      <c r="R457" s="149"/>
    </row>
    <row r="458" spans="18:18">
      <c r="R458" s="149"/>
    </row>
    <row r="460" spans="18:18">
      <c r="R460" s="149"/>
    </row>
    <row r="461" spans="18:18">
      <c r="R461" s="149"/>
    </row>
    <row r="462" spans="18:18">
      <c r="R462" s="149"/>
    </row>
    <row r="463" spans="18:18">
      <c r="R463" s="149"/>
    </row>
    <row r="464" spans="18:18">
      <c r="R464" s="149"/>
    </row>
    <row r="465" spans="18:18">
      <c r="R465" s="149"/>
    </row>
    <row r="466" spans="18:18">
      <c r="R466" s="149"/>
    </row>
    <row r="467" spans="18:18">
      <c r="R467" s="149"/>
    </row>
    <row r="471" spans="18:18">
      <c r="R471" s="149"/>
    </row>
    <row r="472" spans="18:18">
      <c r="R472" s="149"/>
    </row>
    <row r="473" spans="18:18">
      <c r="R473" s="149"/>
    </row>
    <row r="474" spans="18:18">
      <c r="R474" s="149"/>
    </row>
    <row r="476" spans="18:18">
      <c r="R476" s="149"/>
    </row>
    <row r="477" spans="18:18">
      <c r="R477" s="149"/>
    </row>
    <row r="478" spans="18:18">
      <c r="R478" s="149"/>
    </row>
    <row r="479" spans="18:18">
      <c r="R479" s="149"/>
    </row>
    <row r="480" spans="18:18">
      <c r="R480" s="149"/>
    </row>
    <row r="481" spans="18:18">
      <c r="R481" s="149"/>
    </row>
    <row r="482" spans="18:18">
      <c r="R482" s="149"/>
    </row>
    <row r="483" spans="18:18">
      <c r="R483" s="149"/>
    </row>
    <row r="487" spans="18:18">
      <c r="R487" s="149"/>
    </row>
    <row r="488" spans="18:18">
      <c r="R488" s="149"/>
    </row>
    <row r="489" spans="18:18">
      <c r="R489" s="149"/>
    </row>
    <row r="490" spans="18:18">
      <c r="R490" s="149"/>
    </row>
    <row r="492" spans="18:18">
      <c r="R492" s="149"/>
    </row>
    <row r="493" spans="18:18">
      <c r="R493" s="149"/>
    </row>
    <row r="494" spans="18:18">
      <c r="R494" s="149"/>
    </row>
    <row r="495" spans="18:18">
      <c r="R495" s="149"/>
    </row>
    <row r="496" spans="18:18">
      <c r="R496" s="149"/>
    </row>
    <row r="497" spans="18:18">
      <c r="R497" s="149"/>
    </row>
    <row r="498" spans="18:18">
      <c r="R498" s="149"/>
    </row>
    <row r="499" spans="18:18">
      <c r="R499" s="149"/>
    </row>
    <row r="503" spans="18:18">
      <c r="R503" s="149"/>
    </row>
    <row r="504" spans="18:18">
      <c r="R504" s="149"/>
    </row>
    <row r="505" spans="18:18">
      <c r="R505" s="149"/>
    </row>
    <row r="506" spans="18:18">
      <c r="R506" s="149"/>
    </row>
    <row r="508" spans="18:18">
      <c r="R508" s="149"/>
    </row>
    <row r="509" spans="18:18">
      <c r="R509" s="149"/>
    </row>
    <row r="510" spans="18:18">
      <c r="R510" s="149"/>
    </row>
    <row r="511" spans="18:18">
      <c r="R511" s="149"/>
    </row>
    <row r="512" spans="18:18">
      <c r="R512" s="149"/>
    </row>
    <row r="513" spans="18:18">
      <c r="R513" s="149"/>
    </row>
    <row r="514" spans="18:18">
      <c r="R514" s="149"/>
    </row>
    <row r="515" spans="18:18">
      <c r="R515" s="149"/>
    </row>
    <row r="519" spans="18:18">
      <c r="R519" s="149"/>
    </row>
    <row r="520" spans="18:18">
      <c r="R520" s="149"/>
    </row>
    <row r="521" spans="18:18">
      <c r="R521" s="149"/>
    </row>
    <row r="522" spans="18:18">
      <c r="R522" s="149"/>
    </row>
    <row r="524" spans="18:18">
      <c r="R524" s="149"/>
    </row>
    <row r="525" spans="18:18">
      <c r="R525" s="149"/>
    </row>
    <row r="526" spans="18:18">
      <c r="R526" s="149"/>
    </row>
    <row r="527" spans="18:18">
      <c r="R527" s="149"/>
    </row>
    <row r="528" spans="18:18">
      <c r="R528" s="149"/>
    </row>
    <row r="529" spans="18:18">
      <c r="R529" s="149"/>
    </row>
    <row r="530" spans="18:18">
      <c r="R530" s="149"/>
    </row>
    <row r="531" spans="18:18">
      <c r="R531" s="149"/>
    </row>
    <row r="535" spans="18:18">
      <c r="R535" s="149"/>
    </row>
    <row r="537" spans="18:18">
      <c r="R537" s="149"/>
    </row>
    <row r="538" spans="18:18">
      <c r="R538" s="149"/>
    </row>
    <row r="540" spans="18:18">
      <c r="R540" s="149"/>
    </row>
    <row r="541" spans="18:18">
      <c r="R541" s="149"/>
    </row>
    <row r="542" spans="18:18">
      <c r="R542" s="149"/>
    </row>
    <row r="543" spans="18:18">
      <c r="R543" s="149"/>
    </row>
    <row r="544" spans="18:18">
      <c r="R544" s="149"/>
    </row>
    <row r="545" spans="18:18">
      <c r="R545" s="149"/>
    </row>
    <row r="546" spans="18:18">
      <c r="R546" s="149"/>
    </row>
    <row r="547" spans="18:18">
      <c r="R547" s="149"/>
    </row>
    <row r="548" spans="18:18">
      <c r="R548" s="149"/>
    </row>
    <row r="551" spans="18:18">
      <c r="R551" s="149"/>
    </row>
    <row r="552" spans="18:18">
      <c r="R552" s="149"/>
    </row>
    <row r="553" spans="18:18">
      <c r="R553" s="149"/>
    </row>
    <row r="554" spans="18:18">
      <c r="R554" s="149"/>
    </row>
    <row r="555" spans="18:18">
      <c r="R555" s="149"/>
    </row>
    <row r="556" spans="18:18">
      <c r="R556" s="149"/>
    </row>
    <row r="557" spans="18:18">
      <c r="R557" s="149"/>
    </row>
    <row r="558" spans="18:18">
      <c r="R558" s="149"/>
    </row>
    <row r="559" spans="18:18">
      <c r="R559" s="149"/>
    </row>
    <row r="560" spans="18:18">
      <c r="R560" s="149"/>
    </row>
    <row r="561" spans="18:18">
      <c r="R561" s="149"/>
    </row>
    <row r="562" spans="18:18">
      <c r="R562" s="149"/>
    </row>
    <row r="563" spans="18:18">
      <c r="R563" s="149"/>
    </row>
    <row r="564" spans="18:18">
      <c r="R564" s="149"/>
    </row>
    <row r="567" spans="18:18">
      <c r="R567" s="149"/>
    </row>
    <row r="568" spans="18:18">
      <c r="R568" s="149"/>
    </row>
    <row r="569" spans="18:18">
      <c r="R569" s="149"/>
    </row>
    <row r="570" spans="18:18">
      <c r="R570" s="149"/>
    </row>
    <row r="571" spans="18:18">
      <c r="R571" s="149"/>
    </row>
    <row r="572" spans="18:18">
      <c r="R572" s="149"/>
    </row>
    <row r="573" spans="18:18">
      <c r="R573" s="149"/>
    </row>
    <row r="574" spans="18:18">
      <c r="R574" s="149"/>
    </row>
    <row r="575" spans="18:18">
      <c r="R575" s="149"/>
    </row>
    <row r="576" spans="18:18">
      <c r="R576" s="149"/>
    </row>
    <row r="577" spans="18:18">
      <c r="R577" s="149"/>
    </row>
    <row r="578" spans="18:18">
      <c r="R578" s="149"/>
    </row>
    <row r="579" spans="18:18">
      <c r="R579" s="149"/>
    </row>
    <row r="583" spans="18:18">
      <c r="R583" s="149"/>
    </row>
    <row r="584" spans="18:18">
      <c r="R584" s="149"/>
    </row>
    <row r="585" spans="18:18">
      <c r="R585" s="149"/>
    </row>
    <row r="586" spans="18:18">
      <c r="R586" s="149"/>
    </row>
    <row r="588" spans="18:18">
      <c r="R588" s="149"/>
    </row>
    <row r="590" spans="18:18">
      <c r="R590" s="149"/>
    </row>
    <row r="591" spans="18:18">
      <c r="R591" s="149"/>
    </row>
    <row r="592" spans="18:18">
      <c r="R592" s="149"/>
    </row>
    <row r="593" spans="18:18">
      <c r="R593" s="149"/>
    </row>
    <row r="594" spans="18:18">
      <c r="R594" s="149"/>
    </row>
    <row r="595" spans="18:18">
      <c r="R595" s="149"/>
    </row>
    <row r="599" spans="18:18">
      <c r="R599" s="149"/>
    </row>
    <row r="600" spans="18:18">
      <c r="R600" s="149"/>
    </row>
    <row r="601" spans="18:18">
      <c r="R601" s="149"/>
    </row>
    <row r="602" spans="18:18">
      <c r="R602" s="149"/>
    </row>
    <row r="603" spans="18:18">
      <c r="R603" s="149"/>
    </row>
    <row r="604" spans="18:18">
      <c r="R604" s="149"/>
    </row>
    <row r="605" spans="18:18">
      <c r="R605" s="149"/>
    </row>
    <row r="606" spans="18:18">
      <c r="R606" s="149"/>
    </row>
    <row r="607" spans="18:18">
      <c r="R607" s="149"/>
    </row>
    <row r="608" spans="18:18">
      <c r="R608" s="149"/>
    </row>
    <row r="609" spans="18:18">
      <c r="R609" s="149"/>
    </row>
    <row r="610" spans="18:18">
      <c r="R610" s="149"/>
    </row>
    <row r="611" spans="18:18">
      <c r="R611" s="149"/>
    </row>
    <row r="615" spans="18:18">
      <c r="R615" s="149"/>
    </row>
    <row r="616" spans="18:18">
      <c r="R616" s="149"/>
    </row>
    <row r="617" spans="18:18">
      <c r="R617" s="149"/>
    </row>
    <row r="618" spans="18:18">
      <c r="R618" s="149"/>
    </row>
    <row r="619" spans="18:18">
      <c r="R619" s="149"/>
    </row>
    <row r="620" spans="18:18">
      <c r="R620" s="149"/>
    </row>
    <row r="621" spans="18:18">
      <c r="R621" s="149"/>
    </row>
    <row r="622" spans="18:18">
      <c r="R622" s="149"/>
    </row>
    <row r="623" spans="18:18">
      <c r="R623" s="149"/>
    </row>
    <row r="624" spans="18:18">
      <c r="R624" s="149"/>
    </row>
    <row r="625" spans="18:18">
      <c r="R625" s="149"/>
    </row>
    <row r="626" spans="18:18">
      <c r="R626" s="149"/>
    </row>
    <row r="627" spans="18:18">
      <c r="R627" s="149"/>
    </row>
    <row r="628" spans="18:18">
      <c r="R628" s="149"/>
    </row>
    <row r="632" spans="18:18">
      <c r="R632" s="149"/>
    </row>
    <row r="633" spans="18:18">
      <c r="R633" s="149"/>
    </row>
    <row r="634" spans="18:18">
      <c r="R634" s="149"/>
    </row>
    <row r="635" spans="18:18">
      <c r="R635" s="149"/>
    </row>
    <row r="636" spans="18:18">
      <c r="R636" s="149"/>
    </row>
    <row r="638" spans="18:18">
      <c r="R638" s="149"/>
    </row>
    <row r="639" spans="18:18">
      <c r="R639" s="149"/>
    </row>
    <row r="640" spans="18:18">
      <c r="R640" s="149"/>
    </row>
    <row r="641" spans="18:18">
      <c r="R641" s="149"/>
    </row>
    <row r="642" spans="18:18">
      <c r="R642" s="149"/>
    </row>
    <row r="643" spans="18:18">
      <c r="R643" s="149"/>
    </row>
    <row r="644" spans="18:18">
      <c r="R644" s="149"/>
    </row>
    <row r="645" spans="18:18">
      <c r="R645" s="149"/>
    </row>
    <row r="649" spans="18:18">
      <c r="R649" s="149"/>
    </row>
    <row r="650" spans="18:18">
      <c r="R650" s="149"/>
    </row>
    <row r="651" spans="18:18">
      <c r="R651" s="149"/>
    </row>
    <row r="652" spans="18:18">
      <c r="R652" s="149"/>
    </row>
    <row r="653" spans="18:18">
      <c r="R653" s="149"/>
    </row>
    <row r="655" spans="18:18">
      <c r="R655" s="149"/>
    </row>
    <row r="656" spans="18:18">
      <c r="R656" s="149"/>
    </row>
    <row r="657" spans="18:18">
      <c r="R657" s="149"/>
    </row>
    <row r="658" spans="18:18">
      <c r="R658" s="149"/>
    </row>
    <row r="659" spans="18:18">
      <c r="R659" s="149"/>
    </row>
    <row r="660" spans="18:18">
      <c r="R660" s="149"/>
    </row>
    <row r="661" spans="18:18">
      <c r="R661" s="149"/>
    </row>
    <row r="662" spans="18:18">
      <c r="R662" s="149"/>
    </row>
    <row r="666" spans="18:18">
      <c r="R666" s="149"/>
    </row>
    <row r="667" spans="18:18">
      <c r="R667" s="149"/>
    </row>
    <row r="668" spans="18:18">
      <c r="R668" s="149"/>
    </row>
    <row r="669" spans="18:18">
      <c r="R669" s="149"/>
    </row>
    <row r="670" spans="18:18">
      <c r="R670" s="149"/>
    </row>
    <row r="672" spans="18:18">
      <c r="R672" s="149"/>
    </row>
    <row r="673" spans="18:18">
      <c r="R673" s="149"/>
    </row>
    <row r="674" spans="18:18">
      <c r="R674" s="149"/>
    </row>
    <row r="675" spans="18:18">
      <c r="R675" s="149"/>
    </row>
    <row r="676" spans="18:18">
      <c r="R676" s="149"/>
    </row>
    <row r="677" spans="18:18">
      <c r="R677" s="149"/>
    </row>
    <row r="678" spans="18:18">
      <c r="R678" s="149"/>
    </row>
    <row r="679" spans="18:18">
      <c r="R679" s="149"/>
    </row>
    <row r="683" spans="18:18">
      <c r="R683" s="149"/>
    </row>
    <row r="684" spans="18:18">
      <c r="R684" s="149"/>
    </row>
    <row r="685" spans="18:18">
      <c r="R685" s="149"/>
    </row>
    <row r="686" spans="18:18">
      <c r="R686" s="149"/>
    </row>
    <row r="687" spans="18:18">
      <c r="R687" s="149"/>
    </row>
    <row r="689" spans="18:18">
      <c r="R689" s="149"/>
    </row>
    <row r="690" spans="18:18">
      <c r="R690" s="149"/>
    </row>
    <row r="691" spans="18:18">
      <c r="R691" s="149"/>
    </row>
    <row r="692" spans="18:18">
      <c r="R692" s="149"/>
    </row>
    <row r="693" spans="18:18">
      <c r="R693" s="149"/>
    </row>
    <row r="694" spans="18:18">
      <c r="R694" s="149"/>
    </row>
    <row r="695" spans="18:18">
      <c r="R695" s="149"/>
    </row>
    <row r="696" spans="18:18">
      <c r="R696" s="149"/>
    </row>
    <row r="700" spans="18:18">
      <c r="R700" s="149"/>
    </row>
    <row r="701" spans="18:18">
      <c r="R701" s="149"/>
    </row>
    <row r="702" spans="18:18">
      <c r="R702" s="149"/>
    </row>
    <row r="703" spans="18:18">
      <c r="R703" s="149"/>
    </row>
    <row r="704" spans="18:18">
      <c r="R704" s="149"/>
    </row>
    <row r="706" spans="18:18">
      <c r="R706" s="149"/>
    </row>
    <row r="708" spans="18:18">
      <c r="R708" s="149"/>
    </row>
    <row r="709" spans="18:18">
      <c r="R709" s="149"/>
    </row>
    <row r="710" spans="18:18">
      <c r="R710" s="149"/>
    </row>
    <row r="711" spans="18:18">
      <c r="R711" s="149"/>
    </row>
    <row r="712" spans="18:18">
      <c r="R712" s="149"/>
    </row>
    <row r="713" spans="18:18">
      <c r="R713" s="149"/>
    </row>
    <row r="717" spans="18:18">
      <c r="R717" s="149"/>
    </row>
    <row r="718" spans="18:18">
      <c r="R718" s="149"/>
    </row>
    <row r="719" spans="18:18">
      <c r="R719" s="149"/>
    </row>
    <row r="720" spans="18:18">
      <c r="R720" s="149"/>
    </row>
    <row r="721" spans="18:18">
      <c r="R721" s="149"/>
    </row>
    <row r="722" spans="18:18">
      <c r="R722" s="149"/>
    </row>
    <row r="723" spans="18:18">
      <c r="R723" s="149"/>
    </row>
    <row r="726" spans="18:18">
      <c r="R726" s="149"/>
    </row>
    <row r="727" spans="18:18">
      <c r="R727" s="149"/>
    </row>
    <row r="728" spans="18:18">
      <c r="R728" s="149"/>
    </row>
    <row r="729" spans="18:18">
      <c r="R729" s="149"/>
    </row>
    <row r="730" spans="18:18">
      <c r="R730" s="149"/>
    </row>
    <row r="734" spans="18:18">
      <c r="R734" s="149"/>
    </row>
    <row r="735" spans="18:18">
      <c r="R735" s="149"/>
    </row>
    <row r="737" spans="18:18">
      <c r="R737" s="149"/>
    </row>
    <row r="738" spans="18:18">
      <c r="R738" s="149"/>
    </row>
    <row r="739" spans="18:18">
      <c r="R739" s="149"/>
    </row>
    <row r="740" spans="18:18">
      <c r="R740" s="149"/>
    </row>
    <row r="743" spans="18:18">
      <c r="R743" s="149"/>
    </row>
    <row r="744" spans="18:18">
      <c r="R744" s="149"/>
    </row>
    <row r="745" spans="18:18">
      <c r="R745" s="149"/>
    </row>
    <row r="746" spans="18:18">
      <c r="R746" s="149"/>
    </row>
    <row r="747" spans="18:18">
      <c r="R747" s="149"/>
    </row>
    <row r="751" spans="18:18">
      <c r="R751" s="149"/>
    </row>
    <row r="752" spans="18:18">
      <c r="R752" s="149"/>
    </row>
    <row r="753" spans="18:18">
      <c r="R753" s="149"/>
    </row>
    <row r="754" spans="18:18">
      <c r="R754" s="149"/>
    </row>
    <row r="755" spans="18:18">
      <c r="R755" s="149"/>
    </row>
    <row r="757" spans="18:18">
      <c r="R757" s="149"/>
    </row>
    <row r="762" spans="18:18">
      <c r="R762" s="149"/>
    </row>
    <row r="763" spans="18:18">
      <c r="R763" s="149"/>
    </row>
    <row r="764" spans="18:18">
      <c r="R764" s="149"/>
    </row>
    <row r="768" spans="18:18">
      <c r="R768" s="149"/>
    </row>
    <row r="770" spans="18:18">
      <c r="R770" s="149"/>
    </row>
    <row r="771" spans="18:18">
      <c r="R771" s="149"/>
    </row>
    <row r="772" spans="18:18">
      <c r="R772" s="149"/>
    </row>
    <row r="774" spans="18:18">
      <c r="R774" s="149"/>
    </row>
    <row r="778" spans="18:18">
      <c r="R778" s="149"/>
    </row>
    <row r="779" spans="18:18">
      <c r="R779" s="149"/>
    </row>
    <row r="780" spans="18:18">
      <c r="R780" s="149"/>
    </row>
    <row r="781" spans="18:18">
      <c r="R781" s="149"/>
    </row>
    <row r="785" spans="18:18">
      <c r="R785" s="149"/>
    </row>
    <row r="786" spans="18:18">
      <c r="R786" s="149"/>
    </row>
    <row r="787" spans="18:18">
      <c r="R787" s="149"/>
    </row>
    <row r="788" spans="18:18">
      <c r="R788" s="149"/>
    </row>
    <row r="791" spans="18:18">
      <c r="R791" s="149"/>
    </row>
    <row r="794" spans="18:18">
      <c r="R794" s="149"/>
    </row>
    <row r="795" spans="18:18">
      <c r="R795" s="149"/>
    </row>
    <row r="796" spans="18:18">
      <c r="R796" s="149"/>
    </row>
    <row r="797" spans="18:18">
      <c r="R797" s="149"/>
    </row>
    <row r="798" spans="18:18">
      <c r="R798" s="149"/>
    </row>
    <row r="802" spans="18:18">
      <c r="R802" s="149"/>
    </row>
    <row r="803" spans="18:18">
      <c r="R803" s="149"/>
    </row>
    <row r="804" spans="18:18">
      <c r="R804" s="149"/>
    </row>
    <row r="805" spans="18:18">
      <c r="R805" s="149"/>
    </row>
    <row r="806" spans="18:18">
      <c r="R806" s="149"/>
    </row>
    <row r="808" spans="18:18">
      <c r="R808" s="149"/>
    </row>
    <row r="811" spans="18:18">
      <c r="R811" s="149"/>
    </row>
    <row r="813" spans="18:18">
      <c r="R813" s="149"/>
    </row>
    <row r="814" spans="18:18">
      <c r="R814" s="149"/>
    </row>
    <row r="815" spans="18:18">
      <c r="R815" s="149"/>
    </row>
    <row r="819" spans="18:18">
      <c r="R819" s="149"/>
    </row>
    <row r="821" spans="18:18">
      <c r="R821" s="149"/>
    </row>
    <row r="822" spans="18:18">
      <c r="R822" s="149"/>
    </row>
    <row r="823" spans="18:18">
      <c r="R823" s="149"/>
    </row>
    <row r="825" spans="18:18">
      <c r="R825" s="149"/>
    </row>
    <row r="826" spans="18:18">
      <c r="R826" s="149"/>
    </row>
    <row r="828" spans="18:18">
      <c r="R828" s="149"/>
    </row>
    <row r="830" spans="18:18">
      <c r="R830" s="149"/>
    </row>
    <row r="831" spans="18:18">
      <c r="R831" s="149"/>
    </row>
    <row r="832" spans="18:18">
      <c r="R832" s="149"/>
    </row>
    <row r="836" spans="18:18">
      <c r="R836" s="149"/>
    </row>
    <row r="837" spans="18:18">
      <c r="R837" s="149"/>
    </row>
    <row r="838" spans="18:18">
      <c r="R838" s="149"/>
    </row>
    <row r="839" spans="18:18">
      <c r="R839" s="149"/>
    </row>
    <row r="840" spans="18:18">
      <c r="R840" s="149"/>
    </row>
    <row r="842" spans="18:18">
      <c r="R842" s="149"/>
    </row>
    <row r="847" spans="18:18">
      <c r="R847" s="149"/>
    </row>
    <row r="848" spans="18:18">
      <c r="R848" s="149"/>
    </row>
    <row r="849" spans="18:18">
      <c r="R849" s="149"/>
    </row>
    <row r="853" spans="18:18">
      <c r="R853" s="149"/>
    </row>
    <row r="854" spans="18:18">
      <c r="R854" s="149"/>
    </row>
    <row r="855" spans="18:18">
      <c r="R855" s="149"/>
    </row>
    <row r="856" spans="18:18">
      <c r="R856" s="149"/>
    </row>
    <row r="862" spans="18:18">
      <c r="R862" s="149"/>
    </row>
    <row r="863" spans="18:18">
      <c r="R863" s="149"/>
    </row>
    <row r="864" spans="18:18">
      <c r="R864" s="149"/>
    </row>
    <row r="865" spans="18:18">
      <c r="R865" s="149"/>
    </row>
    <row r="866" spans="18:18">
      <c r="R866" s="149"/>
    </row>
    <row r="870" spans="18:18">
      <c r="R870" s="149"/>
    </row>
    <row r="871" spans="18:18">
      <c r="R871" s="149"/>
    </row>
    <row r="872" spans="18:18">
      <c r="R872" s="149"/>
    </row>
    <row r="873" spans="18:18">
      <c r="R873" s="149"/>
    </row>
    <row r="874" spans="18:18">
      <c r="R874" s="149"/>
    </row>
    <row r="876" spans="18:18">
      <c r="R876" s="149"/>
    </row>
    <row r="877" spans="18:18">
      <c r="R877" s="149"/>
    </row>
    <row r="879" spans="18:18">
      <c r="R879" s="149"/>
    </row>
    <row r="880" spans="18:18">
      <c r="R880" s="149"/>
    </row>
    <row r="881" spans="18:18">
      <c r="R881" s="149"/>
    </row>
    <row r="882" spans="18:18">
      <c r="R882" s="149"/>
    </row>
    <row r="883" spans="18:18">
      <c r="R883" s="149"/>
    </row>
    <row r="887" spans="18:18">
      <c r="R887" s="149"/>
    </row>
    <row r="888" spans="18:18">
      <c r="R888" s="149"/>
    </row>
    <row r="889" spans="18:18">
      <c r="R889" s="149"/>
    </row>
    <row r="890" spans="18:18">
      <c r="R890" s="149"/>
    </row>
    <row r="891" spans="18:18">
      <c r="R891" s="149"/>
    </row>
    <row r="893" spans="18:18">
      <c r="R893" s="149"/>
    </row>
    <row r="894" spans="18:18">
      <c r="R894" s="149"/>
    </row>
    <row r="896" spans="18:18">
      <c r="R896" s="149"/>
    </row>
    <row r="897" spans="18:18">
      <c r="R897" s="149"/>
    </row>
    <row r="898" spans="18:18">
      <c r="R898" s="149"/>
    </row>
    <row r="899" spans="18:18">
      <c r="R899" s="149"/>
    </row>
    <row r="900" spans="18:18">
      <c r="R900" s="149"/>
    </row>
    <row r="904" spans="18:18">
      <c r="R904" s="149"/>
    </row>
    <row r="905" spans="18:18">
      <c r="R905" s="149"/>
    </row>
    <row r="906" spans="18:18">
      <c r="R906" s="149"/>
    </row>
    <row r="907" spans="18:18">
      <c r="R907" s="149"/>
    </row>
    <row r="911" spans="18:18">
      <c r="R911" s="149"/>
    </row>
    <row r="912" spans="18:18">
      <c r="R912" s="149"/>
    </row>
    <row r="913" spans="18:18">
      <c r="R913" s="149"/>
    </row>
    <row r="914" spans="18:18">
      <c r="R914" s="149"/>
    </row>
    <row r="915" spans="18:18">
      <c r="R915" s="149"/>
    </row>
    <row r="916" spans="18:18">
      <c r="R916" s="149"/>
    </row>
    <row r="917" spans="18:18">
      <c r="R917" s="149"/>
    </row>
    <row r="921" spans="18:18">
      <c r="R921" s="149"/>
    </row>
    <row r="922" spans="18:18">
      <c r="R922" s="149"/>
    </row>
    <row r="923" spans="18:18">
      <c r="R923" s="149"/>
    </row>
    <row r="924" spans="18:18">
      <c r="R924" s="149"/>
    </row>
    <row r="928" spans="18:18">
      <c r="R928" s="149"/>
    </row>
    <row r="929" spans="18:18">
      <c r="R929" s="149"/>
    </row>
    <row r="930" spans="18:18">
      <c r="R930" s="149"/>
    </row>
    <row r="931" spans="18:18">
      <c r="R931" s="149"/>
    </row>
    <row r="932" spans="18:18">
      <c r="R932" s="149"/>
    </row>
    <row r="933" spans="18:18">
      <c r="R933" s="149"/>
    </row>
    <row r="934" spans="18:18">
      <c r="R934" s="149"/>
    </row>
    <row r="938" spans="18:18">
      <c r="R938" s="149"/>
    </row>
    <row r="940" spans="18:18">
      <c r="R940" s="149"/>
    </row>
    <row r="941" spans="18:18">
      <c r="R941" s="149"/>
    </row>
    <row r="945" spans="18:18">
      <c r="R945" s="149"/>
    </row>
    <row r="947" spans="18:18">
      <c r="R947" s="149"/>
    </row>
    <row r="948" spans="18:18">
      <c r="R948" s="149"/>
    </row>
    <row r="949" spans="18:18">
      <c r="R949" s="149"/>
    </row>
    <row r="950" spans="18:18">
      <c r="R950" s="149"/>
    </row>
    <row r="951" spans="18:18">
      <c r="R951" s="149"/>
    </row>
    <row r="955" spans="18:18">
      <c r="R955" s="149"/>
    </row>
    <row r="956" spans="18:18">
      <c r="R956" s="149"/>
    </row>
    <row r="958" spans="18:18">
      <c r="R958" s="149"/>
    </row>
    <row r="961" spans="18:18">
      <c r="R961" s="149"/>
    </row>
    <row r="962" spans="18:18">
      <c r="R962" s="149"/>
    </row>
    <row r="964" spans="18:18">
      <c r="R964" s="149"/>
    </row>
    <row r="965" spans="18:18">
      <c r="R965" s="149"/>
    </row>
    <row r="966" spans="18:18">
      <c r="R966" s="149"/>
    </row>
    <row r="967" spans="18:18">
      <c r="R967" s="149"/>
    </row>
    <row r="968" spans="18:18">
      <c r="R968" s="149"/>
    </row>
    <row r="972" spans="18:18">
      <c r="R972" s="149"/>
    </row>
    <row r="975" spans="18:18">
      <c r="R975" s="149"/>
    </row>
    <row r="976" spans="18:18">
      <c r="R976" s="149"/>
    </row>
    <row r="978" spans="18:18">
      <c r="R978" s="149"/>
    </row>
    <row r="979" spans="18:18">
      <c r="R979" s="149"/>
    </row>
    <row r="980" spans="18:18">
      <c r="R980" s="149"/>
    </row>
    <row r="981" spans="18:18">
      <c r="R981" s="149"/>
    </row>
    <row r="982" spans="18:18">
      <c r="R982" s="149"/>
    </row>
    <row r="983" spans="18:18">
      <c r="R983" s="149"/>
    </row>
    <row r="984" spans="18:18">
      <c r="R984" s="149"/>
    </row>
    <row r="985" spans="18:18">
      <c r="R985" s="149"/>
    </row>
    <row r="989" spans="18:18">
      <c r="R989" s="149"/>
    </row>
    <row r="991" spans="18:18">
      <c r="R991" s="149"/>
    </row>
    <row r="992" spans="18:18">
      <c r="R992" s="149"/>
    </row>
    <row r="996" spans="18:18">
      <c r="R996" s="149"/>
    </row>
    <row r="998" spans="18:18">
      <c r="R998" s="149"/>
    </row>
    <row r="999" spans="18:18">
      <c r="R999" s="149"/>
    </row>
    <row r="1000" spans="18:18">
      <c r="R1000" s="149"/>
    </row>
    <row r="1001" spans="18:18">
      <c r="R1001" s="149"/>
    </row>
    <row r="1002" spans="18:18">
      <c r="R1002" s="149"/>
    </row>
    <row r="1006" spans="18:18">
      <c r="R1006" s="149"/>
    </row>
    <row r="1008" spans="18:18">
      <c r="R1008" s="149"/>
    </row>
    <row r="1009" spans="18:18">
      <c r="R1009" s="149"/>
    </row>
    <row r="1010" spans="18:18">
      <c r="R1010" s="149"/>
    </row>
    <row r="1011" spans="18:18">
      <c r="R1011" s="149"/>
    </row>
    <row r="1012" spans="18:18">
      <c r="R1012" s="149"/>
    </row>
    <row r="1013" spans="18:18">
      <c r="R1013" s="149"/>
    </row>
    <row r="1014" spans="18:18">
      <c r="R1014" s="149"/>
    </row>
    <row r="1015" spans="18:18">
      <c r="R1015" s="149"/>
    </row>
    <row r="1016" spans="18:18">
      <c r="R1016" s="149"/>
    </row>
    <row r="1017" spans="18:18">
      <c r="R1017" s="149"/>
    </row>
    <row r="1018" spans="18:18">
      <c r="R1018" s="149"/>
    </row>
    <row r="1019" spans="18:18">
      <c r="R1019" s="149"/>
    </row>
    <row r="1023" spans="18:18">
      <c r="R1023" s="149"/>
    </row>
    <row r="1024" spans="18:18">
      <c r="R1024" s="149"/>
    </row>
    <row r="1025" spans="18:18">
      <c r="R1025" s="149"/>
    </row>
    <row r="1026" spans="18:18">
      <c r="R1026" s="149"/>
    </row>
    <row r="1027" spans="18:18">
      <c r="R1027" s="149"/>
    </row>
    <row r="1029" spans="18:18">
      <c r="R1029" s="149"/>
    </row>
    <row r="1030" spans="18:18">
      <c r="R1030" s="149"/>
    </row>
    <row r="1031" spans="18:18">
      <c r="R1031" s="149"/>
    </row>
    <row r="1032" spans="18:18">
      <c r="R1032" s="149"/>
    </row>
    <row r="1034" spans="18:18">
      <c r="R1034" s="149"/>
    </row>
    <row r="1035" spans="18:18">
      <c r="R1035" s="149"/>
    </row>
    <row r="1036" spans="18:18">
      <c r="R1036" s="149"/>
    </row>
    <row r="1040" spans="18:18">
      <c r="R1040" s="149"/>
    </row>
    <row r="1041" spans="18:18">
      <c r="R1041" s="149"/>
    </row>
    <row r="1042" spans="18:18">
      <c r="R1042" s="149"/>
    </row>
    <row r="1043" spans="18:18">
      <c r="R1043" s="149"/>
    </row>
    <row r="1047" spans="18:18">
      <c r="R1047" s="149"/>
    </row>
    <row r="1048" spans="18:18">
      <c r="R1048" s="149"/>
    </row>
    <row r="1049" spans="18:18">
      <c r="R1049" s="149"/>
    </row>
    <row r="1050" spans="18:18">
      <c r="R1050" s="149"/>
    </row>
    <row r="1051" spans="18:18">
      <c r="R1051" s="149"/>
    </row>
    <row r="1052" spans="18:18">
      <c r="R1052" s="149"/>
    </row>
    <row r="1053" spans="18:18">
      <c r="R1053" s="149"/>
    </row>
    <row r="1057" spans="18:18">
      <c r="R1057" s="149"/>
    </row>
    <row r="1058" spans="18:18">
      <c r="R1058" s="149"/>
    </row>
    <row r="1059" spans="18:18">
      <c r="R1059" s="149"/>
    </row>
    <row r="1060" spans="18:18">
      <c r="R1060" s="149"/>
    </row>
    <row r="1061" spans="18:18">
      <c r="R1061" s="149"/>
    </row>
    <row r="1063" spans="18:18">
      <c r="R1063" s="149"/>
    </row>
    <row r="1064" spans="18:18">
      <c r="R1064" s="149"/>
    </row>
    <row r="1065" spans="18:18">
      <c r="R1065" s="149"/>
    </row>
    <row r="1066" spans="18:18">
      <c r="R1066" s="149"/>
    </row>
    <row r="1067" spans="18:18">
      <c r="R1067" s="149"/>
    </row>
    <row r="1068" spans="18:18">
      <c r="R1068" s="149"/>
    </row>
    <row r="1069" spans="18:18">
      <c r="R1069" s="149"/>
    </row>
    <row r="1070" spans="18:18">
      <c r="R1070" s="149"/>
    </row>
    <row r="1074" spans="18:18">
      <c r="R1074" s="149"/>
    </row>
    <row r="1075" spans="18:18">
      <c r="R1075" s="149"/>
    </row>
    <row r="1076" spans="18:18">
      <c r="R1076" s="149"/>
    </row>
    <row r="1077" spans="18:18">
      <c r="R1077" s="149"/>
    </row>
    <row r="1078" spans="18:18">
      <c r="R1078" s="149"/>
    </row>
    <row r="1080" spans="18:18">
      <c r="R1080" s="149"/>
    </row>
    <row r="1081" spans="18:18">
      <c r="R1081" s="149"/>
    </row>
    <row r="1082" spans="18:18">
      <c r="R1082" s="149"/>
    </row>
    <row r="1083" spans="18:18">
      <c r="R1083" s="149"/>
    </row>
    <row r="1084" spans="18:18">
      <c r="R1084" s="149"/>
    </row>
    <row r="1085" spans="18:18">
      <c r="R1085" s="149"/>
    </row>
    <row r="1086" spans="18:18">
      <c r="R1086" s="149"/>
    </row>
    <row r="1087" spans="18:18">
      <c r="R1087" s="149"/>
    </row>
    <row r="1091" spans="18:18">
      <c r="R1091" s="149"/>
    </row>
    <row r="1092" spans="18:18">
      <c r="R1092" s="149"/>
    </row>
    <row r="1093" spans="18:18">
      <c r="R1093" s="149"/>
    </row>
    <row r="1094" spans="18:18">
      <c r="R1094" s="149"/>
    </row>
    <row r="1095" spans="18:18">
      <c r="R1095" s="149"/>
    </row>
    <row r="1097" spans="18:18">
      <c r="R1097" s="149"/>
    </row>
    <row r="1098" spans="18:18">
      <c r="R1098" s="149"/>
    </row>
    <row r="1099" spans="18:18">
      <c r="R1099" s="149"/>
    </row>
    <row r="1100" spans="18:18">
      <c r="R1100" s="149"/>
    </row>
    <row r="1101" spans="18:18">
      <c r="R1101" s="149"/>
    </row>
    <row r="1102" spans="18:18">
      <c r="R1102" s="149"/>
    </row>
    <row r="1103" spans="18:18">
      <c r="R1103" s="149"/>
    </row>
    <row r="1104" spans="18:18">
      <c r="R1104" s="149"/>
    </row>
    <row r="1108" spans="18:18">
      <c r="R1108" s="149"/>
    </row>
    <row r="1109" spans="18:18">
      <c r="R1109" s="149"/>
    </row>
    <row r="1110" spans="18:18">
      <c r="R1110" s="149"/>
    </row>
    <row r="1111" spans="18:18">
      <c r="R1111" s="149"/>
    </row>
    <row r="1112" spans="18:18">
      <c r="R1112" s="149"/>
    </row>
    <row r="1114" spans="18:18">
      <c r="R1114" s="149"/>
    </row>
    <row r="1115" spans="18:18">
      <c r="R1115" s="149"/>
    </row>
    <row r="1116" spans="18:18">
      <c r="R1116" s="149"/>
    </row>
    <row r="1117" spans="18:18">
      <c r="R1117" s="149"/>
    </row>
    <row r="1119" spans="18:18">
      <c r="R1119" s="149"/>
    </row>
    <row r="1120" spans="18:18">
      <c r="R1120" s="149"/>
    </row>
    <row r="1121" spans="18:18">
      <c r="R1121" s="149"/>
    </row>
    <row r="1125" spans="18:18">
      <c r="R1125" s="149"/>
    </row>
    <row r="1126" spans="18:18">
      <c r="R1126" s="149"/>
    </row>
    <row r="1127" spans="18:18">
      <c r="R1127" s="149"/>
    </row>
    <row r="1128" spans="18:18">
      <c r="R1128" s="149"/>
    </row>
    <row r="1129" spans="18:18">
      <c r="R1129" s="149"/>
    </row>
    <row r="1130" spans="18:18">
      <c r="R1130" s="149"/>
    </row>
    <row r="1131" spans="18:18">
      <c r="R1131" s="149"/>
    </row>
    <row r="1132" spans="18:18">
      <c r="R1132" s="149"/>
    </row>
    <row r="1134" spans="18:18">
      <c r="R1134" s="149"/>
    </row>
    <row r="1135" spans="18:18">
      <c r="R1135" s="149"/>
    </row>
    <row r="1136" spans="18:18">
      <c r="R1136" s="149"/>
    </row>
    <row r="1137" spans="18:18">
      <c r="R1137" s="149"/>
    </row>
    <row r="1138" spans="18:18">
      <c r="R1138" s="149"/>
    </row>
    <row r="1142" spans="18:18">
      <c r="R1142" s="149"/>
    </row>
    <row r="1143" spans="18:18">
      <c r="R1143" s="149"/>
    </row>
    <row r="1144" spans="18:18">
      <c r="R1144" s="149"/>
    </row>
    <row r="1145" spans="18:18">
      <c r="R1145" s="149"/>
    </row>
    <row r="1146" spans="18:18">
      <c r="R1146" s="149"/>
    </row>
    <row r="1148" spans="18:18">
      <c r="R1148" s="149"/>
    </row>
    <row r="1149" spans="18:18">
      <c r="R1149" s="149"/>
    </row>
    <row r="1150" spans="18:18">
      <c r="R1150" s="149"/>
    </row>
    <row r="1151" spans="18:18">
      <c r="R1151" s="149"/>
    </row>
    <row r="1152" spans="18:18">
      <c r="R1152" s="149"/>
    </row>
    <row r="1153" spans="18:18">
      <c r="R1153" s="149"/>
    </row>
    <row r="1154" spans="18:18">
      <c r="R1154" s="149"/>
    </row>
  </sheetData>
  <mergeCells count="11">
    <mergeCell ref="A3:K3"/>
    <mergeCell ref="C4:E4"/>
    <mergeCell ref="F4:G4"/>
    <mergeCell ref="H4:I4"/>
    <mergeCell ref="J4:K4"/>
    <mergeCell ref="O5:O6"/>
    <mergeCell ref="D5:E5"/>
    <mergeCell ref="F5:G5"/>
    <mergeCell ref="H5:I5"/>
    <mergeCell ref="J5:K5"/>
    <mergeCell ref="N5:N6"/>
  </mergeCells>
  <pageMargins left="0.7" right="0.7" top="0.75" bottom="0.75" header="0.3" footer="0.3"/>
  <pageSetup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F431F-7750-49FD-9008-6DCE87D6D547}">
  <sheetPr>
    <tabColor rgb="FFFFFFCC"/>
  </sheetPr>
  <dimension ref="A1:O37"/>
  <sheetViews>
    <sheetView showGridLines="0" topLeftCell="A2" zoomScaleNormal="100" zoomScaleSheetLayoutView="100" workbookViewId="0">
      <selection activeCell="A31" sqref="A31:K31"/>
    </sheetView>
  </sheetViews>
  <sheetFormatPr defaultColWidth="9.33203125" defaultRowHeight="12.75"/>
  <cols>
    <col min="1" max="2" width="10.83203125" style="47" customWidth="1"/>
    <col min="3" max="3" width="12.33203125" style="47" customWidth="1"/>
    <col min="4" max="11" width="10.83203125" style="47" customWidth="1"/>
    <col min="12" max="12" width="1.6640625" style="47" customWidth="1"/>
    <col min="13" max="16384" width="9.33203125" style="47"/>
  </cols>
  <sheetData>
    <row r="1" spans="1:15" ht="15.75">
      <c r="A1" s="60" t="s">
        <v>141</v>
      </c>
      <c r="B1" s="350"/>
      <c r="C1" s="355"/>
      <c r="D1" s="356"/>
      <c r="E1" s="356"/>
      <c r="F1" s="149"/>
      <c r="G1" s="149"/>
      <c r="H1" s="356"/>
      <c r="I1" s="357"/>
      <c r="J1" s="353"/>
      <c r="K1" s="353"/>
    </row>
    <row r="2" spans="1:15" ht="18.75">
      <c r="A2" s="60" t="s">
        <v>401</v>
      </c>
      <c r="B2" s="350"/>
      <c r="C2" s="355"/>
      <c r="D2" s="356"/>
      <c r="E2" s="356"/>
      <c r="F2" s="149"/>
      <c r="G2" s="149"/>
      <c r="H2" s="356"/>
      <c r="I2" s="357"/>
      <c r="J2" s="353"/>
      <c r="K2" s="353"/>
    </row>
    <row r="4" spans="1:15" ht="42" customHeight="1" thickBot="1">
      <c r="A4" s="1812" t="s">
        <v>402</v>
      </c>
      <c r="B4" s="1733" t="s">
        <v>403</v>
      </c>
      <c r="C4" s="1653" t="s">
        <v>404</v>
      </c>
      <c r="D4" s="1810" t="s">
        <v>405</v>
      </c>
      <c r="E4" s="1810"/>
      <c r="F4" s="1810" t="s">
        <v>406</v>
      </c>
      <c r="G4" s="1810"/>
      <c r="H4" s="1813" t="s">
        <v>363</v>
      </c>
      <c r="I4" s="1813"/>
      <c r="J4" s="1810" t="s">
        <v>407</v>
      </c>
      <c r="K4" s="1811"/>
    </row>
    <row r="5" spans="1:15" ht="44.25" customHeight="1" thickBot="1">
      <c r="A5" s="1769"/>
      <c r="B5" s="1727"/>
      <c r="C5" s="1620" t="s">
        <v>408</v>
      </c>
      <c r="D5" s="1620" t="s">
        <v>409</v>
      </c>
      <c r="E5" s="1620" t="s">
        <v>410</v>
      </c>
      <c r="F5" s="1620" t="s">
        <v>409</v>
      </c>
      <c r="G5" s="1620" t="s">
        <v>410</v>
      </c>
      <c r="H5" s="1620" t="s">
        <v>409</v>
      </c>
      <c r="I5" s="1620" t="s">
        <v>410</v>
      </c>
      <c r="J5" s="1637" t="s">
        <v>411</v>
      </c>
      <c r="K5" s="859" t="s">
        <v>371</v>
      </c>
    </row>
    <row r="6" spans="1:15">
      <c r="A6" s="860" t="s">
        <v>412</v>
      </c>
      <c r="B6" s="350">
        <f>IF(T9WWSManip!B7="","",T9WWSManip!B7)</f>
        <v>21824.742268041231</v>
      </c>
      <c r="C6" s="351">
        <f>IF(T9WWSManip!C7="","",T9WWSManip!C7)</f>
        <v>100</v>
      </c>
      <c r="D6" s="351">
        <f>IF(T9WWSManip!D7="","",T9WWSManip!D7)</f>
        <v>1772</v>
      </c>
      <c r="E6" s="350">
        <f>IF(T9WWSManip!E7="","",T9WWSManip!E7)</f>
        <v>55.800000000000004</v>
      </c>
      <c r="F6" s="351">
        <f>IF(T9WWSManip!F7="","",T9WWSManip!F7)</f>
        <v>82</v>
      </c>
      <c r="G6" s="352">
        <f>IF(T9WWSManip!G7="","",T9WWSManip!G7)</f>
        <v>2.6562076749435679</v>
      </c>
      <c r="H6" s="351">
        <f>IF(T9WWSManip!H7="","",T9WWSManip!H7)</f>
        <v>1854</v>
      </c>
      <c r="I6" s="351">
        <f>IF(T9WWSManip!I7="","",T9WWSManip!I7)</f>
        <v>158.45620767494358</v>
      </c>
      <c r="J6" s="353">
        <f>IF(T9WWSManip!J7="","",T9WWSManip!J7)</f>
        <v>7.2603930772175401E-3</v>
      </c>
      <c r="K6" s="861">
        <f>IF(T9WWSManip!K7="","",T9WWSManip!K7)</f>
        <v>0.02</v>
      </c>
    </row>
    <row r="7" spans="1:15">
      <c r="A7" s="860" t="s">
        <v>413</v>
      </c>
      <c r="B7" s="350">
        <f>IF(T9WWSManip!B8="","",T9WWSManip!B8)</f>
        <v>33711.164480269748</v>
      </c>
      <c r="C7" s="351">
        <f>IF(T9WWSManip!C8="","",T9WWSManip!C8)</f>
        <v>3095</v>
      </c>
      <c r="D7" s="351">
        <f>IF(T9WWSManip!D8="","",T9WWSManip!D8)</f>
        <v>2073</v>
      </c>
      <c r="E7" s="350">
        <f>IF(T9WWSManip!E8="","",T9WWSManip!E8)</f>
        <v>82.100000000000009</v>
      </c>
      <c r="F7" s="351">
        <f>IF(T9WWSManip!F8="","",T9WWSManip!F8)</f>
        <v>278</v>
      </c>
      <c r="G7" s="352">
        <f>IF(T9WWSManip!G8="","",T9WWSManip!G8)</f>
        <v>3.3795638126009693</v>
      </c>
      <c r="H7" s="351">
        <f>IF(T9WWSManip!H8="","",T9WWSManip!H8)</f>
        <v>2351</v>
      </c>
      <c r="I7" s="351">
        <f>IF(T9WWSManip!I8="","",T9WWSManip!I8)</f>
        <v>3180.4795638126011</v>
      </c>
      <c r="J7" s="353">
        <f>IF(T9WWSManip!J8="","",T9WWSManip!J8)</f>
        <v>9.4344992611395895E-2</v>
      </c>
      <c r="K7" s="862">
        <f>IF(T9WWSManip!K8="","",T9WWSManip!K8)</f>
        <v>0.02</v>
      </c>
    </row>
    <row r="8" spans="1:15">
      <c r="A8" s="860" t="s">
        <v>414</v>
      </c>
      <c r="B8" s="350">
        <f>IF(T9WWSManip!B9="","",T9WWSManip!B9)</f>
        <v>23451.971136084536</v>
      </c>
      <c r="C8" s="351">
        <f>IF(T9WWSManip!C9="","",T9WWSManip!C9)</f>
        <v>217</v>
      </c>
      <c r="D8" s="351">
        <f>IF(T9WWSManip!D9="","",T9WWSManip!D9)</f>
        <v>1312</v>
      </c>
      <c r="E8" s="350">
        <f>IF(T9WWSManip!E9="","",T9WWSManip!E9)</f>
        <v>63.900000000000006</v>
      </c>
      <c r="F8" s="351">
        <f>IF(T9WWSManip!F9="","",T9WWSManip!F9)</f>
        <v>186</v>
      </c>
      <c r="G8" s="352">
        <f>IF(T9WWSManip!G9="","",T9WWSManip!G9)</f>
        <v>2.1654744525547445</v>
      </c>
      <c r="H8" s="351">
        <f>IF(T9WWSManip!H9="","",T9WWSManip!H9)</f>
        <v>1498</v>
      </c>
      <c r="I8" s="351">
        <f>IF(T9WWSManip!I9="","",T9WWSManip!I9)</f>
        <v>283.06547445255472</v>
      </c>
      <c r="J8" s="353">
        <f>IF(T9WWSManip!J9="","",T9WWSManip!J9)</f>
        <v>1.2070007796360201E-2</v>
      </c>
      <c r="K8" s="862">
        <f>IF(T9WWSManip!K9="","",T9WWSManip!K9)</f>
        <v>0.02</v>
      </c>
    </row>
    <row r="9" spans="1:15">
      <c r="A9" s="860" t="s">
        <v>415</v>
      </c>
      <c r="B9" s="350">
        <f>IF(T9WWSManip!B10="","",T9WWSManip!B10)</f>
        <v>29566.143906793393</v>
      </c>
      <c r="C9" s="351">
        <f>IF(T9WWSManip!C10="","",T9WWSManip!C10)</f>
        <v>238</v>
      </c>
      <c r="D9" s="351">
        <f>IF(T9WWSManip!D10="","",T9WWSManip!D10)</f>
        <v>1620</v>
      </c>
      <c r="E9" s="350">
        <f>IF(T9WWSManip!E10="","",T9WWSManip!E10)</f>
        <v>69.8</v>
      </c>
      <c r="F9" s="351">
        <f>IF(T9WWSManip!F10="","",T9WWSManip!F10)</f>
        <v>72</v>
      </c>
      <c r="G9" s="352">
        <f>IF(T9WWSManip!G10="","",T9WWSManip!G10)</f>
        <v>1.2957686127477233</v>
      </c>
      <c r="H9" s="351">
        <f>IF(T9WWSManip!H10="","",T9WWSManip!H10)</f>
        <v>1692</v>
      </c>
      <c r="I9" s="351">
        <f>IF(T9WWSManip!I10="","",T9WWSManip!I10)</f>
        <v>309.09576861274775</v>
      </c>
      <c r="J9" s="353">
        <f>IF(T9WWSManip!J10="","",T9WWSManip!J10)</f>
        <v>1.0454382201046076E-2</v>
      </c>
      <c r="K9" s="862">
        <f>IF(T9WWSManip!K10="","",T9WWSManip!K10)</f>
        <v>0.02</v>
      </c>
    </row>
    <row r="10" spans="1:15" ht="12.75" customHeight="1">
      <c r="A10" s="860" t="s">
        <v>416</v>
      </c>
      <c r="B10" s="350">
        <f>IF(T9WWSManip!B11="","",T9WWSManip!B11)</f>
        <v>14660.248052175886</v>
      </c>
      <c r="C10" s="351">
        <f>IF(T9WWSManip!C11="","",T9WWSManip!C11)</f>
        <v>65</v>
      </c>
      <c r="D10" s="351">
        <f>IF(T9WWSManip!D11="","",T9WWSManip!D11)</f>
        <v>548</v>
      </c>
      <c r="E10" s="350">
        <f>IF(T9WWSManip!E11="","",T9WWSManip!E11)</f>
        <v>32.200000000000003</v>
      </c>
      <c r="F10" s="351">
        <f>IF(T9WWSManip!F11="","",T9WWSManip!F11)</f>
        <v>65</v>
      </c>
      <c r="G10" s="352">
        <f>IF(T9WWSManip!G11="","",T9WWSManip!G11)</f>
        <v>0.9806505888951208</v>
      </c>
      <c r="H10" s="351">
        <f>IF(T9WWSManip!H11="","",T9WWSManip!H11)</f>
        <v>613</v>
      </c>
      <c r="I10" s="351">
        <f>IF(T9WWSManip!I11="","",T9WWSManip!I11)</f>
        <v>98.180650588895119</v>
      </c>
      <c r="J10" s="353">
        <f>IF(T9WWSManip!J11="","",T9WWSManip!J11)</f>
        <v>6.6970661232654289E-3</v>
      </c>
      <c r="K10" s="862">
        <f>IF(T9WWSManip!K11="","",T9WWSManip!K11)</f>
        <v>0.02</v>
      </c>
    </row>
    <row r="11" spans="1:15">
      <c r="A11" s="860" t="s">
        <v>417</v>
      </c>
      <c r="B11" s="350">
        <f>IF(T9WWSManip!B12="","",T9WWSManip!B12)</f>
        <v>16708.691781946993</v>
      </c>
      <c r="C11" s="351">
        <f>IF(T9WWSManip!C12="","",T9WWSManip!C12)</f>
        <v>15</v>
      </c>
      <c r="D11" s="351">
        <f>IF(T9WWSManip!D12="","",T9WWSManip!D12)</f>
        <v>639</v>
      </c>
      <c r="E11" s="350">
        <f>IF(T9WWSManip!E12="","",T9WWSManip!E12)</f>
        <v>36.9</v>
      </c>
      <c r="F11" s="351">
        <f>IF(T9WWSManip!F12="","",T9WWSManip!F12)</f>
        <v>51</v>
      </c>
      <c r="G11" s="352">
        <f>IF(T9WWSManip!G12="","",T9WWSManip!G12)</f>
        <v>0.8963201286949527</v>
      </c>
      <c r="H11" s="351">
        <f>IF(T9WWSManip!H12="","",T9WWSManip!H12)</f>
        <v>690</v>
      </c>
      <c r="I11" s="351">
        <f>IF(T9WWSManip!I12="","",T9WWSManip!I12)</f>
        <v>52.796320128694951</v>
      </c>
      <c r="J11" s="353">
        <f>IF(T9WWSManip!J12="","",T9WWSManip!J12)</f>
        <v>3.1598117206123257E-3</v>
      </c>
      <c r="K11" s="862">
        <f>IF(T9WWSManip!K12="","",T9WWSManip!K12)</f>
        <v>0.02</v>
      </c>
    </row>
    <row r="12" spans="1:15">
      <c r="A12" s="860" t="s">
        <v>418</v>
      </c>
      <c r="B12" s="350">
        <f>IF(T9WWSManip!B13="","",T9WWSManip!B13)</f>
        <v>15071.572057439611</v>
      </c>
      <c r="C12" s="351">
        <f>IF(T9WWSManip!C13="","",T9WWSManip!C13)</f>
        <v>75</v>
      </c>
      <c r="D12" s="351">
        <f>IF(T9WWSManip!D13="","",T9WWSManip!D13)</f>
        <v>817</v>
      </c>
      <c r="E12" s="350">
        <f>IF(T9WWSManip!E13="","",T9WWSManip!E13)</f>
        <v>35.700000000000003</v>
      </c>
      <c r="F12" s="351">
        <f>IF(T9WWSManip!F13="","",T9WWSManip!F13)</f>
        <v>26</v>
      </c>
      <c r="G12" s="352">
        <f>IF(T9WWSManip!G13="","",T9WWSManip!G13)</f>
        <v>0.98265962005427809</v>
      </c>
      <c r="H12" s="351">
        <f>IF(T9WWSManip!H13="","",T9WWSManip!H13)</f>
        <v>843</v>
      </c>
      <c r="I12" s="351">
        <f>IF(T9WWSManip!I13="","",T9WWSManip!I13)</f>
        <v>111.68265962005428</v>
      </c>
      <c r="J12" s="353">
        <f>IF(T9WWSManip!J13="","",T9WWSManip!J13)</f>
        <v>7.4101533134312706E-3</v>
      </c>
      <c r="K12" s="862">
        <f>IF(T9WWSManip!K13="","",T9WWSManip!K13)</f>
        <v>0.02</v>
      </c>
      <c r="O12" s="354"/>
    </row>
    <row r="13" spans="1:15">
      <c r="A13" s="860" t="s">
        <v>419</v>
      </c>
      <c r="B13" s="350">
        <f>IF(T9WWSManip!B14="","",T9WWSManip!B14)</f>
        <v>13943.308887554147</v>
      </c>
      <c r="C13" s="351">
        <f>IF(T9WWSManip!C14="","",T9WWSManip!C14)</f>
        <v>9</v>
      </c>
      <c r="D13" s="351">
        <f>IF(T9WWSManip!D14="","",T9WWSManip!D14)</f>
        <v>562</v>
      </c>
      <c r="E13" s="350">
        <f>IF(T9WWSManip!E14="","",T9WWSManip!E14)</f>
        <v>19.600000000000001</v>
      </c>
      <c r="F13" s="351">
        <f>IF(T9WWSManip!F14="","",T9WWSManip!F14)</f>
        <v>115</v>
      </c>
      <c r="G13" s="352">
        <f>IF(T9WWSManip!G14="","",T9WWSManip!G14)</f>
        <v>7.1478696741854639</v>
      </c>
      <c r="H13" s="351">
        <f>IF(T9WWSManip!H14="","",T9WWSManip!H14)</f>
        <v>677</v>
      </c>
      <c r="I13" s="351">
        <f>IF(T9WWSManip!I14="","",T9WWSManip!I14)</f>
        <v>35.747869674185466</v>
      </c>
      <c r="J13" s="353">
        <f>IF(T9WWSManip!J14="","",T9WWSManip!J14)</f>
        <v>2.5638010290436981E-3</v>
      </c>
      <c r="K13" s="862">
        <f>IF(T9WWSManip!K14="","",T9WWSManip!K14)</f>
        <v>0.02</v>
      </c>
    </row>
    <row r="14" spans="1:15">
      <c r="A14" s="860" t="s">
        <v>420</v>
      </c>
      <c r="B14" s="350">
        <f>IF(T9WWSManip!B15="","",T9WWSManip!B15)</f>
        <v>11575.059209519166</v>
      </c>
      <c r="C14" s="351">
        <f>IF(T9WWSManip!C15="","",T9WWSManip!C15)</f>
        <v>4</v>
      </c>
      <c r="D14" s="351">
        <f>IF(T9WWSManip!D15="","",T9WWSManip!D15)</f>
        <v>664</v>
      </c>
      <c r="E14" s="350">
        <f>IF(T9WWSManip!E15="","",T9WWSManip!E15)</f>
        <v>21.5</v>
      </c>
      <c r="F14" s="351">
        <f>IF(T9WWSManip!F15="","",T9WWSManip!F15)</f>
        <v>47</v>
      </c>
      <c r="G14" s="352">
        <f>IF(T9WWSManip!G15="","",T9WWSManip!G15)</f>
        <v>2.1757303370786518</v>
      </c>
      <c r="H14" s="351">
        <f>IF(T9WWSManip!H15="","",T9WWSManip!H15)</f>
        <v>711</v>
      </c>
      <c r="I14" s="351">
        <f>IF(T9WWSManip!I15="","",T9WWSManip!I15)</f>
        <v>27.675730337078651</v>
      </c>
      <c r="J14" s="353">
        <f>IF(T9WWSManip!J15="","",T9WWSManip!J15)</f>
        <v>2.3909795912161313E-3</v>
      </c>
      <c r="K14" s="862">
        <f>IF(T9WWSManip!K15="","",T9WWSManip!K15)</f>
        <v>0.02</v>
      </c>
    </row>
    <row r="15" spans="1:15">
      <c r="A15" s="860" t="s">
        <v>421</v>
      </c>
      <c r="B15" s="350">
        <f>IF(T9WWSManip!B16="","",T9WWSManip!B16)</f>
        <v>20035.378294724564</v>
      </c>
      <c r="C15" s="351">
        <f>IF(T9WWSManip!C16="","",T9WWSManip!C16)</f>
        <v>89</v>
      </c>
      <c r="D15" s="351">
        <f>IF(T9WWSManip!D16="","",T9WWSManip!D16)</f>
        <v>1274</v>
      </c>
      <c r="E15" s="350">
        <f>IF(T9WWSManip!E16="","",T9WWSManip!E16)</f>
        <v>44.300000000000004</v>
      </c>
      <c r="F15" s="351">
        <f>IF(T9WWSManip!F16="","",T9WWSManip!F16)</f>
        <v>106</v>
      </c>
      <c r="G15" s="352">
        <f>IF(T9WWSManip!G16="","",T9WWSManip!G16)</f>
        <v>4.5853669319186565</v>
      </c>
      <c r="H15" s="351">
        <f>IF(T9WWSManip!H16="","",T9WWSManip!H16)</f>
        <v>1380</v>
      </c>
      <c r="I15" s="351">
        <f>IF(T9WWSManip!I16="","",T9WWSManip!I16)</f>
        <v>137.88536693191867</v>
      </c>
      <c r="J15" s="353">
        <f>IF(T9WWSManip!J16="","",T9WWSManip!J16)</f>
        <v>6.8820945082042556E-3</v>
      </c>
      <c r="K15" s="862">
        <f>IF(T9WWSManip!K16="","",T9WWSManip!K16)</f>
        <v>0.02</v>
      </c>
    </row>
    <row r="16" spans="1:15">
      <c r="A16" s="860" t="s">
        <v>422</v>
      </c>
      <c r="B16" s="350">
        <f>IF(T9WWSManip!B17="","",T9WWSManip!B17)</f>
        <v>16740</v>
      </c>
      <c r="C16" s="351">
        <f>IF(T9WWSManip!C17="","",T9WWSManip!C17)</f>
        <v>23</v>
      </c>
      <c r="D16" s="351">
        <f>IF(T9WWSManip!D17="","",T9WWSManip!D17)</f>
        <v>1236</v>
      </c>
      <c r="E16" s="350">
        <f>IF(T9WWSManip!E17="","",T9WWSManip!E17)</f>
        <v>81</v>
      </c>
      <c r="F16" s="351">
        <f>IF(T9WWSManip!F17="","",T9WWSManip!F17)</f>
        <v>147</v>
      </c>
      <c r="G16" s="352">
        <f>IF(T9WWSManip!G17="","",T9WWSManip!G17)</f>
        <v>9.9458876069966529</v>
      </c>
      <c r="H16" s="351">
        <f>IF(T9WWSManip!H17="","",T9WWSManip!H17)</f>
        <v>1383</v>
      </c>
      <c r="I16" s="351">
        <f>IF(T9WWSManip!I17="","",T9WWSManip!I17)</f>
        <v>113.94588760699665</v>
      </c>
      <c r="J16" s="353">
        <f>IF(T9WWSManip!J17="","",T9WWSManip!J17)</f>
        <v>6.8068033218038624E-3</v>
      </c>
      <c r="K16" s="862">
        <f>IF(T9WWSManip!K17="","",T9WWSManip!K17)</f>
        <v>0.02</v>
      </c>
    </row>
    <row r="17" spans="1:13">
      <c r="A17" s="860" t="s">
        <v>423</v>
      </c>
      <c r="B17" s="350">
        <f>IF(T9WWSManip!B18="","",T9WWSManip!B18)</f>
        <v>17332</v>
      </c>
      <c r="C17" s="351">
        <f>IF(T9WWSManip!C18="","",T9WWSManip!C18)</f>
        <v>70</v>
      </c>
      <c r="D17" s="351">
        <f>IF(T9WWSManip!D18="","",T9WWSManip!D18)</f>
        <v>1771</v>
      </c>
      <c r="E17" s="350">
        <f>IF(T9WWSManip!E18="","",T9WWSManip!E18)</f>
        <v>59.400000000000006</v>
      </c>
      <c r="F17" s="351">
        <f>IF(T9WWSManip!F18="","",T9WWSManip!F18)</f>
        <v>48</v>
      </c>
      <c r="G17" s="352">
        <f>IF(T9WWSManip!G18="","",T9WWSManip!G18)</f>
        <v>2.4968674698795184</v>
      </c>
      <c r="H17" s="351">
        <f>IF(T9WWSManip!H18="","",T9WWSManip!H18)</f>
        <v>1819</v>
      </c>
      <c r="I17" s="351">
        <f>IF(T9WWSManip!I18="","",T9WWSManip!I18)</f>
        <v>131.89686746987951</v>
      </c>
      <c r="J17" s="353">
        <f>IF(T9WWSManip!J18="","",T9WWSManip!J18)</f>
        <v>7.6100200478813468E-3</v>
      </c>
      <c r="K17" s="862">
        <f>IF(T9WWSManip!K18="","",T9WWSManip!K18)</f>
        <v>0.02</v>
      </c>
    </row>
    <row r="18" spans="1:13">
      <c r="A18" s="860" t="s">
        <v>424</v>
      </c>
      <c r="B18" s="350">
        <f>IF(T9WWSManip!B19="","",T9WWSManip!B19)</f>
        <v>15655</v>
      </c>
      <c r="C18" s="351">
        <f>IF(T9WWSManip!C19="","",T9WWSManip!C19)</f>
        <v>27</v>
      </c>
      <c r="D18" s="351">
        <f>IF(T9WWSManip!D19="","",T9WWSManip!D19)</f>
        <v>432</v>
      </c>
      <c r="E18" s="350">
        <f>IF(T9WWSManip!E19="","",T9WWSManip!E19)</f>
        <v>21.6</v>
      </c>
      <c r="F18" s="351">
        <f>IF(T9WWSManip!F19="","",T9WWSManip!F19)</f>
        <v>63</v>
      </c>
      <c r="G18" s="352">
        <f>IF(T9WWSManip!G19="","",T9WWSManip!G19)</f>
        <v>3.4117563739376777</v>
      </c>
      <c r="H18" s="351">
        <f>IF(T9WWSManip!H19="","",T9WWSManip!H19)</f>
        <v>495</v>
      </c>
      <c r="I18" s="351">
        <f>IF(T9WWSManip!I19="","",T9WWSManip!I19)</f>
        <v>52.011756373937679</v>
      </c>
      <c r="J18" s="353">
        <f>IF(T9WWSManip!J19="","",T9WWSManip!J19)</f>
        <v>3.3223734509062715E-3</v>
      </c>
      <c r="K18" s="862">
        <f>IF(T9WWSManip!K19="","",T9WWSManip!K19)</f>
        <v>0.02</v>
      </c>
    </row>
    <row r="19" spans="1:13">
      <c r="A19" s="860" t="s">
        <v>425</v>
      </c>
      <c r="B19" s="350">
        <f>IF(T9WWSManip!B20="","",T9WWSManip!B20)</f>
        <v>14928</v>
      </c>
      <c r="C19" s="351">
        <f>IF(T9WWSManip!C20="","",T9WWSManip!C20)</f>
        <v>58</v>
      </c>
      <c r="D19" s="351">
        <f>IF(T9WWSManip!D20="","",T9WWSManip!D20)</f>
        <v>460</v>
      </c>
      <c r="E19" s="350">
        <f>IF(T9WWSManip!E20="","",T9WWSManip!E20)</f>
        <v>39.300000000000004</v>
      </c>
      <c r="F19" s="351">
        <f>IF(T9WWSManip!F20="","",T9WWSManip!F20)</f>
        <v>51</v>
      </c>
      <c r="G19" s="352">
        <f>IF(T9WWSManip!G20="","",T9WWSManip!G20)</f>
        <v>2.8011035653650254</v>
      </c>
      <c r="H19" s="351">
        <f>IF(T9WWSManip!H20="","",T9WWSManip!H20)</f>
        <v>511</v>
      </c>
      <c r="I19" s="351">
        <f>IF(T9WWSManip!I20="","",T9WWSManip!I20)</f>
        <v>100.10110356536504</v>
      </c>
      <c r="J19" s="353">
        <f>IF(T9WWSManip!J20="","",T9WWSManip!J20)</f>
        <v>6.7055937543786864E-3</v>
      </c>
      <c r="K19" s="862">
        <f>IF(T9WWSManip!K20="","",T9WWSManip!K20)</f>
        <v>0.02</v>
      </c>
    </row>
    <row r="20" spans="1:13">
      <c r="A20" s="860" t="s">
        <v>426</v>
      </c>
      <c r="B20" s="350">
        <f>IF(T9WWSManip!B21="","",T9WWSManip!B21)</f>
        <v>20117</v>
      </c>
      <c r="C20" s="351">
        <f>IF(T9WWSManip!C21="","",T9WWSManip!C21)</f>
        <v>52</v>
      </c>
      <c r="D20" s="351">
        <f>IF(T9WWSManip!D21="","",T9WWSManip!D21)</f>
        <v>704</v>
      </c>
      <c r="E20" s="350">
        <f>IF(T9WWSManip!E21="","",T9WWSManip!E21)</f>
        <v>77.100000000000009</v>
      </c>
      <c r="F20" s="351">
        <f>IF(T9WWSManip!F21="","",T9WWSManip!F21)</f>
        <v>98</v>
      </c>
      <c r="G20" s="352">
        <f>IF(T9WWSManip!G21="","",T9WWSManip!G21)</f>
        <v>9.1445245901639343</v>
      </c>
      <c r="H20" s="351">
        <f>IF(T9WWSManip!H21="","",T9WWSManip!H21)</f>
        <v>802</v>
      </c>
      <c r="I20" s="351">
        <f>IF(T9WWSManip!I21="","",T9WWSManip!I21)</f>
        <v>138.24452459016396</v>
      </c>
      <c r="J20" s="353">
        <f>IF(T9WWSManip!J21="","",T9WWSManip!J21)</f>
        <v>6.8720248839371657E-3</v>
      </c>
      <c r="K20" s="862">
        <f>IF(T9WWSManip!K21="","",T9WWSManip!K21)</f>
        <v>0.02</v>
      </c>
    </row>
    <row r="21" spans="1:13">
      <c r="A21" s="860" t="s">
        <v>427</v>
      </c>
      <c r="B21" s="350">
        <f>IF(T9WWSManip!B22="","",T9WWSManip!B22)</f>
        <v>22379</v>
      </c>
      <c r="C21" s="351">
        <f>IF(T9WWSManip!C22="","",T9WWSManip!C22)</f>
        <v>48</v>
      </c>
      <c r="D21" s="351">
        <f>IF(T9WWSManip!D22="","",T9WWSManip!D22)</f>
        <v>898</v>
      </c>
      <c r="E21" s="350">
        <f>IF(T9WWSManip!E22="","",T9WWSManip!E22)</f>
        <v>68.3</v>
      </c>
      <c r="F21" s="351">
        <f>IF(T9WWSManip!F22="","",T9WWSManip!F22)</f>
        <v>42</v>
      </c>
      <c r="G21" s="352">
        <f>IF(T9WWSManip!G22="","",T9WWSManip!G22)</f>
        <v>2.9605205008593174</v>
      </c>
      <c r="H21" s="351">
        <f>IF(T9WWSManip!H22="","",T9WWSManip!H22)</f>
        <v>940</v>
      </c>
      <c r="I21" s="351">
        <f>IF(T9WWSManip!I22="","",T9WWSManip!I22)</f>
        <v>119.26052050085931</v>
      </c>
      <c r="J21" s="353">
        <f>IF(T9WWSManip!J22="","",T9WWSManip!J22)</f>
        <v>5.3291264355359632E-3</v>
      </c>
      <c r="K21" s="862">
        <f>IF(T9WWSManip!K22="","",T9WWSManip!K22)</f>
        <v>0.02</v>
      </c>
    </row>
    <row r="22" spans="1:13">
      <c r="A22" s="860" t="s">
        <v>428</v>
      </c>
      <c r="B22" s="350">
        <f>IF(T9WWSManip!B23="","",T9WWSManip!B23)</f>
        <v>9448</v>
      </c>
      <c r="C22" s="351">
        <f>IF(T9WWSManip!C23="","",T9WWSManip!C23)</f>
        <v>0</v>
      </c>
      <c r="D22" s="351">
        <f>IF(T9WWSManip!D23="","",T9WWSManip!D23)</f>
        <v>233</v>
      </c>
      <c r="E22" s="350">
        <f>IF(T9WWSManip!E23="","",T9WWSManip!E23)</f>
        <v>18.506116207951074</v>
      </c>
      <c r="F22" s="351">
        <f>IF(T9WWSManip!F23="","",T9WWSManip!F23)</f>
        <v>8</v>
      </c>
      <c r="G22" s="352">
        <f>IF(T9WWSManip!G23="","",T9WWSManip!G23)</f>
        <v>0.41419878296146051</v>
      </c>
      <c r="H22" s="351">
        <f>IF(T9WWSManip!H23="","",T9WWSManip!H23)</f>
        <v>241</v>
      </c>
      <c r="I22" s="351">
        <f>IF(T9WWSManip!I23="","",T9WWSManip!I23)</f>
        <v>18.920314990912534</v>
      </c>
      <c r="J22" s="353">
        <f>IF(T9WWSManip!J23="","",T9WWSManip!J23)</f>
        <v>2.0025735595800734E-3</v>
      </c>
      <c r="K22" s="862">
        <f>IF(T9WWSManip!K23="","",T9WWSManip!K23)</f>
        <v>0.02</v>
      </c>
    </row>
    <row r="23" spans="1:13" ht="15.75">
      <c r="A23" s="860" t="s">
        <v>429</v>
      </c>
      <c r="B23" s="350">
        <f>IF(T9WWSManip!B24="","",T9WWSManip!B24)</f>
        <v>11323</v>
      </c>
      <c r="C23" s="351">
        <f>IF(T9WWSManip!C24="","",T9WWSManip!C24)</f>
        <v>8.531250191333271</v>
      </c>
      <c r="D23" s="351">
        <f>IF(T9WWSManip!D24="","",T9WWSManip!D24)</f>
        <v>177</v>
      </c>
      <c r="E23" s="350">
        <f>IF(T9WWSManip!E24="","",T9WWSManip!E24)</f>
        <v>19.835022571719819</v>
      </c>
      <c r="F23" s="351">
        <f>IF(T9WWSManip!F24="","",T9WWSManip!F24)</f>
        <v>15</v>
      </c>
      <c r="G23" s="352">
        <f>IF(T9WWSManip!G24="","",T9WWSManip!G24)</f>
        <v>0.97489823609226611</v>
      </c>
      <c r="H23" s="351">
        <f>IF(T9WWSManip!H24="","",T9WWSManip!H24)</f>
        <v>192</v>
      </c>
      <c r="I23" s="351">
        <f>IF(T9WWSManip!I24="","",T9WWSManip!I24)</f>
        <v>29.341170999145355</v>
      </c>
      <c r="J23" s="353">
        <f>IF(T9WWSManip!J24="","",T9WWSManip!J24)</f>
        <v>2.5912894991738369E-3</v>
      </c>
      <c r="K23" s="862">
        <f>IF(T9WWSManip!K24="","",T9WWSManip!K24)</f>
        <v>0.02</v>
      </c>
      <c r="M23" s="60"/>
    </row>
    <row r="24" spans="1:13" ht="15.75">
      <c r="A24" s="860" t="s">
        <v>430</v>
      </c>
      <c r="B24" s="350">
        <f>IF(T9WWSManip!B25="","",T9WWSManip!B25)</f>
        <v>9440</v>
      </c>
      <c r="C24" s="351">
        <f>IF(T9WWSManip!C25="","",T9WWSManip!C25)</f>
        <v>5.7869862818035767</v>
      </c>
      <c r="D24" s="351">
        <f>IF(T9WWSManip!D25="","",T9WWSManip!D25)</f>
        <v>95.4</v>
      </c>
      <c r="E24" s="350">
        <f>IF(T9WWSManip!E25="","",T9WWSManip!E25)</f>
        <v>11.340000000000002</v>
      </c>
      <c r="F24" s="351">
        <f>IF(T9WWSManip!F25="","",T9WWSManip!F25)</f>
        <v>19</v>
      </c>
      <c r="G24" s="352">
        <f>IF(T9WWSManip!G25="","",T9WWSManip!G25)</f>
        <v>1.660700757575758</v>
      </c>
      <c r="H24" s="351">
        <f>IF(T9WWSManip!H25="","",T9WWSManip!H25)</f>
        <v>114.4</v>
      </c>
      <c r="I24" s="351">
        <f>IF(T9WWSManip!I25="","",T9WWSManip!I25)</f>
        <v>18.787687039379335</v>
      </c>
      <c r="J24" s="353">
        <f>IF(T9WWSManip!J25="","",T9WWSManip!J25)</f>
        <v>1.9902210846800142E-3</v>
      </c>
      <c r="K24" s="862">
        <f>IF(T9WWSManip!K25="","",T9WWSManip!K25)</f>
        <v>0.02</v>
      </c>
      <c r="M24" s="60"/>
    </row>
    <row r="25" spans="1:13" ht="15.75">
      <c r="A25" s="860" t="s">
        <v>431</v>
      </c>
      <c r="B25" s="350">
        <f>IF(T9WWSManip!B26="","",T9WWSManip!B26)</f>
        <v>14545</v>
      </c>
      <c r="C25" s="351">
        <f>IF(T9WWSManip!C26="","",T9WWSManip!C26)</f>
        <v>10.370081067403724</v>
      </c>
      <c r="D25" s="351">
        <f>IF(T9WWSManip!D26="","",T9WWSManip!D26)</f>
        <v>260.88</v>
      </c>
      <c r="E25" s="350">
        <f>IF(T9WWSManip!E26="","",T9WWSManip!E26)</f>
        <v>35.931559050531526</v>
      </c>
      <c r="F25" s="351">
        <f>IF(T9WWSManip!F26="","",T9WWSManip!F26)</f>
        <v>0</v>
      </c>
      <c r="G25" s="352">
        <f>IF(T9WWSManip!G26="","",T9WWSManip!G26)</f>
        <v>0</v>
      </c>
      <c r="H25" s="351">
        <f>IF(T9WWSManip!H26="","",T9WWSManip!H26)</f>
        <v>260.88</v>
      </c>
      <c r="I25" s="351">
        <f>IF(T9WWSManip!I26="","",T9WWSManip!I26)</f>
        <v>46.30164011793525</v>
      </c>
      <c r="J25" s="353">
        <f>IF(T9WWSManip!J26="","",T9WWSManip!J26)</f>
        <v>3.1833372373967169E-3</v>
      </c>
      <c r="K25" s="862">
        <f>IF(T9WWSManip!K26="","",T9WWSManip!K26)</f>
        <v>0.02</v>
      </c>
      <c r="M25" s="60"/>
    </row>
    <row r="26" spans="1:13" ht="15.75">
      <c r="A26" s="860" t="s">
        <v>432</v>
      </c>
      <c r="B26" s="350">
        <f>IF(T9WWSManip!B27="","",T9WWSManip!B27)</f>
        <v>13654</v>
      </c>
      <c r="C26" s="351">
        <f>IF(T9WWSManip!C27="","",T9WWSManip!C27)</f>
        <v>8.1678664416941356</v>
      </c>
      <c r="D26" s="351">
        <f>IF(T9WWSManip!D27="","",T9WWSManip!D27)</f>
        <v>251.05599999999998</v>
      </c>
      <c r="E26" s="350">
        <f>IF(T9WWSManip!E27="","",T9WWSManip!E27)</f>
        <v>28.082897801077618</v>
      </c>
      <c r="F26" s="351">
        <f>IF(T9WWSManip!F27="","",T9WWSManip!F27)</f>
        <v>24</v>
      </c>
      <c r="G26" s="352">
        <f>IF(T9WWSManip!G27="","",T9WWSManip!G27)</f>
        <v>1.7653846153846153</v>
      </c>
      <c r="H26" s="351">
        <f>IF(T9WWSManip!H27="","",T9WWSManip!H27)</f>
        <v>275.05599999999998</v>
      </c>
      <c r="I26" s="351">
        <f>IF(T9WWSManip!I27="","",T9WWSManip!I27)</f>
        <v>38.01614885815637</v>
      </c>
      <c r="J26" s="353">
        <f>IF(T9WWSManip!J27="","",T9WWSManip!J27)</f>
        <v>2.784249952992264E-3</v>
      </c>
      <c r="K26" s="862">
        <f>IF(T9WWSManip!K27="","",T9WWSManip!K27)</f>
        <v>0.02</v>
      </c>
      <c r="M26" s="60"/>
    </row>
    <row r="27" spans="1:13" ht="15.75">
      <c r="A27" s="860" t="s">
        <v>433</v>
      </c>
      <c r="B27" s="350">
        <f>IF(T9WWSManip!B28="","",T9WWSManip!B28)</f>
        <v>15111</v>
      </c>
      <c r="C27" s="351">
        <f>IF(T9WWSManip!C28="","",T9WWSManip!C28)</f>
        <v>7.7904011462395806</v>
      </c>
      <c r="D27" s="351">
        <f>IF(T9WWSManip!D28="","",T9WWSManip!D28)</f>
        <v>385.06719999999996</v>
      </c>
      <c r="E27" s="350">
        <f>IF(T9WWSManip!E28="","",T9WWSManip!E28)</f>
        <v>30.059119126256007</v>
      </c>
      <c r="F27" s="351">
        <f>IF(T9WWSManip!F28="","",T9WWSManip!F28)</f>
        <v>22.387335864985761</v>
      </c>
      <c r="G27" s="352">
        <f>IF(T9WWSManip!G28="","",T9WWSManip!G28)</f>
        <v>2.0458086095651264</v>
      </c>
      <c r="H27" s="351">
        <f>IF(T9WWSManip!H28="","",T9WWSManip!H28)</f>
        <v>407.4545358649857</v>
      </c>
      <c r="I27" s="351">
        <f>IF(T9WWSManip!I28="","",T9WWSManip!I28)</f>
        <v>39.895328882060717</v>
      </c>
      <c r="J27" s="353">
        <f>IF(T9WWSManip!J28="","",T9WWSManip!J28)</f>
        <v>2.6401514712501304E-3</v>
      </c>
      <c r="K27" s="862">
        <f>IF(T9WWSManip!K28="","",T9WWSManip!K28)</f>
        <v>0.02</v>
      </c>
      <c r="M27" s="60"/>
    </row>
    <row r="28" spans="1:13" ht="15.75">
      <c r="A28" s="860" t="s">
        <v>434</v>
      </c>
      <c r="B28" s="350">
        <f>IF(T9WWSManip!B29="","",T9WWSManip!B29)</f>
        <v>14699</v>
      </c>
      <c r="C28" s="351">
        <f>IF(T9WWSManip!C29="","",T9WWSManip!C29)</f>
        <v>23</v>
      </c>
      <c r="D28" s="351">
        <f>IF(T9WWSManip!D29="","",T9WWSManip!D29)</f>
        <v>166</v>
      </c>
      <c r="E28" s="350">
        <f>IF(T9WWSManip!E29="","",T9WWSManip!E29)</f>
        <v>18</v>
      </c>
      <c r="F28" s="351">
        <f>IF(T9WWSManip!F29="","",T9WWSManip!F29)</f>
        <v>11</v>
      </c>
      <c r="G28" s="352">
        <f>IF(T9WWSManip!G29="","",T9WWSManip!G29)</f>
        <v>1</v>
      </c>
      <c r="H28" s="351">
        <f>IF(T9WWSManip!H29="","",T9WWSManip!H29)</f>
        <v>177</v>
      </c>
      <c r="I28" s="351">
        <f>IF(T9WWSManip!I29="","",T9WWSManip!I29)</f>
        <v>42</v>
      </c>
      <c r="J28" s="353">
        <f>IF(T9WWSManip!J29="","",T9WWSManip!J29)</f>
        <v>2.8573372338254301E-3</v>
      </c>
      <c r="K28" s="862">
        <f>IF(T9WWSManip!K29="","",T9WWSManip!K29)</f>
        <v>0.02</v>
      </c>
      <c r="M28" s="60"/>
    </row>
    <row r="29" spans="1:13" ht="15.75">
      <c r="A29" s="860" t="s">
        <v>435</v>
      </c>
      <c r="B29" s="350">
        <f>IF(T9WWSManip!B30="","",T9WWSManip!B30)</f>
        <v>25396</v>
      </c>
      <c r="C29" s="351">
        <f>IF(T9WWSManip!C30="","",T9WWSManip!C30)</f>
        <v>21</v>
      </c>
      <c r="D29" s="351">
        <f>IF(T9WWSManip!D30="","",T9WWSManip!D30)</f>
        <v>438</v>
      </c>
      <c r="E29" s="350">
        <f>IF(T9WWSManip!E30="","",T9WWSManip!E30)</f>
        <v>35</v>
      </c>
      <c r="F29" s="351">
        <f>IF(T9WWSManip!F30="","",T9WWSManip!F30)</f>
        <v>60</v>
      </c>
      <c r="G29" s="352">
        <f>IF(T9WWSManip!G30="","",T9WWSManip!G30)</f>
        <v>7</v>
      </c>
      <c r="H29" s="351">
        <f>IF(T9WWSManip!H30="","",T9WWSManip!H30)</f>
        <v>498</v>
      </c>
      <c r="I29" s="351">
        <f>IF(T9WWSManip!I30="","",T9WWSManip!I30)</f>
        <v>63</v>
      </c>
      <c r="J29" s="353">
        <f>IF(T9WWSManip!J30="","",T9WWSManip!J30)</f>
        <v>2.4807056229327455E-3</v>
      </c>
      <c r="K29" s="862">
        <f>IF(T9WWSManip!K30="","",T9WWSManip!K30)</f>
        <v>0.02</v>
      </c>
      <c r="M29" s="60"/>
    </row>
    <row r="30" spans="1:13" ht="15.75">
      <c r="A30" s="860" t="s">
        <v>436</v>
      </c>
      <c r="B30" s="350" t="str">
        <f>IF(T9WWSManip!B31="","",T9WWSManip!B31)</f>
        <v/>
      </c>
      <c r="C30" s="351" t="str">
        <f>IF(T9WWSManip!C31="","",T9WWSManip!C31)</f>
        <v/>
      </c>
      <c r="D30" s="351">
        <f>IF(T9WWSManip!D31="","",T9WWSManip!D31)</f>
        <v>357</v>
      </c>
      <c r="E30" s="350">
        <f>IF(T9WWSManip!E31="","",T9WWSManip!E31)</f>
        <v>25</v>
      </c>
      <c r="F30" s="351">
        <f>IF(T9WWSManip!F31="","",T9WWSManip!F31)</f>
        <v>24</v>
      </c>
      <c r="G30" s="352">
        <f>IF(T9WWSManip!G31="","",T9WWSManip!G31)</f>
        <v>3</v>
      </c>
      <c r="H30" s="351">
        <f>IF(T9WWSManip!H31="","",T9WWSManip!H31)</f>
        <v>381</v>
      </c>
      <c r="I30" s="351">
        <f>IF(T9WWSManip!I31="","",T9WWSManip!I31)</f>
        <v>28</v>
      </c>
      <c r="J30" s="353" t="e">
        <f>IF(T9WWSManip!J31="","",T9WWSManip!J31)</f>
        <v>#DIV/0!</v>
      </c>
      <c r="K30" s="862">
        <f>IF(T9WWSManip!K31="","",T9WWSManip!K31)</f>
        <v>0.02</v>
      </c>
      <c r="M30" s="60"/>
    </row>
    <row r="31" spans="1:13" ht="18.75">
      <c r="A31" s="1808" t="s">
        <v>437</v>
      </c>
      <c r="B31" s="1808"/>
      <c r="C31" s="1808"/>
      <c r="D31" s="1808"/>
      <c r="E31" s="1808"/>
      <c r="F31" s="1808"/>
      <c r="G31" s="1808"/>
      <c r="H31" s="1808"/>
      <c r="I31" s="1808"/>
      <c r="J31" s="1808"/>
      <c r="K31" s="1808"/>
    </row>
    <row r="32" spans="1:13" ht="35.25" customHeight="1">
      <c r="A32" s="1748" t="s">
        <v>438</v>
      </c>
      <c r="B32" s="1748"/>
      <c r="C32" s="1748"/>
      <c r="D32" s="1748"/>
      <c r="E32" s="1748"/>
      <c r="F32" s="1748"/>
      <c r="G32" s="1748"/>
      <c r="H32" s="1748"/>
      <c r="I32" s="1748"/>
      <c r="J32" s="1748"/>
      <c r="K32" s="1748"/>
    </row>
    <row r="33" spans="1:11" ht="35.25" customHeight="1">
      <c r="A33" s="1748" t="s">
        <v>439</v>
      </c>
      <c r="B33" s="1748"/>
      <c r="C33" s="1748"/>
      <c r="D33" s="1748"/>
      <c r="E33" s="1748"/>
      <c r="F33" s="1748"/>
      <c r="G33" s="1748"/>
      <c r="H33" s="1748"/>
      <c r="I33" s="1748"/>
      <c r="J33" s="1748"/>
      <c r="K33" s="1748"/>
    </row>
    <row r="34" spans="1:11" ht="35.25" customHeight="1">
      <c r="A34" s="1724" t="s">
        <v>440</v>
      </c>
      <c r="B34" s="1724"/>
      <c r="C34" s="1724"/>
      <c r="D34" s="1724"/>
      <c r="E34" s="1724"/>
      <c r="F34" s="1724"/>
      <c r="G34" s="1724"/>
      <c r="H34" s="1724"/>
      <c r="I34" s="1724"/>
      <c r="J34" s="1724"/>
      <c r="K34" s="1724"/>
    </row>
    <row r="35" spans="1:11" ht="18" customHeight="1">
      <c r="A35" s="1809" t="s">
        <v>441</v>
      </c>
      <c r="B35" s="1809"/>
      <c r="C35" s="1809"/>
      <c r="D35" s="1809"/>
      <c r="E35" s="1809"/>
      <c r="F35" s="1809"/>
      <c r="G35" s="1809"/>
      <c r="H35" s="1809"/>
      <c r="I35" s="1809"/>
      <c r="J35" s="1809"/>
      <c r="K35" s="1809"/>
    </row>
    <row r="36" spans="1:11" ht="15.75">
      <c r="A36" s="60"/>
    </row>
    <row r="37" spans="1:11" ht="15.75">
      <c r="A37" s="315" t="s">
        <v>87</v>
      </c>
    </row>
  </sheetData>
  <mergeCells count="11">
    <mergeCell ref="J4:K4"/>
    <mergeCell ref="A4:A5"/>
    <mergeCell ref="B4:B5"/>
    <mergeCell ref="D4:E4"/>
    <mergeCell ref="F4:G4"/>
    <mergeCell ref="H4:I4"/>
    <mergeCell ref="A31:K31"/>
    <mergeCell ref="A35:K35"/>
    <mergeCell ref="A34:K34"/>
    <mergeCell ref="A32:K32"/>
    <mergeCell ref="A33:K33"/>
  </mergeCells>
  <phoneticPr fontId="143" type="noConversion"/>
  <pageMargins left="0.7" right="0.7" top="0.75" bottom="0.75" header="0.3" footer="0.3"/>
  <pageSetup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5BD0-C9B1-4A0A-B4DE-CE1E70ED35CB}">
  <sheetPr>
    <tabColor rgb="FF66FF33"/>
    <pageSetUpPr fitToPage="1"/>
  </sheetPr>
  <dimension ref="A1:T39"/>
  <sheetViews>
    <sheetView showGridLines="0" topLeftCell="A9" zoomScaleNormal="100" workbookViewId="0">
      <selection activeCell="H16" sqref="H16"/>
    </sheetView>
  </sheetViews>
  <sheetFormatPr defaultColWidth="9.33203125" defaultRowHeight="12.75"/>
  <cols>
    <col min="1" max="13" width="11.83203125" style="74" customWidth="1"/>
    <col min="14" max="14" width="1.6640625" style="74" customWidth="1"/>
    <col min="15" max="16384" width="9.33203125" style="74"/>
  </cols>
  <sheetData>
    <row r="1" spans="1:15" ht="15.75">
      <c r="A1" s="84" t="s">
        <v>141</v>
      </c>
      <c r="B1" s="314"/>
      <c r="C1" s="314"/>
      <c r="D1" s="314"/>
      <c r="E1" s="314"/>
      <c r="F1" s="314"/>
      <c r="G1" s="314"/>
      <c r="H1" s="322"/>
      <c r="I1" s="322"/>
      <c r="J1" s="322"/>
      <c r="K1" s="322"/>
      <c r="L1" s="320"/>
      <c r="M1" s="320"/>
      <c r="N1" s="320"/>
      <c r="O1" s="320"/>
    </row>
    <row r="2" spans="1:15" ht="18.75">
      <c r="A2" s="84" t="s">
        <v>442</v>
      </c>
      <c r="B2" s="314"/>
      <c r="C2" s="314"/>
      <c r="D2" s="314"/>
      <c r="E2" s="314"/>
      <c r="F2" s="314"/>
      <c r="G2" s="314"/>
      <c r="H2" s="322"/>
      <c r="I2" s="322"/>
      <c r="J2" s="322"/>
      <c r="K2" s="322"/>
      <c r="L2" s="320"/>
      <c r="M2" s="320"/>
      <c r="N2" s="320"/>
      <c r="O2" s="320"/>
    </row>
    <row r="4" spans="1:15" ht="25.5" customHeight="1">
      <c r="A4" s="845"/>
      <c r="B4" s="1817" t="s">
        <v>443</v>
      </c>
      <c r="C4" s="1818"/>
      <c r="D4" s="1818"/>
      <c r="E4" s="1818"/>
      <c r="F4" s="1818"/>
      <c r="G4" s="1819"/>
      <c r="H4" s="1817" t="s">
        <v>444</v>
      </c>
      <c r="I4" s="1819"/>
      <c r="J4" s="1820" t="s">
        <v>445</v>
      </c>
      <c r="K4" s="1821"/>
      <c r="L4" s="1821"/>
      <c r="M4" s="1822"/>
      <c r="N4" s="316"/>
      <c r="O4" s="316"/>
    </row>
    <row r="5" spans="1:15" ht="14.1" customHeight="1">
      <c r="A5" s="1671"/>
      <c r="B5" s="1814" t="s">
        <v>404</v>
      </c>
      <c r="C5" s="1815"/>
      <c r="D5" s="1814" t="s">
        <v>446</v>
      </c>
      <c r="E5" s="1815"/>
      <c r="F5" s="1814" t="s">
        <v>447</v>
      </c>
      <c r="G5" s="1815"/>
      <c r="H5" s="1814" t="s">
        <v>448</v>
      </c>
      <c r="I5" s="1815"/>
      <c r="J5" s="1814" t="s">
        <v>449</v>
      </c>
      <c r="K5" s="1815"/>
      <c r="L5" s="1814" t="s">
        <v>450</v>
      </c>
      <c r="M5" s="1815"/>
      <c r="N5" s="1664"/>
      <c r="O5" s="1664"/>
    </row>
    <row r="6" spans="1:15" ht="38.25">
      <c r="A6" s="1672" t="s">
        <v>28</v>
      </c>
      <c r="B6" s="1679" t="s">
        <v>451</v>
      </c>
      <c r="C6" s="1674" t="s">
        <v>452</v>
      </c>
      <c r="D6" s="1679" t="s">
        <v>409</v>
      </c>
      <c r="E6" s="1673" t="s">
        <v>452</v>
      </c>
      <c r="F6" s="1679" t="s">
        <v>453</v>
      </c>
      <c r="G6" s="1674" t="s">
        <v>450</v>
      </c>
      <c r="H6" s="1673" t="s">
        <v>409</v>
      </c>
      <c r="I6" s="1674" t="s">
        <v>452</v>
      </c>
      <c r="J6" s="317" t="s">
        <v>454</v>
      </c>
      <c r="K6" s="318" t="s">
        <v>455</v>
      </c>
      <c r="L6" s="319" t="s">
        <v>456</v>
      </c>
      <c r="M6" s="318" t="s">
        <v>455</v>
      </c>
      <c r="N6" s="1664"/>
      <c r="O6" s="1664"/>
    </row>
    <row r="7" spans="1:15">
      <c r="A7" s="1670">
        <v>1999</v>
      </c>
      <c r="B7" s="425">
        <v>0</v>
      </c>
      <c r="C7" s="424">
        <v>0</v>
      </c>
      <c r="D7" s="314">
        <v>1282</v>
      </c>
      <c r="E7" s="314">
        <v>20.200000000000003</v>
      </c>
      <c r="F7" s="425">
        <v>1282</v>
      </c>
      <c r="G7" s="424">
        <v>20.200000000000003</v>
      </c>
      <c r="H7" s="314">
        <v>9</v>
      </c>
      <c r="I7" s="424">
        <v>0.20153846153846156</v>
      </c>
      <c r="J7" s="320">
        <v>4.9152672341078139E-2</v>
      </c>
      <c r="K7" s="426">
        <v>1.5384615384615385E-3</v>
      </c>
      <c r="L7" s="1583">
        <v>4.9152672341078139E-3</v>
      </c>
      <c r="M7" s="864">
        <v>1.5384615384615385E-4</v>
      </c>
      <c r="N7" s="1664"/>
      <c r="O7" s="1664"/>
    </row>
    <row r="8" spans="1:15">
      <c r="A8" s="1671">
        <v>2000</v>
      </c>
      <c r="B8" s="425">
        <v>0</v>
      </c>
      <c r="C8" s="424">
        <v>0</v>
      </c>
      <c r="D8" s="314">
        <v>1619</v>
      </c>
      <c r="E8" s="314">
        <v>38.200000000000003</v>
      </c>
      <c r="F8" s="425">
        <v>1619</v>
      </c>
      <c r="G8" s="424">
        <v>38.200000000000003</v>
      </c>
      <c r="H8" s="314">
        <v>47</v>
      </c>
      <c r="I8" s="424">
        <v>2.4719125883757229</v>
      </c>
      <c r="J8" s="320">
        <v>3.9273238889967012E-2</v>
      </c>
      <c r="K8" s="426">
        <v>4.3154898540078961E-3</v>
      </c>
      <c r="L8" s="1583">
        <v>3.9273238889967017E-3</v>
      </c>
      <c r="M8" s="864">
        <v>4.3154898540078963E-4</v>
      </c>
      <c r="N8" s="320"/>
      <c r="O8" s="320"/>
    </row>
    <row r="9" spans="1:15">
      <c r="A9" s="1671">
        <v>2001</v>
      </c>
      <c r="B9" s="425">
        <v>0</v>
      </c>
      <c r="C9" s="424">
        <v>0</v>
      </c>
      <c r="D9" s="314">
        <v>1966</v>
      </c>
      <c r="E9" s="314">
        <v>60.6</v>
      </c>
      <c r="F9" s="425">
        <v>1966</v>
      </c>
      <c r="G9" s="424">
        <v>60.6</v>
      </c>
      <c r="H9" s="314">
        <v>52</v>
      </c>
      <c r="I9" s="424">
        <v>1.9905839310643616</v>
      </c>
      <c r="J9" s="320">
        <v>2.7476136570094893E-2</v>
      </c>
      <c r="K9" s="426">
        <v>2.5032494102922064E-3</v>
      </c>
      <c r="L9" s="1583">
        <v>2.7476136570094897E-3</v>
      </c>
      <c r="M9" s="864">
        <v>2.5032494102922054E-4</v>
      </c>
      <c r="N9" s="320"/>
      <c r="O9" s="320"/>
    </row>
    <row r="10" spans="1:15">
      <c r="A10" s="1671">
        <v>2002</v>
      </c>
      <c r="B10" s="425">
        <v>0</v>
      </c>
      <c r="C10" s="424">
        <v>0</v>
      </c>
      <c r="D10" s="314">
        <v>4404</v>
      </c>
      <c r="E10" s="314">
        <v>61.2</v>
      </c>
      <c r="F10" s="425">
        <v>4404</v>
      </c>
      <c r="G10" s="424">
        <v>61.2</v>
      </c>
      <c r="H10" s="314">
        <v>56</v>
      </c>
      <c r="I10" s="424">
        <v>3.535091383812011</v>
      </c>
      <c r="J10" s="320">
        <v>3.7602780078381817E-2</v>
      </c>
      <c r="K10" s="426">
        <v>3.6553524804177544E-3</v>
      </c>
      <c r="L10" s="1583">
        <v>3.7602780078381821E-3</v>
      </c>
      <c r="M10" s="864">
        <v>3.6553524804177554E-4</v>
      </c>
      <c r="N10" s="320"/>
      <c r="O10" s="320"/>
    </row>
    <row r="11" spans="1:15">
      <c r="A11" s="1671">
        <v>2003</v>
      </c>
      <c r="B11" s="425">
        <v>0</v>
      </c>
      <c r="C11" s="424">
        <v>0</v>
      </c>
      <c r="D11" s="314">
        <v>2691</v>
      </c>
      <c r="E11" s="314">
        <v>58.800000000000004</v>
      </c>
      <c r="F11" s="425">
        <v>2691</v>
      </c>
      <c r="G11" s="424">
        <v>58.800000000000004</v>
      </c>
      <c r="H11" s="314">
        <v>16</v>
      </c>
      <c r="I11" s="424">
        <v>0.23327127013680882</v>
      </c>
      <c r="J11" s="320">
        <v>3.4835402400031065E-2</v>
      </c>
      <c r="K11" s="426">
        <v>1.295231927467012E-3</v>
      </c>
      <c r="L11" s="1583">
        <v>3.4835402400031066E-3</v>
      </c>
      <c r="M11" s="864">
        <v>1.2952319274670118E-4</v>
      </c>
      <c r="N11" s="320"/>
      <c r="O11" s="320"/>
    </row>
    <row r="12" spans="1:15">
      <c r="A12" s="1671">
        <v>2004</v>
      </c>
      <c r="B12" s="425">
        <v>2.5249379472285742</v>
      </c>
      <c r="C12" s="424">
        <v>1.8359020527714274</v>
      </c>
      <c r="D12" s="314">
        <v>2954</v>
      </c>
      <c r="E12" s="314">
        <v>51.100000000000009</v>
      </c>
      <c r="F12" s="425">
        <v>2956.5249379472284</v>
      </c>
      <c r="G12" s="424">
        <v>52.935902052771439</v>
      </c>
      <c r="H12" s="314">
        <v>27</v>
      </c>
      <c r="I12" s="424">
        <v>0.52676981238853038</v>
      </c>
      <c r="J12" s="320">
        <v>2.5725913977474056E-2</v>
      </c>
      <c r="K12" s="426">
        <v>1.601553439891419E-3</v>
      </c>
      <c r="L12" s="1583">
        <v>2.5725913977474057E-3</v>
      </c>
      <c r="M12" s="864">
        <v>1.601553439891419E-4</v>
      </c>
      <c r="N12" s="320"/>
      <c r="O12" s="320"/>
    </row>
    <row r="13" spans="1:15">
      <c r="A13" s="1671">
        <v>2005</v>
      </c>
      <c r="B13" s="425">
        <v>30.623965310533176</v>
      </c>
      <c r="C13" s="424">
        <v>18.944474967244599</v>
      </c>
      <c r="D13" s="314">
        <v>2055</v>
      </c>
      <c r="E13" s="314">
        <v>44.9</v>
      </c>
      <c r="F13" s="425">
        <v>2085.6239653105331</v>
      </c>
      <c r="G13" s="424">
        <v>63.844474967244594</v>
      </c>
      <c r="H13" s="314">
        <v>23</v>
      </c>
      <c r="I13" s="424">
        <v>0.53659000000000001</v>
      </c>
      <c r="J13" s="320">
        <v>3.6745255647748075E-2</v>
      </c>
      <c r="K13" s="426">
        <v>2.5279089667887603E-3</v>
      </c>
      <c r="L13" s="1583">
        <v>3.6745255647748078E-3</v>
      </c>
      <c r="M13" s="864">
        <v>2.5279089667887609E-4</v>
      </c>
      <c r="N13" s="320"/>
      <c r="O13" s="320"/>
    </row>
    <row r="14" spans="1:15">
      <c r="A14" s="1671">
        <v>2006</v>
      </c>
      <c r="B14" s="425">
        <v>43.397404450223085</v>
      </c>
      <c r="C14" s="424">
        <v>17.27436644977691</v>
      </c>
      <c r="D14" s="314">
        <v>3021</v>
      </c>
      <c r="E14" s="314">
        <v>23.9</v>
      </c>
      <c r="F14" s="425">
        <v>3064.3974044502229</v>
      </c>
      <c r="G14" s="424">
        <v>41.174366449776912</v>
      </c>
      <c r="H14" s="314">
        <v>21</v>
      </c>
      <c r="I14" s="424">
        <v>0.59474094273470968</v>
      </c>
      <c r="J14" s="320">
        <v>3.8398564055513097E-2</v>
      </c>
      <c r="K14" s="426">
        <v>2.7269185820023374E-3</v>
      </c>
      <c r="L14" s="1583">
        <v>3.83985640555131E-3</v>
      </c>
      <c r="M14" s="864">
        <v>2.7269185820023368E-4</v>
      </c>
      <c r="N14" s="320"/>
      <c r="O14" s="320"/>
    </row>
    <row r="15" spans="1:15">
      <c r="A15" s="1671">
        <v>2007</v>
      </c>
      <c r="B15" s="425">
        <v>18.29071795606291</v>
      </c>
      <c r="C15" s="424">
        <v>4.7090383328259762</v>
      </c>
      <c r="D15" s="314">
        <v>2695</v>
      </c>
      <c r="E15" s="314">
        <v>33.900000000000006</v>
      </c>
      <c r="F15" s="425">
        <v>2713.290717956063</v>
      </c>
      <c r="G15" s="424">
        <v>38.609038332825982</v>
      </c>
      <c r="H15" s="314">
        <v>32</v>
      </c>
      <c r="I15" s="424">
        <v>0.71326794011357819</v>
      </c>
      <c r="J15" s="320">
        <v>6.4447179828414122E-2</v>
      </c>
      <c r="K15" s="426">
        <v>4.1300980898296338E-3</v>
      </c>
      <c r="L15" s="1583">
        <v>6.4447179828414124E-3</v>
      </c>
      <c r="M15" s="864">
        <v>4.1300980898296361E-4</v>
      </c>
      <c r="N15" s="320"/>
      <c r="O15" s="320"/>
    </row>
    <row r="16" spans="1:15">
      <c r="A16" s="1671">
        <v>2008</v>
      </c>
      <c r="B16" s="425">
        <v>22.341115358381966</v>
      </c>
      <c r="C16" s="424">
        <v>9.5176411416180358</v>
      </c>
      <c r="D16" s="314">
        <v>2035</v>
      </c>
      <c r="E16" s="314">
        <v>53.2</v>
      </c>
      <c r="F16" s="425">
        <v>2057.341115358382</v>
      </c>
      <c r="G16" s="424">
        <v>62.717641141618039</v>
      </c>
      <c r="H16" s="314">
        <v>53</v>
      </c>
      <c r="I16" s="424">
        <v>2.0974786211760561</v>
      </c>
      <c r="J16" s="320">
        <v>3.1587255348498156E-2</v>
      </c>
      <c r="K16" s="426">
        <v>4.6724852331834609E-3</v>
      </c>
      <c r="L16" s="1583">
        <v>3.1587255348498157E-3</v>
      </c>
      <c r="M16" s="864">
        <v>4.672485233183462E-4</v>
      </c>
      <c r="N16" s="320"/>
      <c r="O16" s="320"/>
    </row>
    <row r="17" spans="1:20">
      <c r="A17" s="1671">
        <v>2009</v>
      </c>
      <c r="B17" s="425">
        <v>53.250141299403204</v>
      </c>
      <c r="C17" s="424">
        <v>19.074026022819016</v>
      </c>
      <c r="D17" s="314">
        <v>1381</v>
      </c>
      <c r="E17" s="314">
        <v>47.300000000000004</v>
      </c>
      <c r="F17" s="425">
        <v>1434.2501412994031</v>
      </c>
      <c r="G17" s="424">
        <v>66.374026022819024</v>
      </c>
      <c r="H17" s="314">
        <v>46</v>
      </c>
      <c r="I17" s="424">
        <v>1.567091541135573</v>
      </c>
      <c r="J17" s="320">
        <v>2.4864347230542847E-2</v>
      </c>
      <c r="K17" s="426">
        <v>4.4418694476631897E-3</v>
      </c>
      <c r="L17" s="1583">
        <v>2.4864347230542849E-3</v>
      </c>
      <c r="M17" s="864">
        <v>4.4418694476631889E-4</v>
      </c>
      <c r="N17" s="320"/>
      <c r="O17" s="320"/>
      <c r="P17" s="1675"/>
      <c r="Q17" s="1675"/>
      <c r="R17" s="1675"/>
      <c r="S17" s="1675"/>
      <c r="T17" s="1675"/>
    </row>
    <row r="18" spans="1:20">
      <c r="A18" s="1671">
        <v>2010</v>
      </c>
      <c r="B18" s="425">
        <v>83.907478472906135</v>
      </c>
      <c r="C18" s="424">
        <v>60.069775749316108</v>
      </c>
      <c r="D18" s="314">
        <v>4220</v>
      </c>
      <c r="E18" s="314">
        <v>108.2</v>
      </c>
      <c r="F18" s="425">
        <v>4303.9074784729064</v>
      </c>
      <c r="G18" s="424">
        <v>168.26977574931612</v>
      </c>
      <c r="H18" s="314">
        <v>33</v>
      </c>
      <c r="I18" s="424">
        <v>1.8071220853381271</v>
      </c>
      <c r="J18" s="320">
        <v>5.2114250338712448E-2</v>
      </c>
      <c r="K18" s="426">
        <v>1.7448315973140169E-3</v>
      </c>
      <c r="L18" s="1583">
        <v>5.2114250338712448E-3</v>
      </c>
      <c r="M18" s="864">
        <v>1.7448315973140168E-4</v>
      </c>
      <c r="N18" s="320"/>
      <c r="O18" s="320"/>
      <c r="P18" s="1675"/>
      <c r="Q18" s="1675"/>
      <c r="R18" s="1675"/>
      <c r="S18" s="1675"/>
      <c r="T18" s="1675"/>
    </row>
    <row r="19" spans="1:20">
      <c r="A19" s="1671">
        <v>2011</v>
      </c>
      <c r="B19" s="425">
        <v>113.73515522031242</v>
      </c>
      <c r="C19" s="424">
        <v>63.988159113020913</v>
      </c>
      <c r="D19" s="314">
        <v>4371</v>
      </c>
      <c r="E19" s="314">
        <v>99.5</v>
      </c>
      <c r="F19" s="425">
        <v>4484.7351552203127</v>
      </c>
      <c r="G19" s="424">
        <v>163.48815911302091</v>
      </c>
      <c r="H19" s="314">
        <v>13</v>
      </c>
      <c r="I19" s="424">
        <v>0.52753623188405785</v>
      </c>
      <c r="J19" s="320">
        <v>7.1517751406843036E-2</v>
      </c>
      <c r="K19" s="426">
        <v>1.8743961352657003E-3</v>
      </c>
      <c r="L19" s="1583">
        <v>7.1517751406843036E-3</v>
      </c>
      <c r="M19" s="864">
        <v>1.8743961352656998E-4</v>
      </c>
      <c r="N19" s="320"/>
      <c r="O19" s="320"/>
      <c r="P19" s="1675"/>
      <c r="Q19" s="1675"/>
      <c r="R19" s="1675"/>
      <c r="S19" s="1675"/>
      <c r="T19" s="79"/>
    </row>
    <row r="20" spans="1:20">
      <c r="A20" s="1671">
        <v>2012</v>
      </c>
      <c r="B20" s="425">
        <v>34.54137870324255</v>
      </c>
      <c r="C20" s="424">
        <v>16.674258974535231</v>
      </c>
      <c r="D20" s="314">
        <v>4049</v>
      </c>
      <c r="E20" s="314">
        <v>98.800000000000011</v>
      </c>
      <c r="F20" s="425">
        <v>4083.5413787032426</v>
      </c>
      <c r="G20" s="424">
        <v>115.47425897453525</v>
      </c>
      <c r="H20" s="314">
        <v>47</v>
      </c>
      <c r="I20" s="424">
        <v>1.7904761904761899</v>
      </c>
      <c r="J20" s="320">
        <v>5.8470788222959126E-2</v>
      </c>
      <c r="K20" s="426">
        <v>5.9230481752839846E-3</v>
      </c>
      <c r="L20" s="1583">
        <v>5.8470788222959131E-3</v>
      </c>
      <c r="M20" s="864">
        <v>5.9230481752839837E-4</v>
      </c>
      <c r="N20" s="320"/>
      <c r="O20" s="320"/>
      <c r="P20" s="1675"/>
      <c r="Q20" s="1675"/>
      <c r="R20" s="1675"/>
      <c r="S20" s="1675"/>
      <c r="T20" s="1675"/>
    </row>
    <row r="21" spans="1:20">
      <c r="A21" s="1671">
        <v>2013</v>
      </c>
      <c r="B21" s="425">
        <v>47.391884737689111</v>
      </c>
      <c r="C21" s="424">
        <v>24.552095751199779</v>
      </c>
      <c r="D21" s="314">
        <v>2391</v>
      </c>
      <c r="E21" s="314">
        <v>46.7</v>
      </c>
      <c r="F21" s="425">
        <v>2438.391884737689</v>
      </c>
      <c r="G21" s="424">
        <v>71.252095751199789</v>
      </c>
      <c r="H21" s="314">
        <v>28</v>
      </c>
      <c r="I21" s="424">
        <v>1.1407407407407406</v>
      </c>
      <c r="J21" s="320">
        <v>6.5344406815781145E-2</v>
      </c>
      <c r="K21" s="426">
        <v>6.8677949472651456E-3</v>
      </c>
      <c r="L21" s="1583">
        <v>6.534440681578115E-3</v>
      </c>
      <c r="M21" s="864">
        <v>6.8677949472651452E-4</v>
      </c>
      <c r="N21" s="320"/>
      <c r="O21" s="320"/>
      <c r="P21" s="1675"/>
      <c r="Q21" s="1675"/>
      <c r="R21" s="1675"/>
      <c r="S21" s="1675"/>
      <c r="T21" s="1675"/>
    </row>
    <row r="22" spans="1:20">
      <c r="A22" s="1671">
        <v>2014</v>
      </c>
      <c r="B22" s="425">
        <v>27.557713781001727</v>
      </c>
      <c r="C22" s="424">
        <v>37.76628701899827</v>
      </c>
      <c r="D22" s="314">
        <v>3816</v>
      </c>
      <c r="E22" s="314">
        <v>108.9</v>
      </c>
      <c r="F22" s="425">
        <v>3843.5577137810019</v>
      </c>
      <c r="G22" s="424">
        <v>146.66628701899828</v>
      </c>
      <c r="H22" s="314">
        <v>37</v>
      </c>
      <c r="I22" s="424">
        <v>2.024145030309962</v>
      </c>
      <c r="J22" s="320">
        <v>4.7740721084363259E-2</v>
      </c>
      <c r="K22" s="426">
        <v>4.2319569941667622E-3</v>
      </c>
      <c r="L22" s="1583">
        <v>4.7740721084363266E-3</v>
      </c>
      <c r="M22" s="864">
        <v>4.2319569941667612E-4</v>
      </c>
      <c r="N22" s="320"/>
      <c r="O22" s="320"/>
      <c r="P22" s="1675"/>
      <c r="Q22" s="1675"/>
      <c r="R22" s="1675"/>
      <c r="S22" s="1675"/>
      <c r="T22" s="1675"/>
    </row>
    <row r="23" spans="1:20">
      <c r="A23" s="1671">
        <v>2015</v>
      </c>
      <c r="B23" s="425">
        <v>61.184270045273152</v>
      </c>
      <c r="C23" s="424">
        <v>107.86005568806019</v>
      </c>
      <c r="D23" s="314">
        <v>1708</v>
      </c>
      <c r="E23" s="314">
        <v>63.7</v>
      </c>
      <c r="F23" s="425">
        <v>1769.1842700452733</v>
      </c>
      <c r="G23" s="424">
        <v>171.56005568806017</v>
      </c>
      <c r="H23" s="314">
        <v>10</v>
      </c>
      <c r="I23" s="424">
        <v>0.8202372957241999</v>
      </c>
      <c r="J23" s="320">
        <v>2.6570312683716651E-2</v>
      </c>
      <c r="K23" s="426">
        <v>2.2386389075442132E-3</v>
      </c>
      <c r="L23" s="1583">
        <v>2.6570312683716654E-3</v>
      </c>
      <c r="M23" s="864">
        <v>2.2386389075442138E-4</v>
      </c>
      <c r="N23" s="320"/>
      <c r="O23" s="320"/>
      <c r="P23" s="1675"/>
      <c r="Q23" s="1675"/>
      <c r="R23" s="1675"/>
      <c r="S23" s="1675"/>
      <c r="T23" s="1675"/>
    </row>
    <row r="24" spans="1:20">
      <c r="A24" s="1671">
        <v>2016</v>
      </c>
      <c r="B24" s="425">
        <v>51.503249833880282</v>
      </c>
      <c r="C24" s="424">
        <v>57.08952837723082</v>
      </c>
      <c r="D24" s="314">
        <v>3332</v>
      </c>
      <c r="E24" s="314">
        <v>64.7</v>
      </c>
      <c r="F24" s="425">
        <v>3383.5032498338801</v>
      </c>
      <c r="G24" s="424">
        <v>121.78952837723082</v>
      </c>
      <c r="H24" s="314">
        <v>39</v>
      </c>
      <c r="I24" s="424">
        <v>2.5358414239482201</v>
      </c>
      <c r="J24" s="320">
        <v>3.837041562524246E-2</v>
      </c>
      <c r="K24" s="320">
        <v>5.2588996763754045E-3</v>
      </c>
      <c r="L24" s="427">
        <v>3.8370415625242462E-3</v>
      </c>
      <c r="M24" s="864">
        <v>5.2588996763754049E-4</v>
      </c>
      <c r="N24" s="320"/>
      <c r="O24" s="320"/>
      <c r="P24" s="1675"/>
      <c r="Q24" s="1675"/>
      <c r="R24" s="1675"/>
      <c r="S24" s="1675"/>
      <c r="T24" s="1675"/>
    </row>
    <row r="25" spans="1:20">
      <c r="A25" s="1671">
        <v>2017</v>
      </c>
      <c r="B25" s="425">
        <v>0</v>
      </c>
      <c r="C25" s="314">
        <v>0</v>
      </c>
      <c r="D25" s="425">
        <v>401</v>
      </c>
      <c r="E25" s="314">
        <v>8.5</v>
      </c>
      <c r="F25" s="425">
        <v>401</v>
      </c>
      <c r="G25" s="424">
        <v>8.5</v>
      </c>
      <c r="H25" s="314">
        <v>0.9</v>
      </c>
      <c r="I25" s="424">
        <v>0</v>
      </c>
      <c r="J25" s="320">
        <v>2.3760146945547195E-2</v>
      </c>
      <c r="K25" s="320">
        <v>3.9911308203991131E-4</v>
      </c>
      <c r="L25" s="427">
        <v>2.3760146945547198E-3</v>
      </c>
      <c r="M25" s="864">
        <v>0</v>
      </c>
      <c r="N25" s="320"/>
      <c r="O25" s="320"/>
      <c r="P25" s="1675"/>
      <c r="Q25" s="1675"/>
      <c r="R25" s="1675"/>
      <c r="S25" s="1675"/>
      <c r="T25" s="1675"/>
    </row>
    <row r="26" spans="1:20" ht="12.75" customHeight="1">
      <c r="A26" s="1671">
        <v>2018</v>
      </c>
      <c r="B26" s="425">
        <v>0</v>
      </c>
      <c r="C26" s="314">
        <v>0</v>
      </c>
      <c r="D26" s="425">
        <v>2387</v>
      </c>
      <c r="E26" s="314">
        <v>64.3</v>
      </c>
      <c r="F26" s="425">
        <v>2387</v>
      </c>
      <c r="G26" s="424">
        <v>64.3</v>
      </c>
      <c r="H26" s="314">
        <v>0</v>
      </c>
      <c r="I26" s="424">
        <v>0</v>
      </c>
      <c r="J26" s="320">
        <v>7.4082120356289374E-2</v>
      </c>
      <c r="K26" s="320">
        <v>0</v>
      </c>
      <c r="L26" s="427">
        <v>8.3582120356289376E-3</v>
      </c>
      <c r="M26" s="864">
        <v>0</v>
      </c>
      <c r="N26" s="320"/>
      <c r="O26" s="84"/>
      <c r="P26" s="1675"/>
      <c r="Q26" s="1675"/>
      <c r="R26" s="1675"/>
      <c r="S26" s="1675"/>
      <c r="T26" s="1675"/>
    </row>
    <row r="27" spans="1:20" ht="12.75" customHeight="1">
      <c r="A27" s="1671">
        <v>2019</v>
      </c>
      <c r="B27" s="425">
        <v>0</v>
      </c>
      <c r="C27" s="314">
        <v>0</v>
      </c>
      <c r="D27" s="425">
        <v>1424</v>
      </c>
      <c r="E27" s="314">
        <v>38.9</v>
      </c>
      <c r="F27" s="425">
        <v>1424</v>
      </c>
      <c r="G27" s="424">
        <v>38.9</v>
      </c>
      <c r="H27" s="314">
        <v>4</v>
      </c>
      <c r="I27" s="424">
        <v>0</v>
      </c>
      <c r="J27" s="320">
        <v>7.9442060047914279E-2</v>
      </c>
      <c r="K27" s="320">
        <v>2.6755852842809363E-3</v>
      </c>
      <c r="L27" s="427">
        <v>8.8242060047914288E-3</v>
      </c>
      <c r="M27" s="864">
        <v>0</v>
      </c>
      <c r="N27" s="320"/>
      <c r="O27" s="84"/>
      <c r="P27" s="1675"/>
      <c r="Q27" s="1675"/>
      <c r="R27" s="1675"/>
      <c r="S27" s="1675"/>
      <c r="T27" s="1675"/>
    </row>
    <row r="28" spans="1:20" ht="12.75" customHeight="1">
      <c r="A28" s="1671">
        <v>2020</v>
      </c>
      <c r="B28" s="425">
        <v>0</v>
      </c>
      <c r="C28" s="314">
        <v>0</v>
      </c>
      <c r="D28" s="425">
        <v>1505</v>
      </c>
      <c r="E28" s="314">
        <v>37.5</v>
      </c>
      <c r="F28" s="425">
        <v>1505</v>
      </c>
      <c r="G28" s="424">
        <v>37.5</v>
      </c>
      <c r="H28" s="314">
        <v>0</v>
      </c>
      <c r="I28" s="424">
        <v>0.70000000000000007</v>
      </c>
      <c r="J28" s="320">
        <v>6.5278851989245018E-2</v>
      </c>
      <c r="K28" s="320">
        <v>0</v>
      </c>
      <c r="L28" s="427">
        <v>6.9278851989245027E-3</v>
      </c>
      <c r="M28" s="864">
        <v>2.7888446215139443E-4</v>
      </c>
      <c r="N28" s="320"/>
      <c r="O28" s="84"/>
      <c r="P28" s="1675"/>
      <c r="Q28" s="1675"/>
      <c r="R28" s="1675"/>
      <c r="S28" s="1675"/>
      <c r="T28" s="1675"/>
    </row>
    <row r="29" spans="1:20" ht="12.75" customHeight="1">
      <c r="A29" s="1671">
        <v>2021</v>
      </c>
      <c r="B29" s="425">
        <v>0</v>
      </c>
      <c r="C29" s="314">
        <v>0</v>
      </c>
      <c r="D29" s="425">
        <v>580</v>
      </c>
      <c r="E29" s="314">
        <v>23.5</v>
      </c>
      <c r="F29" s="425">
        <v>580</v>
      </c>
      <c r="G29" s="424">
        <v>23.5</v>
      </c>
      <c r="H29" s="314">
        <v>0.2</v>
      </c>
      <c r="I29" s="424">
        <v>0</v>
      </c>
      <c r="J29" s="320">
        <v>4.8947337349176889E-2</v>
      </c>
      <c r="K29" s="320">
        <v>2.506265664160401E-4</v>
      </c>
      <c r="L29" s="427">
        <v>5.4247337349176894E-3</v>
      </c>
      <c r="M29" s="864">
        <v>0</v>
      </c>
      <c r="N29" s="320"/>
      <c r="O29" s="84"/>
      <c r="P29" s="1675"/>
      <c r="Q29" s="1675"/>
      <c r="R29" s="1675"/>
      <c r="S29" s="1675"/>
      <c r="T29" s="1675"/>
    </row>
    <row r="30" spans="1:20" ht="12.75" customHeight="1">
      <c r="A30" s="1671">
        <v>2022</v>
      </c>
      <c r="B30" s="425">
        <v>0.35149999999999998</v>
      </c>
      <c r="C30" s="314">
        <v>0.70300000000000007</v>
      </c>
      <c r="D30" s="425">
        <v>1566</v>
      </c>
      <c r="E30" s="314">
        <v>55.1</v>
      </c>
      <c r="F30" s="425">
        <v>1566.3515</v>
      </c>
      <c r="G30" s="424">
        <v>55.803000000000004</v>
      </c>
      <c r="H30" s="314">
        <v>0.4</v>
      </c>
      <c r="I30" s="424">
        <v>0</v>
      </c>
      <c r="J30" s="320">
        <v>5.2212856310393962E-2</v>
      </c>
      <c r="K30" s="320">
        <v>1.0196278358399185E-4</v>
      </c>
      <c r="L30" s="427">
        <v>5.731285631039397E-3</v>
      </c>
      <c r="M30" s="864">
        <v>0</v>
      </c>
      <c r="N30" s="320"/>
      <c r="O30" s="84"/>
      <c r="P30" s="1675"/>
      <c r="Q30" s="1675"/>
      <c r="R30" s="1675"/>
      <c r="S30" s="1675"/>
      <c r="T30" s="1675"/>
    </row>
    <row r="31" spans="1:20" ht="12.75" customHeight="1">
      <c r="A31" s="1671">
        <v>2023</v>
      </c>
      <c r="B31" s="425">
        <v>0</v>
      </c>
      <c r="C31" s="314">
        <v>0</v>
      </c>
      <c r="D31" s="425">
        <v>653</v>
      </c>
      <c r="E31" s="314">
        <v>21.7</v>
      </c>
      <c r="F31" s="425">
        <v>653</v>
      </c>
      <c r="G31" s="424">
        <v>21.7</v>
      </c>
      <c r="H31" s="314">
        <v>0.4</v>
      </c>
      <c r="I31" s="424">
        <v>0</v>
      </c>
      <c r="J31" s="320">
        <v>3.0460268521485034E-2</v>
      </c>
      <c r="K31" s="320">
        <v>2.3446658851113716E-4</v>
      </c>
      <c r="L31" s="427">
        <v>3.3460268521485034E-3</v>
      </c>
      <c r="M31" s="864">
        <v>0</v>
      </c>
      <c r="N31" s="320"/>
      <c r="O31" s="84"/>
      <c r="P31" s="1675"/>
      <c r="Q31" s="1675"/>
      <c r="R31" s="1675"/>
      <c r="S31" s="1675"/>
      <c r="T31" s="1675"/>
    </row>
    <row r="32" spans="1:20" ht="12.6" customHeight="1">
      <c r="A32" s="1677">
        <v>2024</v>
      </c>
      <c r="B32" s="314">
        <v>4.5324999999999998</v>
      </c>
      <c r="C32" s="424">
        <v>0.90649999999999975</v>
      </c>
      <c r="D32" s="314">
        <v>4022</v>
      </c>
      <c r="E32" s="424">
        <v>54</v>
      </c>
      <c r="F32" s="314">
        <v>4026.5324999999998</v>
      </c>
      <c r="G32" s="424">
        <v>54.906500000000001</v>
      </c>
      <c r="H32" s="314">
        <v>0</v>
      </c>
      <c r="I32" s="424">
        <v>0</v>
      </c>
      <c r="J32" s="320">
        <v>6.0780601385723124E-2</v>
      </c>
      <c r="K32" s="426">
        <v>0</v>
      </c>
      <c r="L32" s="1583">
        <v>6.4980601385723133E-3</v>
      </c>
      <c r="M32" s="864">
        <v>0</v>
      </c>
      <c r="N32" s="320"/>
      <c r="O32" s="84"/>
      <c r="P32" s="1675"/>
      <c r="Q32" s="1675"/>
      <c r="R32" s="1675"/>
      <c r="S32" s="1675"/>
      <c r="T32" s="1675"/>
    </row>
    <row r="33" spans="1:15" ht="12.6" customHeight="1">
      <c r="A33" s="923">
        <v>2025</v>
      </c>
      <c r="B33" s="1556">
        <v>0</v>
      </c>
      <c r="C33" s="866">
        <v>0</v>
      </c>
      <c r="D33" s="1556">
        <v>872</v>
      </c>
      <c r="E33" s="866">
        <v>42.2</v>
      </c>
      <c r="F33" s="1556">
        <v>872</v>
      </c>
      <c r="G33" s="866">
        <v>42.2</v>
      </c>
      <c r="H33" s="1556">
        <v>4</v>
      </c>
      <c r="I33" s="866">
        <v>0</v>
      </c>
      <c r="J33" s="1584">
        <v>3.0024446510346726E-2</v>
      </c>
      <c r="K33" s="1407">
        <v>2.2471910112359553E-3</v>
      </c>
      <c r="L33" s="1585">
        <v>3.4224446510346725E-3</v>
      </c>
      <c r="M33" s="865">
        <v>0</v>
      </c>
      <c r="N33" s="320"/>
      <c r="O33" s="84"/>
    </row>
    <row r="34" spans="1:15" ht="35.25" customHeight="1">
      <c r="A34" s="1816" t="s">
        <v>457</v>
      </c>
      <c r="B34" s="1816"/>
      <c r="C34" s="1816"/>
      <c r="D34" s="1816"/>
      <c r="E34" s="1816"/>
      <c r="F34" s="1816"/>
      <c r="G34" s="1816"/>
      <c r="H34" s="1816"/>
      <c r="I34" s="1816"/>
      <c r="J34" s="1816"/>
      <c r="K34" s="1816"/>
      <c r="L34" s="1816"/>
      <c r="M34" s="1816"/>
      <c r="N34" s="323"/>
      <c r="O34" s="1675"/>
    </row>
    <row r="35" spans="1:15" ht="18.75" customHeight="1">
      <c r="A35" s="442" t="s">
        <v>458</v>
      </c>
      <c r="B35" s="443"/>
      <c r="C35" s="443"/>
      <c r="D35" s="443"/>
      <c r="E35" s="443"/>
      <c r="F35" s="443"/>
      <c r="G35" s="443"/>
      <c r="H35" s="443"/>
      <c r="I35" s="443"/>
      <c r="J35" s="443"/>
      <c r="K35" s="443"/>
      <c r="L35" s="443"/>
      <c r="M35" s="443"/>
      <c r="N35" s="325"/>
      <c r="O35" s="1675"/>
    </row>
    <row r="36" spans="1:15" ht="50.25" customHeight="1">
      <c r="A36" s="1757" t="s">
        <v>459</v>
      </c>
      <c r="B36" s="1757"/>
      <c r="C36" s="1757"/>
      <c r="D36" s="1757"/>
      <c r="E36" s="1757"/>
      <c r="F36" s="1757"/>
      <c r="G36" s="1757"/>
      <c r="H36" s="1757"/>
      <c r="I36" s="1757"/>
      <c r="J36" s="1757"/>
      <c r="K36" s="1757"/>
      <c r="L36" s="1757"/>
      <c r="M36" s="1757"/>
      <c r="N36" s="325"/>
      <c r="O36" s="1675"/>
    </row>
    <row r="37" spans="1:15" ht="9.75" customHeight="1">
      <c r="A37" s="84"/>
      <c r="B37" s="1675"/>
      <c r="C37" s="1675"/>
      <c r="D37" s="1675"/>
      <c r="E37" s="1675"/>
      <c r="F37" s="1675"/>
      <c r="G37" s="1675"/>
      <c r="H37" s="1675"/>
      <c r="I37" s="1675"/>
      <c r="J37" s="1675"/>
      <c r="K37" s="1675"/>
      <c r="L37" s="1675"/>
      <c r="M37" s="1675"/>
      <c r="N37" s="1675"/>
      <c r="O37" s="1675"/>
    </row>
    <row r="38" spans="1:15" ht="15.75">
      <c r="A38" s="324" t="s">
        <v>87</v>
      </c>
      <c r="B38" s="1675"/>
      <c r="C38" s="1675"/>
      <c r="D38" s="1675"/>
      <c r="E38" s="1675"/>
      <c r="F38" s="1675"/>
      <c r="G38" s="1675"/>
      <c r="H38" s="1675"/>
      <c r="I38" s="1675"/>
      <c r="J38" s="1675"/>
      <c r="K38" s="1675"/>
      <c r="L38" s="1675"/>
      <c r="M38" s="1675"/>
      <c r="N38" s="1675"/>
      <c r="O38" s="1675"/>
    </row>
    <row r="39" spans="1:15" ht="15.75">
      <c r="A39" s="324" t="s">
        <v>460</v>
      </c>
      <c r="B39" s="1675"/>
      <c r="C39" s="1675"/>
      <c r="D39" s="1675"/>
      <c r="E39" s="1675"/>
      <c r="F39" s="1675"/>
      <c r="G39" s="1675"/>
      <c r="H39" s="1675"/>
      <c r="I39" s="1675"/>
      <c r="J39" s="1675"/>
      <c r="K39" s="1675"/>
      <c r="L39" s="1675"/>
      <c r="M39" s="1675"/>
      <c r="N39" s="1675"/>
      <c r="O39" s="1675"/>
    </row>
  </sheetData>
  <mergeCells count="11">
    <mergeCell ref="L5:M5"/>
    <mergeCell ref="A34:M34"/>
    <mergeCell ref="A36:M36"/>
    <mergeCell ref="B4:G4"/>
    <mergeCell ref="H4:I4"/>
    <mergeCell ref="J4:M4"/>
    <mergeCell ref="B5:C5"/>
    <mergeCell ref="D5:E5"/>
    <mergeCell ref="F5:G5"/>
    <mergeCell ref="H5:I5"/>
    <mergeCell ref="J5:K5"/>
  </mergeCells>
  <pageMargins left="0.7" right="0.7" top="0.75" bottom="0.75" header="0.3" footer="0.3"/>
  <pageSetup scale="85"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2AA8B-C544-49F2-BC80-7F37957DA224}">
  <sheetPr>
    <tabColor rgb="FF66FF33"/>
    <pageSetUpPr fitToPage="1"/>
  </sheetPr>
  <dimension ref="A1:S41"/>
  <sheetViews>
    <sheetView showGridLines="0" topLeftCell="A6" zoomScaleNormal="100" workbookViewId="0">
      <selection activeCell="W34" sqref="W34"/>
    </sheetView>
  </sheetViews>
  <sheetFormatPr defaultColWidth="9.33203125" defaultRowHeight="12.75"/>
  <cols>
    <col min="1" max="2" width="10.83203125" style="47" customWidth="1"/>
    <col min="3" max="3" width="10.6640625" style="47" customWidth="1"/>
    <col min="4" max="15" width="9.33203125" style="47"/>
    <col min="16" max="16" width="11.6640625" style="47" customWidth="1"/>
    <col min="17" max="17" width="1.6640625" style="47" customWidth="1"/>
    <col min="18" max="16384" width="9.33203125" style="47"/>
  </cols>
  <sheetData>
    <row r="1" spans="1:19" ht="15.75">
      <c r="A1" s="359" t="s">
        <v>141</v>
      </c>
      <c r="B1" s="360"/>
      <c r="C1" s="360"/>
      <c r="D1" s="360"/>
      <c r="E1" s="360"/>
      <c r="F1" s="360"/>
      <c r="G1" s="360"/>
      <c r="H1" s="360"/>
      <c r="I1" s="360"/>
      <c r="J1" s="322"/>
      <c r="K1" s="322"/>
      <c r="L1" s="322"/>
      <c r="M1" s="322"/>
      <c r="N1" s="322"/>
      <c r="O1" s="322"/>
      <c r="P1" s="361"/>
      <c r="Q1" s="361"/>
      <c r="R1" s="361"/>
      <c r="S1" s="361"/>
    </row>
    <row r="2" spans="1:19" ht="18.75">
      <c r="A2" s="7" t="s">
        <v>461</v>
      </c>
      <c r="B2" s="360"/>
      <c r="C2" s="360"/>
      <c r="D2" s="360"/>
      <c r="E2" s="360"/>
      <c r="F2" s="360"/>
      <c r="G2" s="360"/>
      <c r="H2" s="360"/>
      <c r="I2" s="360"/>
      <c r="J2" s="322"/>
      <c r="K2" s="322"/>
      <c r="L2" s="322"/>
      <c r="M2" s="322"/>
      <c r="N2" s="322"/>
      <c r="O2" s="322"/>
      <c r="P2" s="361"/>
      <c r="Q2" s="361"/>
      <c r="R2" s="361"/>
      <c r="S2" s="361"/>
    </row>
    <row r="4" spans="1:19" ht="31.5" customHeight="1">
      <c r="A4" s="874"/>
      <c r="B4" s="1832" t="s">
        <v>462</v>
      </c>
      <c r="C4" s="1833"/>
      <c r="D4" s="1833"/>
      <c r="E4" s="1833"/>
      <c r="F4" s="1834"/>
      <c r="G4" s="1832" t="s">
        <v>463</v>
      </c>
      <c r="H4" s="1833"/>
      <c r="I4" s="1834"/>
      <c r="J4" s="1832" t="s">
        <v>464</v>
      </c>
      <c r="K4" s="1833"/>
      <c r="L4" s="1834"/>
      <c r="M4" s="875"/>
      <c r="N4" s="875"/>
      <c r="O4" s="875"/>
      <c r="P4" s="876"/>
    </row>
    <row r="5" spans="1:19" ht="14.25">
      <c r="A5" s="860"/>
      <c r="B5" s="1835" t="s">
        <v>465</v>
      </c>
      <c r="C5" s="1836"/>
      <c r="D5" s="1835" t="s">
        <v>446</v>
      </c>
      <c r="E5" s="1824"/>
      <c r="F5" s="1836"/>
      <c r="G5" s="1824" t="s">
        <v>466</v>
      </c>
      <c r="H5" s="1824"/>
      <c r="I5" s="1836"/>
      <c r="J5" s="1837" t="s">
        <v>467</v>
      </c>
      <c r="K5" s="1838"/>
      <c r="L5" s="1839"/>
      <c r="M5" s="1823" t="s">
        <v>468</v>
      </c>
      <c r="N5" s="1840"/>
      <c r="O5" s="1823" t="s">
        <v>469</v>
      </c>
      <c r="P5" s="1841"/>
    </row>
    <row r="6" spans="1:19" ht="78" customHeight="1">
      <c r="A6" s="860"/>
      <c r="B6" s="1842" t="s">
        <v>470</v>
      </c>
      <c r="C6" s="1831" t="s">
        <v>471</v>
      </c>
      <c r="D6" s="1843" t="s">
        <v>472</v>
      </c>
      <c r="E6" s="1824"/>
      <c r="F6" s="1656" t="s">
        <v>473</v>
      </c>
      <c r="G6" s="1823" t="s">
        <v>472</v>
      </c>
      <c r="H6" s="1824"/>
      <c r="I6" s="1656" t="s">
        <v>473</v>
      </c>
      <c r="J6" s="1823" t="s">
        <v>472</v>
      </c>
      <c r="K6" s="1824"/>
      <c r="L6" s="1662" t="s">
        <v>473</v>
      </c>
      <c r="M6" s="1825" t="s">
        <v>472</v>
      </c>
      <c r="N6" s="1827" t="s">
        <v>473</v>
      </c>
      <c r="O6" s="1829" t="s">
        <v>472</v>
      </c>
      <c r="P6" s="1831" t="s">
        <v>473</v>
      </c>
    </row>
    <row r="7" spans="1:19" ht="13.5" customHeight="1">
      <c r="A7" s="877" t="s">
        <v>28</v>
      </c>
      <c r="B7" s="1826"/>
      <c r="C7" s="1828"/>
      <c r="D7" s="1642" t="s">
        <v>474</v>
      </c>
      <c r="E7" s="1642" t="s">
        <v>475</v>
      </c>
      <c r="F7" s="892" t="s">
        <v>475</v>
      </c>
      <c r="G7" s="1657" t="s">
        <v>474</v>
      </c>
      <c r="H7" s="1657" t="s">
        <v>475</v>
      </c>
      <c r="I7" s="1658" t="s">
        <v>475</v>
      </c>
      <c r="J7" s="871" t="s">
        <v>474</v>
      </c>
      <c r="K7" s="1657" t="s">
        <v>475</v>
      </c>
      <c r="L7" s="1657" t="s">
        <v>475</v>
      </c>
      <c r="M7" s="1826"/>
      <c r="N7" s="1828"/>
      <c r="O7" s="1830"/>
      <c r="P7" s="1828"/>
    </row>
    <row r="8" spans="1:19">
      <c r="A8" s="878">
        <v>1999</v>
      </c>
      <c r="B8" s="350">
        <v>0</v>
      </c>
      <c r="C8" s="350">
        <v>0</v>
      </c>
      <c r="D8" s="886">
        <v>1729.1367183307477</v>
      </c>
      <c r="E8" s="887" t="s">
        <v>48</v>
      </c>
      <c r="F8" s="888">
        <v>128.95426355077532</v>
      </c>
      <c r="G8" s="321">
        <v>244.35586995706936</v>
      </c>
      <c r="H8" s="410" t="s">
        <v>48</v>
      </c>
      <c r="I8" s="321">
        <v>17.693307115471288</v>
      </c>
      <c r="J8" s="881">
        <v>605.10605004908371</v>
      </c>
      <c r="K8" s="882" t="s">
        <v>48</v>
      </c>
      <c r="L8" s="883">
        <v>23.80963155512886</v>
      </c>
      <c r="M8" s="321">
        <v>2578.5986383369009</v>
      </c>
      <c r="N8" s="321">
        <v>170.4572022213755</v>
      </c>
      <c r="O8" s="893">
        <v>2.1517011334586958E-2</v>
      </c>
      <c r="P8" s="894">
        <v>3.0102285561645799E-3</v>
      </c>
    </row>
    <row r="9" spans="1:19">
      <c r="A9" s="879">
        <v>2000</v>
      </c>
      <c r="B9" s="350">
        <v>0</v>
      </c>
      <c r="C9" s="350">
        <v>0</v>
      </c>
      <c r="D9" s="889">
        <v>3111.6202684487307</v>
      </c>
      <c r="E9" s="410" t="s">
        <v>48</v>
      </c>
      <c r="F9" s="890">
        <v>242.23396280698492</v>
      </c>
      <c r="G9" s="321">
        <v>873.02331702447805</v>
      </c>
      <c r="H9" s="410" t="s">
        <v>48</v>
      </c>
      <c r="I9" s="321">
        <v>63.353371871966914</v>
      </c>
      <c r="J9" s="884">
        <v>697.70104141241063</v>
      </c>
      <c r="K9" s="321" t="s">
        <v>48</v>
      </c>
      <c r="L9" s="885">
        <v>28.628363115830957</v>
      </c>
      <c r="M9" s="321">
        <v>4682.3446268856196</v>
      </c>
      <c r="N9" s="321">
        <v>334.21569779478278</v>
      </c>
      <c r="O9" s="895">
        <v>3.0584569234041736E-2</v>
      </c>
      <c r="P9" s="867">
        <v>5.2526513138049721E-3</v>
      </c>
    </row>
    <row r="10" spans="1:19">
      <c r="A10" s="879">
        <v>2001</v>
      </c>
      <c r="B10" s="350">
        <v>0</v>
      </c>
      <c r="C10" s="350">
        <v>0</v>
      </c>
      <c r="D10" s="889">
        <v>4338.6513943216742</v>
      </c>
      <c r="E10" s="410" t="s">
        <v>48</v>
      </c>
      <c r="F10" s="890">
        <v>415.52527879758753</v>
      </c>
      <c r="G10" s="321">
        <v>2199.810328444602</v>
      </c>
      <c r="H10" s="410" t="s">
        <v>48</v>
      </c>
      <c r="I10" s="321">
        <v>130.11468450397808</v>
      </c>
      <c r="J10" s="884">
        <v>2591.8073217943884</v>
      </c>
      <c r="K10" s="321" t="s">
        <v>48</v>
      </c>
      <c r="L10" s="885">
        <v>88.019965783607603</v>
      </c>
      <c r="M10" s="321">
        <v>9130.269044560664</v>
      </c>
      <c r="N10" s="321">
        <v>633.65992908517319</v>
      </c>
      <c r="O10" s="895">
        <v>2.4163803647914019E-2</v>
      </c>
      <c r="P10" s="867">
        <v>4.6175029445833507E-3</v>
      </c>
    </row>
    <row r="11" spans="1:19">
      <c r="A11" s="879">
        <v>2002</v>
      </c>
      <c r="B11" s="350">
        <v>0</v>
      </c>
      <c r="C11" s="350">
        <v>0</v>
      </c>
      <c r="D11" s="889">
        <v>3785.247756733374</v>
      </c>
      <c r="E11" s="410" t="s">
        <v>48</v>
      </c>
      <c r="F11" s="890">
        <v>229.55287950661909</v>
      </c>
      <c r="G11" s="321">
        <v>607.94830552871463</v>
      </c>
      <c r="H11" s="410" t="s">
        <v>48</v>
      </c>
      <c r="I11" s="321">
        <v>42.29726250391758</v>
      </c>
      <c r="J11" s="884">
        <v>1859.0705087714227</v>
      </c>
      <c r="K11" s="321" t="s">
        <v>48</v>
      </c>
      <c r="L11" s="885">
        <v>81.230924158984905</v>
      </c>
      <c r="M11" s="321">
        <v>6252.2665710335114</v>
      </c>
      <c r="N11" s="321">
        <v>353.08106616952159</v>
      </c>
      <c r="O11" s="895">
        <v>2.6509729024768121E-2</v>
      </c>
      <c r="P11" s="867">
        <v>4.045568841027563E-3</v>
      </c>
    </row>
    <row r="12" spans="1:19">
      <c r="A12" s="879">
        <v>2003</v>
      </c>
      <c r="B12" s="350">
        <v>0</v>
      </c>
      <c r="C12" s="350">
        <v>0</v>
      </c>
      <c r="D12" s="889">
        <v>2695</v>
      </c>
      <c r="E12" s="410" t="s">
        <v>48</v>
      </c>
      <c r="F12" s="890">
        <v>168.62012338730071</v>
      </c>
      <c r="G12" s="321">
        <v>806</v>
      </c>
      <c r="H12" s="410" t="s">
        <v>48</v>
      </c>
      <c r="I12" s="321">
        <v>62.568657112897803</v>
      </c>
      <c r="J12" s="884">
        <v>1523.3994492435904</v>
      </c>
      <c r="K12" s="321" t="s">
        <v>48</v>
      </c>
      <c r="L12" s="885">
        <v>70.002321496054549</v>
      </c>
      <c r="M12" s="321">
        <v>5024.3994492435904</v>
      </c>
      <c r="N12" s="321">
        <v>301.19110199625305</v>
      </c>
      <c r="O12" s="895">
        <v>2.1044957608687017E-2</v>
      </c>
      <c r="P12" s="867">
        <v>4.4921043117161037E-3</v>
      </c>
    </row>
    <row r="13" spans="1:19">
      <c r="A13" s="879">
        <v>2004</v>
      </c>
      <c r="B13" s="350">
        <v>2.0049073831621191</v>
      </c>
      <c r="C13" s="350">
        <v>0.98309406107592878</v>
      </c>
      <c r="D13" s="889">
        <v>3267.3516875911164</v>
      </c>
      <c r="E13" s="410" t="s">
        <v>48</v>
      </c>
      <c r="F13" s="890">
        <v>183</v>
      </c>
      <c r="G13" s="321">
        <v>740.78408878275013</v>
      </c>
      <c r="H13" s="410" t="s">
        <v>48</v>
      </c>
      <c r="I13" s="321">
        <v>66.058522951837844</v>
      </c>
      <c r="J13" s="884">
        <v>714.44701634175749</v>
      </c>
      <c r="K13" s="321" t="s">
        <v>48</v>
      </c>
      <c r="L13" s="885">
        <v>32.809226219990528</v>
      </c>
      <c r="M13" s="321">
        <v>4724.5877000987857</v>
      </c>
      <c r="N13" s="321">
        <v>282.85084323290431</v>
      </c>
      <c r="O13" s="895">
        <v>2.4840887199905286E-2</v>
      </c>
      <c r="P13" s="867">
        <v>4.6813333647722534E-3</v>
      </c>
    </row>
    <row r="14" spans="1:19">
      <c r="A14" s="879">
        <v>2005</v>
      </c>
      <c r="B14" s="350">
        <v>23.215996094360086</v>
      </c>
      <c r="C14" s="350">
        <v>12.22925166119547</v>
      </c>
      <c r="D14" s="889">
        <v>2700</v>
      </c>
      <c r="E14" s="410" t="s">
        <v>48</v>
      </c>
      <c r="F14" s="890">
        <v>167.4</v>
      </c>
      <c r="G14" s="321">
        <v>762</v>
      </c>
      <c r="H14" s="410" t="s">
        <v>48</v>
      </c>
      <c r="I14" s="321">
        <v>49.084188935544425</v>
      </c>
      <c r="J14" s="884">
        <v>1053.0015234627651</v>
      </c>
      <c r="K14" s="321" t="s">
        <v>48</v>
      </c>
      <c r="L14" s="885">
        <v>42.960450449998433</v>
      </c>
      <c r="M14" s="321">
        <v>4538.2175195571253</v>
      </c>
      <c r="N14" s="321">
        <v>271.67389104673833</v>
      </c>
      <c r="O14" s="895">
        <v>2.3548976823464435E-2</v>
      </c>
      <c r="P14" s="867">
        <v>4.6111290637123126E-3</v>
      </c>
    </row>
    <row r="15" spans="1:19">
      <c r="A15" s="879">
        <v>2006</v>
      </c>
      <c r="B15" s="350">
        <v>57.306373240740747</v>
      </c>
      <c r="C15" s="350">
        <v>26.5804029074074</v>
      </c>
      <c r="D15" s="889">
        <v>2748.520833333333</v>
      </c>
      <c r="E15" s="410" t="s">
        <v>48</v>
      </c>
      <c r="F15" s="890">
        <v>136.53684210526316</v>
      </c>
      <c r="G15" s="321">
        <v>580.64583333333326</v>
      </c>
      <c r="H15" s="410" t="s">
        <v>48</v>
      </c>
      <c r="I15" s="321">
        <v>42.557136955756057</v>
      </c>
      <c r="J15" s="884">
        <v>1275.4168558295937</v>
      </c>
      <c r="K15" s="321" t="s">
        <v>48</v>
      </c>
      <c r="L15" s="885">
        <v>51.317657241524152</v>
      </c>
      <c r="M15" s="321">
        <v>4661.8898957370002</v>
      </c>
      <c r="N15" s="321">
        <v>256.99203920995075</v>
      </c>
      <c r="O15" s="895">
        <v>2.5694828921623961E-2</v>
      </c>
      <c r="P15" s="867">
        <v>4.0321964259818115E-3</v>
      </c>
    </row>
    <row r="16" spans="1:19">
      <c r="A16" s="879">
        <v>2007</v>
      </c>
      <c r="B16" s="350">
        <v>7.5495949389106762</v>
      </c>
      <c r="C16" s="350">
        <v>3.5216769394335521</v>
      </c>
      <c r="D16" s="889">
        <v>3190.3971014492759</v>
      </c>
      <c r="E16" s="410" t="s">
        <v>48</v>
      </c>
      <c r="F16" s="890">
        <v>189.96363636363634</v>
      </c>
      <c r="G16" s="321">
        <v>1015.08115942029</v>
      </c>
      <c r="H16" s="410" t="s">
        <v>48</v>
      </c>
      <c r="I16" s="321">
        <v>64.275043414819592</v>
      </c>
      <c r="J16" s="884">
        <v>1236.5811715649565</v>
      </c>
      <c r="K16" s="321" t="s">
        <v>48</v>
      </c>
      <c r="L16" s="885">
        <v>46.119536734605674</v>
      </c>
      <c r="M16" s="321">
        <v>5449.6090273734335</v>
      </c>
      <c r="N16" s="321">
        <v>303.87989345249514</v>
      </c>
      <c r="O16" s="895">
        <v>3.0012165587473473E-2</v>
      </c>
      <c r="P16" s="867">
        <v>3.9328039220957595E-3</v>
      </c>
    </row>
    <row r="17" spans="1:18">
      <c r="A17" s="879">
        <v>2008</v>
      </c>
      <c r="B17" s="350">
        <v>11.645523589435163</v>
      </c>
      <c r="C17" s="350">
        <v>6.4570090390013233</v>
      </c>
      <c r="D17" s="889">
        <v>4369.6544593181079</v>
      </c>
      <c r="E17" s="350">
        <v>51.5621517868382</v>
      </c>
      <c r="F17" s="890">
        <v>330.71066802707708</v>
      </c>
      <c r="G17" s="321">
        <v>1238.5730419644135</v>
      </c>
      <c r="H17" s="321">
        <v>11.720430873530731</v>
      </c>
      <c r="I17" s="321">
        <v>75.172803877047187</v>
      </c>
      <c r="J17" s="884">
        <v>572.14228829507238</v>
      </c>
      <c r="K17" s="321">
        <v>4.6194365148649243</v>
      </c>
      <c r="L17" s="885">
        <v>23.482527063590283</v>
      </c>
      <c r="M17" s="321">
        <v>6259.9173323422629</v>
      </c>
      <c r="N17" s="321">
        <v>435.8230080067159</v>
      </c>
      <c r="O17" s="895">
        <v>3.5528149294929721E-2</v>
      </c>
      <c r="P17" s="867">
        <v>6.5134178395663874E-3</v>
      </c>
    </row>
    <row r="18" spans="1:18">
      <c r="A18" s="879">
        <v>2009</v>
      </c>
      <c r="B18" s="350">
        <v>0</v>
      </c>
      <c r="C18" s="350">
        <v>0</v>
      </c>
      <c r="D18" s="889">
        <v>8185.9181513395661</v>
      </c>
      <c r="E18" s="350">
        <v>85.359672208193174</v>
      </c>
      <c r="F18" s="890">
        <v>675.10402856252938</v>
      </c>
      <c r="G18" s="321">
        <v>1266.5719363220933</v>
      </c>
      <c r="H18" s="321">
        <v>11.027655520750402</v>
      </c>
      <c r="I18" s="321">
        <v>87.217001601182702</v>
      </c>
      <c r="J18" s="884">
        <v>1754.7902521540543</v>
      </c>
      <c r="K18" s="321">
        <v>10.657673095200064</v>
      </c>
      <c r="L18" s="885">
        <v>57.893714342359999</v>
      </c>
      <c r="M18" s="321">
        <v>11314.325340639858</v>
      </c>
      <c r="N18" s="321">
        <v>820.21474450607207</v>
      </c>
      <c r="O18" s="895">
        <v>2.7366220135797367E-2</v>
      </c>
      <c r="P18" s="867">
        <v>6.3633992990422914E-3</v>
      </c>
    </row>
    <row r="19" spans="1:18">
      <c r="A19" s="879">
        <v>2010</v>
      </c>
      <c r="B19" s="350">
        <v>0</v>
      </c>
      <c r="C19" s="350">
        <v>0</v>
      </c>
      <c r="D19" s="889">
        <v>7973.795166628458</v>
      </c>
      <c r="E19" s="350">
        <v>68.397341538559971</v>
      </c>
      <c r="F19" s="890">
        <v>623.27766832591215</v>
      </c>
      <c r="G19" s="321">
        <v>1703.4476911112095</v>
      </c>
      <c r="H19" s="321">
        <v>15.884781691917922</v>
      </c>
      <c r="I19" s="321">
        <v>144.75167414545083</v>
      </c>
      <c r="J19" s="884">
        <v>806.95528306606207</v>
      </c>
      <c r="K19" s="321">
        <v>6.70585339213679</v>
      </c>
      <c r="L19" s="885">
        <v>47.766863354632243</v>
      </c>
      <c r="M19" s="321">
        <v>10575.186117428344</v>
      </c>
      <c r="N19" s="321">
        <v>815.79620582599523</v>
      </c>
      <c r="O19" s="895">
        <v>5.4791854101234411E-2</v>
      </c>
      <c r="P19" s="867">
        <v>7.7315329038901747E-3</v>
      </c>
    </row>
    <row r="20" spans="1:18">
      <c r="A20" s="879">
        <v>2011</v>
      </c>
      <c r="B20" s="350">
        <v>0</v>
      </c>
      <c r="C20" s="350">
        <v>0</v>
      </c>
      <c r="D20" s="889">
        <v>8549</v>
      </c>
      <c r="E20" s="350">
        <v>103.92679386730434</v>
      </c>
      <c r="F20" s="890">
        <v>620.80087311577734</v>
      </c>
      <c r="G20" s="321">
        <v>628</v>
      </c>
      <c r="H20" s="321">
        <v>9.0442348143633939</v>
      </c>
      <c r="I20" s="321">
        <v>54.025229303136385</v>
      </c>
      <c r="J20" s="884">
        <v>1083.578358078307</v>
      </c>
      <c r="K20" s="321">
        <v>12.319969442714527</v>
      </c>
      <c r="L20" s="885">
        <v>48.970005208141401</v>
      </c>
      <c r="M20" s="321">
        <v>10385.869356202689</v>
      </c>
      <c r="N20" s="321">
        <v>723.79610762705511</v>
      </c>
      <c r="O20" s="895">
        <v>4.5163380104693007E-2</v>
      </c>
      <c r="P20" s="867">
        <v>7.7589242915829387E-3</v>
      </c>
    </row>
    <row r="21" spans="1:18">
      <c r="A21" s="879">
        <v>2012</v>
      </c>
      <c r="B21" s="350">
        <v>0</v>
      </c>
      <c r="C21" s="350">
        <v>0</v>
      </c>
      <c r="D21" s="889">
        <v>10294.525315521223</v>
      </c>
      <c r="E21" s="350">
        <v>144.99904415736583</v>
      </c>
      <c r="F21" s="890">
        <v>850.50973276545994</v>
      </c>
      <c r="G21" s="321">
        <v>450.5415737312054</v>
      </c>
      <c r="H21" s="321">
        <v>5.4406596852221121</v>
      </c>
      <c r="I21" s="321">
        <v>31.912858749083043</v>
      </c>
      <c r="J21" s="884">
        <v>893.61220583515683</v>
      </c>
      <c r="K21" s="321">
        <v>10.951219364249294</v>
      </c>
      <c r="L21" s="885">
        <v>40.495990555457325</v>
      </c>
      <c r="M21" s="321">
        <v>11800.070018294424</v>
      </c>
      <c r="N21" s="321">
        <v>922.9185820700003</v>
      </c>
      <c r="O21" s="895">
        <v>8.6787595862223732E-2</v>
      </c>
      <c r="P21" s="867">
        <v>1.6652073137781952E-2</v>
      </c>
    </row>
    <row r="22" spans="1:18">
      <c r="A22" s="879">
        <v>2013</v>
      </c>
      <c r="B22" s="350">
        <v>3.3748415440969044</v>
      </c>
      <c r="C22" s="350">
        <v>3.6763854882726839</v>
      </c>
      <c r="D22" s="889">
        <v>4202.2644195862422</v>
      </c>
      <c r="E22" s="350">
        <v>69.711340588294377</v>
      </c>
      <c r="F22" s="890">
        <v>499.05754199657054</v>
      </c>
      <c r="G22" s="321">
        <v>310.76238419315183</v>
      </c>
      <c r="H22" s="321">
        <v>5.5774873526781192</v>
      </c>
      <c r="I22" s="321">
        <v>39.928756286346513</v>
      </c>
      <c r="J22" s="884">
        <v>354.48294132314737</v>
      </c>
      <c r="K22" s="321">
        <v>3.6551698233442234</v>
      </c>
      <c r="L22" s="885">
        <v>23.259897646207023</v>
      </c>
      <c r="M22" s="321">
        <v>4949.828584410955</v>
      </c>
      <c r="N22" s="321">
        <v>565.92258141739671</v>
      </c>
      <c r="O22" s="895">
        <v>3.7114860345435659E-2</v>
      </c>
      <c r="P22" s="867">
        <v>7.0202385347250635E-3</v>
      </c>
    </row>
    <row r="23" spans="1:18">
      <c r="A23" s="879">
        <v>2014</v>
      </c>
      <c r="B23" s="350">
        <v>21.691447323593046</v>
      </c>
      <c r="C23" s="350">
        <v>19.962036238538705</v>
      </c>
      <c r="D23" s="889">
        <v>5220.549500280862</v>
      </c>
      <c r="E23" s="350">
        <v>63.593790709007791</v>
      </c>
      <c r="F23" s="890">
        <v>511.45410895268668</v>
      </c>
      <c r="G23" s="321">
        <v>708.46056218124374</v>
      </c>
      <c r="H23" s="321">
        <v>9.1540888857217801</v>
      </c>
      <c r="I23" s="321">
        <v>73.621910600422098</v>
      </c>
      <c r="J23" s="884">
        <v>592.27815911318135</v>
      </c>
      <c r="K23" s="321">
        <v>5.272717228526866</v>
      </c>
      <c r="L23" s="885">
        <v>37.348946998073004</v>
      </c>
      <c r="M23" s="321">
        <v>6621.0002657221357</v>
      </c>
      <c r="N23" s="321">
        <v>642.38700278972044</v>
      </c>
      <c r="O23" s="895">
        <v>3.9830193627384054E-2</v>
      </c>
      <c r="P23" s="867">
        <v>6.6072084329127983E-3</v>
      </c>
    </row>
    <row r="24" spans="1:18">
      <c r="A24" s="879">
        <v>2015</v>
      </c>
      <c r="B24" s="350">
        <v>28.337967780795854</v>
      </c>
      <c r="C24" s="350">
        <v>30.366893553614169</v>
      </c>
      <c r="D24" s="889">
        <v>3575</v>
      </c>
      <c r="E24" s="350">
        <v>11.815315315315317</v>
      </c>
      <c r="F24" s="890">
        <v>248.12162162162164</v>
      </c>
      <c r="G24" s="321">
        <v>437</v>
      </c>
      <c r="H24" s="321">
        <v>2.3498525635702578</v>
      </c>
      <c r="I24" s="321">
        <v>49.346903834975414</v>
      </c>
      <c r="J24" s="884">
        <v>631.3980136869701</v>
      </c>
      <c r="K24" s="321">
        <v>3.2865765764999426</v>
      </c>
      <c r="L24" s="885">
        <v>32.734155397249488</v>
      </c>
      <c r="M24" s="321">
        <v>4689.1877259231514</v>
      </c>
      <c r="N24" s="321">
        <v>360.56957440746072</v>
      </c>
      <c r="O24" s="895">
        <v>2.9184896105173337E-2</v>
      </c>
      <c r="P24" s="867">
        <v>4.6592514270737441E-3</v>
      </c>
    </row>
    <row r="25" spans="1:18">
      <c r="A25" s="879">
        <v>2016</v>
      </c>
      <c r="B25" s="350">
        <v>20.21894717486748</v>
      </c>
      <c r="C25" s="350">
        <v>9.9032408368052991</v>
      </c>
      <c r="D25" s="889">
        <v>2979</v>
      </c>
      <c r="E25" s="350">
        <v>18.68375980343453</v>
      </c>
      <c r="F25" s="890">
        <v>135.90003843992116</v>
      </c>
      <c r="G25" s="321">
        <v>315</v>
      </c>
      <c r="H25" s="321">
        <v>2.2743118155500071</v>
      </c>
      <c r="I25" s="321">
        <v>16.542658780102524</v>
      </c>
      <c r="J25" s="884">
        <v>223.12872321075392</v>
      </c>
      <c r="K25" s="321">
        <v>1.9284826329963338</v>
      </c>
      <c r="L25" s="885">
        <v>7.4752154193341456</v>
      </c>
      <c r="M25" s="321">
        <v>3560.234224637602</v>
      </c>
      <c r="N25" s="321">
        <v>169.82115347616315</v>
      </c>
      <c r="O25" s="895">
        <v>3.5693812844315199E-2</v>
      </c>
      <c r="P25" s="867">
        <v>5.8266000789051735E-3</v>
      </c>
    </row>
    <row r="26" spans="1:18">
      <c r="A26" s="879">
        <v>2017</v>
      </c>
      <c r="B26" s="350">
        <v>0</v>
      </c>
      <c r="C26" s="350">
        <v>0</v>
      </c>
      <c r="D26" s="889">
        <v>1038</v>
      </c>
      <c r="E26" s="350">
        <v>2.1082315881626466</v>
      </c>
      <c r="F26" s="890">
        <v>93.044882568594844</v>
      </c>
      <c r="G26" s="321">
        <v>138</v>
      </c>
      <c r="H26" s="321">
        <v>0.35686141375585917</v>
      </c>
      <c r="I26" s="321">
        <v>15.749753737972647</v>
      </c>
      <c r="J26" s="884">
        <v>24.320614305685552</v>
      </c>
      <c r="K26" s="321">
        <v>9.9928964359525752E-2</v>
      </c>
      <c r="L26" s="885">
        <v>0.88292540334277803</v>
      </c>
      <c r="M26" s="321">
        <v>1202.8856362719637</v>
      </c>
      <c r="N26" s="321">
        <v>109.67756170991028</v>
      </c>
      <c r="O26" s="895">
        <v>1.5252078008190544E-2</v>
      </c>
      <c r="P26" s="867">
        <v>3.9298277154290835E-3</v>
      </c>
    </row>
    <row r="27" spans="1:18" ht="15.75">
      <c r="A27" s="879">
        <v>2018</v>
      </c>
      <c r="B27" s="350">
        <v>4.0652608401488246</v>
      </c>
      <c r="C27" s="350">
        <v>3.1123617595857147</v>
      </c>
      <c r="D27" s="889">
        <v>2217.5557713814824</v>
      </c>
      <c r="E27" s="350">
        <v>8.4304795803336052</v>
      </c>
      <c r="F27" s="890">
        <v>143.26275872945894</v>
      </c>
      <c r="G27" s="321">
        <v>6.8382777091058919</v>
      </c>
      <c r="H27" s="321">
        <v>3.2261751710980675E-2</v>
      </c>
      <c r="I27" s="321">
        <v>0.54823779685580343</v>
      </c>
      <c r="J27" s="884">
        <v>174.00893522485481</v>
      </c>
      <c r="K27" s="321">
        <v>0.87479183011295258</v>
      </c>
      <c r="L27" s="885">
        <v>8.70451745619315</v>
      </c>
      <c r="M27" s="321">
        <v>2411.8057783177492</v>
      </c>
      <c r="N27" s="321">
        <v>155.62787574209361</v>
      </c>
      <c r="O27" s="895">
        <v>5.0654354447687587E-2</v>
      </c>
      <c r="P27" s="867">
        <v>7.1635385842160467E-3</v>
      </c>
      <c r="R27" s="60"/>
    </row>
    <row r="28" spans="1:18" ht="15.75">
      <c r="A28" s="879">
        <v>2019</v>
      </c>
      <c r="B28" s="350">
        <v>0.60177107493597137</v>
      </c>
      <c r="C28" s="350">
        <v>0.8408841109671944</v>
      </c>
      <c r="D28" s="889">
        <v>1394</v>
      </c>
      <c r="E28" s="350">
        <v>4.5542797098966368</v>
      </c>
      <c r="F28" s="890">
        <v>176.69229627091542</v>
      </c>
      <c r="G28" s="321">
        <v>40</v>
      </c>
      <c r="H28" s="321">
        <v>0.14945054945054945</v>
      </c>
      <c r="I28" s="321">
        <v>5.798229894396826</v>
      </c>
      <c r="J28" s="884">
        <v>123.47233135566908</v>
      </c>
      <c r="K28" s="321">
        <v>0.87942580060220821</v>
      </c>
      <c r="L28" s="885">
        <v>11.25936732764648</v>
      </c>
      <c r="M28" s="321">
        <v>1563.6572584905543</v>
      </c>
      <c r="N28" s="321">
        <v>194.59077760392591</v>
      </c>
      <c r="O28" s="895">
        <v>4.3587699324673011E-2</v>
      </c>
      <c r="P28" s="867">
        <v>6.4221097363680131E-3</v>
      </c>
      <c r="R28" s="60"/>
    </row>
    <row r="29" spans="1:18" ht="15.75">
      <c r="A29" s="879">
        <v>2020</v>
      </c>
      <c r="B29" s="350">
        <v>4.7279735507532958</v>
      </c>
      <c r="C29" s="350">
        <v>4.4044849819244813</v>
      </c>
      <c r="D29" s="889">
        <v>1524.9454032060321</v>
      </c>
      <c r="E29" s="350">
        <v>54.748126008451422</v>
      </c>
      <c r="F29" s="890">
        <v>176.69504319429626</v>
      </c>
      <c r="G29" s="321">
        <v>45.818085269417033</v>
      </c>
      <c r="H29" s="321">
        <v>0.31391489313609999</v>
      </c>
      <c r="I29" s="321">
        <v>4.5607573832457362</v>
      </c>
      <c r="J29" s="884">
        <v>98.476418672527117</v>
      </c>
      <c r="K29" s="321">
        <v>1.1574998154408598</v>
      </c>
      <c r="L29" s="885">
        <v>6.7505636366169517</v>
      </c>
      <c r="M29" s="321">
        <v>1730.1874214157581</v>
      </c>
      <c r="N29" s="321">
        <v>192.41084919608343</v>
      </c>
      <c r="O29" s="895">
        <v>3.6609975061696109E-2</v>
      </c>
      <c r="P29" s="867">
        <v>6.8395723445216633E-3</v>
      </c>
      <c r="R29" s="60"/>
    </row>
    <row r="30" spans="1:18" ht="15.75">
      <c r="A30" s="879">
        <v>2021</v>
      </c>
      <c r="B30" s="350">
        <v>0.5736775844573041</v>
      </c>
      <c r="C30" s="350">
        <v>0.69978473737928504</v>
      </c>
      <c r="D30" s="889">
        <v>651.70370370370381</v>
      </c>
      <c r="E30" s="350">
        <v>0</v>
      </c>
      <c r="F30" s="890">
        <v>78.041269841269852</v>
      </c>
      <c r="G30" s="321">
        <v>0.98891290975955093</v>
      </c>
      <c r="H30" s="321">
        <v>0</v>
      </c>
      <c r="I30" s="321">
        <v>0.12062980663637485</v>
      </c>
      <c r="J30" s="884">
        <v>0.38474793077838354</v>
      </c>
      <c r="K30" s="321">
        <v>2.1758839902062768E-3</v>
      </c>
      <c r="L30" s="885">
        <v>2.1928525080680675E-2</v>
      </c>
      <c r="M30" s="321">
        <v>653.65321801268919</v>
      </c>
      <c r="N30" s="321">
        <v>78.883612910366196</v>
      </c>
      <c r="O30" s="895">
        <v>1.7578411133862826E-2</v>
      </c>
      <c r="P30" s="867">
        <v>4.1363123543792244E-3</v>
      </c>
      <c r="R30" s="60"/>
    </row>
    <row r="31" spans="1:18" ht="15.75">
      <c r="A31" s="879">
        <v>2022</v>
      </c>
      <c r="B31" s="350">
        <v>7.9479358067028931</v>
      </c>
      <c r="C31" s="350">
        <v>4.6398854709206168</v>
      </c>
      <c r="D31" s="889">
        <v>2259.454545454546</v>
      </c>
      <c r="E31" s="350">
        <v>9.7656279546912295</v>
      </c>
      <c r="F31" s="890">
        <v>140.24959544236893</v>
      </c>
      <c r="G31" s="321">
        <v>8.9405697217064724</v>
      </c>
      <c r="H31" s="321">
        <v>3.7882549302564045E-2</v>
      </c>
      <c r="I31" s="321">
        <v>0.54405228610597722</v>
      </c>
      <c r="J31" s="884">
        <v>0</v>
      </c>
      <c r="K31" s="321">
        <v>0</v>
      </c>
      <c r="L31" s="885">
        <v>0</v>
      </c>
      <c r="M31" s="321">
        <v>2286.1465614869494</v>
      </c>
      <c r="N31" s="321">
        <v>145.4335331993955</v>
      </c>
      <c r="O31" s="895">
        <v>4.2730114042221774E-2</v>
      </c>
      <c r="P31" s="867">
        <v>6.2716604079259778E-3</v>
      </c>
      <c r="R31" s="60"/>
    </row>
    <row r="32" spans="1:18" ht="15.75">
      <c r="A32" s="879">
        <v>2023</v>
      </c>
      <c r="B32" s="350">
        <v>5.3965193626922519</v>
      </c>
      <c r="C32" s="890">
        <v>5.3600407521201667</v>
      </c>
      <c r="D32" s="350">
        <v>1398.4084274510935</v>
      </c>
      <c r="E32" s="350">
        <v>7.1030260798299238</v>
      </c>
      <c r="F32" s="890">
        <v>149.16808324610307</v>
      </c>
      <c r="G32" s="321">
        <v>5.7770048828695213</v>
      </c>
      <c r="H32" s="321">
        <v>2.8679162903661411E-2</v>
      </c>
      <c r="I32" s="885">
        <v>0.60228073378330449</v>
      </c>
      <c r="J32" s="321">
        <v>0</v>
      </c>
      <c r="K32" s="321">
        <v>0</v>
      </c>
      <c r="L32" s="885">
        <v>0</v>
      </c>
      <c r="M32" s="321">
        <v>1416.713656939389</v>
      </c>
      <c r="N32" s="885">
        <v>155.13040473200655</v>
      </c>
      <c r="O32" s="1586">
        <v>2.3491695109015356E-2</v>
      </c>
      <c r="P32" s="867">
        <v>5.0707810522670725E-3</v>
      </c>
      <c r="R32" s="60"/>
    </row>
    <row r="33" spans="1:19" ht="15.75">
      <c r="A33" s="880">
        <v>2024</v>
      </c>
      <c r="B33" s="863">
        <v>4.4318676605082832</v>
      </c>
      <c r="C33" s="891">
        <v>3.7086237673537972</v>
      </c>
      <c r="D33" s="863">
        <v>2194.3760748806412</v>
      </c>
      <c r="E33" s="863">
        <v>17.075963628266305</v>
      </c>
      <c r="F33" s="891">
        <v>223.4379818141332</v>
      </c>
      <c r="G33" s="868">
        <v>8.8803522211727071</v>
      </c>
      <c r="H33" s="868">
        <v>6.0671717956821539E-2</v>
      </c>
      <c r="I33" s="899">
        <v>0.79388586838099651</v>
      </c>
      <c r="J33" s="868">
        <v>62.664582984809954</v>
      </c>
      <c r="K33" s="868">
        <v>0.62714709477539055</v>
      </c>
      <c r="L33" s="899">
        <v>3.1243121057628915</v>
      </c>
      <c r="M33" s="868">
        <v>2288.1166601881309</v>
      </c>
      <c r="N33" s="899">
        <v>231.06480355563087</v>
      </c>
      <c r="O33" s="1143">
        <v>2.6907623361730689E-2</v>
      </c>
      <c r="P33" s="869">
        <v>6.3230934393900574E-3</v>
      </c>
      <c r="R33" s="60"/>
    </row>
    <row r="34" spans="1:19" ht="96" customHeight="1">
      <c r="A34" s="1728" t="s">
        <v>476</v>
      </c>
      <c r="B34" s="1728"/>
      <c r="C34" s="1728"/>
      <c r="D34" s="1728"/>
      <c r="E34" s="1728"/>
      <c r="F34" s="1728"/>
      <c r="G34" s="1728"/>
      <c r="H34" s="1728"/>
      <c r="I34" s="1728"/>
      <c r="J34" s="1728"/>
      <c r="K34" s="1728"/>
      <c r="L34" s="1728"/>
      <c r="M34" s="1728"/>
      <c r="N34" s="1728"/>
      <c r="O34" s="1728"/>
      <c r="P34" s="1728"/>
      <c r="Q34" s="133"/>
      <c r="R34" s="133"/>
      <c r="S34" s="133"/>
    </row>
    <row r="35" spans="1:19" ht="18" customHeight="1">
      <c r="A35" s="235" t="s">
        <v>477</v>
      </c>
      <c r="B35" s="133"/>
      <c r="C35" s="133"/>
      <c r="D35" s="133"/>
      <c r="E35" s="133"/>
      <c r="F35" s="133"/>
      <c r="G35" s="133"/>
      <c r="H35" s="133"/>
      <c r="I35" s="133"/>
      <c r="J35" s="133"/>
      <c r="K35" s="133"/>
      <c r="L35" s="133"/>
      <c r="M35" s="133"/>
      <c r="N35" s="133"/>
      <c r="O35" s="133"/>
      <c r="P35" s="133"/>
    </row>
    <row r="36" spans="1:19" ht="18" customHeight="1">
      <c r="A36" s="235" t="s">
        <v>478</v>
      </c>
      <c r="B36" s="133"/>
      <c r="C36" s="133"/>
      <c r="D36" s="133"/>
      <c r="E36" s="133"/>
      <c r="F36" s="133"/>
      <c r="G36" s="133"/>
      <c r="H36" s="133"/>
      <c r="I36" s="133"/>
      <c r="J36" s="133"/>
      <c r="K36" s="133"/>
      <c r="L36" s="133"/>
      <c r="M36" s="133"/>
      <c r="N36" s="133"/>
      <c r="O36" s="133"/>
      <c r="P36" s="133"/>
    </row>
    <row r="37" spans="1:19" ht="16.5" customHeight="1">
      <c r="A37" s="235" t="s">
        <v>479</v>
      </c>
      <c r="B37" s="133"/>
      <c r="C37" s="133"/>
      <c r="D37" s="133"/>
      <c r="E37" s="133"/>
      <c r="F37" s="133"/>
      <c r="G37" s="133"/>
      <c r="H37" s="133"/>
      <c r="I37" s="133"/>
      <c r="J37" s="133"/>
      <c r="K37" s="133"/>
      <c r="L37" s="133"/>
      <c r="M37" s="133"/>
      <c r="N37" s="133"/>
      <c r="O37" s="133"/>
      <c r="P37" s="133"/>
    </row>
    <row r="38" spans="1:19" ht="16.350000000000001" customHeight="1">
      <c r="A38" s="1728"/>
      <c r="B38" s="1728"/>
      <c r="C38" s="1728"/>
      <c r="D38" s="1728"/>
      <c r="E38" s="1728"/>
      <c r="F38" s="1728"/>
      <c r="G38" s="1728"/>
      <c r="H38" s="1728"/>
      <c r="I38" s="1728"/>
      <c r="J38" s="1728"/>
      <c r="K38" s="1728"/>
      <c r="L38" s="1728"/>
      <c r="M38" s="1728"/>
      <c r="N38" s="1728"/>
      <c r="O38" s="1728"/>
      <c r="P38" s="1728"/>
    </row>
    <row r="39" spans="1:19" ht="16.5" customHeight="1">
      <c r="A39" s="1728"/>
      <c r="B39" s="1728"/>
      <c r="C39" s="1728"/>
      <c r="D39" s="1728"/>
      <c r="E39" s="1728"/>
      <c r="F39" s="1728"/>
      <c r="G39" s="1728"/>
      <c r="H39" s="1728"/>
      <c r="I39" s="1728"/>
      <c r="J39" s="1728"/>
      <c r="K39" s="1728"/>
      <c r="L39" s="1728"/>
      <c r="M39" s="1728"/>
      <c r="N39" s="1728"/>
      <c r="O39" s="1728"/>
      <c r="P39" s="1728"/>
    </row>
    <row r="41" spans="1:19" ht="15.75">
      <c r="A41" s="60" t="s">
        <v>87</v>
      </c>
    </row>
  </sheetData>
  <mergeCells count="20">
    <mergeCell ref="M5:N5"/>
    <mergeCell ref="O5:P5"/>
    <mergeCell ref="B6:B7"/>
    <mergeCell ref="C6:C7"/>
    <mergeCell ref="D6:E6"/>
    <mergeCell ref="G6:H6"/>
    <mergeCell ref="B4:F4"/>
    <mergeCell ref="G4:I4"/>
    <mergeCell ref="J4:L4"/>
    <mergeCell ref="B5:C5"/>
    <mergeCell ref="D5:F5"/>
    <mergeCell ref="G5:I5"/>
    <mergeCell ref="J5:L5"/>
    <mergeCell ref="J6:K6"/>
    <mergeCell ref="M6:M7"/>
    <mergeCell ref="N6:N7"/>
    <mergeCell ref="O6:O7"/>
    <mergeCell ref="A38:P39"/>
    <mergeCell ref="A34:P34"/>
    <mergeCell ref="P6:P7"/>
  </mergeCells>
  <pageMargins left="0.7" right="0.7" top="0.75" bottom="0.75" header="0.3" footer="0.3"/>
  <pageSetup scale="72"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6EE19-9ED2-467A-9D11-EB9B4F88917C}">
  <sheetPr>
    <tabColor rgb="FF66FF33"/>
  </sheetPr>
  <dimension ref="A1:S41"/>
  <sheetViews>
    <sheetView showGridLines="0" topLeftCell="A9" zoomScaleNormal="100" workbookViewId="0">
      <selection activeCell="A35" sqref="A35"/>
    </sheetView>
  </sheetViews>
  <sheetFormatPr defaultColWidth="9.33203125" defaultRowHeight="12.75"/>
  <cols>
    <col min="1" max="1" width="10.83203125" style="47" customWidth="1"/>
    <col min="2" max="3" width="11" style="47" customWidth="1"/>
    <col min="4" max="15" width="9.33203125" style="47"/>
    <col min="16" max="16" width="11.6640625" style="47" customWidth="1"/>
    <col min="17" max="17" width="1.6640625" style="47" customWidth="1"/>
    <col min="18" max="16384" width="9.33203125" style="47"/>
  </cols>
  <sheetData>
    <row r="1" spans="1:19" ht="15.75">
      <c r="A1" s="359" t="s">
        <v>141</v>
      </c>
      <c r="B1" s="360"/>
      <c r="C1" s="360"/>
      <c r="D1" s="360"/>
      <c r="E1" s="360"/>
      <c r="F1" s="360"/>
      <c r="G1" s="360"/>
      <c r="H1" s="360"/>
      <c r="I1" s="360"/>
      <c r="J1" s="322"/>
      <c r="K1" s="322"/>
      <c r="L1" s="322"/>
      <c r="M1" s="322"/>
      <c r="N1" s="322"/>
      <c r="O1" s="322"/>
      <c r="P1" s="361"/>
      <c r="Q1" s="361"/>
      <c r="R1" s="361"/>
      <c r="S1" s="361"/>
    </row>
    <row r="2" spans="1:19" ht="18.75">
      <c r="A2" s="7" t="s">
        <v>480</v>
      </c>
      <c r="B2" s="360"/>
      <c r="C2" s="360"/>
      <c r="D2" s="360"/>
      <c r="E2" s="360"/>
      <c r="F2" s="360"/>
      <c r="G2" s="360"/>
      <c r="H2" s="360"/>
      <c r="I2" s="360"/>
      <c r="J2" s="322"/>
      <c r="K2" s="322"/>
      <c r="L2" s="322"/>
      <c r="M2" s="322"/>
      <c r="N2" s="322"/>
      <c r="O2" s="322"/>
      <c r="P2" s="361"/>
      <c r="Q2" s="361"/>
      <c r="R2" s="361"/>
      <c r="S2" s="361"/>
    </row>
    <row r="4" spans="1:19" ht="31.5" customHeight="1">
      <c r="A4" s="870"/>
      <c r="B4" s="1847" t="s">
        <v>462</v>
      </c>
      <c r="C4" s="1848"/>
      <c r="D4" s="1848"/>
      <c r="E4" s="1848"/>
      <c r="F4" s="1848"/>
      <c r="G4" s="1847" t="s">
        <v>463</v>
      </c>
      <c r="H4" s="1848"/>
      <c r="I4" s="1849"/>
      <c r="J4" s="1847" t="s">
        <v>464</v>
      </c>
      <c r="K4" s="1848"/>
      <c r="L4" s="1849"/>
      <c r="M4" s="872"/>
      <c r="N4" s="872"/>
      <c r="O4" s="872"/>
      <c r="P4" s="873"/>
    </row>
    <row r="5" spans="1:19" ht="14.25">
      <c r="A5" s="860"/>
      <c r="B5" s="1837" t="s">
        <v>465</v>
      </c>
      <c r="C5" s="1839"/>
      <c r="D5" s="1845" t="s">
        <v>446</v>
      </c>
      <c r="E5" s="1845"/>
      <c r="F5" s="1845"/>
      <c r="G5" s="1837" t="s">
        <v>466</v>
      </c>
      <c r="H5" s="1845"/>
      <c r="I5" s="1839"/>
      <c r="J5" s="1837" t="s">
        <v>467</v>
      </c>
      <c r="K5" s="1838"/>
      <c r="L5" s="1839"/>
      <c r="M5" s="1844" t="s">
        <v>468</v>
      </c>
      <c r="N5" s="1850"/>
      <c r="O5" s="1844" t="s">
        <v>469</v>
      </c>
      <c r="P5" s="1850"/>
    </row>
    <row r="6" spans="1:19" ht="77.849999999999994" customHeight="1">
      <c r="A6" s="860"/>
      <c r="B6" s="1825" t="s">
        <v>470</v>
      </c>
      <c r="C6" s="1827" t="s">
        <v>471</v>
      </c>
      <c r="D6" s="1838" t="s">
        <v>472</v>
      </c>
      <c r="E6" s="1845"/>
      <c r="F6" s="897" t="s">
        <v>473</v>
      </c>
      <c r="G6" s="1844" t="s">
        <v>472</v>
      </c>
      <c r="H6" s="1845"/>
      <c r="I6" s="898" t="s">
        <v>473</v>
      </c>
      <c r="J6" s="1844" t="s">
        <v>472</v>
      </c>
      <c r="K6" s="1845"/>
      <c r="L6" s="898" t="s">
        <v>473</v>
      </c>
      <c r="M6" s="1825" t="s">
        <v>472</v>
      </c>
      <c r="N6" s="1827" t="s">
        <v>473</v>
      </c>
      <c r="O6" s="1825" t="s">
        <v>472</v>
      </c>
      <c r="P6" s="1827" t="s">
        <v>473</v>
      </c>
    </row>
    <row r="7" spans="1:19">
      <c r="A7" s="877" t="s">
        <v>28</v>
      </c>
      <c r="B7" s="1826"/>
      <c r="C7" s="1828"/>
      <c r="D7" s="1642" t="s">
        <v>474</v>
      </c>
      <c r="E7" s="1642" t="s">
        <v>475</v>
      </c>
      <c r="F7" s="1642" t="s">
        <v>475</v>
      </c>
      <c r="G7" s="1660" t="s">
        <v>474</v>
      </c>
      <c r="H7" s="1657" t="s">
        <v>475</v>
      </c>
      <c r="I7" s="1659" t="s">
        <v>475</v>
      </c>
      <c r="J7" s="1660" t="s">
        <v>474</v>
      </c>
      <c r="K7" s="1657" t="s">
        <v>475</v>
      </c>
      <c r="L7" s="1659" t="s">
        <v>475</v>
      </c>
      <c r="M7" s="1842"/>
      <c r="N7" s="1831"/>
      <c r="O7" s="1842"/>
      <c r="P7" s="1831"/>
    </row>
    <row r="8" spans="1:19">
      <c r="A8" s="878">
        <v>1999</v>
      </c>
      <c r="B8" s="896">
        <v>0</v>
      </c>
      <c r="C8" s="896">
        <v>0</v>
      </c>
      <c r="D8" s="886">
        <v>32.863281669252196</v>
      </c>
      <c r="E8" s="887" t="s">
        <v>48</v>
      </c>
      <c r="F8" s="888">
        <v>3.4457364492246816</v>
      </c>
      <c r="G8" s="882">
        <v>4.6441300429306445</v>
      </c>
      <c r="H8" s="887" t="s">
        <v>48</v>
      </c>
      <c r="I8" s="882">
        <v>8.8178030079253053E-3</v>
      </c>
      <c r="J8" s="881">
        <v>92.893881384845997</v>
      </c>
      <c r="K8" s="882" t="s">
        <v>48</v>
      </c>
      <c r="L8" s="883">
        <v>1.8883737288506302</v>
      </c>
      <c r="M8" s="881">
        <v>130.40129309702883</v>
      </c>
      <c r="N8" s="883">
        <v>5.3429279810832373</v>
      </c>
      <c r="O8" s="893">
        <v>7.0880134445950203E-3</v>
      </c>
      <c r="P8" s="894">
        <v>1.4286344366029147E-3</v>
      </c>
    </row>
    <row r="9" spans="1:19">
      <c r="A9" s="879">
        <v>2000</v>
      </c>
      <c r="B9" s="350">
        <v>0</v>
      </c>
      <c r="C9" s="350">
        <v>0</v>
      </c>
      <c r="D9" s="889">
        <v>53.379731551269295</v>
      </c>
      <c r="E9" s="410" t="s">
        <v>48</v>
      </c>
      <c r="F9" s="890">
        <v>3.9660371930150977</v>
      </c>
      <c r="G9" s="321">
        <v>14.976682975522001</v>
      </c>
      <c r="H9" s="410" t="s">
        <v>48</v>
      </c>
      <c r="I9" s="321">
        <v>1.7494202690645423E-2</v>
      </c>
      <c r="J9" s="884">
        <v>148.29870272801415</v>
      </c>
      <c r="K9" s="321" t="s">
        <v>48</v>
      </c>
      <c r="L9" s="885">
        <v>3.8136219366092181</v>
      </c>
      <c r="M9" s="884">
        <v>216.65511725480545</v>
      </c>
      <c r="N9" s="885">
        <v>7.7971533323149611</v>
      </c>
      <c r="O9" s="895">
        <v>6.6579437650747496E-3</v>
      </c>
      <c r="P9" s="867">
        <v>9.3176621890835899E-4</v>
      </c>
    </row>
    <row r="10" spans="1:19">
      <c r="A10" s="879">
        <v>2001</v>
      </c>
      <c r="B10" s="350">
        <v>0</v>
      </c>
      <c r="C10" s="350">
        <v>0</v>
      </c>
      <c r="D10" s="889">
        <v>73.34860567832601</v>
      </c>
      <c r="E10" s="410" t="s">
        <v>48</v>
      </c>
      <c r="F10" s="890">
        <v>8.9747212024124821</v>
      </c>
      <c r="G10" s="321">
        <v>37.189671555397844</v>
      </c>
      <c r="H10" s="410" t="s">
        <v>48</v>
      </c>
      <c r="I10" s="321">
        <v>4.6720360846694536E-2</v>
      </c>
      <c r="J10" s="884">
        <v>510.19282332965361</v>
      </c>
      <c r="K10" s="321" t="s">
        <v>48</v>
      </c>
      <c r="L10" s="885">
        <v>8.2634081751985402</v>
      </c>
      <c r="M10" s="884">
        <v>620.73110056337748</v>
      </c>
      <c r="N10" s="885">
        <v>17.284849738457716</v>
      </c>
      <c r="O10" s="895">
        <v>8.3455232440166043E-3</v>
      </c>
      <c r="P10" s="867">
        <v>1.434798169377863E-3</v>
      </c>
    </row>
    <row r="11" spans="1:19">
      <c r="A11" s="879">
        <v>2002</v>
      </c>
      <c r="B11" s="350">
        <v>0</v>
      </c>
      <c r="C11" s="350">
        <v>0</v>
      </c>
      <c r="D11" s="889">
        <v>149.75224326662621</v>
      </c>
      <c r="E11" s="410" t="s">
        <v>48</v>
      </c>
      <c r="F11" s="890">
        <v>15.347120493380919</v>
      </c>
      <c r="G11" s="321">
        <v>24.051694471285327</v>
      </c>
      <c r="H11" s="410" t="s">
        <v>48</v>
      </c>
      <c r="I11" s="321">
        <v>0.10761802523887726</v>
      </c>
      <c r="J11" s="884">
        <v>768.92910078916373</v>
      </c>
      <c r="K11" s="321" t="s">
        <v>48</v>
      </c>
      <c r="L11" s="885">
        <v>25.486738199453622</v>
      </c>
      <c r="M11" s="884">
        <v>942.73303852707522</v>
      </c>
      <c r="N11" s="885">
        <v>40.941476718073417</v>
      </c>
      <c r="O11" s="895">
        <v>9.6642061382393105E-3</v>
      </c>
      <c r="P11" s="867">
        <v>1.2662311705748431E-3</v>
      </c>
    </row>
    <row r="12" spans="1:19">
      <c r="A12" s="879">
        <v>2003</v>
      </c>
      <c r="B12" s="350">
        <v>0</v>
      </c>
      <c r="C12" s="350">
        <v>0</v>
      </c>
      <c r="D12" s="889">
        <v>0</v>
      </c>
      <c r="E12" s="410" t="s">
        <v>48</v>
      </c>
      <c r="F12" s="890">
        <v>1.579876612699316</v>
      </c>
      <c r="G12" s="321">
        <v>0</v>
      </c>
      <c r="H12" s="410" t="s">
        <v>48</v>
      </c>
      <c r="I12" s="321">
        <v>0</v>
      </c>
      <c r="J12" s="884">
        <v>196.59997105691028</v>
      </c>
      <c r="K12" s="321" t="s">
        <v>48</v>
      </c>
      <c r="L12" s="885">
        <v>4.0948734628345989</v>
      </c>
      <c r="M12" s="884">
        <v>196.59997105691028</v>
      </c>
      <c r="N12" s="885">
        <v>5.6747500755339146</v>
      </c>
      <c r="O12" s="895">
        <v>6.3808400096466095E-3</v>
      </c>
      <c r="P12" s="867">
        <v>8.8426840671277957E-4</v>
      </c>
    </row>
    <row r="13" spans="1:19">
      <c r="A13" s="879">
        <v>2004</v>
      </c>
      <c r="B13" s="350">
        <v>2.4942555761952517E-2</v>
      </c>
      <c r="C13" s="350">
        <v>0</v>
      </c>
      <c r="D13" s="889">
        <v>40.648312408883584</v>
      </c>
      <c r="E13" s="410" t="s">
        <v>48</v>
      </c>
      <c r="F13" s="890">
        <v>0</v>
      </c>
      <c r="G13" s="321">
        <v>9.2159112172499054</v>
      </c>
      <c r="H13" s="410" t="s">
        <v>48</v>
      </c>
      <c r="I13" s="321">
        <v>0</v>
      </c>
      <c r="J13" s="884">
        <v>105.86895004350016</v>
      </c>
      <c r="K13" s="321" t="s">
        <v>48</v>
      </c>
      <c r="L13" s="885">
        <v>3.4551215715005266</v>
      </c>
      <c r="M13" s="884">
        <v>155.75811622539561</v>
      </c>
      <c r="N13" s="885">
        <v>3.4551215715005266</v>
      </c>
      <c r="O13" s="895">
        <v>5.5241210180662368E-3</v>
      </c>
      <c r="P13" s="867">
        <v>3.7547506753972252E-4</v>
      </c>
    </row>
    <row r="14" spans="1:19">
      <c r="A14" s="879">
        <v>2005</v>
      </c>
      <c r="B14" s="350">
        <v>0</v>
      </c>
      <c r="C14" s="350">
        <v>0</v>
      </c>
      <c r="D14" s="889">
        <v>0</v>
      </c>
      <c r="E14" s="410" t="s">
        <v>48</v>
      </c>
      <c r="F14" s="890">
        <v>0</v>
      </c>
      <c r="G14" s="321">
        <v>0</v>
      </c>
      <c r="H14" s="410" t="s">
        <v>48</v>
      </c>
      <c r="I14" s="321">
        <v>0</v>
      </c>
      <c r="J14" s="884">
        <v>215.00157191464749</v>
      </c>
      <c r="K14" s="321" t="s">
        <v>48</v>
      </c>
      <c r="L14" s="885">
        <v>5.2559589772870297</v>
      </c>
      <c r="M14" s="884">
        <v>215.00157191464749</v>
      </c>
      <c r="N14" s="885">
        <v>5.2559589772870297</v>
      </c>
      <c r="O14" s="895">
        <v>5.4640473867251602E-3</v>
      </c>
      <c r="P14" s="867">
        <v>5.4640473867251607E-4</v>
      </c>
    </row>
    <row r="15" spans="1:19">
      <c r="A15" s="879">
        <v>2006</v>
      </c>
      <c r="B15" s="350">
        <v>1.2192845370370395</v>
      </c>
      <c r="C15" s="350">
        <v>1.2192845370370375</v>
      </c>
      <c r="D15" s="889">
        <v>58.479166666666771</v>
      </c>
      <c r="E15" s="410" t="s">
        <v>48</v>
      </c>
      <c r="F15" s="890">
        <v>6.263157894736846</v>
      </c>
      <c r="G15" s="321">
        <v>12.354166666666689</v>
      </c>
      <c r="H15" s="410" t="s">
        <v>48</v>
      </c>
      <c r="I15" s="321">
        <v>4.0670046784935181E-2</v>
      </c>
      <c r="J15" s="884">
        <v>461.58317246403197</v>
      </c>
      <c r="K15" s="321" t="s">
        <v>48</v>
      </c>
      <c r="L15" s="885">
        <v>5.9513312693498444</v>
      </c>
      <c r="M15" s="884">
        <v>533.63579033440249</v>
      </c>
      <c r="N15" s="885">
        <v>13.474443747908662</v>
      </c>
      <c r="O15" s="895">
        <v>8.1270109094210112E-3</v>
      </c>
      <c r="P15" s="867">
        <v>1.5915950564503499E-3</v>
      </c>
    </row>
    <row r="16" spans="1:19">
      <c r="A16" s="879">
        <v>2007</v>
      </c>
      <c r="B16" s="350">
        <v>4.4020961742918564E-2</v>
      </c>
      <c r="C16" s="350">
        <v>0.11005240435729882</v>
      </c>
      <c r="D16" s="889">
        <v>18.602898550724294</v>
      </c>
      <c r="E16" s="410" t="s">
        <v>48</v>
      </c>
      <c r="F16" s="890">
        <v>5.9363636363636534</v>
      </c>
      <c r="G16" s="321">
        <v>5.918840579710035</v>
      </c>
      <c r="H16" s="410" t="s">
        <v>48</v>
      </c>
      <c r="I16" s="321">
        <v>1.1644029604133802E-2</v>
      </c>
      <c r="J16" s="884">
        <v>286.41972294511663</v>
      </c>
      <c r="K16" s="321" t="s">
        <v>48</v>
      </c>
      <c r="L16" s="885">
        <v>6.1393166635366079</v>
      </c>
      <c r="M16" s="884">
        <v>310.98548303729387</v>
      </c>
      <c r="N16" s="885">
        <v>12.197376733861695</v>
      </c>
      <c r="O16" s="895">
        <v>7.3942052174923644E-3</v>
      </c>
      <c r="P16" s="867">
        <v>1.3530090664294727E-3</v>
      </c>
    </row>
    <row r="17" spans="1:18">
      <c r="A17" s="879">
        <v>2008</v>
      </c>
      <c r="B17" s="350">
        <v>0.26135401758651733</v>
      </c>
      <c r="C17" s="350">
        <v>2.9817653976997226E-2</v>
      </c>
      <c r="D17" s="889">
        <v>107.34554068189195</v>
      </c>
      <c r="E17" s="350">
        <v>0</v>
      </c>
      <c r="F17" s="890">
        <v>1.5271801860847547</v>
      </c>
      <c r="G17" s="321">
        <v>30.426958035586527</v>
      </c>
      <c r="H17" s="321">
        <v>0</v>
      </c>
      <c r="I17" s="321">
        <v>0.34713853441238923</v>
      </c>
      <c r="J17" s="884">
        <v>265.40901932828911</v>
      </c>
      <c r="K17" s="321">
        <v>1.8784324477867131</v>
      </c>
      <c r="L17" s="885">
        <v>5.1380349384675625</v>
      </c>
      <c r="M17" s="884">
        <v>405.32130451114085</v>
      </c>
      <c r="N17" s="885">
        <v>7.0421713129417034</v>
      </c>
      <c r="O17" s="895">
        <v>4.9779352794059048E-3</v>
      </c>
      <c r="P17" s="867">
        <v>4.7838025803225559E-4</v>
      </c>
    </row>
    <row r="18" spans="1:18">
      <c r="A18" s="879">
        <v>2009</v>
      </c>
      <c r="B18" s="350">
        <v>0</v>
      </c>
      <c r="C18" s="350">
        <v>0</v>
      </c>
      <c r="D18" s="889">
        <v>35.081848660434275</v>
      </c>
      <c r="E18" s="350">
        <v>0</v>
      </c>
      <c r="F18" s="890">
        <v>11.836299229277531</v>
      </c>
      <c r="G18" s="321">
        <v>5.4280636779068727</v>
      </c>
      <c r="H18" s="321">
        <v>0</v>
      </c>
      <c r="I18" s="321">
        <v>1.5291369702385946</v>
      </c>
      <c r="J18" s="884">
        <v>136.02547134168225</v>
      </c>
      <c r="K18" s="321">
        <v>1.3542869300973781</v>
      </c>
      <c r="L18" s="885">
        <v>5.4572296179443951</v>
      </c>
      <c r="M18" s="884">
        <v>177.88967061012076</v>
      </c>
      <c r="N18" s="885">
        <v>18.822665817460521</v>
      </c>
      <c r="O18" s="895">
        <v>5.3481503191871371E-3</v>
      </c>
      <c r="P18" s="867">
        <v>1.5509630599263313E-3</v>
      </c>
    </row>
    <row r="19" spans="1:18">
      <c r="A19" s="879">
        <v>2010</v>
      </c>
      <c r="B19" s="350">
        <v>0</v>
      </c>
      <c r="C19" s="350">
        <v>0</v>
      </c>
      <c r="D19" s="889">
        <v>96.204833371542591</v>
      </c>
      <c r="E19" s="350">
        <v>0</v>
      </c>
      <c r="F19" s="890">
        <v>17.424990135527892</v>
      </c>
      <c r="G19" s="321">
        <v>20.55230888879051</v>
      </c>
      <c r="H19" s="321">
        <v>0</v>
      </c>
      <c r="I19" s="321">
        <v>4.0468263540716505</v>
      </c>
      <c r="J19" s="884">
        <v>269.15063449334866</v>
      </c>
      <c r="K19" s="321">
        <v>1.2116231899117647</v>
      </c>
      <c r="L19" s="885">
        <v>8.8927175649573336</v>
      </c>
      <c r="M19" s="884">
        <v>387.11939994359358</v>
      </c>
      <c r="N19" s="885">
        <v>30.364534054556877</v>
      </c>
      <c r="O19" s="895">
        <v>6.1665040456282821E-3</v>
      </c>
      <c r="P19" s="867">
        <v>1.529835665602665E-3</v>
      </c>
    </row>
    <row r="20" spans="1:18">
      <c r="A20" s="879">
        <v>2011</v>
      </c>
      <c r="B20" s="350">
        <v>0</v>
      </c>
      <c r="C20" s="350">
        <v>0</v>
      </c>
      <c r="D20" s="889">
        <v>0</v>
      </c>
      <c r="E20" s="350">
        <v>0</v>
      </c>
      <c r="F20" s="890">
        <v>10.072333016918455</v>
      </c>
      <c r="G20" s="321">
        <v>0</v>
      </c>
      <c r="H20" s="321">
        <v>0</v>
      </c>
      <c r="I20" s="321">
        <v>0.87654532140950614</v>
      </c>
      <c r="J20" s="884">
        <v>130.09953781053522</v>
      </c>
      <c r="K20" s="321">
        <v>1.6102691034014371</v>
      </c>
      <c r="L20" s="885">
        <v>2.3238452257462829</v>
      </c>
      <c r="M20" s="884">
        <v>131.70980691393666</v>
      </c>
      <c r="N20" s="885">
        <v>13.272723564074242</v>
      </c>
      <c r="O20" s="895">
        <v>4.7891255427201761E-3</v>
      </c>
      <c r="P20" s="867">
        <v>3.0363019045018995E-3</v>
      </c>
    </row>
    <row r="21" spans="1:18">
      <c r="A21" s="879">
        <v>2012</v>
      </c>
      <c r="B21" s="350">
        <v>0</v>
      </c>
      <c r="C21" s="350">
        <v>0</v>
      </c>
      <c r="D21" s="889">
        <v>10.474684478777247</v>
      </c>
      <c r="E21" s="350">
        <v>4.5933548003183073</v>
      </c>
      <c r="F21" s="890">
        <v>14.497868276855925</v>
      </c>
      <c r="G21" s="321">
        <v>0.45842626879461801</v>
      </c>
      <c r="H21" s="321">
        <v>0.17235203464438678</v>
      </c>
      <c r="I21" s="321">
        <v>0.54398956844119084</v>
      </c>
      <c r="J21" s="884">
        <v>135.98778354228267</v>
      </c>
      <c r="K21" s="321">
        <v>3.5428004553980608</v>
      </c>
      <c r="L21" s="885">
        <v>3.8253328123165957</v>
      </c>
      <c r="M21" s="884">
        <v>155.2294015802153</v>
      </c>
      <c r="N21" s="885">
        <v>18.867190657613712</v>
      </c>
      <c r="O21" s="895">
        <v>6.6695155490776245E-3</v>
      </c>
      <c r="P21" s="867">
        <v>3.6325294027067215E-3</v>
      </c>
    </row>
    <row r="22" spans="1:18">
      <c r="A22" s="879">
        <v>2013</v>
      </c>
      <c r="B22" s="350">
        <v>1.1395177850579589E-2</v>
      </c>
      <c r="C22" s="350">
        <v>1.422587866872135E-2</v>
      </c>
      <c r="D22" s="889">
        <v>16.735580413758385</v>
      </c>
      <c r="E22" s="350">
        <v>0</v>
      </c>
      <c r="F22" s="890">
        <v>1.93111741513515</v>
      </c>
      <c r="G22" s="321">
        <v>1.2376158068482142</v>
      </c>
      <c r="H22" s="321">
        <v>0</v>
      </c>
      <c r="I22" s="321">
        <v>0.15450546307900648</v>
      </c>
      <c r="J22" s="884">
        <v>24.507319709746124</v>
      </c>
      <c r="K22" s="321">
        <v>0.57955972994491223</v>
      </c>
      <c r="L22" s="885">
        <v>0.37753191545822118</v>
      </c>
      <c r="M22" s="884">
        <v>43.071470838148215</v>
      </c>
      <c r="N22" s="885">
        <v>2.4773806723410989</v>
      </c>
      <c r="O22" s="895">
        <v>4.1728305009838514E-3</v>
      </c>
      <c r="P22" s="867">
        <v>1.9264802076063286E-3</v>
      </c>
    </row>
    <row r="23" spans="1:18">
      <c r="A23" s="879">
        <v>2014</v>
      </c>
      <c r="B23" s="350">
        <v>0.12308349715673594</v>
      </c>
      <c r="C23" s="350">
        <v>0.16595932960040274</v>
      </c>
      <c r="D23" s="889">
        <v>33.450499719137852</v>
      </c>
      <c r="E23" s="350">
        <v>0</v>
      </c>
      <c r="F23" s="890">
        <v>4.2521003383056071</v>
      </c>
      <c r="G23" s="321">
        <v>4.539437818756241</v>
      </c>
      <c r="H23" s="321">
        <v>0</v>
      </c>
      <c r="I23" s="321">
        <v>0.61207397788199058</v>
      </c>
      <c r="J23" s="884">
        <v>120.80989160087144</v>
      </c>
      <c r="K23" s="321">
        <v>2.9372574495026438</v>
      </c>
      <c r="L23" s="885">
        <v>2.1198126778020927</v>
      </c>
      <c r="M23" s="884">
        <v>161.86017008542493</v>
      </c>
      <c r="N23" s="885">
        <v>7.1499463235900933</v>
      </c>
      <c r="O23" s="895">
        <v>4.22368563800806E-3</v>
      </c>
      <c r="P23" s="867">
        <v>1.3218315763113924E-3</v>
      </c>
    </row>
    <row r="24" spans="1:18">
      <c r="A24" s="879">
        <v>2015</v>
      </c>
      <c r="B24" s="350">
        <v>0</v>
      </c>
      <c r="C24" s="350">
        <v>0.28920851003442061</v>
      </c>
      <c r="D24" s="889">
        <v>0</v>
      </c>
      <c r="E24" s="350">
        <v>0</v>
      </c>
      <c r="F24" s="890">
        <v>2.3630630630630627</v>
      </c>
      <c r="G24" s="321">
        <v>0</v>
      </c>
      <c r="H24" s="321">
        <v>0</v>
      </c>
      <c r="I24" s="321">
        <v>0.46997051271405144</v>
      </c>
      <c r="J24" s="884">
        <v>40.150671879297228</v>
      </c>
      <c r="K24" s="321">
        <v>0.95995850551174022</v>
      </c>
      <c r="L24" s="885">
        <v>1.3762833927357474</v>
      </c>
      <c r="M24" s="884">
        <v>41.110630384808971</v>
      </c>
      <c r="N24" s="885">
        <v>4.4985254785472826</v>
      </c>
      <c r="O24" s="895">
        <v>3.4595944528169244E-3</v>
      </c>
      <c r="P24" s="867">
        <v>1.3684492597899871E-3</v>
      </c>
    </row>
    <row r="25" spans="1:18">
      <c r="A25" s="879">
        <v>2016</v>
      </c>
      <c r="B25" s="350">
        <v>4.7344208649744264E-2</v>
      </c>
      <c r="C25" s="350">
        <v>0.30361967967747816</v>
      </c>
      <c r="D25" s="889">
        <v>0</v>
      </c>
      <c r="E25" s="350">
        <v>0.64969436585806317</v>
      </c>
      <c r="F25" s="890">
        <v>4.1665073907862844</v>
      </c>
      <c r="G25" s="321">
        <v>0</v>
      </c>
      <c r="H25" s="321">
        <v>7.9085129990572975E-2</v>
      </c>
      <c r="I25" s="321">
        <v>0.50717505941709706</v>
      </c>
      <c r="J25" s="884">
        <v>81.871128765166787</v>
      </c>
      <c r="K25" s="321">
        <v>1.3567870965770659</v>
      </c>
      <c r="L25" s="885">
        <v>0.83930684115562448</v>
      </c>
      <c r="M25" s="884">
        <v>84.004039566242227</v>
      </c>
      <c r="N25" s="885">
        <v>5.8166089710364846</v>
      </c>
      <c r="O25" s="895">
        <v>2.1295226459565513E-3</v>
      </c>
      <c r="P25" s="867">
        <v>1.6767066111567186E-3</v>
      </c>
    </row>
    <row r="26" spans="1:18">
      <c r="A26" s="879">
        <v>2017</v>
      </c>
      <c r="B26" s="350">
        <v>0</v>
      </c>
      <c r="C26" s="350">
        <v>0</v>
      </c>
      <c r="D26" s="889">
        <v>0</v>
      </c>
      <c r="E26" s="350">
        <v>0</v>
      </c>
      <c r="F26" s="890">
        <v>0.54688584324251366</v>
      </c>
      <c r="G26" s="321">
        <v>0</v>
      </c>
      <c r="H26" s="321">
        <v>0</v>
      </c>
      <c r="I26" s="321">
        <v>9.2571639794409633E-2</v>
      </c>
      <c r="J26" s="884">
        <v>1.5020772466616821</v>
      </c>
      <c r="K26" s="321">
        <v>2.4061966653038305E-2</v>
      </c>
      <c r="L26" s="885">
        <v>2.2475792234367867E-2</v>
      </c>
      <c r="M26" s="884">
        <v>1.5261392133147205</v>
      </c>
      <c r="N26" s="885">
        <v>0.6619332752712912</v>
      </c>
      <c r="O26" s="895">
        <v>2.6208813555121424E-4</v>
      </c>
      <c r="P26" s="867">
        <v>8.8140249703234517E-4</v>
      </c>
    </row>
    <row r="27" spans="1:18" ht="15.75">
      <c r="A27" s="879">
        <v>2018</v>
      </c>
      <c r="B27" s="350">
        <v>9.1810210229595929E-2</v>
      </c>
      <c r="C27" s="350">
        <v>3.2734169766104063E-2</v>
      </c>
      <c r="D27" s="889">
        <v>52.444228618517805</v>
      </c>
      <c r="E27" s="350">
        <v>0</v>
      </c>
      <c r="F27" s="890">
        <v>1.5067616902074856</v>
      </c>
      <c r="G27" s="321">
        <v>0.16172229089410775</v>
      </c>
      <c r="H27" s="321">
        <v>0</v>
      </c>
      <c r="I27" s="321">
        <v>5.7660742872196E-3</v>
      </c>
      <c r="J27" s="884">
        <v>72.990244747266502</v>
      </c>
      <c r="K27" s="321">
        <v>1.2348895311985058</v>
      </c>
      <c r="L27" s="885">
        <v>0.91237805934083127</v>
      </c>
      <c r="M27" s="884">
        <v>126.92289539810652</v>
      </c>
      <c r="N27" s="885">
        <v>2.4576399936016404</v>
      </c>
      <c r="O27" s="895">
        <v>5.6967188239724648E-3</v>
      </c>
      <c r="P27" s="867">
        <v>1.0317548251896056E-3</v>
      </c>
      <c r="R27" s="60"/>
    </row>
    <row r="28" spans="1:18" ht="15.75">
      <c r="A28" s="879">
        <v>2019</v>
      </c>
      <c r="B28" s="350">
        <v>7.8578327795947468E-3</v>
      </c>
      <c r="C28" s="350">
        <v>1.5715665559189494E-2</v>
      </c>
      <c r="D28" s="889">
        <v>0</v>
      </c>
      <c r="E28" s="350">
        <v>1.6511413397293135</v>
      </c>
      <c r="F28" s="890">
        <v>3.3022826794586271</v>
      </c>
      <c r="G28" s="321">
        <v>0</v>
      </c>
      <c r="H28" s="321">
        <v>5.4182877680269394E-2</v>
      </c>
      <c r="I28" s="321">
        <v>0.10836575536053879</v>
      </c>
      <c r="J28" s="884">
        <v>15.527659559526036</v>
      </c>
      <c r="K28" s="321">
        <v>0.4347164795456207</v>
      </c>
      <c r="L28" s="885">
        <v>0.33110435364474095</v>
      </c>
      <c r="M28" s="884">
        <v>17.675558089260836</v>
      </c>
      <c r="N28" s="885">
        <v>3.7574684540230963</v>
      </c>
      <c r="O28" s="895">
        <v>3.2771867062508964E-3</v>
      </c>
      <c r="P28" s="867">
        <v>4.1817859629066966E-3</v>
      </c>
      <c r="R28" s="60"/>
    </row>
    <row r="29" spans="1:18" ht="15.75">
      <c r="A29" s="879">
        <v>2020</v>
      </c>
      <c r="B29" s="350">
        <v>1.7568150013568887E-2</v>
      </c>
      <c r="C29" s="350">
        <v>0.21157444912744486</v>
      </c>
      <c r="D29" s="889">
        <v>6.0545967939679795</v>
      </c>
      <c r="E29" s="350">
        <v>0.16908328969950781</v>
      </c>
      <c r="F29" s="890">
        <v>8.487747507552811</v>
      </c>
      <c r="G29" s="321">
        <v>0.18191473058297</v>
      </c>
      <c r="H29" s="321">
        <v>0</v>
      </c>
      <c r="I29" s="321">
        <v>0.21908117178833592</v>
      </c>
      <c r="J29" s="884">
        <v>53.251814273648506</v>
      </c>
      <c r="K29" s="321">
        <v>0.90755667993870759</v>
      </c>
      <c r="L29" s="885">
        <v>1.2219602440603314</v>
      </c>
      <c r="M29" s="884">
        <v>60.582533917851237</v>
      </c>
      <c r="N29" s="885">
        <v>10.140363372528924</v>
      </c>
      <c r="O29" s="895">
        <v>2.2503820035604635E-3</v>
      </c>
      <c r="P29" s="867">
        <v>1.9212511126428427E-3</v>
      </c>
      <c r="R29" s="60"/>
    </row>
    <row r="30" spans="1:18" ht="15.75">
      <c r="A30" s="879">
        <v>2021</v>
      </c>
      <c r="B30" s="350">
        <v>1.0824105367118924E-2</v>
      </c>
      <c r="C30" s="350">
        <v>1.1286850602891748E-2</v>
      </c>
      <c r="D30" s="889">
        <v>12.296296296296275</v>
      </c>
      <c r="E30" s="350">
        <v>0</v>
      </c>
      <c r="F30" s="890">
        <v>1.2587301587301649</v>
      </c>
      <c r="G30" s="321">
        <v>1.8658734146406588E-2</v>
      </c>
      <c r="H30" s="321">
        <v>0</v>
      </c>
      <c r="I30" s="321">
        <v>1.9456420425221844E-3</v>
      </c>
      <c r="J30" s="884">
        <v>9.1648685591994933E-2</v>
      </c>
      <c r="K30" s="321">
        <v>1.4019393292790758E-3</v>
      </c>
      <c r="L30" s="885">
        <v>1.8211202663194759E-3</v>
      </c>
      <c r="M30" s="884">
        <v>12.418829760731073</v>
      </c>
      <c r="N30" s="885">
        <v>1.2737837716418983</v>
      </c>
      <c r="O30" s="895">
        <v>1.2664521477392487E-3</v>
      </c>
      <c r="P30" s="867">
        <v>7.537182080721292E-4</v>
      </c>
      <c r="R30" s="60"/>
    </row>
    <row r="31" spans="1:18" ht="15.75">
      <c r="A31" s="879">
        <v>2022</v>
      </c>
      <c r="B31" s="350">
        <v>0.17732230169141286</v>
      </c>
      <c r="C31" s="350">
        <v>0.14506181774744076</v>
      </c>
      <c r="D31" s="889">
        <v>52.545454545454248</v>
      </c>
      <c r="E31" s="350">
        <v>0</v>
      </c>
      <c r="F31" s="890">
        <v>4.384776602939839</v>
      </c>
      <c r="G31" s="321">
        <v>0.20792022608619584</v>
      </c>
      <c r="H31" s="321">
        <v>0</v>
      </c>
      <c r="I31" s="321">
        <v>1.7009302075838676E-2</v>
      </c>
      <c r="J31" s="884">
        <v>0</v>
      </c>
      <c r="K31" s="321">
        <v>0</v>
      </c>
      <c r="L31" s="885">
        <v>0</v>
      </c>
      <c r="M31" s="884">
        <v>52.930697073231855</v>
      </c>
      <c r="N31" s="885">
        <v>4.5468477227631183</v>
      </c>
      <c r="O31" s="895">
        <v>1.5780894151406295E-3</v>
      </c>
      <c r="P31" s="867">
        <v>6.7490689071739922E-4</v>
      </c>
      <c r="R31" s="60"/>
    </row>
    <row r="32" spans="1:18" ht="15.75">
      <c r="A32" s="879">
        <v>2023</v>
      </c>
      <c r="B32" s="350">
        <v>0.25773988518758073</v>
      </c>
      <c r="C32" s="890">
        <v>0</v>
      </c>
      <c r="D32" s="350">
        <v>36.591572548906299</v>
      </c>
      <c r="E32" s="350">
        <v>3.4288906740670426</v>
      </c>
      <c r="F32" s="890">
        <v>0</v>
      </c>
      <c r="G32" s="321">
        <v>0.15116448752544356</v>
      </c>
      <c r="H32" s="321">
        <v>1.3844481649822228E-2</v>
      </c>
      <c r="I32" s="885">
        <v>0</v>
      </c>
      <c r="J32" s="321">
        <v>0</v>
      </c>
      <c r="K32" s="321">
        <v>0</v>
      </c>
      <c r="L32" s="885">
        <v>0</v>
      </c>
      <c r="M32" s="321">
        <v>40.443212077336185</v>
      </c>
      <c r="N32" s="885">
        <v>0</v>
      </c>
      <c r="O32" s="1586">
        <v>2.2257009563225023E-3</v>
      </c>
      <c r="P32" s="867">
        <v>0</v>
      </c>
      <c r="R32" s="60"/>
    </row>
    <row r="33" spans="1:19" ht="15.75">
      <c r="A33" s="880">
        <v>2024</v>
      </c>
      <c r="B33" s="863">
        <v>0.19779023528565634</v>
      </c>
      <c r="C33" s="891">
        <v>8.4418336852263728E-2</v>
      </c>
      <c r="D33" s="863">
        <v>104.62392511935901</v>
      </c>
      <c r="E33" s="863">
        <v>0</v>
      </c>
      <c r="F33" s="891">
        <v>5.0860545576005416</v>
      </c>
      <c r="G33" s="868">
        <v>0.42339930536840326</v>
      </c>
      <c r="H33" s="868">
        <v>0</v>
      </c>
      <c r="I33" s="899">
        <v>1.8070995836565643E-2</v>
      </c>
      <c r="J33" s="868">
        <v>28.335417015190057</v>
      </c>
      <c r="K33" s="868">
        <v>0.77206920941181245</v>
      </c>
      <c r="L33" s="899">
        <v>0.34994623213526377</v>
      </c>
      <c r="M33" s="868">
        <v>134.35260088461496</v>
      </c>
      <c r="N33" s="899">
        <v>5.5384901224246352</v>
      </c>
      <c r="O33" s="1143">
        <v>3.049863817411581E-3</v>
      </c>
      <c r="P33" s="869">
        <v>1.346254283525677E-3</v>
      </c>
      <c r="R33" s="60"/>
    </row>
    <row r="34" spans="1:19" ht="98.25" customHeight="1">
      <c r="A34" s="1728" t="s">
        <v>476</v>
      </c>
      <c r="B34" s="1728"/>
      <c r="C34" s="1728"/>
      <c r="D34" s="1728"/>
      <c r="E34" s="1728"/>
      <c r="F34" s="1728"/>
      <c r="G34" s="1728"/>
      <c r="H34" s="1728"/>
      <c r="I34" s="1728"/>
      <c r="J34" s="1728"/>
      <c r="K34" s="1728"/>
      <c r="L34" s="1728"/>
      <c r="M34" s="1728"/>
      <c r="N34" s="1728"/>
      <c r="O34" s="1728"/>
      <c r="P34" s="1728"/>
      <c r="Q34" s="133"/>
      <c r="R34" s="133"/>
      <c r="S34" s="133"/>
    </row>
    <row r="35" spans="1:19" ht="16.5" customHeight="1">
      <c r="A35" s="235" t="s">
        <v>477</v>
      </c>
      <c r="B35" s="133"/>
      <c r="C35" s="133"/>
      <c r="D35" s="133"/>
      <c r="E35" s="133"/>
      <c r="F35" s="133"/>
      <c r="G35" s="133"/>
      <c r="H35" s="133"/>
      <c r="I35" s="133"/>
      <c r="J35" s="133"/>
      <c r="K35" s="133"/>
      <c r="L35" s="133"/>
      <c r="M35" s="133"/>
      <c r="N35" s="133"/>
      <c r="O35" s="133"/>
      <c r="P35" s="133"/>
    </row>
    <row r="36" spans="1:19" ht="16.5" customHeight="1">
      <c r="A36" s="235" t="s">
        <v>478</v>
      </c>
      <c r="B36" s="133"/>
      <c r="C36" s="133"/>
      <c r="D36" s="133"/>
      <c r="E36" s="133"/>
      <c r="F36" s="133"/>
      <c r="G36" s="133"/>
      <c r="H36" s="133"/>
      <c r="I36" s="133"/>
      <c r="J36" s="133"/>
      <c r="K36" s="133"/>
      <c r="L36" s="133"/>
      <c r="M36" s="133"/>
      <c r="N36" s="133"/>
      <c r="O36" s="133"/>
      <c r="P36" s="133"/>
    </row>
    <row r="37" spans="1:19" ht="20.100000000000001" customHeight="1">
      <c r="A37" s="235" t="s">
        <v>479</v>
      </c>
      <c r="B37" s="133"/>
      <c r="C37" s="133"/>
      <c r="D37" s="133"/>
      <c r="E37" s="133"/>
      <c r="F37" s="133"/>
      <c r="G37" s="133"/>
      <c r="H37" s="133"/>
      <c r="I37" s="133"/>
      <c r="J37" s="133"/>
      <c r="K37" s="133"/>
      <c r="L37" s="133"/>
      <c r="M37" s="133"/>
      <c r="N37" s="133"/>
      <c r="O37" s="133"/>
      <c r="P37" s="133"/>
    </row>
    <row r="38" spans="1:19" ht="21.75" customHeight="1">
      <c r="A38" s="1846"/>
      <c r="B38" s="1846"/>
      <c r="C38" s="1846"/>
      <c r="D38" s="1846"/>
      <c r="E38" s="1846"/>
      <c r="F38" s="1846"/>
      <c r="G38" s="1846"/>
      <c r="H38" s="1846"/>
      <c r="I38" s="1846"/>
      <c r="J38" s="1846"/>
      <c r="K38" s="1846"/>
      <c r="L38" s="1846"/>
      <c r="M38" s="1846"/>
      <c r="N38" s="1846"/>
      <c r="O38" s="1846"/>
      <c r="P38" s="1846"/>
    </row>
    <row r="39" spans="1:19">
      <c r="A39" s="1846"/>
      <c r="B39" s="1846"/>
      <c r="C39" s="1846"/>
      <c r="D39" s="1846"/>
      <c r="E39" s="1846"/>
      <c r="F39" s="1846"/>
      <c r="G39" s="1846"/>
      <c r="H39" s="1846"/>
      <c r="I39" s="1846"/>
      <c r="J39" s="1846"/>
      <c r="K39" s="1846"/>
      <c r="L39" s="1846"/>
      <c r="M39" s="1846"/>
      <c r="N39" s="1846"/>
      <c r="O39" s="1846"/>
      <c r="P39" s="1846"/>
    </row>
    <row r="40" spans="1:19" ht="15.75">
      <c r="A40" s="7"/>
    </row>
    <row r="41" spans="1:19" ht="15.75">
      <c r="A41" s="60" t="s">
        <v>87</v>
      </c>
    </row>
  </sheetData>
  <mergeCells count="20">
    <mergeCell ref="M5:N5"/>
    <mergeCell ref="O5:P5"/>
    <mergeCell ref="B6:B7"/>
    <mergeCell ref="C6:C7"/>
    <mergeCell ref="D6:E6"/>
    <mergeCell ref="G6:H6"/>
    <mergeCell ref="B4:F4"/>
    <mergeCell ref="G4:I4"/>
    <mergeCell ref="J4:L4"/>
    <mergeCell ref="B5:C5"/>
    <mergeCell ref="D5:F5"/>
    <mergeCell ref="G5:I5"/>
    <mergeCell ref="J5:L5"/>
    <mergeCell ref="J6:K6"/>
    <mergeCell ref="M6:M7"/>
    <mergeCell ref="N6:N7"/>
    <mergeCell ref="O6:O7"/>
    <mergeCell ref="A38:P39"/>
    <mergeCell ref="A34:P34"/>
    <mergeCell ref="P6:P7"/>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CA4F-79AB-480D-8B3F-69E451EBB68F}">
  <sheetPr>
    <tabColor rgb="FF66FF33"/>
  </sheetPr>
  <dimension ref="A1:AE66"/>
  <sheetViews>
    <sheetView zoomScaleNormal="100" zoomScaleSheetLayoutView="100" workbookViewId="0">
      <pane ySplit="3" topLeftCell="A14" activePane="bottomLeft" state="frozen"/>
      <selection pane="bottomLeft" activeCell="A51" sqref="A51"/>
      <selection activeCell="J33" sqref="J33"/>
    </sheetView>
  </sheetViews>
  <sheetFormatPr defaultColWidth="9.33203125" defaultRowHeight="12.75"/>
  <cols>
    <col min="1" max="1" width="15.6640625" style="75" customWidth="1"/>
    <col min="2" max="2" width="8.1640625" style="75" customWidth="1"/>
    <col min="3" max="3" width="10.6640625" style="75" customWidth="1"/>
    <col min="4" max="4" width="10.1640625" style="75" bestFit="1" customWidth="1"/>
    <col min="5" max="5" width="9.33203125" style="75" customWidth="1"/>
    <col min="6" max="6" width="8.6640625" style="75" customWidth="1"/>
    <col min="7" max="7" width="9.83203125" style="75" customWidth="1"/>
    <col min="8" max="9" width="10.1640625" style="75" customWidth="1"/>
    <col min="10" max="11" width="10.6640625" style="75" customWidth="1"/>
    <col min="12" max="12" width="15.1640625" style="75" bestFit="1" customWidth="1"/>
    <col min="13" max="13" width="15" style="75" bestFit="1" customWidth="1"/>
    <col min="14" max="14" width="18.83203125" style="75" bestFit="1" customWidth="1"/>
    <col min="15" max="15" width="18.33203125" style="75" bestFit="1" customWidth="1"/>
    <col min="16" max="16" width="19.1640625" style="75" bestFit="1" customWidth="1"/>
    <col min="17" max="17" width="17" style="75" bestFit="1" customWidth="1"/>
    <col min="18" max="18" width="7.1640625" style="75" bestFit="1" customWidth="1"/>
    <col min="19" max="20" width="15.83203125" style="75" customWidth="1"/>
    <col min="21" max="21" width="11.33203125" style="75" bestFit="1" customWidth="1"/>
    <col min="22" max="24" width="9.33203125" style="75"/>
    <col min="25" max="25" width="12" style="75" bestFit="1" customWidth="1"/>
    <col min="26" max="26" width="12.83203125" style="75" bestFit="1" customWidth="1"/>
    <col min="27" max="27" width="9.33203125" style="75"/>
    <col min="28" max="28" width="11.33203125" style="75" bestFit="1" customWidth="1"/>
    <col min="29" max="16384" width="9.33203125" style="75"/>
  </cols>
  <sheetData>
    <row r="1" spans="1:31">
      <c r="A1" s="703" t="s">
        <v>481</v>
      </c>
      <c r="B1" s="703"/>
      <c r="C1" s="703"/>
      <c r="D1" s="703"/>
      <c r="E1" s="703"/>
      <c r="F1" s="703"/>
      <c r="G1" s="703"/>
      <c r="H1" s="703"/>
      <c r="I1" s="703"/>
      <c r="J1" s="703"/>
      <c r="K1" s="703"/>
      <c r="L1" s="704"/>
      <c r="M1" s="705"/>
      <c r="N1" s="1645"/>
      <c r="O1" s="1645"/>
      <c r="P1" s="1645"/>
      <c r="Q1" s="1645"/>
      <c r="R1" s="1645"/>
      <c r="S1" s="1645"/>
      <c r="T1" s="1645"/>
      <c r="U1" s="1645"/>
      <c r="V1" s="1645"/>
      <c r="W1" s="1645"/>
      <c r="X1" s="1645"/>
      <c r="Y1" s="545"/>
      <c r="Z1" s="545"/>
      <c r="AA1" s="1645"/>
      <c r="AB1" s="1645"/>
      <c r="AC1" s="1645"/>
      <c r="AD1" s="1645"/>
      <c r="AE1" s="1645"/>
    </row>
    <row r="2" spans="1:31">
      <c r="A2" s="1645"/>
      <c r="B2" s="1788" t="s">
        <v>482</v>
      </c>
      <c r="C2" s="1788"/>
      <c r="D2" s="1788" t="s">
        <v>483</v>
      </c>
      <c r="E2" s="1788"/>
      <c r="F2" s="1788" t="s">
        <v>484</v>
      </c>
      <c r="G2" s="1788"/>
      <c r="H2" s="1788" t="s">
        <v>485</v>
      </c>
      <c r="I2" s="1788"/>
      <c r="J2" s="1788"/>
      <c r="K2" s="1645"/>
      <c r="L2" s="706"/>
      <c r="M2" s="706"/>
      <c r="N2" s="545"/>
      <c r="O2" s="1645"/>
      <c r="P2" s="545"/>
      <c r="Q2" s="545"/>
      <c r="R2" s="545"/>
      <c r="S2" s="1645"/>
      <c r="T2" s="1645"/>
      <c r="U2" s="1645"/>
      <c r="V2" s="1645"/>
      <c r="W2" s="1645"/>
      <c r="X2" s="1645"/>
      <c r="Y2" s="1851" t="s">
        <v>486</v>
      </c>
      <c r="Z2" s="1851"/>
      <c r="AA2" s="1645"/>
      <c r="AB2" s="1645"/>
      <c r="AC2" s="1645"/>
      <c r="AD2" s="1645"/>
      <c r="AE2" s="1645"/>
    </row>
    <row r="3" spans="1:31" ht="14.25" customHeight="1">
      <c r="A3" s="707" t="s">
        <v>28</v>
      </c>
      <c r="B3" s="1645" t="s">
        <v>260</v>
      </c>
      <c r="C3" s="1645" t="s">
        <v>36</v>
      </c>
      <c r="D3" s="1645" t="s">
        <v>260</v>
      </c>
      <c r="E3" s="1645" t="s">
        <v>36</v>
      </c>
      <c r="F3" s="1645" t="s">
        <v>260</v>
      </c>
      <c r="G3" s="1645" t="s">
        <v>36</v>
      </c>
      <c r="H3" s="1645" t="s">
        <v>260</v>
      </c>
      <c r="I3" s="1645" t="s">
        <v>369</v>
      </c>
      <c r="J3" s="1645" t="s">
        <v>36</v>
      </c>
      <c r="K3" s="1645"/>
      <c r="L3" s="705" t="s">
        <v>487</v>
      </c>
      <c r="M3" s="705" t="s">
        <v>488</v>
      </c>
      <c r="N3" s="1645" t="s">
        <v>489</v>
      </c>
      <c r="O3" s="1645" t="s">
        <v>490</v>
      </c>
      <c r="P3" s="1645" t="s">
        <v>491</v>
      </c>
      <c r="Q3" s="1645" t="s">
        <v>492</v>
      </c>
      <c r="R3" s="1645" t="s">
        <v>493</v>
      </c>
      <c r="S3" s="1645" t="s">
        <v>494</v>
      </c>
      <c r="T3" s="1645" t="s">
        <v>495</v>
      </c>
      <c r="U3" s="1645"/>
      <c r="V3" s="707" t="s">
        <v>28</v>
      </c>
      <c r="W3" s="1645" t="s">
        <v>36</v>
      </c>
      <c r="X3" s="1645" t="s">
        <v>47</v>
      </c>
      <c r="Y3" s="1645" t="s">
        <v>496</v>
      </c>
      <c r="Z3" s="1645" t="s">
        <v>497</v>
      </c>
      <c r="AA3" s="1645"/>
      <c r="AB3" s="1645"/>
      <c r="AC3" s="707" t="s">
        <v>28</v>
      </c>
      <c r="AD3" s="1645" t="s">
        <v>36</v>
      </c>
      <c r="AE3" s="1645" t="s">
        <v>47</v>
      </c>
    </row>
    <row r="4" spans="1:31" ht="14.25" customHeight="1">
      <c r="A4" s="708">
        <v>1984</v>
      </c>
      <c r="B4" s="292">
        <v>2490</v>
      </c>
      <c r="C4" s="292">
        <v>20780</v>
      </c>
      <c r="D4" s="312">
        <v>52447</v>
      </c>
      <c r="E4" s="292">
        <v>195751</v>
      </c>
      <c r="F4" s="292">
        <v>13768</v>
      </c>
      <c r="G4" s="292">
        <v>98011</v>
      </c>
      <c r="H4" s="709">
        <f t="shared" ref="H4:H40" si="0">B4+D4+F4</f>
        <v>68705</v>
      </c>
      <c r="I4" s="709">
        <f t="shared" ref="I4:I41" si="1">J4-H4</f>
        <v>245837</v>
      </c>
      <c r="J4" s="709">
        <f t="shared" ref="J4:J40" si="2">C4+E4+G4</f>
        <v>314542</v>
      </c>
      <c r="K4" s="1645"/>
      <c r="L4" s="189">
        <f t="shared" ref="L4:L40" si="3">H4/J4</f>
        <v>0.21842869950594834</v>
      </c>
      <c r="M4" s="189">
        <f t="shared" ref="M4:M40" si="4">E4/J4</f>
        <v>0.62233660369680366</v>
      </c>
      <c r="N4" s="292">
        <f t="shared" ref="N4:N40" si="5">D4+F4</f>
        <v>66215</v>
      </c>
      <c r="O4" s="292">
        <f t="shared" ref="O4:O43" si="6">J4-C4</f>
        <v>293762</v>
      </c>
      <c r="P4" s="189">
        <f t="shared" ref="P4:P40" si="7">N4/O4</f>
        <v>0.22540355798231221</v>
      </c>
      <c r="Q4" s="189">
        <f t="shared" ref="Q4:Q40" si="8">D4/E4</f>
        <v>0.26792711148346626</v>
      </c>
      <c r="R4" s="189">
        <f t="shared" ref="R4:R40" si="9">F4/G4</f>
        <v>0.14047402842538081</v>
      </c>
      <c r="S4" s="189">
        <f t="shared" ref="S4:S41" si="10">C4/J4</f>
        <v>6.6064309376808183E-2</v>
      </c>
      <c r="T4" s="705">
        <f t="shared" ref="T4:T41" si="11">B4/C4</f>
        <v>0.11982675649663138</v>
      </c>
      <c r="U4" s="705"/>
      <c r="V4" s="708">
        <v>1984</v>
      </c>
      <c r="W4" s="292">
        <f t="shared" ref="W4:W41" si="12">VLOOKUP(V4,$A$3:$J$41,10,FALSE)</f>
        <v>314542</v>
      </c>
      <c r="X4" s="1645">
        <f t="shared" ref="X4:X41" si="13">RANK(W4,$W$4:$W$41,0)</f>
        <v>13</v>
      </c>
      <c r="Y4" s="1645"/>
      <c r="Z4" s="1645"/>
      <c r="AA4" s="1645"/>
      <c r="AB4" s="705"/>
      <c r="AC4" s="708">
        <v>1984</v>
      </c>
      <c r="AD4" s="292">
        <f t="shared" ref="AD4:AD41" si="14">VLOOKUP(AC4,$A$3:$J$41,3,FALSE)</f>
        <v>20780</v>
      </c>
      <c r="AE4" s="1645">
        <f t="shared" ref="AE4:AE41" si="15">RANK(AD4,$AD$4:$AD$41,0)</f>
        <v>6</v>
      </c>
    </row>
    <row r="5" spans="1:31" ht="14.25" customHeight="1">
      <c r="A5" s="708">
        <v>1985</v>
      </c>
      <c r="B5" s="292">
        <v>3690</v>
      </c>
      <c r="C5" s="292">
        <v>19990</v>
      </c>
      <c r="D5" s="312">
        <v>51922</v>
      </c>
      <c r="E5" s="292">
        <v>281504</v>
      </c>
      <c r="F5" s="292">
        <v>12986</v>
      </c>
      <c r="G5" s="292">
        <v>40870</v>
      </c>
      <c r="H5" s="709">
        <f t="shared" si="0"/>
        <v>68598</v>
      </c>
      <c r="I5" s="709">
        <f t="shared" si="1"/>
        <v>273766</v>
      </c>
      <c r="J5" s="709">
        <f t="shared" si="2"/>
        <v>342364</v>
      </c>
      <c r="K5" s="1645"/>
      <c r="L5" s="189">
        <f t="shared" si="3"/>
        <v>0.20036569265460152</v>
      </c>
      <c r="M5" s="189">
        <f t="shared" si="4"/>
        <v>0.82223598275519627</v>
      </c>
      <c r="N5" s="292">
        <f t="shared" si="5"/>
        <v>64908</v>
      </c>
      <c r="O5" s="292">
        <f t="shared" si="6"/>
        <v>322374</v>
      </c>
      <c r="P5" s="189">
        <f t="shared" si="7"/>
        <v>0.20134378082599713</v>
      </c>
      <c r="Q5" s="189">
        <f t="shared" si="8"/>
        <v>0.18444498124360578</v>
      </c>
      <c r="R5" s="189">
        <f t="shared" si="9"/>
        <v>0.31773917298752141</v>
      </c>
      <c r="S5" s="189">
        <f t="shared" si="10"/>
        <v>5.8388148286618917E-2</v>
      </c>
      <c r="T5" s="705">
        <f t="shared" si="11"/>
        <v>0.18459229614807404</v>
      </c>
      <c r="U5" s="705"/>
      <c r="V5" s="708">
        <v>1985</v>
      </c>
      <c r="W5" s="292">
        <f t="shared" si="12"/>
        <v>342364</v>
      </c>
      <c r="X5" s="1645">
        <f t="shared" si="13"/>
        <v>9</v>
      </c>
      <c r="Y5" s="1645"/>
      <c r="Z5" s="1645"/>
      <c r="AA5" s="1645"/>
      <c r="AB5" s="705"/>
      <c r="AC5" s="708">
        <v>1985</v>
      </c>
      <c r="AD5" s="292">
        <f t="shared" si="14"/>
        <v>19990</v>
      </c>
      <c r="AE5" s="1645">
        <f t="shared" si="15"/>
        <v>8</v>
      </c>
    </row>
    <row r="6" spans="1:31" ht="14.25" customHeight="1">
      <c r="A6" s="708">
        <v>1986</v>
      </c>
      <c r="B6" s="292">
        <v>5520</v>
      </c>
      <c r="C6" s="292">
        <v>24830</v>
      </c>
      <c r="D6" s="312">
        <v>56570</v>
      </c>
      <c r="E6" s="292">
        <v>287508</v>
      </c>
      <c r="F6" s="292">
        <v>9984</v>
      </c>
      <c r="G6" s="292">
        <v>64016</v>
      </c>
      <c r="H6" s="709">
        <f t="shared" si="0"/>
        <v>72074</v>
      </c>
      <c r="I6" s="709">
        <f t="shared" si="1"/>
        <v>304280</v>
      </c>
      <c r="J6" s="709">
        <f t="shared" si="2"/>
        <v>376354</v>
      </c>
      <c r="K6" s="1645"/>
      <c r="L6" s="189">
        <f t="shared" si="3"/>
        <v>0.19150586947395271</v>
      </c>
      <c r="M6" s="189">
        <f t="shared" si="4"/>
        <v>0.76392970448035624</v>
      </c>
      <c r="N6" s="292">
        <f t="shared" si="5"/>
        <v>66554</v>
      </c>
      <c r="O6" s="292">
        <f t="shared" si="6"/>
        <v>351524</v>
      </c>
      <c r="P6" s="189">
        <f t="shared" si="7"/>
        <v>0.18932988928209737</v>
      </c>
      <c r="Q6" s="189">
        <f t="shared" si="8"/>
        <v>0.19675974233760452</v>
      </c>
      <c r="R6" s="189">
        <f t="shared" si="9"/>
        <v>0.15596100974756311</v>
      </c>
      <c r="S6" s="189">
        <f t="shared" si="10"/>
        <v>6.5975119169717877E-2</v>
      </c>
      <c r="T6" s="705">
        <f t="shared" si="11"/>
        <v>0.22231171969391864</v>
      </c>
      <c r="U6" s="705"/>
      <c r="V6" s="708">
        <v>1986</v>
      </c>
      <c r="W6" s="292">
        <f t="shared" si="12"/>
        <v>376354</v>
      </c>
      <c r="X6" s="1645">
        <f t="shared" si="13"/>
        <v>5</v>
      </c>
      <c r="Y6" s="1645"/>
      <c r="Z6" s="1645"/>
      <c r="AA6" s="1645"/>
      <c r="AB6" s="705"/>
      <c r="AC6" s="708">
        <v>1986</v>
      </c>
      <c r="AD6" s="292">
        <f t="shared" si="14"/>
        <v>24830</v>
      </c>
      <c r="AE6" s="1645">
        <f t="shared" si="15"/>
        <v>4</v>
      </c>
    </row>
    <row r="7" spans="1:31" ht="14.25" customHeight="1">
      <c r="A7" s="708">
        <v>1987</v>
      </c>
      <c r="B7" s="292">
        <v>7380</v>
      </c>
      <c r="C7" s="292">
        <v>17790</v>
      </c>
      <c r="D7" s="312">
        <v>106690</v>
      </c>
      <c r="E7" s="292">
        <v>238283</v>
      </c>
      <c r="F7" s="292">
        <v>13990</v>
      </c>
      <c r="G7" s="292">
        <v>44959</v>
      </c>
      <c r="H7" s="709">
        <f t="shared" si="0"/>
        <v>128060</v>
      </c>
      <c r="I7" s="709">
        <f t="shared" si="1"/>
        <v>172972</v>
      </c>
      <c r="J7" s="709">
        <f t="shared" si="2"/>
        <v>301032</v>
      </c>
      <c r="K7" s="1645"/>
      <c r="L7" s="189">
        <f t="shared" si="3"/>
        <v>0.42540327938558026</v>
      </c>
      <c r="M7" s="189">
        <f t="shared" si="4"/>
        <v>0.79155372186345641</v>
      </c>
      <c r="N7" s="292">
        <f t="shared" si="5"/>
        <v>120680</v>
      </c>
      <c r="O7" s="292">
        <f t="shared" si="6"/>
        <v>283242</v>
      </c>
      <c r="P7" s="189">
        <f t="shared" si="7"/>
        <v>0.42606675563652285</v>
      </c>
      <c r="Q7" s="189">
        <f t="shared" si="8"/>
        <v>0.44774490836526315</v>
      </c>
      <c r="R7" s="189">
        <f t="shared" si="9"/>
        <v>0.31117240152138614</v>
      </c>
      <c r="S7" s="189">
        <f t="shared" si="10"/>
        <v>5.9096707326795825E-2</v>
      </c>
      <c r="T7" s="705">
        <f t="shared" si="11"/>
        <v>0.4148397976391231</v>
      </c>
      <c r="U7" s="705"/>
      <c r="V7" s="708">
        <v>1987</v>
      </c>
      <c r="W7" s="292">
        <f t="shared" si="12"/>
        <v>301032</v>
      </c>
      <c r="X7" s="1645">
        <f t="shared" si="13"/>
        <v>17</v>
      </c>
      <c r="Y7" s="1645"/>
      <c r="Z7" s="1645"/>
      <c r="AA7" s="1645"/>
      <c r="AB7" s="705"/>
      <c r="AC7" s="708">
        <v>1987</v>
      </c>
      <c r="AD7" s="292">
        <f t="shared" si="14"/>
        <v>17790</v>
      </c>
      <c r="AE7" s="1645">
        <f t="shared" si="15"/>
        <v>10</v>
      </c>
    </row>
    <row r="8" spans="1:31">
      <c r="A8" s="708">
        <v>1988</v>
      </c>
      <c r="B8" s="292">
        <v>4180</v>
      </c>
      <c r="C8" s="292">
        <v>22360</v>
      </c>
      <c r="D8" s="312">
        <v>64331</v>
      </c>
      <c r="E8" s="292">
        <v>173151</v>
      </c>
      <c r="F8" s="292">
        <v>17742</v>
      </c>
      <c r="G8" s="292">
        <v>81643</v>
      </c>
      <c r="H8" s="709">
        <f t="shared" si="0"/>
        <v>86253</v>
      </c>
      <c r="I8" s="709">
        <f t="shared" si="1"/>
        <v>190901</v>
      </c>
      <c r="J8" s="709">
        <f t="shared" si="2"/>
        <v>277154</v>
      </c>
      <c r="K8" s="1645"/>
      <c r="L8" s="189">
        <f t="shared" si="3"/>
        <v>0.31120965239541915</v>
      </c>
      <c r="M8" s="189">
        <f t="shared" si="4"/>
        <v>0.62474653080958598</v>
      </c>
      <c r="N8" s="292">
        <f t="shared" si="5"/>
        <v>82073</v>
      </c>
      <c r="O8" s="292">
        <f t="shared" si="6"/>
        <v>254794</v>
      </c>
      <c r="P8" s="189">
        <f t="shared" si="7"/>
        <v>0.3221151204502461</v>
      </c>
      <c r="Q8" s="189">
        <f t="shared" si="8"/>
        <v>0.37153120686568369</v>
      </c>
      <c r="R8" s="189">
        <f t="shared" si="9"/>
        <v>0.21731195570961381</v>
      </c>
      <c r="S8" s="189">
        <f t="shared" si="10"/>
        <v>8.0677168649920264E-2</v>
      </c>
      <c r="T8" s="705">
        <f t="shared" si="11"/>
        <v>0.18694096601073346</v>
      </c>
      <c r="U8" s="705"/>
      <c r="V8" s="708">
        <v>1988</v>
      </c>
      <c r="W8" s="292">
        <f t="shared" si="12"/>
        <v>277154</v>
      </c>
      <c r="X8" s="1645">
        <f t="shared" si="13"/>
        <v>19</v>
      </c>
      <c r="Y8" s="1645"/>
      <c r="Z8" s="1645"/>
      <c r="AA8" s="1645"/>
      <c r="AB8" s="705"/>
      <c r="AC8" s="708">
        <v>1988</v>
      </c>
      <c r="AD8" s="292">
        <f t="shared" si="14"/>
        <v>22360</v>
      </c>
      <c r="AE8" s="1645">
        <f t="shared" si="15"/>
        <v>5</v>
      </c>
    </row>
    <row r="9" spans="1:31" ht="13.5" customHeight="1">
      <c r="A9" s="708">
        <v>1989</v>
      </c>
      <c r="B9" s="292">
        <v>3770</v>
      </c>
      <c r="C9" s="292">
        <v>15730</v>
      </c>
      <c r="D9" s="312">
        <v>57513</v>
      </c>
      <c r="E9" s="292">
        <v>193079</v>
      </c>
      <c r="F9" s="292">
        <v>12367</v>
      </c>
      <c r="G9" s="292">
        <v>77604</v>
      </c>
      <c r="H9" s="709">
        <f t="shared" si="0"/>
        <v>73650</v>
      </c>
      <c r="I9" s="709">
        <f t="shared" si="1"/>
        <v>212763</v>
      </c>
      <c r="J9" s="709">
        <f t="shared" si="2"/>
        <v>286413</v>
      </c>
      <c r="K9" s="1645"/>
      <c r="L9" s="189">
        <f t="shared" si="3"/>
        <v>0.25714614909239453</v>
      </c>
      <c r="M9" s="189">
        <f t="shared" si="4"/>
        <v>0.67412792017122125</v>
      </c>
      <c r="N9" s="292">
        <f t="shared" si="5"/>
        <v>69880</v>
      </c>
      <c r="O9" s="292">
        <f t="shared" si="6"/>
        <v>270683</v>
      </c>
      <c r="P9" s="189">
        <f t="shared" si="7"/>
        <v>0.2581617611745104</v>
      </c>
      <c r="Q9" s="189">
        <f t="shared" si="8"/>
        <v>0.29787289140714424</v>
      </c>
      <c r="R9" s="189">
        <f t="shared" si="9"/>
        <v>0.15936034225039947</v>
      </c>
      <c r="S9" s="189">
        <f t="shared" si="10"/>
        <v>5.4920691449061323E-2</v>
      </c>
      <c r="T9" s="705">
        <f t="shared" si="11"/>
        <v>0.23966942148760331</v>
      </c>
      <c r="U9" s="705"/>
      <c r="V9" s="708">
        <v>1989</v>
      </c>
      <c r="W9" s="292">
        <f t="shared" si="12"/>
        <v>286413</v>
      </c>
      <c r="X9" s="1645">
        <f t="shared" si="13"/>
        <v>18</v>
      </c>
      <c r="Y9" s="1645"/>
      <c r="Z9" s="1645"/>
      <c r="AA9" s="1645"/>
      <c r="AB9" s="705"/>
      <c r="AC9" s="708">
        <v>1989</v>
      </c>
      <c r="AD9" s="292">
        <f t="shared" si="14"/>
        <v>15730</v>
      </c>
      <c r="AE9" s="1645">
        <f t="shared" si="15"/>
        <v>13</v>
      </c>
    </row>
    <row r="10" spans="1:31" ht="13.5" customHeight="1">
      <c r="A10" s="708">
        <v>1990</v>
      </c>
      <c r="B10" s="292">
        <v>3690</v>
      </c>
      <c r="C10" s="292">
        <v>18710</v>
      </c>
      <c r="D10" s="312">
        <v>27102</v>
      </c>
      <c r="E10" s="292">
        <v>115628</v>
      </c>
      <c r="F10" s="292">
        <v>8811</v>
      </c>
      <c r="G10" s="292">
        <v>47174</v>
      </c>
      <c r="H10" s="709">
        <f t="shared" si="0"/>
        <v>39603</v>
      </c>
      <c r="I10" s="709">
        <f t="shared" si="1"/>
        <v>141909</v>
      </c>
      <c r="J10" s="709">
        <f t="shared" si="2"/>
        <v>181512</v>
      </c>
      <c r="K10" s="1645"/>
      <c r="L10" s="189">
        <f t="shared" si="3"/>
        <v>0.21818392172418352</v>
      </c>
      <c r="M10" s="189">
        <f t="shared" si="4"/>
        <v>0.63702675305213985</v>
      </c>
      <c r="N10" s="292">
        <f t="shared" si="5"/>
        <v>35913</v>
      </c>
      <c r="O10" s="292">
        <f t="shared" si="6"/>
        <v>162802</v>
      </c>
      <c r="P10" s="189">
        <f t="shared" si="7"/>
        <v>0.22059311310671859</v>
      </c>
      <c r="Q10" s="189">
        <f t="shared" si="8"/>
        <v>0.23438959421593386</v>
      </c>
      <c r="R10" s="189">
        <f t="shared" si="9"/>
        <v>0.18677661423665579</v>
      </c>
      <c r="S10" s="189">
        <f t="shared" si="10"/>
        <v>0.10307858433602186</v>
      </c>
      <c r="T10" s="705">
        <f t="shared" si="11"/>
        <v>0.19722073757349012</v>
      </c>
      <c r="U10" s="705"/>
      <c r="V10" s="708">
        <v>1990</v>
      </c>
      <c r="W10" s="292">
        <f t="shared" si="12"/>
        <v>181512</v>
      </c>
      <c r="X10" s="1645">
        <f t="shared" si="13"/>
        <v>32</v>
      </c>
      <c r="Y10" s="1645"/>
      <c r="Z10" s="1645"/>
      <c r="AA10" s="1645"/>
      <c r="AB10" s="705"/>
      <c r="AC10" s="708">
        <v>1990</v>
      </c>
      <c r="AD10" s="292">
        <f t="shared" si="14"/>
        <v>18710</v>
      </c>
      <c r="AE10" s="1645">
        <f t="shared" si="15"/>
        <v>9</v>
      </c>
    </row>
    <row r="11" spans="1:31" ht="13.5" customHeight="1">
      <c r="A11" s="708">
        <v>1991</v>
      </c>
      <c r="B11" s="292">
        <v>1220</v>
      </c>
      <c r="C11" s="292">
        <v>10880</v>
      </c>
      <c r="D11" s="312">
        <v>60264</v>
      </c>
      <c r="E11" s="292">
        <v>234048</v>
      </c>
      <c r="F11" s="292">
        <v>6207</v>
      </c>
      <c r="G11" s="292">
        <v>28265</v>
      </c>
      <c r="H11" s="709">
        <f t="shared" si="0"/>
        <v>67691</v>
      </c>
      <c r="I11" s="709">
        <f t="shared" si="1"/>
        <v>205502</v>
      </c>
      <c r="J11" s="709">
        <f t="shared" si="2"/>
        <v>273193</v>
      </c>
      <c r="K11" s="1645"/>
      <c r="L11" s="189">
        <f t="shared" si="3"/>
        <v>0.24777721244687823</v>
      </c>
      <c r="M11" s="189">
        <f t="shared" si="4"/>
        <v>0.85671301973330205</v>
      </c>
      <c r="N11" s="292">
        <f t="shared" si="5"/>
        <v>66471</v>
      </c>
      <c r="O11" s="292">
        <f t="shared" si="6"/>
        <v>262313</v>
      </c>
      <c r="P11" s="189">
        <f t="shared" si="7"/>
        <v>0.25340337688181674</v>
      </c>
      <c r="Q11" s="189">
        <f t="shared" si="8"/>
        <v>0.25748564397046758</v>
      </c>
      <c r="R11" s="189">
        <f t="shared" si="9"/>
        <v>0.21960021227666726</v>
      </c>
      <c r="S11" s="189">
        <f t="shared" si="10"/>
        <v>3.9825324953421205E-2</v>
      </c>
      <c r="T11" s="705">
        <f t="shared" si="11"/>
        <v>0.11213235294117647</v>
      </c>
      <c r="U11" s="705"/>
      <c r="V11" s="708">
        <v>1991</v>
      </c>
      <c r="W11" s="292">
        <f t="shared" si="12"/>
        <v>273193</v>
      </c>
      <c r="X11" s="1645">
        <f t="shared" si="13"/>
        <v>21</v>
      </c>
      <c r="Y11" s="1645"/>
      <c r="Z11" s="1645"/>
      <c r="AA11" s="1645"/>
      <c r="AB11" s="705"/>
      <c r="AC11" s="708">
        <v>1991</v>
      </c>
      <c r="AD11" s="292">
        <f t="shared" si="14"/>
        <v>10880</v>
      </c>
      <c r="AE11" s="1645">
        <f t="shared" si="15"/>
        <v>24</v>
      </c>
    </row>
    <row r="12" spans="1:31" ht="13.5" customHeight="1">
      <c r="A12" s="708">
        <v>1992</v>
      </c>
      <c r="B12" s="292">
        <v>2940</v>
      </c>
      <c r="C12" s="292">
        <v>14910</v>
      </c>
      <c r="D12" s="312">
        <v>44294</v>
      </c>
      <c r="E12" s="292">
        <v>241524</v>
      </c>
      <c r="F12" s="292">
        <v>12715</v>
      </c>
      <c r="G12" s="292">
        <v>57438</v>
      </c>
      <c r="H12" s="709">
        <f t="shared" si="0"/>
        <v>59949</v>
      </c>
      <c r="I12" s="709">
        <f t="shared" si="1"/>
        <v>253923</v>
      </c>
      <c r="J12" s="709">
        <f t="shared" si="2"/>
        <v>313872</v>
      </c>
      <c r="K12" s="1645"/>
      <c r="L12" s="189">
        <f t="shared" si="3"/>
        <v>0.19099824132130294</v>
      </c>
      <c r="M12" s="189">
        <f t="shared" si="4"/>
        <v>0.76949839424988531</v>
      </c>
      <c r="N12" s="292">
        <f t="shared" si="5"/>
        <v>57009</v>
      </c>
      <c r="O12" s="292">
        <f t="shared" si="6"/>
        <v>298962</v>
      </c>
      <c r="P12" s="189">
        <f t="shared" si="7"/>
        <v>0.19068978666184999</v>
      </c>
      <c r="Q12" s="189">
        <f t="shared" si="8"/>
        <v>0.18339378281247412</v>
      </c>
      <c r="R12" s="189">
        <f t="shared" si="9"/>
        <v>0.22136912845154774</v>
      </c>
      <c r="S12" s="189">
        <f t="shared" si="10"/>
        <v>4.7503440893102919E-2</v>
      </c>
      <c r="T12" s="705">
        <f t="shared" si="11"/>
        <v>0.19718309859154928</v>
      </c>
      <c r="U12" s="705"/>
      <c r="V12" s="708">
        <v>1992</v>
      </c>
      <c r="W12" s="292">
        <f t="shared" si="12"/>
        <v>313872</v>
      </c>
      <c r="X12" s="1645">
        <f t="shared" si="13"/>
        <v>14</v>
      </c>
      <c r="Y12" s="1645"/>
      <c r="Z12" s="1645"/>
      <c r="AA12" s="1645"/>
      <c r="AB12" s="705"/>
      <c r="AC12" s="708">
        <v>1992</v>
      </c>
      <c r="AD12" s="292">
        <f t="shared" si="14"/>
        <v>14910</v>
      </c>
      <c r="AE12" s="1645">
        <f t="shared" si="15"/>
        <v>14</v>
      </c>
    </row>
    <row r="13" spans="1:31" ht="13.5" customHeight="1">
      <c r="A13" s="708">
        <v>1993</v>
      </c>
      <c r="B13" s="292">
        <v>1250</v>
      </c>
      <c r="C13" s="292">
        <v>14360</v>
      </c>
      <c r="D13" s="312">
        <v>28650</v>
      </c>
      <c r="E13" s="292">
        <v>136701</v>
      </c>
      <c r="F13" s="292">
        <v>4378</v>
      </c>
      <c r="G13" s="292">
        <v>36169</v>
      </c>
      <c r="H13" s="709">
        <f t="shared" si="0"/>
        <v>34278</v>
      </c>
      <c r="I13" s="709">
        <f t="shared" si="1"/>
        <v>152952</v>
      </c>
      <c r="J13" s="709">
        <f t="shared" si="2"/>
        <v>187230</v>
      </c>
      <c r="K13" s="1645"/>
      <c r="L13" s="189">
        <f t="shared" si="3"/>
        <v>0.18307963467393046</v>
      </c>
      <c r="M13" s="189">
        <f t="shared" si="4"/>
        <v>0.73012337766383595</v>
      </c>
      <c r="N13" s="292">
        <f t="shared" si="5"/>
        <v>33028</v>
      </c>
      <c r="O13" s="292">
        <f t="shared" si="6"/>
        <v>172870</v>
      </c>
      <c r="P13" s="189">
        <f t="shared" si="7"/>
        <v>0.19105686353907561</v>
      </c>
      <c r="Q13" s="189">
        <f t="shared" si="8"/>
        <v>0.20958149538042881</v>
      </c>
      <c r="R13" s="189">
        <f t="shared" si="9"/>
        <v>0.12104288202604441</v>
      </c>
      <c r="S13" s="189">
        <f t="shared" si="10"/>
        <v>7.6697110505795016E-2</v>
      </c>
      <c r="T13" s="705">
        <f t="shared" si="11"/>
        <v>8.7047353760445687E-2</v>
      </c>
      <c r="U13" s="705"/>
      <c r="V13" s="708">
        <v>1993</v>
      </c>
      <c r="W13" s="292">
        <f t="shared" si="12"/>
        <v>187230</v>
      </c>
      <c r="X13" s="1645">
        <f t="shared" si="13"/>
        <v>29</v>
      </c>
      <c r="Y13" s="1645"/>
      <c r="Z13" s="1645"/>
      <c r="AA13" s="1645"/>
      <c r="AB13" s="705"/>
      <c r="AC13" s="708">
        <v>1993</v>
      </c>
      <c r="AD13" s="292">
        <f t="shared" si="14"/>
        <v>14360</v>
      </c>
      <c r="AE13" s="1645">
        <f t="shared" si="15"/>
        <v>15</v>
      </c>
    </row>
    <row r="14" spans="1:31" ht="13.5" customHeight="1">
      <c r="A14" s="708">
        <v>1994</v>
      </c>
      <c r="B14" s="292">
        <v>1380</v>
      </c>
      <c r="C14" s="292">
        <v>12330</v>
      </c>
      <c r="D14" s="312">
        <v>21212</v>
      </c>
      <c r="E14" s="292">
        <v>120971</v>
      </c>
      <c r="F14" s="292">
        <v>5152</v>
      </c>
      <c r="G14" s="292">
        <v>27463</v>
      </c>
      <c r="H14" s="709">
        <f t="shared" si="0"/>
        <v>27744</v>
      </c>
      <c r="I14" s="709">
        <f t="shared" si="1"/>
        <v>133020</v>
      </c>
      <c r="J14" s="709">
        <f t="shared" si="2"/>
        <v>160764</v>
      </c>
      <c r="K14" s="1645"/>
      <c r="L14" s="189">
        <f t="shared" si="3"/>
        <v>0.1725759498395163</v>
      </c>
      <c r="M14" s="189">
        <f t="shared" si="4"/>
        <v>0.75247567863452014</v>
      </c>
      <c r="N14" s="292">
        <f t="shared" si="5"/>
        <v>26364</v>
      </c>
      <c r="O14" s="292">
        <f t="shared" si="6"/>
        <v>148434</v>
      </c>
      <c r="P14" s="189">
        <f t="shared" si="7"/>
        <v>0.17761429322122962</v>
      </c>
      <c r="Q14" s="189">
        <f t="shared" si="8"/>
        <v>0.17534781063230032</v>
      </c>
      <c r="R14" s="189">
        <f t="shared" si="9"/>
        <v>0.18759785893747952</v>
      </c>
      <c r="S14" s="189">
        <f t="shared" si="10"/>
        <v>7.6696275285511678E-2</v>
      </c>
      <c r="T14" s="705">
        <f t="shared" si="11"/>
        <v>0.11192214111922141</v>
      </c>
      <c r="U14" s="705"/>
      <c r="V14" s="708">
        <v>1994</v>
      </c>
      <c r="W14" s="292">
        <f t="shared" si="12"/>
        <v>160764</v>
      </c>
      <c r="X14" s="1645">
        <f t="shared" si="13"/>
        <v>33</v>
      </c>
      <c r="Y14" s="1645"/>
      <c r="Z14" s="1645"/>
      <c r="AA14" s="1645"/>
      <c r="AB14" s="705"/>
      <c r="AC14" s="708">
        <v>1994</v>
      </c>
      <c r="AD14" s="292">
        <f t="shared" si="14"/>
        <v>12330</v>
      </c>
      <c r="AE14" s="1645">
        <f t="shared" si="15"/>
        <v>19</v>
      </c>
    </row>
    <row r="15" spans="1:31" ht="13.5" customHeight="1">
      <c r="A15" s="708">
        <v>1995</v>
      </c>
      <c r="B15" s="292">
        <v>1150</v>
      </c>
      <c r="C15" s="292">
        <v>8220</v>
      </c>
      <c r="D15" s="312">
        <v>25997</v>
      </c>
      <c r="E15" s="292">
        <v>180037</v>
      </c>
      <c r="F15" s="292">
        <v>1847</v>
      </c>
      <c r="G15" s="292">
        <v>13221</v>
      </c>
      <c r="H15" s="709">
        <f t="shared" si="0"/>
        <v>28994</v>
      </c>
      <c r="I15" s="709">
        <f t="shared" si="1"/>
        <v>172484</v>
      </c>
      <c r="J15" s="709">
        <f t="shared" si="2"/>
        <v>201478</v>
      </c>
      <c r="K15" s="1645"/>
      <c r="L15" s="189">
        <f t="shared" si="3"/>
        <v>0.14390653073784732</v>
      </c>
      <c r="M15" s="189">
        <f t="shared" si="4"/>
        <v>0.89358143320858852</v>
      </c>
      <c r="N15" s="292">
        <f t="shared" si="5"/>
        <v>27844</v>
      </c>
      <c r="O15" s="292">
        <f t="shared" si="6"/>
        <v>193258</v>
      </c>
      <c r="P15" s="189">
        <f t="shared" si="7"/>
        <v>0.14407682993718243</v>
      </c>
      <c r="Q15" s="189">
        <f t="shared" si="8"/>
        <v>0.14439809594694425</v>
      </c>
      <c r="R15" s="189">
        <f t="shared" si="9"/>
        <v>0.13970198925951138</v>
      </c>
      <c r="S15" s="189">
        <f t="shared" si="10"/>
        <v>4.0798499091712244E-2</v>
      </c>
      <c r="T15" s="705">
        <f t="shared" si="11"/>
        <v>0.13990267639902676</v>
      </c>
      <c r="U15" s="705"/>
      <c r="V15" s="708">
        <v>1995</v>
      </c>
      <c r="W15" s="292">
        <f t="shared" si="12"/>
        <v>201478</v>
      </c>
      <c r="X15" s="1645">
        <f t="shared" si="13"/>
        <v>28</v>
      </c>
      <c r="Y15" s="1645"/>
      <c r="Z15" s="1645"/>
      <c r="AA15" s="1645"/>
      <c r="AB15" s="705"/>
      <c r="AC15" s="708">
        <v>1995</v>
      </c>
      <c r="AD15" s="292">
        <f t="shared" si="14"/>
        <v>8220</v>
      </c>
      <c r="AE15" s="1645">
        <f t="shared" si="15"/>
        <v>30</v>
      </c>
    </row>
    <row r="16" spans="1:31" ht="13.5" customHeight="1">
      <c r="A16" s="708">
        <v>1996</v>
      </c>
      <c r="B16" s="292">
        <v>1310</v>
      </c>
      <c r="C16" s="292">
        <v>10830</v>
      </c>
      <c r="D16" s="312">
        <v>25721</v>
      </c>
      <c r="E16" s="292">
        <v>174464</v>
      </c>
      <c r="F16" s="292">
        <v>3912</v>
      </c>
      <c r="G16" s="292">
        <v>18693</v>
      </c>
      <c r="H16" s="709">
        <f t="shared" si="0"/>
        <v>30943</v>
      </c>
      <c r="I16" s="709">
        <f t="shared" si="1"/>
        <v>173044</v>
      </c>
      <c r="J16" s="709">
        <f t="shared" si="2"/>
        <v>203987</v>
      </c>
      <c r="K16" s="1645"/>
      <c r="L16" s="189">
        <f t="shared" si="3"/>
        <v>0.15169103913484683</v>
      </c>
      <c r="M16" s="189">
        <f t="shared" si="4"/>
        <v>0.85527018878654026</v>
      </c>
      <c r="N16" s="292">
        <f t="shared" si="5"/>
        <v>29633</v>
      </c>
      <c r="O16" s="292">
        <f t="shared" si="6"/>
        <v>193157</v>
      </c>
      <c r="P16" s="189">
        <f t="shared" si="7"/>
        <v>0.15341406213598266</v>
      </c>
      <c r="Q16" s="189">
        <f t="shared" si="8"/>
        <v>0.147428695891416</v>
      </c>
      <c r="R16" s="189">
        <f t="shared" si="9"/>
        <v>0.20927619964692665</v>
      </c>
      <c r="S16" s="189">
        <f t="shared" si="10"/>
        <v>5.3091618583537184E-2</v>
      </c>
      <c r="T16" s="705">
        <f t="shared" si="11"/>
        <v>0.12096029547553093</v>
      </c>
      <c r="U16" s="705"/>
      <c r="V16" s="708">
        <v>1996</v>
      </c>
      <c r="W16" s="292">
        <f t="shared" si="12"/>
        <v>203987</v>
      </c>
      <c r="X16" s="1645">
        <f t="shared" si="13"/>
        <v>27</v>
      </c>
      <c r="Y16" s="1645"/>
      <c r="Z16" s="1645"/>
      <c r="AA16" s="1645"/>
      <c r="AB16" s="705"/>
      <c r="AC16" s="708">
        <v>1996</v>
      </c>
      <c r="AD16" s="292">
        <f t="shared" si="14"/>
        <v>10830</v>
      </c>
      <c r="AE16" s="1645">
        <f t="shared" si="15"/>
        <v>25</v>
      </c>
    </row>
    <row r="17" spans="1:31" ht="13.5" customHeight="1">
      <c r="A17" s="708">
        <v>1997</v>
      </c>
      <c r="B17" s="292">
        <v>930</v>
      </c>
      <c r="C17" s="292">
        <v>11890</v>
      </c>
      <c r="D17" s="312">
        <v>30852</v>
      </c>
      <c r="E17" s="292">
        <v>208209</v>
      </c>
      <c r="F17" s="292">
        <v>3913</v>
      </c>
      <c r="G17" s="292">
        <v>36663</v>
      </c>
      <c r="H17" s="709">
        <f t="shared" si="0"/>
        <v>35695</v>
      </c>
      <c r="I17" s="709">
        <f t="shared" si="1"/>
        <v>221067</v>
      </c>
      <c r="J17" s="709">
        <f t="shared" si="2"/>
        <v>256762</v>
      </c>
      <c r="K17" s="1645"/>
      <c r="L17" s="189">
        <f t="shared" si="3"/>
        <v>0.13901979264844486</v>
      </c>
      <c r="M17" s="189">
        <f t="shared" si="4"/>
        <v>0.81090270367110395</v>
      </c>
      <c r="N17" s="292">
        <f t="shared" si="5"/>
        <v>34765</v>
      </c>
      <c r="O17" s="292">
        <f t="shared" si="6"/>
        <v>244872</v>
      </c>
      <c r="P17" s="189">
        <f t="shared" si="7"/>
        <v>0.14197213237936554</v>
      </c>
      <c r="Q17" s="189">
        <f t="shared" si="8"/>
        <v>0.14817803264988544</v>
      </c>
      <c r="R17" s="189">
        <f t="shared" si="9"/>
        <v>0.10672885470365219</v>
      </c>
      <c r="S17" s="189">
        <f t="shared" si="10"/>
        <v>4.6307475405239093E-2</v>
      </c>
      <c r="T17" s="705">
        <f t="shared" si="11"/>
        <v>7.8216989066442394E-2</v>
      </c>
      <c r="U17" s="705"/>
      <c r="V17" s="708">
        <v>1997</v>
      </c>
      <c r="W17" s="292">
        <f t="shared" si="12"/>
        <v>256762</v>
      </c>
      <c r="X17" s="1645">
        <f t="shared" si="13"/>
        <v>23</v>
      </c>
      <c r="Y17" s="1645"/>
      <c r="Z17" s="1645"/>
      <c r="AA17" s="1645"/>
      <c r="AB17" s="705"/>
      <c r="AC17" s="708">
        <v>1997</v>
      </c>
      <c r="AD17" s="292">
        <f t="shared" si="14"/>
        <v>11890</v>
      </c>
      <c r="AE17" s="1645">
        <f t="shared" si="15"/>
        <v>21</v>
      </c>
    </row>
    <row r="18" spans="1:31" ht="13.5" customHeight="1">
      <c r="A18" s="708">
        <v>1998</v>
      </c>
      <c r="B18" s="292">
        <v>1610</v>
      </c>
      <c r="C18" s="292">
        <v>9440</v>
      </c>
      <c r="D18" s="312">
        <v>34836</v>
      </c>
      <c r="E18" s="292">
        <v>134687</v>
      </c>
      <c r="F18" s="292">
        <v>3415</v>
      </c>
      <c r="G18" s="292">
        <v>40241</v>
      </c>
      <c r="H18" s="709">
        <f t="shared" si="0"/>
        <v>39861</v>
      </c>
      <c r="I18" s="709">
        <f t="shared" si="1"/>
        <v>144507</v>
      </c>
      <c r="J18" s="709">
        <f t="shared" si="2"/>
        <v>184368</v>
      </c>
      <c r="K18" s="1645"/>
      <c r="L18" s="189">
        <f t="shared" si="3"/>
        <v>0.2162034626399375</v>
      </c>
      <c r="M18" s="189">
        <f t="shared" si="4"/>
        <v>0.73053349822094937</v>
      </c>
      <c r="N18" s="292">
        <f t="shared" si="5"/>
        <v>38251</v>
      </c>
      <c r="O18" s="292">
        <f t="shared" si="6"/>
        <v>174928</v>
      </c>
      <c r="P18" s="189">
        <f t="shared" si="7"/>
        <v>0.21866710875331566</v>
      </c>
      <c r="Q18" s="189">
        <f t="shared" si="8"/>
        <v>0.25864411561620648</v>
      </c>
      <c r="R18" s="189">
        <f t="shared" si="9"/>
        <v>8.4863696230212962E-2</v>
      </c>
      <c r="S18" s="189">
        <f t="shared" si="10"/>
        <v>5.1201943938210537E-2</v>
      </c>
      <c r="T18" s="705">
        <f t="shared" si="11"/>
        <v>0.17055084745762711</v>
      </c>
      <c r="U18" s="705"/>
      <c r="V18" s="708">
        <v>1998</v>
      </c>
      <c r="W18" s="292">
        <f t="shared" si="12"/>
        <v>184368</v>
      </c>
      <c r="X18" s="1645">
        <f t="shared" si="13"/>
        <v>30</v>
      </c>
      <c r="Y18" s="1645"/>
      <c r="Z18" s="1645"/>
      <c r="AA18" s="1645"/>
      <c r="AB18" s="705"/>
      <c r="AC18" s="708">
        <v>1998</v>
      </c>
      <c r="AD18" s="292">
        <f t="shared" si="14"/>
        <v>9440</v>
      </c>
      <c r="AE18" s="1645">
        <f t="shared" si="15"/>
        <v>29</v>
      </c>
    </row>
    <row r="19" spans="1:31" ht="13.5" customHeight="1">
      <c r="A19" s="708">
        <v>1999</v>
      </c>
      <c r="B19" s="292">
        <v>1310</v>
      </c>
      <c r="C19" s="292">
        <v>7160</v>
      </c>
      <c r="D19" s="312">
        <v>56626</v>
      </c>
      <c r="E19" s="292">
        <v>176466</v>
      </c>
      <c r="F19" s="292">
        <v>3740</v>
      </c>
      <c r="G19" s="292">
        <v>22137</v>
      </c>
      <c r="H19" s="709">
        <f t="shared" si="0"/>
        <v>61676</v>
      </c>
      <c r="I19" s="709">
        <f t="shared" si="1"/>
        <v>144087</v>
      </c>
      <c r="J19" s="709">
        <f t="shared" si="2"/>
        <v>205763</v>
      </c>
      <c r="K19" s="1645"/>
      <c r="L19" s="189">
        <f t="shared" si="3"/>
        <v>0.29974290810301174</v>
      </c>
      <c r="M19" s="189">
        <f t="shared" si="4"/>
        <v>0.85761774468684848</v>
      </c>
      <c r="N19" s="292">
        <f t="shared" si="5"/>
        <v>60366</v>
      </c>
      <c r="O19" s="292">
        <f t="shared" si="6"/>
        <v>198603</v>
      </c>
      <c r="P19" s="189">
        <f t="shared" si="7"/>
        <v>0.30395311249074786</v>
      </c>
      <c r="Q19" s="189">
        <f t="shared" si="8"/>
        <v>0.320889009780921</v>
      </c>
      <c r="R19" s="189">
        <f t="shared" si="9"/>
        <v>0.16894791525500294</v>
      </c>
      <c r="S19" s="189">
        <f t="shared" si="10"/>
        <v>3.4797315357960372E-2</v>
      </c>
      <c r="T19" s="705">
        <f t="shared" si="11"/>
        <v>0.18296089385474859</v>
      </c>
      <c r="U19" s="705"/>
      <c r="V19" s="708">
        <v>1999</v>
      </c>
      <c r="W19" s="292">
        <f t="shared" si="12"/>
        <v>205763</v>
      </c>
      <c r="X19" s="1645">
        <f t="shared" si="13"/>
        <v>26</v>
      </c>
      <c r="Y19" s="1645"/>
      <c r="Z19" s="1645"/>
      <c r="AA19" s="1645"/>
      <c r="AB19" s="705"/>
      <c r="AC19" s="708">
        <v>1999</v>
      </c>
      <c r="AD19" s="292">
        <f t="shared" si="14"/>
        <v>7160</v>
      </c>
      <c r="AE19" s="1645">
        <f t="shared" si="15"/>
        <v>32</v>
      </c>
    </row>
    <row r="20" spans="1:31" ht="13.5" customHeight="1">
      <c r="A20" s="708">
        <v>2000</v>
      </c>
      <c r="B20" s="292">
        <v>5728</v>
      </c>
      <c r="C20" s="292">
        <v>16619</v>
      </c>
      <c r="D20" s="312">
        <v>63628</v>
      </c>
      <c r="E20" s="292">
        <v>216723</v>
      </c>
      <c r="F20" s="292">
        <v>8368</v>
      </c>
      <c r="G20" s="292">
        <v>40909</v>
      </c>
      <c r="H20" s="709">
        <f t="shared" si="0"/>
        <v>77724</v>
      </c>
      <c r="I20" s="709">
        <f t="shared" si="1"/>
        <v>196527</v>
      </c>
      <c r="J20" s="709">
        <f t="shared" si="2"/>
        <v>274251</v>
      </c>
      <c r="K20" s="1645"/>
      <c r="L20" s="189">
        <f t="shared" si="3"/>
        <v>0.28340461839701586</v>
      </c>
      <c r="M20" s="189">
        <f t="shared" si="4"/>
        <v>0.79023595173764183</v>
      </c>
      <c r="N20" s="292">
        <f t="shared" si="5"/>
        <v>71996</v>
      </c>
      <c r="O20" s="292">
        <f t="shared" si="6"/>
        <v>257632</v>
      </c>
      <c r="P20" s="189">
        <f t="shared" si="7"/>
        <v>0.27945286299838529</v>
      </c>
      <c r="Q20" s="189">
        <f t="shared" si="8"/>
        <v>0.29359135855446816</v>
      </c>
      <c r="R20" s="189">
        <f t="shared" si="9"/>
        <v>0.20455156567014593</v>
      </c>
      <c r="S20" s="189">
        <f t="shared" si="10"/>
        <v>6.0597773572384418E-2</v>
      </c>
      <c r="T20" s="705">
        <f t="shared" si="11"/>
        <v>0.34466574402791983</v>
      </c>
      <c r="U20" s="705"/>
      <c r="V20" s="708">
        <v>2000</v>
      </c>
      <c r="W20" s="292">
        <f t="shared" si="12"/>
        <v>274251</v>
      </c>
      <c r="X20" s="1645">
        <f t="shared" si="13"/>
        <v>20</v>
      </c>
      <c r="Y20" s="1645"/>
      <c r="Z20" s="1645"/>
      <c r="AA20" s="1645"/>
      <c r="AB20" s="705"/>
      <c r="AC20" s="708">
        <v>2000</v>
      </c>
      <c r="AD20" s="292">
        <f t="shared" si="14"/>
        <v>16619</v>
      </c>
      <c r="AE20" s="1645">
        <f t="shared" si="15"/>
        <v>11</v>
      </c>
    </row>
    <row r="21" spans="1:31" ht="13.5" customHeight="1">
      <c r="A21" s="708">
        <v>2001</v>
      </c>
      <c r="B21" s="292">
        <v>7952</v>
      </c>
      <c r="C21" s="292">
        <v>28725</v>
      </c>
      <c r="D21" s="312">
        <v>137230</v>
      </c>
      <c r="E21" s="292">
        <v>515079</v>
      </c>
      <c r="F21" s="292">
        <v>12047</v>
      </c>
      <c r="G21" s="292">
        <v>86426</v>
      </c>
      <c r="H21" s="709">
        <f t="shared" si="0"/>
        <v>157229</v>
      </c>
      <c r="I21" s="709">
        <f t="shared" si="1"/>
        <v>473001</v>
      </c>
      <c r="J21" s="709">
        <f t="shared" si="2"/>
        <v>630230</v>
      </c>
      <c r="K21" s="1645"/>
      <c r="L21" s="189">
        <f t="shared" si="3"/>
        <v>0.24947876172191105</v>
      </c>
      <c r="M21" s="189">
        <f t="shared" si="4"/>
        <v>0.8172873395427066</v>
      </c>
      <c r="N21" s="292">
        <f t="shared" si="5"/>
        <v>149277</v>
      </c>
      <c r="O21" s="292">
        <f t="shared" si="6"/>
        <v>601505</v>
      </c>
      <c r="P21" s="189">
        <f t="shared" si="7"/>
        <v>0.24817250064421742</v>
      </c>
      <c r="Q21" s="189">
        <f t="shared" si="8"/>
        <v>0.26642515031674752</v>
      </c>
      <c r="R21" s="189">
        <f t="shared" si="9"/>
        <v>0.13939092402749173</v>
      </c>
      <c r="S21" s="189">
        <f t="shared" si="10"/>
        <v>4.5578598289513356E-2</v>
      </c>
      <c r="T21" s="705">
        <f t="shared" si="11"/>
        <v>0.27683202785030459</v>
      </c>
      <c r="U21" s="705"/>
      <c r="V21" s="708">
        <v>2001</v>
      </c>
      <c r="W21" s="292">
        <f t="shared" si="12"/>
        <v>630230</v>
      </c>
      <c r="X21" s="1645">
        <f t="shared" si="13"/>
        <v>1</v>
      </c>
      <c r="Y21" s="1645"/>
      <c r="Z21" s="1645"/>
      <c r="AA21" s="1645"/>
      <c r="AB21" s="705"/>
      <c r="AC21" s="708">
        <v>2001</v>
      </c>
      <c r="AD21" s="292">
        <f t="shared" si="14"/>
        <v>28725</v>
      </c>
      <c r="AE21" s="1645">
        <f t="shared" si="15"/>
        <v>2</v>
      </c>
    </row>
    <row r="22" spans="1:31" ht="13.5" customHeight="1">
      <c r="A22" s="708">
        <v>2002</v>
      </c>
      <c r="B22" s="292">
        <v>9671</v>
      </c>
      <c r="C22" s="292">
        <v>24991</v>
      </c>
      <c r="D22" s="312">
        <v>87276</v>
      </c>
      <c r="E22" s="292">
        <v>323124</v>
      </c>
      <c r="F22" s="292">
        <v>32333</v>
      </c>
      <c r="G22" s="292">
        <v>129882</v>
      </c>
      <c r="H22" s="709">
        <f t="shared" si="0"/>
        <v>129280</v>
      </c>
      <c r="I22" s="709">
        <f t="shared" si="1"/>
        <v>348717</v>
      </c>
      <c r="J22" s="709">
        <f t="shared" si="2"/>
        <v>477997</v>
      </c>
      <c r="K22" s="1645"/>
      <c r="L22" s="189">
        <f t="shared" si="3"/>
        <v>0.27046194850595295</v>
      </c>
      <c r="M22" s="189">
        <f t="shared" si="4"/>
        <v>0.67599587445109488</v>
      </c>
      <c r="N22" s="292">
        <f t="shared" si="5"/>
        <v>119609</v>
      </c>
      <c r="O22" s="292">
        <f t="shared" si="6"/>
        <v>453006</v>
      </c>
      <c r="P22" s="189">
        <f t="shared" si="7"/>
        <v>0.26403403045434276</v>
      </c>
      <c r="Q22" s="189">
        <f t="shared" si="8"/>
        <v>0.27010064247781035</v>
      </c>
      <c r="R22" s="189">
        <f t="shared" si="9"/>
        <v>0.24894134676090604</v>
      </c>
      <c r="S22" s="189">
        <f t="shared" si="10"/>
        <v>5.2282754912687739E-2</v>
      </c>
      <c r="T22" s="705">
        <f t="shared" si="11"/>
        <v>0.38697931255251888</v>
      </c>
      <c r="U22" s="705"/>
      <c r="V22" s="708">
        <v>2002</v>
      </c>
      <c r="W22" s="292">
        <f t="shared" si="12"/>
        <v>477997</v>
      </c>
      <c r="X22" s="1645">
        <f t="shared" si="13"/>
        <v>3</v>
      </c>
      <c r="Y22" s="1645"/>
      <c r="Z22" s="1645"/>
      <c r="AA22" s="1645"/>
      <c r="AB22" s="705"/>
      <c r="AC22" s="708">
        <v>2002</v>
      </c>
      <c r="AD22" s="292">
        <f t="shared" si="14"/>
        <v>24991</v>
      </c>
      <c r="AE22" s="1645">
        <f t="shared" si="15"/>
        <v>3</v>
      </c>
    </row>
    <row r="23" spans="1:31" ht="13.5" customHeight="1">
      <c r="A23" s="708">
        <v>2003</v>
      </c>
      <c r="B23" s="292">
        <v>1801</v>
      </c>
      <c r="C23" s="292">
        <v>14154</v>
      </c>
      <c r="D23" s="312">
        <v>67049</v>
      </c>
      <c r="E23" s="292">
        <v>305795</v>
      </c>
      <c r="F23" s="292">
        <v>6417</v>
      </c>
      <c r="G23" s="292">
        <v>37228</v>
      </c>
      <c r="H23" s="709">
        <f t="shared" si="0"/>
        <v>75267</v>
      </c>
      <c r="I23" s="709">
        <f t="shared" si="1"/>
        <v>281910</v>
      </c>
      <c r="J23" s="709">
        <f t="shared" si="2"/>
        <v>357177</v>
      </c>
      <c r="K23" s="1645"/>
      <c r="L23" s="189">
        <f t="shared" si="3"/>
        <v>0.21072745445535407</v>
      </c>
      <c r="M23" s="189">
        <f t="shared" si="4"/>
        <v>0.85614415261900967</v>
      </c>
      <c r="N23" s="292">
        <f t="shared" si="5"/>
        <v>73466</v>
      </c>
      <c r="O23" s="292">
        <f t="shared" si="6"/>
        <v>343023</v>
      </c>
      <c r="P23" s="189">
        <f t="shared" si="7"/>
        <v>0.21417222751827136</v>
      </c>
      <c r="Q23" s="189">
        <f t="shared" si="8"/>
        <v>0.21926126980493468</v>
      </c>
      <c r="R23" s="189">
        <f t="shared" si="9"/>
        <v>0.1723702589448802</v>
      </c>
      <c r="S23" s="189">
        <f t="shared" si="10"/>
        <v>3.9627411619449181E-2</v>
      </c>
      <c r="T23" s="705">
        <f t="shared" si="11"/>
        <v>0.12724318213932456</v>
      </c>
      <c r="U23" s="705"/>
      <c r="V23" s="708">
        <v>2003</v>
      </c>
      <c r="W23" s="292">
        <f t="shared" si="12"/>
        <v>357177</v>
      </c>
      <c r="X23" s="1645">
        <f t="shared" si="13"/>
        <v>7</v>
      </c>
      <c r="Y23" s="1645"/>
      <c r="Z23" s="1645"/>
      <c r="AA23" s="1645"/>
      <c r="AB23" s="705"/>
      <c r="AC23" s="708">
        <v>2003</v>
      </c>
      <c r="AD23" s="292">
        <f t="shared" si="14"/>
        <v>14154</v>
      </c>
      <c r="AE23" s="1645">
        <f t="shared" si="15"/>
        <v>16</v>
      </c>
    </row>
    <row r="24" spans="1:31" ht="13.5" customHeight="1">
      <c r="A24" s="708">
        <v>2004</v>
      </c>
      <c r="B24" s="292">
        <v>3289</v>
      </c>
      <c r="C24" s="292">
        <v>20148</v>
      </c>
      <c r="D24" s="312">
        <v>60421</v>
      </c>
      <c r="E24" s="292">
        <v>250615</v>
      </c>
      <c r="F24" s="292">
        <v>9202</v>
      </c>
      <c r="G24" s="292">
        <v>37398</v>
      </c>
      <c r="H24" s="709">
        <f t="shared" si="0"/>
        <v>72912</v>
      </c>
      <c r="I24" s="709">
        <f t="shared" si="1"/>
        <v>235249</v>
      </c>
      <c r="J24" s="709">
        <f t="shared" si="2"/>
        <v>308161</v>
      </c>
      <c r="K24" s="1645"/>
      <c r="L24" s="189">
        <f t="shared" si="3"/>
        <v>0.23660359357608524</v>
      </c>
      <c r="M24" s="189">
        <f t="shared" si="4"/>
        <v>0.81325995177845345</v>
      </c>
      <c r="N24" s="292">
        <f t="shared" si="5"/>
        <v>69623</v>
      </c>
      <c r="O24" s="292">
        <f t="shared" si="6"/>
        <v>288013</v>
      </c>
      <c r="P24" s="189">
        <f t="shared" si="7"/>
        <v>0.24173561610066213</v>
      </c>
      <c r="Q24" s="189">
        <f t="shared" si="8"/>
        <v>0.24109091634578936</v>
      </c>
      <c r="R24" s="189">
        <f t="shared" si="9"/>
        <v>0.24605593882025778</v>
      </c>
      <c r="S24" s="189">
        <f t="shared" si="10"/>
        <v>6.5381407770613409E-2</v>
      </c>
      <c r="T24" s="705">
        <f t="shared" si="11"/>
        <v>0.1632420091324201</v>
      </c>
      <c r="U24" s="705"/>
      <c r="V24" s="708">
        <v>2004</v>
      </c>
      <c r="W24" s="292">
        <f t="shared" si="12"/>
        <v>308161</v>
      </c>
      <c r="X24" s="1645">
        <f t="shared" si="13"/>
        <v>16</v>
      </c>
      <c r="Y24" s="1645"/>
      <c r="Z24" s="1645"/>
      <c r="AA24" s="1645"/>
      <c r="AB24" s="705"/>
      <c r="AC24" s="708">
        <v>2004</v>
      </c>
      <c r="AD24" s="292">
        <f t="shared" si="14"/>
        <v>20148</v>
      </c>
      <c r="AE24" s="1645">
        <f t="shared" si="15"/>
        <v>7</v>
      </c>
    </row>
    <row r="25" spans="1:31" ht="13.5" customHeight="1">
      <c r="A25" s="708">
        <v>2005</v>
      </c>
      <c r="B25" s="292">
        <v>2123</v>
      </c>
      <c r="C25" s="292">
        <v>11221</v>
      </c>
      <c r="D25" s="312">
        <v>58917</v>
      </c>
      <c r="E25" s="292">
        <v>251631</v>
      </c>
      <c r="F25" s="292">
        <v>9619</v>
      </c>
      <c r="G25" s="292">
        <v>48968</v>
      </c>
      <c r="H25" s="709">
        <f t="shared" si="0"/>
        <v>70659</v>
      </c>
      <c r="I25" s="709">
        <f t="shared" si="1"/>
        <v>241161</v>
      </c>
      <c r="J25" s="709">
        <f t="shared" si="2"/>
        <v>311820</v>
      </c>
      <c r="K25" s="1645"/>
      <c r="L25" s="189">
        <f t="shared" si="3"/>
        <v>0.22660188570329037</v>
      </c>
      <c r="M25" s="189">
        <f t="shared" si="4"/>
        <v>0.80697517798730034</v>
      </c>
      <c r="N25" s="292">
        <f t="shared" si="5"/>
        <v>68536</v>
      </c>
      <c r="O25" s="292">
        <f t="shared" si="6"/>
        <v>300599</v>
      </c>
      <c r="P25" s="189">
        <f t="shared" si="7"/>
        <v>0.22799809713272498</v>
      </c>
      <c r="Q25" s="189">
        <f t="shared" si="8"/>
        <v>0.23414046758944645</v>
      </c>
      <c r="R25" s="189">
        <f t="shared" si="9"/>
        <v>0.19643440614278712</v>
      </c>
      <c r="S25" s="189">
        <f t="shared" si="10"/>
        <v>3.5985504457699956E-2</v>
      </c>
      <c r="T25" s="705">
        <f t="shared" si="11"/>
        <v>0.18919882363425719</v>
      </c>
      <c r="U25" s="705"/>
      <c r="V25" s="708">
        <v>2005</v>
      </c>
      <c r="W25" s="292">
        <f t="shared" si="12"/>
        <v>311820</v>
      </c>
      <c r="X25" s="1645">
        <f t="shared" si="13"/>
        <v>15</v>
      </c>
      <c r="Y25" s="1645"/>
      <c r="Z25" s="1645"/>
      <c r="AA25" s="1645"/>
      <c r="AB25" s="705"/>
      <c r="AC25" s="708">
        <v>2005</v>
      </c>
      <c r="AD25" s="292">
        <f t="shared" si="14"/>
        <v>11221</v>
      </c>
      <c r="AE25" s="1645">
        <f t="shared" si="15"/>
        <v>22</v>
      </c>
    </row>
    <row r="26" spans="1:31" ht="13.5" customHeight="1">
      <c r="A26" s="708">
        <v>2006</v>
      </c>
      <c r="B26" s="292">
        <v>2181</v>
      </c>
      <c r="C26" s="292">
        <v>9882</v>
      </c>
      <c r="D26" s="312">
        <v>63735</v>
      </c>
      <c r="E26" s="292">
        <v>245168</v>
      </c>
      <c r="F26" s="292">
        <v>8466</v>
      </c>
      <c r="G26" s="292">
        <v>74128</v>
      </c>
      <c r="H26" s="709">
        <f t="shared" si="0"/>
        <v>74382</v>
      </c>
      <c r="I26" s="709">
        <f t="shared" si="1"/>
        <v>254796</v>
      </c>
      <c r="J26" s="709">
        <f t="shared" si="2"/>
        <v>329178</v>
      </c>
      <c r="K26" s="1645"/>
      <c r="L26" s="189">
        <f t="shared" si="3"/>
        <v>0.22596285292455753</v>
      </c>
      <c r="M26" s="189">
        <f t="shared" si="4"/>
        <v>0.74478853386313792</v>
      </c>
      <c r="N26" s="292">
        <f t="shared" si="5"/>
        <v>72201</v>
      </c>
      <c r="O26" s="292">
        <f t="shared" si="6"/>
        <v>319296</v>
      </c>
      <c r="P26" s="189">
        <f t="shared" si="7"/>
        <v>0.2261256013229104</v>
      </c>
      <c r="Q26" s="189">
        <f t="shared" si="8"/>
        <v>0.25996459570580172</v>
      </c>
      <c r="R26" s="189">
        <f t="shared" si="9"/>
        <v>0.11420785668033671</v>
      </c>
      <c r="S26" s="189">
        <f t="shared" si="10"/>
        <v>3.0020232214789565E-2</v>
      </c>
      <c r="T26" s="705">
        <f t="shared" si="11"/>
        <v>0.2207043108682453</v>
      </c>
      <c r="U26" s="705"/>
      <c r="V26" s="708">
        <v>2006</v>
      </c>
      <c r="W26" s="292">
        <f t="shared" si="12"/>
        <v>329178</v>
      </c>
      <c r="X26" s="1645">
        <f t="shared" si="13"/>
        <v>10</v>
      </c>
      <c r="Y26" s="194">
        <v>319296</v>
      </c>
      <c r="Z26" s="194">
        <v>80088</v>
      </c>
      <c r="AA26" s="1645"/>
      <c r="AB26" s="705"/>
      <c r="AC26" s="708">
        <v>2006</v>
      </c>
      <c r="AD26" s="292">
        <f t="shared" si="14"/>
        <v>9882</v>
      </c>
      <c r="AE26" s="1645">
        <f t="shared" si="15"/>
        <v>26</v>
      </c>
    </row>
    <row r="27" spans="1:31" ht="13.5" customHeight="1">
      <c r="A27" s="708">
        <v>2007</v>
      </c>
      <c r="B27" s="292">
        <v>1727</v>
      </c>
      <c r="C27" s="292">
        <v>9475</v>
      </c>
      <c r="D27" s="312">
        <v>77268</v>
      </c>
      <c r="E27" s="292">
        <v>258848</v>
      </c>
      <c r="F27" s="292">
        <v>9015</v>
      </c>
      <c r="G27" s="292">
        <v>51073</v>
      </c>
      <c r="H27" s="709">
        <f t="shared" si="0"/>
        <v>88010</v>
      </c>
      <c r="I27" s="709">
        <f t="shared" si="1"/>
        <v>231386</v>
      </c>
      <c r="J27" s="709">
        <f t="shared" si="2"/>
        <v>319396</v>
      </c>
      <c r="K27" s="1645"/>
      <c r="L27" s="189">
        <f t="shared" si="3"/>
        <v>0.2755513531791256</v>
      </c>
      <c r="M27" s="189">
        <f t="shared" si="4"/>
        <v>0.81042968603238608</v>
      </c>
      <c r="N27" s="292">
        <f t="shared" si="5"/>
        <v>86283</v>
      </c>
      <c r="O27" s="292">
        <f t="shared" si="6"/>
        <v>309921</v>
      </c>
      <c r="P27" s="189">
        <f t="shared" si="7"/>
        <v>0.27840320597829771</v>
      </c>
      <c r="Q27" s="189">
        <f t="shared" si="8"/>
        <v>0.29850723204351587</v>
      </c>
      <c r="R27" s="189">
        <f t="shared" si="9"/>
        <v>0.17651205137744014</v>
      </c>
      <c r="S27" s="189">
        <f t="shared" si="10"/>
        <v>2.9665368382822577E-2</v>
      </c>
      <c r="T27" s="705">
        <f t="shared" si="11"/>
        <v>0.18226912928759895</v>
      </c>
      <c r="U27" s="705"/>
      <c r="V27" s="708">
        <v>2007</v>
      </c>
      <c r="W27" s="292">
        <f t="shared" si="12"/>
        <v>319396</v>
      </c>
      <c r="X27" s="1645">
        <f t="shared" si="13"/>
        <v>12</v>
      </c>
      <c r="Y27" s="194">
        <v>311107</v>
      </c>
      <c r="Z27" s="194">
        <v>78691</v>
      </c>
      <c r="AA27" s="1645"/>
      <c r="AB27" s="705"/>
      <c r="AC27" s="708">
        <v>2007</v>
      </c>
      <c r="AD27" s="292">
        <f t="shared" si="14"/>
        <v>9475</v>
      </c>
      <c r="AE27" s="1645">
        <f t="shared" si="15"/>
        <v>28</v>
      </c>
    </row>
    <row r="28" spans="1:31" ht="13.5" customHeight="1">
      <c r="A28" s="708">
        <v>2008</v>
      </c>
      <c r="B28" s="292">
        <v>4489</v>
      </c>
      <c r="C28" s="292">
        <v>15832</v>
      </c>
      <c r="D28" s="312">
        <v>81648</v>
      </c>
      <c r="E28" s="292">
        <v>245823</v>
      </c>
      <c r="F28" s="292">
        <v>18529</v>
      </c>
      <c r="G28" s="292">
        <v>93429</v>
      </c>
      <c r="H28" s="709">
        <f t="shared" si="0"/>
        <v>104666</v>
      </c>
      <c r="I28" s="709">
        <f t="shared" si="1"/>
        <v>250418</v>
      </c>
      <c r="J28" s="709">
        <f t="shared" si="2"/>
        <v>355084</v>
      </c>
      <c r="K28" s="1645"/>
      <c r="L28" s="189">
        <f t="shared" si="3"/>
        <v>0.29476405582904325</v>
      </c>
      <c r="M28" s="189">
        <f t="shared" si="4"/>
        <v>0.69229534420024552</v>
      </c>
      <c r="N28" s="292">
        <f t="shared" si="5"/>
        <v>100177</v>
      </c>
      <c r="O28" s="292">
        <f t="shared" si="6"/>
        <v>339252</v>
      </c>
      <c r="P28" s="189">
        <f t="shared" si="7"/>
        <v>0.29528786860504874</v>
      </c>
      <c r="Q28" s="189">
        <f t="shared" si="8"/>
        <v>0.3321414188257405</v>
      </c>
      <c r="R28" s="189">
        <f t="shared" si="9"/>
        <v>0.19832172023675732</v>
      </c>
      <c r="S28" s="189">
        <f t="shared" si="10"/>
        <v>4.4586633022045491E-2</v>
      </c>
      <c r="T28" s="705">
        <f t="shared" si="11"/>
        <v>0.28353966649823142</v>
      </c>
      <c r="U28" s="705"/>
      <c r="V28" s="708">
        <v>2008</v>
      </c>
      <c r="W28" s="292">
        <f t="shared" si="12"/>
        <v>355084</v>
      </c>
      <c r="X28" s="1645">
        <f t="shared" si="13"/>
        <v>8</v>
      </c>
      <c r="Y28" s="313">
        <v>339252</v>
      </c>
      <c r="Z28" s="313">
        <v>100177</v>
      </c>
      <c r="AA28" s="1645"/>
      <c r="AB28" s="705"/>
      <c r="AC28" s="708">
        <v>2008</v>
      </c>
      <c r="AD28" s="292">
        <f t="shared" si="14"/>
        <v>15832</v>
      </c>
      <c r="AE28" s="1645">
        <f t="shared" si="15"/>
        <v>12</v>
      </c>
    </row>
    <row r="29" spans="1:31" ht="13.5" customHeight="1">
      <c r="A29" s="708">
        <v>2009</v>
      </c>
      <c r="B29" s="292">
        <v>3528</v>
      </c>
      <c r="C29" s="292">
        <v>13884</v>
      </c>
      <c r="D29" s="312">
        <v>154045</v>
      </c>
      <c r="E29" s="292">
        <v>543195</v>
      </c>
      <c r="F29" s="292">
        <v>13727</v>
      </c>
      <c r="G29" s="292">
        <v>44540</v>
      </c>
      <c r="H29" s="709">
        <f t="shared" si="0"/>
        <v>171300</v>
      </c>
      <c r="I29" s="709">
        <f t="shared" si="1"/>
        <v>430319</v>
      </c>
      <c r="J29" s="709">
        <f t="shared" si="2"/>
        <v>601619</v>
      </c>
      <c r="K29" s="1645"/>
      <c r="L29" s="189">
        <f t="shared" si="3"/>
        <v>0.28473169896562445</v>
      </c>
      <c r="M29" s="189">
        <f t="shared" si="4"/>
        <v>0.9028887053101714</v>
      </c>
      <c r="N29" s="292">
        <f t="shared" si="5"/>
        <v>167772</v>
      </c>
      <c r="O29" s="292">
        <f t="shared" si="6"/>
        <v>587735</v>
      </c>
      <c r="P29" s="189">
        <f t="shared" si="7"/>
        <v>0.28545517963027556</v>
      </c>
      <c r="Q29" s="189">
        <f t="shared" si="8"/>
        <v>0.28359060742458969</v>
      </c>
      <c r="R29" s="189">
        <f t="shared" si="9"/>
        <v>0.30819488100583747</v>
      </c>
      <c r="S29" s="189">
        <f t="shared" si="10"/>
        <v>2.3077728595672677E-2</v>
      </c>
      <c r="T29" s="705">
        <f t="shared" si="11"/>
        <v>0.25410544511668109</v>
      </c>
      <c r="U29" s="705"/>
      <c r="V29" s="708">
        <v>2009</v>
      </c>
      <c r="W29" s="292">
        <f t="shared" si="12"/>
        <v>601619</v>
      </c>
      <c r="X29" s="1645">
        <f t="shared" si="13"/>
        <v>2</v>
      </c>
      <c r="Y29" s="313">
        <v>587735</v>
      </c>
      <c r="Z29" s="313">
        <v>167772</v>
      </c>
      <c r="AA29" s="1645"/>
      <c r="AB29" s="705"/>
      <c r="AC29" s="708">
        <v>2009</v>
      </c>
      <c r="AD29" s="292">
        <f t="shared" si="14"/>
        <v>13884</v>
      </c>
      <c r="AE29" s="1645">
        <f t="shared" si="15"/>
        <v>17</v>
      </c>
    </row>
    <row r="30" spans="1:31">
      <c r="A30" s="708">
        <v>2010</v>
      </c>
      <c r="B30" s="292">
        <v>10357</v>
      </c>
      <c r="C30" s="292">
        <v>29270</v>
      </c>
      <c r="D30" s="312">
        <v>120531</v>
      </c>
      <c r="E30" s="292">
        <v>304002</v>
      </c>
      <c r="F30" s="292">
        <v>22364</v>
      </c>
      <c r="G30" s="292">
        <v>77146</v>
      </c>
      <c r="H30" s="709">
        <f t="shared" si="0"/>
        <v>153252</v>
      </c>
      <c r="I30" s="709">
        <f t="shared" si="1"/>
        <v>257166</v>
      </c>
      <c r="J30" s="709">
        <f t="shared" si="2"/>
        <v>410418</v>
      </c>
      <c r="K30" s="1645"/>
      <c r="L30" s="189">
        <f t="shared" si="3"/>
        <v>0.37340467523354237</v>
      </c>
      <c r="M30" s="189">
        <f t="shared" si="4"/>
        <v>0.74071312661725364</v>
      </c>
      <c r="N30" s="292">
        <f t="shared" si="5"/>
        <v>142895</v>
      </c>
      <c r="O30" s="292">
        <f t="shared" si="6"/>
        <v>381148</v>
      </c>
      <c r="P30" s="189">
        <f t="shared" si="7"/>
        <v>0.37490686032722198</v>
      </c>
      <c r="Q30" s="189">
        <f t="shared" si="8"/>
        <v>0.39648094420431446</v>
      </c>
      <c r="R30" s="189">
        <f t="shared" si="9"/>
        <v>0.28989189329323622</v>
      </c>
      <c r="S30" s="189">
        <f t="shared" si="10"/>
        <v>7.13175348059783E-2</v>
      </c>
      <c r="T30" s="705">
        <f t="shared" si="11"/>
        <v>0.35384352579432865</v>
      </c>
      <c r="U30" s="705"/>
      <c r="V30" s="708">
        <v>2010</v>
      </c>
      <c r="W30" s="292">
        <f t="shared" si="12"/>
        <v>410418</v>
      </c>
      <c r="X30" s="1645">
        <f t="shared" si="13"/>
        <v>4</v>
      </c>
      <c r="Y30" s="313">
        <v>381148</v>
      </c>
      <c r="Z30" s="313">
        <v>142881</v>
      </c>
      <c r="AA30" s="1645"/>
      <c r="AB30" s="705"/>
      <c r="AC30" s="708">
        <v>2010</v>
      </c>
      <c r="AD30" s="292">
        <f t="shared" si="14"/>
        <v>29270</v>
      </c>
      <c r="AE30" s="1645">
        <f t="shared" si="15"/>
        <v>1</v>
      </c>
    </row>
    <row r="31" spans="1:31">
      <c r="A31" s="708">
        <v>2011</v>
      </c>
      <c r="B31" s="292">
        <v>2814</v>
      </c>
      <c r="C31" s="292">
        <v>9750</v>
      </c>
      <c r="D31" s="312">
        <v>101263</v>
      </c>
      <c r="E31" s="292">
        <v>318125</v>
      </c>
      <c r="F31" s="292">
        <v>7771</v>
      </c>
      <c r="G31" s="292">
        <v>36996</v>
      </c>
      <c r="H31" s="709">
        <f t="shared" si="0"/>
        <v>111848</v>
      </c>
      <c r="I31" s="709">
        <f t="shared" si="1"/>
        <v>253023</v>
      </c>
      <c r="J31" s="709">
        <f t="shared" si="2"/>
        <v>364871</v>
      </c>
      <c r="K31" s="1645"/>
      <c r="L31" s="189">
        <f t="shared" si="3"/>
        <v>0.30654121593659128</v>
      </c>
      <c r="M31" s="189">
        <f t="shared" si="4"/>
        <v>0.87188348758876422</v>
      </c>
      <c r="N31" s="292">
        <f t="shared" si="5"/>
        <v>109034</v>
      </c>
      <c r="O31" s="292">
        <f t="shared" si="6"/>
        <v>355121</v>
      </c>
      <c r="P31" s="189">
        <f t="shared" si="7"/>
        <v>0.30703337735588715</v>
      </c>
      <c r="Q31" s="189">
        <f t="shared" si="8"/>
        <v>0.31831198428290769</v>
      </c>
      <c r="R31" s="189">
        <f t="shared" si="9"/>
        <v>0.21004973510649799</v>
      </c>
      <c r="S31" s="189">
        <f t="shared" si="10"/>
        <v>2.6721772900559375E-2</v>
      </c>
      <c r="T31" s="705">
        <f t="shared" si="11"/>
        <v>0.28861538461538461</v>
      </c>
      <c r="U31" s="705"/>
      <c r="V31" s="708">
        <v>2011</v>
      </c>
      <c r="W31" s="292">
        <f t="shared" si="12"/>
        <v>364871</v>
      </c>
      <c r="X31" s="1645">
        <f t="shared" si="13"/>
        <v>6</v>
      </c>
      <c r="Y31" s="194">
        <v>355121</v>
      </c>
      <c r="Z31" s="194">
        <v>124155</v>
      </c>
      <c r="AA31" s="1645"/>
      <c r="AB31" s="705"/>
      <c r="AC31" s="708">
        <v>2011</v>
      </c>
      <c r="AD31" s="292">
        <f t="shared" si="14"/>
        <v>9750</v>
      </c>
      <c r="AE31" s="1645">
        <f t="shared" si="15"/>
        <v>27</v>
      </c>
    </row>
    <row r="32" spans="1:31">
      <c r="A32" s="708">
        <v>2012</v>
      </c>
      <c r="B32" s="292">
        <v>3023</v>
      </c>
      <c r="C32" s="292">
        <v>10958</v>
      </c>
      <c r="D32" s="312">
        <v>55464</v>
      </c>
      <c r="E32" s="292">
        <v>192134</v>
      </c>
      <c r="F32" s="292">
        <v>6813</v>
      </c>
      <c r="G32" s="292">
        <v>27723</v>
      </c>
      <c r="H32" s="709">
        <f t="shared" si="0"/>
        <v>65300</v>
      </c>
      <c r="I32" s="709">
        <f t="shared" si="1"/>
        <v>165515</v>
      </c>
      <c r="J32" s="709">
        <f t="shared" si="2"/>
        <v>230815</v>
      </c>
      <c r="K32" s="1645"/>
      <c r="L32" s="189">
        <f t="shared" si="3"/>
        <v>0.28291055607304549</v>
      </c>
      <c r="M32" s="189">
        <f t="shared" si="4"/>
        <v>0.83241557091176921</v>
      </c>
      <c r="N32" s="292">
        <f t="shared" si="5"/>
        <v>62277</v>
      </c>
      <c r="O32" s="292">
        <f t="shared" si="6"/>
        <v>219857</v>
      </c>
      <c r="P32" s="189">
        <f t="shared" si="7"/>
        <v>0.28326139263248384</v>
      </c>
      <c r="Q32" s="189">
        <f t="shared" si="8"/>
        <v>0.28867352993223477</v>
      </c>
      <c r="R32" s="189">
        <f t="shared" si="9"/>
        <v>0.24575262417487284</v>
      </c>
      <c r="S32" s="189">
        <f t="shared" si="10"/>
        <v>4.7475250741936183E-2</v>
      </c>
      <c r="T32" s="705">
        <f t="shared" si="11"/>
        <v>0.27587150939952548</v>
      </c>
      <c r="U32" s="705"/>
      <c r="V32" s="708">
        <v>2012</v>
      </c>
      <c r="W32" s="292">
        <f t="shared" si="12"/>
        <v>230815</v>
      </c>
      <c r="X32" s="1645">
        <f t="shared" si="13"/>
        <v>25</v>
      </c>
      <c r="Y32" s="194">
        <v>219857</v>
      </c>
      <c r="Z32" s="194">
        <v>80416</v>
      </c>
      <c r="AA32" s="1645"/>
      <c r="AB32" s="705"/>
      <c r="AC32" s="708">
        <v>2012</v>
      </c>
      <c r="AD32" s="292">
        <f t="shared" si="14"/>
        <v>10958</v>
      </c>
      <c r="AE32" s="1645">
        <f t="shared" si="15"/>
        <v>23</v>
      </c>
    </row>
    <row r="33" spans="1:31">
      <c r="A33" s="708">
        <v>2013</v>
      </c>
      <c r="B33" s="292">
        <v>1661</v>
      </c>
      <c r="C33" s="292">
        <v>5738</v>
      </c>
      <c r="D33" s="292">
        <v>90496</v>
      </c>
      <c r="E33" s="292">
        <v>214074</v>
      </c>
      <c r="F33" s="292">
        <v>2907</v>
      </c>
      <c r="G33" s="292">
        <v>11511</v>
      </c>
      <c r="H33" s="709">
        <f t="shared" si="0"/>
        <v>95064</v>
      </c>
      <c r="I33" s="709">
        <f t="shared" si="1"/>
        <v>136259</v>
      </c>
      <c r="J33" s="709">
        <f t="shared" si="2"/>
        <v>231323</v>
      </c>
      <c r="K33" s="1645"/>
      <c r="L33" s="189">
        <f t="shared" si="3"/>
        <v>0.41095783817432768</v>
      </c>
      <c r="M33" s="189">
        <f t="shared" si="4"/>
        <v>0.92543326863303688</v>
      </c>
      <c r="N33" s="292">
        <f t="shared" si="5"/>
        <v>93403</v>
      </c>
      <c r="O33" s="292">
        <f t="shared" si="6"/>
        <v>225585</v>
      </c>
      <c r="P33" s="189">
        <f t="shared" si="7"/>
        <v>0.41404791985282707</v>
      </c>
      <c r="Q33" s="189">
        <f t="shared" si="8"/>
        <v>0.42273232620495715</v>
      </c>
      <c r="R33" s="189">
        <f t="shared" si="9"/>
        <v>0.25254104769351055</v>
      </c>
      <c r="S33" s="189">
        <f t="shared" si="10"/>
        <v>2.480514259282475E-2</v>
      </c>
      <c r="T33" s="705">
        <f t="shared" si="11"/>
        <v>0.28947368421052633</v>
      </c>
      <c r="U33" s="705"/>
      <c r="V33" s="708">
        <v>2013</v>
      </c>
      <c r="W33" s="292">
        <f t="shared" si="12"/>
        <v>231323</v>
      </c>
      <c r="X33" s="1645">
        <f t="shared" si="13"/>
        <v>24</v>
      </c>
      <c r="Y33" s="194">
        <v>225586</v>
      </c>
      <c r="Z33" s="194">
        <v>96541</v>
      </c>
      <c r="AA33" s="1645"/>
      <c r="AB33" s="705"/>
      <c r="AC33" s="708">
        <v>2013</v>
      </c>
      <c r="AD33" s="292">
        <f t="shared" si="14"/>
        <v>5738</v>
      </c>
      <c r="AE33" s="1645">
        <f t="shared" si="15"/>
        <v>34</v>
      </c>
    </row>
    <row r="34" spans="1:31">
      <c r="A34" s="708">
        <v>2014</v>
      </c>
      <c r="B34" s="292">
        <v>4783</v>
      </c>
      <c r="C34" s="292">
        <v>13526</v>
      </c>
      <c r="D34" s="292">
        <v>109279</v>
      </c>
      <c r="E34" s="292">
        <v>260130</v>
      </c>
      <c r="F34" s="292">
        <v>13341</v>
      </c>
      <c r="G34" s="292">
        <v>47057</v>
      </c>
      <c r="H34" s="709">
        <f t="shared" si="0"/>
        <v>127403</v>
      </c>
      <c r="I34" s="709">
        <f t="shared" si="1"/>
        <v>193310</v>
      </c>
      <c r="J34" s="709">
        <f t="shared" si="2"/>
        <v>320713</v>
      </c>
      <c r="K34" s="1645"/>
      <c r="L34" s="189">
        <f t="shared" si="3"/>
        <v>0.39724925400591804</v>
      </c>
      <c r="M34" s="189">
        <f t="shared" si="4"/>
        <v>0.81109901999607126</v>
      </c>
      <c r="N34" s="292">
        <f t="shared" si="5"/>
        <v>122620</v>
      </c>
      <c r="O34" s="292">
        <f t="shared" si="6"/>
        <v>307187</v>
      </c>
      <c r="P34" s="189">
        <f t="shared" si="7"/>
        <v>0.39917053781572787</v>
      </c>
      <c r="Q34" s="189">
        <f t="shared" si="8"/>
        <v>0.42009379925421902</v>
      </c>
      <c r="R34" s="189">
        <f t="shared" si="9"/>
        <v>0.28350723590539134</v>
      </c>
      <c r="S34" s="189">
        <f t="shared" si="10"/>
        <v>4.2174779319828007E-2</v>
      </c>
      <c r="T34" s="705">
        <f t="shared" si="11"/>
        <v>0.35361525950022177</v>
      </c>
      <c r="U34" s="705"/>
      <c r="V34" s="708">
        <v>2014</v>
      </c>
      <c r="W34" s="292">
        <f t="shared" si="12"/>
        <v>320713</v>
      </c>
      <c r="X34" s="1645">
        <f t="shared" si="13"/>
        <v>11</v>
      </c>
      <c r="Y34" s="194">
        <v>307187</v>
      </c>
      <c r="Z34" s="194">
        <v>123855</v>
      </c>
      <c r="AA34" s="1645"/>
      <c r="AB34" s="705"/>
      <c r="AC34" s="708">
        <v>2014</v>
      </c>
      <c r="AD34" s="292">
        <f t="shared" si="14"/>
        <v>13526</v>
      </c>
      <c r="AE34" s="1645">
        <f t="shared" si="15"/>
        <v>18</v>
      </c>
    </row>
    <row r="35" spans="1:31">
      <c r="A35" s="708">
        <v>2015</v>
      </c>
      <c r="B35" s="292">
        <v>3664</v>
      </c>
      <c r="C35" s="292">
        <v>8131</v>
      </c>
      <c r="D35" s="292">
        <v>84896</v>
      </c>
      <c r="E35" s="292">
        <v>234382</v>
      </c>
      <c r="F35" s="292">
        <v>5842</v>
      </c>
      <c r="G35" s="292">
        <v>18848</v>
      </c>
      <c r="H35" s="709">
        <f t="shared" si="0"/>
        <v>94402</v>
      </c>
      <c r="I35" s="709">
        <f t="shared" si="1"/>
        <v>166959</v>
      </c>
      <c r="J35" s="709">
        <f t="shared" si="2"/>
        <v>261361</v>
      </c>
      <c r="K35" s="1645"/>
      <c r="L35" s="189">
        <f t="shared" si="3"/>
        <v>0.36119390421677294</v>
      </c>
      <c r="M35" s="189">
        <f t="shared" si="4"/>
        <v>0.89677495877349722</v>
      </c>
      <c r="N35" s="292">
        <f t="shared" si="5"/>
        <v>90738</v>
      </c>
      <c r="O35" s="292">
        <f t="shared" si="6"/>
        <v>253230</v>
      </c>
      <c r="P35" s="189">
        <f t="shared" si="7"/>
        <v>0.35832247364056391</v>
      </c>
      <c r="Q35" s="189">
        <f t="shared" si="8"/>
        <v>0.36221211526482411</v>
      </c>
      <c r="R35" s="189">
        <f t="shared" si="9"/>
        <v>0.30995331069609505</v>
      </c>
      <c r="S35" s="189">
        <f t="shared" si="10"/>
        <v>3.1110226850983889E-2</v>
      </c>
      <c r="T35" s="705">
        <f t="shared" si="11"/>
        <v>0.45062107981798055</v>
      </c>
      <c r="U35" s="705"/>
      <c r="V35" s="708">
        <v>2015</v>
      </c>
      <c r="W35" s="292">
        <f t="shared" si="12"/>
        <v>261361</v>
      </c>
      <c r="X35" s="1645">
        <f t="shared" si="13"/>
        <v>22</v>
      </c>
      <c r="Y35" s="194">
        <v>253230</v>
      </c>
      <c r="Z35" s="194">
        <v>90738</v>
      </c>
      <c r="AA35" s="1645"/>
      <c r="AB35" s="705"/>
      <c r="AC35" s="708">
        <v>2015</v>
      </c>
      <c r="AD35" s="292">
        <f t="shared" si="14"/>
        <v>8131</v>
      </c>
      <c r="AE35" s="1645">
        <f t="shared" si="15"/>
        <v>31</v>
      </c>
    </row>
    <row r="36" spans="1:31">
      <c r="A36" s="708">
        <v>2016</v>
      </c>
      <c r="B36" s="292">
        <v>4822</v>
      </c>
      <c r="C36" s="292">
        <v>12238</v>
      </c>
      <c r="D36" s="292">
        <v>29146</v>
      </c>
      <c r="E36" s="292">
        <v>128890</v>
      </c>
      <c r="F36" s="292">
        <v>3469</v>
      </c>
      <c r="G36" s="292">
        <v>42916</v>
      </c>
      <c r="H36" s="709">
        <f t="shared" si="0"/>
        <v>37437</v>
      </c>
      <c r="I36" s="709">
        <f t="shared" si="1"/>
        <v>146607</v>
      </c>
      <c r="J36" s="709">
        <f t="shared" si="2"/>
        <v>184044</v>
      </c>
      <c r="K36" s="1645"/>
      <c r="L36" s="189">
        <f t="shared" si="3"/>
        <v>0.20341331420747213</v>
      </c>
      <c r="M36" s="189">
        <f t="shared" si="4"/>
        <v>0.70032166221121039</v>
      </c>
      <c r="N36" s="292">
        <f t="shared" si="5"/>
        <v>32615</v>
      </c>
      <c r="O36" s="292">
        <f t="shared" si="6"/>
        <v>171806</v>
      </c>
      <c r="P36" s="189">
        <f t="shared" si="7"/>
        <v>0.18983621060964112</v>
      </c>
      <c r="Q36" s="189">
        <f t="shared" si="8"/>
        <v>0.22613080921716192</v>
      </c>
      <c r="R36" s="189">
        <f t="shared" si="9"/>
        <v>8.0832323608910434E-2</v>
      </c>
      <c r="S36" s="189">
        <f t="shared" si="10"/>
        <v>6.6494968594466547E-2</v>
      </c>
      <c r="T36" s="705">
        <f t="shared" si="11"/>
        <v>0.39401863049517893</v>
      </c>
      <c r="U36" s="705"/>
      <c r="V36" s="708">
        <v>2016</v>
      </c>
      <c r="W36" s="292">
        <f t="shared" si="12"/>
        <v>184044</v>
      </c>
      <c r="X36" s="1645">
        <f t="shared" si="13"/>
        <v>31</v>
      </c>
      <c r="Y36" s="194">
        <v>171806</v>
      </c>
      <c r="Z36" s="194">
        <v>45742</v>
      </c>
      <c r="AA36" s="1645"/>
      <c r="AB36" s="705"/>
      <c r="AC36" s="708">
        <v>2016</v>
      </c>
      <c r="AD36" s="292">
        <f t="shared" si="14"/>
        <v>12238</v>
      </c>
      <c r="AE36" s="1645">
        <f t="shared" si="15"/>
        <v>20</v>
      </c>
    </row>
    <row r="37" spans="1:31">
      <c r="A37" s="708">
        <v>2017</v>
      </c>
      <c r="B37" s="292">
        <v>1236</v>
      </c>
      <c r="C37" s="292">
        <v>3491</v>
      </c>
      <c r="D37" s="292">
        <v>27909</v>
      </c>
      <c r="E37" s="292">
        <v>106776</v>
      </c>
      <c r="F37" s="292">
        <v>751</v>
      </c>
      <c r="G37" s="292">
        <v>6574</v>
      </c>
      <c r="H37" s="709">
        <f t="shared" si="0"/>
        <v>29896</v>
      </c>
      <c r="I37" s="709">
        <f t="shared" si="1"/>
        <v>86945</v>
      </c>
      <c r="J37" s="709">
        <f t="shared" si="2"/>
        <v>116841</v>
      </c>
      <c r="K37" s="1645"/>
      <c r="L37" s="189">
        <f t="shared" si="3"/>
        <v>0.25586908704992256</v>
      </c>
      <c r="M37" s="189">
        <f t="shared" si="4"/>
        <v>0.9138572932446658</v>
      </c>
      <c r="N37" s="292">
        <f t="shared" si="5"/>
        <v>28660</v>
      </c>
      <c r="O37" s="292">
        <f t="shared" si="6"/>
        <v>113350</v>
      </c>
      <c r="P37" s="189">
        <f t="shared" si="7"/>
        <v>0.25284516982796645</v>
      </c>
      <c r="Q37" s="189">
        <f t="shared" si="8"/>
        <v>0.26137896156439649</v>
      </c>
      <c r="R37" s="189">
        <f t="shared" si="9"/>
        <v>0.11423790690599331</v>
      </c>
      <c r="S37" s="189">
        <f t="shared" si="10"/>
        <v>2.9878210559649437E-2</v>
      </c>
      <c r="T37" s="705">
        <f t="shared" si="11"/>
        <v>0.35405327986250357</v>
      </c>
      <c r="U37" s="705"/>
      <c r="V37" s="708">
        <v>2017</v>
      </c>
      <c r="W37" s="292">
        <f t="shared" si="12"/>
        <v>116841</v>
      </c>
      <c r="X37" s="1645">
        <f t="shared" si="13"/>
        <v>34</v>
      </c>
      <c r="Y37" s="411"/>
      <c r="Z37" s="411"/>
      <c r="AA37" s="1645"/>
      <c r="AB37" s="705"/>
      <c r="AC37" s="708">
        <v>2017</v>
      </c>
      <c r="AD37" s="292">
        <f t="shared" si="14"/>
        <v>3491</v>
      </c>
      <c r="AE37" s="1645">
        <f t="shared" si="15"/>
        <v>36</v>
      </c>
    </row>
    <row r="38" spans="1:31">
      <c r="A38" s="708">
        <v>2018</v>
      </c>
      <c r="B38" s="292">
        <v>2595</v>
      </c>
      <c r="C38" s="292">
        <v>6483</v>
      </c>
      <c r="D38" s="292">
        <v>21725</v>
      </c>
      <c r="E38" s="292">
        <v>69338</v>
      </c>
      <c r="F38" s="292">
        <v>2382</v>
      </c>
      <c r="G38" s="292">
        <v>24662</v>
      </c>
      <c r="H38" s="709">
        <f t="shared" si="0"/>
        <v>26702</v>
      </c>
      <c r="I38" s="709">
        <f t="shared" si="1"/>
        <v>73781</v>
      </c>
      <c r="J38" s="709">
        <f t="shared" si="2"/>
        <v>100483</v>
      </c>
      <c r="K38" s="1645"/>
      <c r="L38" s="189">
        <f t="shared" si="3"/>
        <v>0.2657364927400655</v>
      </c>
      <c r="M38" s="189">
        <f t="shared" si="4"/>
        <v>0.69004707263915288</v>
      </c>
      <c r="N38" s="292">
        <f t="shared" si="5"/>
        <v>24107</v>
      </c>
      <c r="O38" s="292">
        <f t="shared" si="6"/>
        <v>94000</v>
      </c>
      <c r="P38" s="189">
        <f t="shared" si="7"/>
        <v>0.25645744680851063</v>
      </c>
      <c r="Q38" s="189">
        <f t="shared" si="8"/>
        <v>0.31332025729037466</v>
      </c>
      <c r="R38" s="189">
        <f t="shared" si="9"/>
        <v>9.6585840564431105E-2</v>
      </c>
      <c r="S38" s="189">
        <f t="shared" si="10"/>
        <v>6.4518376242747533E-2</v>
      </c>
      <c r="T38" s="705">
        <f t="shared" si="11"/>
        <v>0.40027764923646458</v>
      </c>
      <c r="U38" s="705"/>
      <c r="V38" s="708">
        <v>2018</v>
      </c>
      <c r="W38" s="292">
        <f t="shared" si="12"/>
        <v>100483</v>
      </c>
      <c r="X38" s="1645">
        <f t="shared" si="13"/>
        <v>36</v>
      </c>
      <c r="Y38" s="411"/>
      <c r="Z38" s="411"/>
      <c r="AA38" s="1645"/>
      <c r="AB38" s="705"/>
      <c r="AC38" s="708">
        <v>2018</v>
      </c>
      <c r="AD38" s="292">
        <f t="shared" si="14"/>
        <v>6483</v>
      </c>
      <c r="AE38" s="1645">
        <f t="shared" si="15"/>
        <v>33</v>
      </c>
    </row>
    <row r="39" spans="1:31">
      <c r="A39" s="708">
        <v>2019</v>
      </c>
      <c r="B39" s="292">
        <v>1522</v>
      </c>
      <c r="C39" s="292">
        <v>3134</v>
      </c>
      <c r="D39" s="292">
        <v>30300</v>
      </c>
      <c r="E39" s="292">
        <v>66174</v>
      </c>
      <c r="F39" s="292">
        <v>899</v>
      </c>
      <c r="G39" s="292">
        <v>6292</v>
      </c>
      <c r="H39" s="709">
        <f t="shared" si="0"/>
        <v>32721</v>
      </c>
      <c r="I39" s="709">
        <f>J39-H39</f>
        <v>42879</v>
      </c>
      <c r="J39" s="709">
        <f t="shared" si="2"/>
        <v>75600</v>
      </c>
      <c r="K39" s="1645"/>
      <c r="L39" s="189">
        <f t="shared" si="3"/>
        <v>0.43281746031746032</v>
      </c>
      <c r="M39" s="189">
        <f t="shared" si="4"/>
        <v>0.87531746031746027</v>
      </c>
      <c r="N39" s="292">
        <f t="shared" si="5"/>
        <v>31199</v>
      </c>
      <c r="O39" s="292">
        <f t="shared" si="6"/>
        <v>72466</v>
      </c>
      <c r="P39" s="189">
        <f t="shared" si="7"/>
        <v>0.43053293958546079</v>
      </c>
      <c r="Q39" s="189">
        <f t="shared" si="8"/>
        <v>0.45788376099374378</v>
      </c>
      <c r="R39" s="189">
        <f t="shared" si="9"/>
        <v>0.14287984742530196</v>
      </c>
      <c r="S39" s="189">
        <f t="shared" si="10"/>
        <v>4.1455026455026453E-2</v>
      </c>
      <c r="T39" s="705">
        <f t="shared" si="11"/>
        <v>0.48564135290363752</v>
      </c>
      <c r="U39" s="705"/>
      <c r="V39" s="708">
        <v>2019</v>
      </c>
      <c r="W39" s="292">
        <f t="shared" si="12"/>
        <v>75600</v>
      </c>
      <c r="X39" s="1645">
        <f t="shared" si="13"/>
        <v>37</v>
      </c>
      <c r="Y39" s="411"/>
      <c r="Z39" s="411"/>
      <c r="AA39" s="1645"/>
      <c r="AB39" s="705"/>
      <c r="AC39" s="708">
        <v>2019</v>
      </c>
      <c r="AD39" s="292">
        <f t="shared" si="14"/>
        <v>3134</v>
      </c>
      <c r="AE39" s="1645">
        <f t="shared" si="15"/>
        <v>37</v>
      </c>
    </row>
    <row r="40" spans="1:31">
      <c r="A40" s="708">
        <v>2020</v>
      </c>
      <c r="B40" s="292">
        <v>2054</v>
      </c>
      <c r="C40" s="292">
        <v>4101</v>
      </c>
      <c r="D40" s="741">
        <v>28132</v>
      </c>
      <c r="E40" s="741">
        <v>75392</v>
      </c>
      <c r="F40" s="741">
        <v>5278</v>
      </c>
      <c r="G40" s="741">
        <v>32199</v>
      </c>
      <c r="H40" s="709">
        <f t="shared" si="0"/>
        <v>35464</v>
      </c>
      <c r="I40" s="709">
        <f t="shared" si="1"/>
        <v>76228</v>
      </c>
      <c r="J40" s="709">
        <f t="shared" si="2"/>
        <v>111692</v>
      </c>
      <c r="K40" s="292"/>
      <c r="L40" s="189">
        <f t="shared" si="3"/>
        <v>0.31751602621494823</v>
      </c>
      <c r="M40" s="189">
        <f t="shared" si="4"/>
        <v>0.6749991046807291</v>
      </c>
      <c r="N40" s="292">
        <f t="shared" si="5"/>
        <v>33410</v>
      </c>
      <c r="O40" s="292">
        <f t="shared" si="6"/>
        <v>107591</v>
      </c>
      <c r="P40" s="189">
        <f t="shared" si="7"/>
        <v>0.31052783225362718</v>
      </c>
      <c r="Q40" s="189">
        <f t="shared" si="8"/>
        <v>0.37314303904923601</v>
      </c>
      <c r="R40" s="189">
        <f t="shared" si="9"/>
        <v>0.16391813410354358</v>
      </c>
      <c r="S40" s="189">
        <f t="shared" si="10"/>
        <v>3.6717043297639938E-2</v>
      </c>
      <c r="T40" s="705">
        <f t="shared" si="11"/>
        <v>0.50085345037795659</v>
      </c>
      <c r="U40" s="705"/>
      <c r="V40" s="708">
        <v>2020</v>
      </c>
      <c r="W40" s="292">
        <f t="shared" si="12"/>
        <v>111692</v>
      </c>
      <c r="X40" s="1645">
        <f t="shared" si="13"/>
        <v>35</v>
      </c>
      <c r="Y40" s="411"/>
      <c r="Z40" s="411"/>
      <c r="AA40" s="1645"/>
      <c r="AB40" s="705"/>
      <c r="AC40" s="708">
        <v>2020</v>
      </c>
      <c r="AD40" s="292">
        <f t="shared" si="14"/>
        <v>4101</v>
      </c>
      <c r="AE40" s="1645">
        <f t="shared" si="15"/>
        <v>35</v>
      </c>
    </row>
    <row r="41" spans="1:31">
      <c r="A41" s="708">
        <v>2021</v>
      </c>
      <c r="B41" s="292">
        <v>1119</v>
      </c>
      <c r="C41" s="292">
        <v>1917</v>
      </c>
      <c r="D41" s="741">
        <v>19071</v>
      </c>
      <c r="E41" s="741">
        <v>56256</v>
      </c>
      <c r="F41" s="741">
        <v>1690</v>
      </c>
      <c r="G41" s="741">
        <v>11496</v>
      </c>
      <c r="H41" s="741">
        <v>21880</v>
      </c>
      <c r="I41" s="709">
        <f t="shared" si="1"/>
        <v>47789</v>
      </c>
      <c r="J41" s="709">
        <v>69669</v>
      </c>
      <c r="K41" s="1645"/>
      <c r="L41" s="189"/>
      <c r="M41" s="189"/>
      <c r="N41" s="292"/>
      <c r="O41" s="292">
        <f t="shared" si="6"/>
        <v>67752</v>
      </c>
      <c r="P41" s="189"/>
      <c r="Q41" s="189"/>
      <c r="R41" s="189"/>
      <c r="S41" s="189">
        <f t="shared" si="10"/>
        <v>2.7515824828833486E-2</v>
      </c>
      <c r="T41" s="705">
        <f t="shared" si="11"/>
        <v>0.58372456964006258</v>
      </c>
      <c r="U41" s="705"/>
      <c r="V41" s="708">
        <v>2021</v>
      </c>
      <c r="W41" s="292">
        <f t="shared" si="12"/>
        <v>69669</v>
      </c>
      <c r="X41" s="1645">
        <f t="shared" si="13"/>
        <v>38</v>
      </c>
      <c r="Y41" s="411"/>
      <c r="Z41" s="411"/>
      <c r="AA41" s="1645"/>
      <c r="AB41" s="705"/>
      <c r="AC41" s="708">
        <v>2021</v>
      </c>
      <c r="AD41" s="292">
        <f t="shared" si="14"/>
        <v>1917</v>
      </c>
      <c r="AE41" s="1645">
        <f t="shared" si="15"/>
        <v>38</v>
      </c>
    </row>
    <row r="42" spans="1:31">
      <c r="A42" s="708">
        <v>2022</v>
      </c>
      <c r="B42" s="292">
        <v>2979</v>
      </c>
      <c r="C42" s="292">
        <v>6902</v>
      </c>
      <c r="D42" s="741">
        <v>25550</v>
      </c>
      <c r="E42" s="741">
        <v>77084</v>
      </c>
      <c r="F42" s="741">
        <v>4375</v>
      </c>
      <c r="G42" s="741">
        <v>39885</v>
      </c>
      <c r="H42" s="741">
        <v>32904</v>
      </c>
      <c r="I42" s="741">
        <v>90967</v>
      </c>
      <c r="J42" s="741">
        <v>123871</v>
      </c>
      <c r="K42" s="1645"/>
      <c r="L42" s="189"/>
      <c r="M42" s="189"/>
      <c r="N42" s="292"/>
      <c r="O42" s="292">
        <f t="shared" si="6"/>
        <v>116969</v>
      </c>
      <c r="P42" s="189"/>
      <c r="Q42" s="189"/>
      <c r="R42" s="189"/>
      <c r="S42" s="189"/>
      <c r="T42" s="705"/>
      <c r="U42" s="705"/>
      <c r="V42" s="708"/>
      <c r="W42" s="292"/>
      <c r="X42" s="1645"/>
      <c r="Y42" s="411"/>
      <c r="Z42" s="411"/>
      <c r="AA42" s="1645"/>
      <c r="AB42" s="705"/>
      <c r="AC42" s="708"/>
      <c r="AD42" s="292"/>
      <c r="AE42" s="1645"/>
    </row>
    <row r="43" spans="1:31">
      <c r="A43" s="708">
        <v>2023</v>
      </c>
      <c r="B43" s="292">
        <v>1391</v>
      </c>
      <c r="C43" s="292">
        <v>3204</v>
      </c>
      <c r="D43" s="743">
        <v>30593</v>
      </c>
      <c r="E43" s="743">
        <v>90900</v>
      </c>
      <c r="F43" s="743">
        <v>1616</v>
      </c>
      <c r="G43" s="743">
        <v>19787</v>
      </c>
      <c r="H43" s="743">
        <v>32209</v>
      </c>
      <c r="I43" s="743">
        <v>110687</v>
      </c>
      <c r="J43" s="709">
        <f>110687+C43</f>
        <v>113891</v>
      </c>
      <c r="K43" s="1645"/>
      <c r="L43" s="189"/>
      <c r="M43" s="189"/>
      <c r="N43" s="292"/>
      <c r="O43" s="292">
        <f t="shared" si="6"/>
        <v>110687</v>
      </c>
      <c r="P43" s="189"/>
      <c r="Q43" s="189"/>
      <c r="R43" s="189"/>
      <c r="S43" s="189"/>
      <c r="T43" s="705"/>
      <c r="U43" s="705"/>
      <c r="V43" s="708"/>
      <c r="W43" s="292"/>
      <c r="X43" s="1645"/>
      <c r="Y43" s="411"/>
      <c r="Z43" s="411"/>
      <c r="AA43" s="1645"/>
      <c r="AB43" s="705"/>
      <c r="AC43" s="708"/>
      <c r="AD43" s="292"/>
      <c r="AE43" s="1645"/>
    </row>
    <row r="44" spans="1:31">
      <c r="A44" s="708">
        <v>2024</v>
      </c>
      <c r="B44" s="292">
        <v>3483.7894736842068</v>
      </c>
      <c r="C44" s="292">
        <v>9408.9999999999982</v>
      </c>
      <c r="D44" s="1555">
        <v>36543.295158213987</v>
      </c>
      <c r="E44" s="743">
        <v>121578.74197332651</v>
      </c>
      <c r="F44" s="743">
        <v>4114.6124954774104</v>
      </c>
      <c r="G44" s="743">
        <v>48166.258026673502</v>
      </c>
      <c r="H44" s="709">
        <f t="shared" ref="H44" si="16">B44+D44+F44</f>
        <v>44141.697127375606</v>
      </c>
      <c r="I44" s="709">
        <f t="shared" ref="I44" si="17">J44-H44</f>
        <v>135012.30287262439</v>
      </c>
      <c r="J44" s="709">
        <f t="shared" ref="J44" si="18">C44+E44+G44</f>
        <v>179154</v>
      </c>
      <c r="K44" s="1645"/>
      <c r="L44" s="189"/>
      <c r="M44" s="189"/>
      <c r="N44" s="292"/>
      <c r="O44" s="292"/>
      <c r="P44" s="189"/>
      <c r="Q44" s="189"/>
      <c r="R44" s="189"/>
      <c r="S44" s="189"/>
      <c r="T44" s="705"/>
      <c r="U44" s="705"/>
      <c r="V44" s="708"/>
      <c r="W44" s="292"/>
      <c r="X44" s="1645"/>
      <c r="Y44" s="411"/>
      <c r="Z44" s="411"/>
      <c r="AA44" s="1645"/>
      <c r="AB44" s="705"/>
      <c r="AC44" s="708"/>
      <c r="AD44" s="292"/>
      <c r="AE44" s="1645"/>
    </row>
    <row r="45" spans="1:31">
      <c r="A45" s="708">
        <v>2025</v>
      </c>
      <c r="B45" s="741" t="s">
        <v>498</v>
      </c>
      <c r="C45" s="741" t="s">
        <v>498</v>
      </c>
      <c r="D45" s="741" t="s">
        <v>498</v>
      </c>
      <c r="E45" s="741" t="s">
        <v>498</v>
      </c>
      <c r="F45" s="741" t="s">
        <v>498</v>
      </c>
      <c r="G45" s="741" t="s">
        <v>498</v>
      </c>
      <c r="H45" s="741" t="s">
        <v>498</v>
      </c>
      <c r="I45" s="741" t="s">
        <v>498</v>
      </c>
      <c r="J45" s="709">
        <v>155013</v>
      </c>
      <c r="K45" s="1645"/>
      <c r="L45" s="189"/>
      <c r="M45" s="189"/>
      <c r="N45" s="292"/>
      <c r="O45" s="292"/>
      <c r="P45" s="189"/>
      <c r="Q45" s="189"/>
      <c r="R45" s="189"/>
      <c r="S45" s="189"/>
      <c r="T45" s="705"/>
      <c r="U45" s="705"/>
      <c r="V45" s="708"/>
      <c r="W45" s="292"/>
      <c r="X45" s="1645"/>
      <c r="Y45" s="411"/>
      <c r="Z45" s="411"/>
      <c r="AA45" s="1645"/>
      <c r="AB45" s="705"/>
      <c r="AC45" s="708"/>
      <c r="AD45" s="292"/>
      <c r="AE45" s="1645"/>
    </row>
    <row r="46" spans="1:31">
      <c r="A46" s="1645"/>
      <c r="B46" s="710"/>
      <c r="C46" s="710"/>
      <c r="D46" s="292"/>
      <c r="E46" s="292"/>
      <c r="F46" s="710"/>
      <c r="G46" s="292"/>
      <c r="H46" s="292"/>
      <c r="I46" s="292"/>
      <c r="J46" s="292"/>
      <c r="K46" s="292"/>
      <c r="L46" s="292"/>
      <c r="M46" s="1645"/>
      <c r="N46" s="1645"/>
      <c r="O46" s="1645"/>
      <c r="P46" s="705"/>
      <c r="Q46" s="189"/>
      <c r="R46" s="189"/>
      <c r="S46" s="189"/>
      <c r="T46" s="189"/>
      <c r="U46" s="189" t="s">
        <v>297</v>
      </c>
      <c r="V46" s="708"/>
      <c r="W46" s="292">
        <f>AVERAGE(W4:W41)</f>
        <v>276566.60526315792</v>
      </c>
      <c r="X46" s="1645"/>
      <c r="Y46" s="711">
        <f>AVERAGE(Y4:Y36)</f>
        <v>315575</v>
      </c>
      <c r="Z46" s="712"/>
      <c r="AA46" s="705"/>
      <c r="AB46" s="189" t="s">
        <v>297</v>
      </c>
      <c r="AC46" s="708"/>
      <c r="AD46" s="292">
        <f>AVERAGE(AD4:AD41)</f>
        <v>13523.105263157895</v>
      </c>
      <c r="AE46" s="1645"/>
    </row>
    <row r="47" spans="1:31">
      <c r="A47" s="713" t="s">
        <v>499</v>
      </c>
      <c r="B47" s="714">
        <f>AVERAGE(B33:B42)</f>
        <v>2643.5</v>
      </c>
      <c r="C47" s="714">
        <f t="shared" ref="C47:J47" si="19">AVERAGE(C33:C42)</f>
        <v>6566.1</v>
      </c>
      <c r="D47" s="714">
        <f t="shared" si="19"/>
        <v>46650.400000000001</v>
      </c>
      <c r="E47" s="714">
        <f t="shared" si="19"/>
        <v>128849.60000000001</v>
      </c>
      <c r="F47" s="714">
        <f t="shared" si="19"/>
        <v>4093.4</v>
      </c>
      <c r="G47" s="714">
        <f t="shared" si="19"/>
        <v>24144</v>
      </c>
      <c r="H47" s="714">
        <f t="shared" si="19"/>
        <v>53387.3</v>
      </c>
      <c r="I47" s="714">
        <f t="shared" si="19"/>
        <v>106172.4</v>
      </c>
      <c r="J47" s="714">
        <f t="shared" si="19"/>
        <v>159559.70000000001</v>
      </c>
      <c r="K47" s="715"/>
      <c r="L47" s="716">
        <f t="shared" ref="L47:R47" si="20">AVERAGE(L31:L40)</f>
        <v>0.32342051489365242</v>
      </c>
      <c r="M47" s="716">
        <f t="shared" si="20"/>
        <v>0.81921488989963576</v>
      </c>
      <c r="N47" s="714">
        <f t="shared" si="20"/>
        <v>62806.3</v>
      </c>
      <c r="O47" s="714">
        <f>AVERAGE(O33:O42)</f>
        <v>152993.60000000001</v>
      </c>
      <c r="P47" s="717">
        <f t="shared" si="20"/>
        <v>0.32020353003826962</v>
      </c>
      <c r="Q47" s="717">
        <f t="shared" si="20"/>
        <v>0.34438805830540564</v>
      </c>
      <c r="R47" s="717">
        <f t="shared" si="20"/>
        <v>0.19002580061845481</v>
      </c>
      <c r="S47" s="718"/>
      <c r="T47" s="718"/>
      <c r="U47" s="719" t="s">
        <v>500</v>
      </c>
      <c r="V47" s="1645"/>
      <c r="W47" s="292">
        <f>AVERAGE(W31:W41)</f>
        <v>187946.54545454544</v>
      </c>
      <c r="X47" s="1645"/>
      <c r="Y47" s="711">
        <f>AVERAGE(Y26:Y35)</f>
        <v>329951.90000000002</v>
      </c>
      <c r="Z47" s="712"/>
      <c r="AA47" s="705"/>
      <c r="AB47" s="719" t="s">
        <v>500</v>
      </c>
      <c r="AC47" s="1645"/>
      <c r="AD47" s="292">
        <f>AVERAGE(AD32:AD41)</f>
        <v>6971.7</v>
      </c>
      <c r="AE47" s="1645"/>
    </row>
    <row r="48" spans="1:31">
      <c r="A48" s="1645" t="s">
        <v>501</v>
      </c>
      <c r="B48" s="715">
        <f t="shared" ref="B48:I48" si="21">MIN(B33:B42)</f>
        <v>1119</v>
      </c>
      <c r="C48" s="715">
        <f t="shared" si="21"/>
        <v>1917</v>
      </c>
      <c r="D48" s="715">
        <f t="shared" si="21"/>
        <v>19071</v>
      </c>
      <c r="E48" s="715">
        <f t="shared" si="21"/>
        <v>56256</v>
      </c>
      <c r="F48" s="715">
        <f t="shared" si="21"/>
        <v>751</v>
      </c>
      <c r="G48" s="715">
        <f t="shared" si="21"/>
        <v>6292</v>
      </c>
      <c r="H48" s="715">
        <f t="shared" si="21"/>
        <v>21880</v>
      </c>
      <c r="I48" s="715">
        <f t="shared" si="21"/>
        <v>42879</v>
      </c>
      <c r="J48" s="715">
        <f>MIN(J31:J40)</f>
        <v>75600</v>
      </c>
      <c r="K48" s="715"/>
      <c r="L48" s="718">
        <f t="shared" ref="L48:R48" si="22">MIN(L31:L40)</f>
        <v>0.20341331420747213</v>
      </c>
      <c r="M48" s="718">
        <f t="shared" si="22"/>
        <v>0.6749991046807291</v>
      </c>
      <c r="N48" s="715">
        <f t="shared" si="22"/>
        <v>24107</v>
      </c>
      <c r="O48" s="715">
        <f>MIN(O33:O42)</f>
        <v>67752</v>
      </c>
      <c r="P48" s="189">
        <f t="shared" si="22"/>
        <v>0.18983621060964112</v>
      </c>
      <c r="Q48" s="189">
        <f t="shared" si="22"/>
        <v>0.22613080921716192</v>
      </c>
      <c r="R48" s="189">
        <f t="shared" si="22"/>
        <v>8.0832323608910434E-2</v>
      </c>
      <c r="S48" s="718"/>
      <c r="T48" s="718"/>
      <c r="U48" s="718"/>
      <c r="V48" s="1645"/>
      <c r="W48" s="1645"/>
      <c r="X48" s="1645"/>
      <c r="Y48" s="1645"/>
      <c r="Z48" s="1645"/>
      <c r="AA48" s="1645"/>
      <c r="AB48" s="718"/>
      <c r="AC48" s="1645"/>
      <c r="AD48" s="1645"/>
      <c r="AE48" s="1645"/>
    </row>
    <row r="49" spans="1:28">
      <c r="A49" s="1645" t="s">
        <v>502</v>
      </c>
      <c r="B49" s="715">
        <f t="shared" ref="B49:J49" si="23">MAX(B33:B42)</f>
        <v>4822</v>
      </c>
      <c r="C49" s="715">
        <f t="shared" si="23"/>
        <v>13526</v>
      </c>
      <c r="D49" s="715">
        <f t="shared" si="23"/>
        <v>109279</v>
      </c>
      <c r="E49" s="715">
        <f t="shared" si="23"/>
        <v>260130</v>
      </c>
      <c r="F49" s="715">
        <f t="shared" si="23"/>
        <v>13341</v>
      </c>
      <c r="G49" s="715">
        <f t="shared" si="23"/>
        <v>47057</v>
      </c>
      <c r="H49" s="715">
        <f t="shared" si="23"/>
        <v>127403</v>
      </c>
      <c r="I49" s="715">
        <f t="shared" si="23"/>
        <v>193310</v>
      </c>
      <c r="J49" s="715">
        <f t="shared" si="23"/>
        <v>320713</v>
      </c>
      <c r="K49" s="715"/>
      <c r="L49" s="718">
        <f t="shared" ref="L49:R49" si="24">MAX(L31:L40)</f>
        <v>0.43281746031746032</v>
      </c>
      <c r="M49" s="718">
        <f t="shared" si="24"/>
        <v>0.92543326863303688</v>
      </c>
      <c r="N49" s="715">
        <f t="shared" si="24"/>
        <v>122620</v>
      </c>
      <c r="O49" s="715">
        <f>MAX(O33:O42)</f>
        <v>307187</v>
      </c>
      <c r="P49" s="189">
        <f t="shared" si="24"/>
        <v>0.43053293958546079</v>
      </c>
      <c r="Q49" s="189">
        <f t="shared" si="24"/>
        <v>0.45788376099374378</v>
      </c>
      <c r="R49" s="189">
        <f t="shared" si="24"/>
        <v>0.30995331069609505</v>
      </c>
      <c r="S49" s="718"/>
      <c r="T49" s="718"/>
      <c r="U49" s="718"/>
      <c r="V49" s="1645"/>
      <c r="W49" s="1645"/>
      <c r="X49" s="1645"/>
      <c r="Y49" s="1645"/>
      <c r="Z49" s="1645"/>
      <c r="AA49" s="1645"/>
      <c r="AB49" s="718"/>
    </row>
    <row r="50" spans="1:28">
      <c r="A50" s="1645" t="s">
        <v>503</v>
      </c>
      <c r="B50" s="715">
        <f t="shared" ref="B50:J50" si="25">AVERAGE(B6:B42)</f>
        <v>3317.7837837837837</v>
      </c>
      <c r="C50" s="715">
        <f t="shared" si="25"/>
        <v>12973.243243243243</v>
      </c>
      <c r="D50" s="715">
        <f t="shared" si="25"/>
        <v>60422.62162162162</v>
      </c>
      <c r="E50" s="715">
        <f t="shared" si="25"/>
        <v>212797.67567567568</v>
      </c>
      <c r="F50" s="715">
        <f t="shared" si="25"/>
        <v>8480.4864864864867</v>
      </c>
      <c r="G50" s="715">
        <f t="shared" si="25"/>
        <v>43864.108108108107</v>
      </c>
      <c r="H50" s="715">
        <f t="shared" si="25"/>
        <v>72220.891891891893</v>
      </c>
      <c r="I50" s="715">
        <f t="shared" si="25"/>
        <v>197414.13513513515</v>
      </c>
      <c r="J50" s="715">
        <f t="shared" si="25"/>
        <v>269635.02702702704</v>
      </c>
      <c r="K50" s="715"/>
      <c r="L50" s="718">
        <f t="shared" ref="L50:R50" si="26">AVERAGE(L4:L40)</f>
        <v>0.26305773197853577</v>
      </c>
      <c r="M50" s="718">
        <f t="shared" si="26"/>
        <v>0.78475232429243502</v>
      </c>
      <c r="N50" s="715">
        <f t="shared" si="26"/>
        <v>71077.08108108108</v>
      </c>
      <c r="O50" s="715">
        <f t="shared" si="26"/>
        <v>268321.64864864864</v>
      </c>
      <c r="P50" s="189">
        <f t="shared" si="26"/>
        <v>0.26366597015010879</v>
      </c>
      <c r="Q50" s="189">
        <f t="shared" si="26"/>
        <v>0.28068087310667467</v>
      </c>
      <c r="R50" s="189">
        <f t="shared" si="26"/>
        <v>0.19305554353541055</v>
      </c>
      <c r="S50" s="718"/>
      <c r="T50" s="718"/>
      <c r="U50" s="718"/>
      <c r="V50" s="1645"/>
      <c r="W50" s="1645"/>
      <c r="X50" s="1645"/>
      <c r="Y50" s="1645"/>
      <c r="Z50" s="1645"/>
      <c r="AA50" s="1645"/>
      <c r="AB50" s="718"/>
    </row>
    <row r="51" spans="1:28">
      <c r="A51" s="1645"/>
      <c r="B51" s="715"/>
      <c r="C51" s="715"/>
      <c r="D51" s="715"/>
      <c r="E51" s="715"/>
      <c r="F51" s="715"/>
      <c r="G51" s="715"/>
      <c r="H51" s="715"/>
      <c r="I51" s="715"/>
      <c r="J51" s="715"/>
      <c r="K51" s="715"/>
      <c r="L51" s="715"/>
      <c r="M51" s="715"/>
      <c r="N51" s="715"/>
      <c r="O51" s="715"/>
      <c r="P51" s="189"/>
      <c r="Q51" s="189"/>
      <c r="R51" s="189"/>
      <c r="S51" s="718"/>
      <c r="T51" s="718"/>
      <c r="U51" s="718"/>
      <c r="V51" s="1645"/>
      <c r="W51" s="1645"/>
      <c r="X51" s="1645"/>
      <c r="Y51" s="1645"/>
      <c r="Z51" s="1645"/>
      <c r="AA51" s="1645"/>
      <c r="AB51" s="718"/>
    </row>
    <row r="52" spans="1:28">
      <c r="A52" s="720" t="s">
        <v>504</v>
      </c>
      <c r="B52" s="721">
        <f t="shared" ref="B52:J52" si="27">AVERAGE(B10:B19)</f>
        <v>1679</v>
      </c>
      <c r="C52" s="721">
        <f t="shared" si="27"/>
        <v>11873</v>
      </c>
      <c r="D52" s="721">
        <f t="shared" si="27"/>
        <v>35555.4</v>
      </c>
      <c r="E52" s="721">
        <f t="shared" si="27"/>
        <v>172273.5</v>
      </c>
      <c r="F52" s="721">
        <f t="shared" si="27"/>
        <v>5409</v>
      </c>
      <c r="G52" s="721">
        <f t="shared" si="27"/>
        <v>32746.400000000001</v>
      </c>
      <c r="H52" s="721">
        <f t="shared" si="27"/>
        <v>42643.4</v>
      </c>
      <c r="I52" s="721">
        <f t="shared" si="27"/>
        <v>174249.5</v>
      </c>
      <c r="J52" s="721">
        <f t="shared" si="27"/>
        <v>216892.9</v>
      </c>
      <c r="K52" s="721"/>
      <c r="L52" s="722">
        <f>AVERAGE(L10:L19)</f>
        <v>0.19631786932698997</v>
      </c>
      <c r="M52" s="722">
        <f>AVERAGE(M10:M19)</f>
        <v>0.78937427919077141</v>
      </c>
      <c r="N52" s="721">
        <f>AVERAGE(N10:N19)</f>
        <v>40964.400000000001</v>
      </c>
      <c r="O52" s="721">
        <f>AVERAGE(O10:O19)</f>
        <v>205019.9</v>
      </c>
      <c r="P52" s="722">
        <f>AVERAGE(P10:P19)</f>
        <v>0.19954406791072846</v>
      </c>
      <c r="Q52" s="189">
        <f>D52/E52</f>
        <v>0.20638925893999949</v>
      </c>
      <c r="R52" s="189">
        <f>F52/G52</f>
        <v>0.16517846236532871</v>
      </c>
      <c r="S52" s="189"/>
      <c r="T52" s="189"/>
      <c r="U52" s="189"/>
      <c r="V52" s="1645"/>
      <c r="W52" s="1645"/>
      <c r="X52" s="1645"/>
      <c r="Y52" s="1645"/>
      <c r="Z52" s="1645"/>
      <c r="AA52" s="1645"/>
      <c r="AB52" s="189"/>
    </row>
    <row r="53" spans="1:28">
      <c r="A53" s="720" t="s">
        <v>246</v>
      </c>
      <c r="B53" s="721">
        <f t="shared" ref="B53:J53" si="28">AVERAGE(B20:B29)</f>
        <v>4248.8999999999996</v>
      </c>
      <c r="C53" s="721">
        <f t="shared" si="28"/>
        <v>16493.099999999999</v>
      </c>
      <c r="D53" s="721">
        <f t="shared" si="28"/>
        <v>85121.7</v>
      </c>
      <c r="E53" s="721">
        <f t="shared" si="28"/>
        <v>315600.09999999998</v>
      </c>
      <c r="F53" s="721">
        <f t="shared" si="28"/>
        <v>12772.3</v>
      </c>
      <c r="G53" s="721">
        <f t="shared" si="28"/>
        <v>64398.1</v>
      </c>
      <c r="H53" s="721">
        <f t="shared" si="28"/>
        <v>102142.9</v>
      </c>
      <c r="I53" s="721">
        <f t="shared" si="28"/>
        <v>294348.40000000002</v>
      </c>
      <c r="J53" s="721">
        <f t="shared" si="28"/>
        <v>396491.3</v>
      </c>
      <c r="K53" s="721"/>
      <c r="L53" s="722">
        <f>AVERAGE(L20:L29)</f>
        <v>0.25582882232579601</v>
      </c>
      <c r="M53" s="722">
        <f>AVERAGE(M20:M29)</f>
        <v>0.79103007175221474</v>
      </c>
      <c r="N53" s="721">
        <f>AVERAGE(N20:N29)</f>
        <v>97894</v>
      </c>
      <c r="O53" s="721">
        <f>AVERAGE(O20:O29)</f>
        <v>379998.2</v>
      </c>
      <c r="P53" s="722">
        <f>AVERAGE(P20:P29)</f>
        <v>0.25608371903851362</v>
      </c>
      <c r="Q53" s="189">
        <f>D53/E53</f>
        <v>0.26971379286635205</v>
      </c>
      <c r="R53" s="189">
        <f>F53/G53</f>
        <v>0.19833349120548588</v>
      </c>
      <c r="S53" s="189"/>
      <c r="T53" s="189"/>
      <c r="U53" s="189"/>
      <c r="V53" s="1645"/>
      <c r="W53" s="1645"/>
      <c r="X53" s="1645"/>
      <c r="Y53" s="1645"/>
      <c r="Z53" s="1645"/>
      <c r="AA53" s="1645"/>
      <c r="AB53" s="189"/>
    </row>
    <row r="54" spans="1:28">
      <c r="A54" s="720" t="s">
        <v>247</v>
      </c>
      <c r="B54" s="721">
        <f t="shared" ref="B54:J54" si="29">AVERAGE(B30:B39)</f>
        <v>3647.7</v>
      </c>
      <c r="C54" s="721">
        <f t="shared" si="29"/>
        <v>10271.9</v>
      </c>
      <c r="D54" s="721">
        <f t="shared" si="29"/>
        <v>67100.899999999994</v>
      </c>
      <c r="E54" s="721">
        <f t="shared" si="29"/>
        <v>189402.5</v>
      </c>
      <c r="F54" s="721">
        <f t="shared" si="29"/>
        <v>6653.9</v>
      </c>
      <c r="G54" s="721">
        <f t="shared" si="29"/>
        <v>29972.5</v>
      </c>
      <c r="H54" s="721">
        <f t="shared" si="29"/>
        <v>77402.5</v>
      </c>
      <c r="I54" s="721">
        <f t="shared" si="29"/>
        <v>152244.4</v>
      </c>
      <c r="J54" s="721">
        <f t="shared" si="29"/>
        <v>229646.9</v>
      </c>
      <c r="K54" s="721"/>
      <c r="L54" s="722">
        <f t="shared" ref="L54:R54" si="30">AVERAGE(L30:L39)</f>
        <v>0.32900937979551187</v>
      </c>
      <c r="M54" s="722">
        <f t="shared" si="30"/>
        <v>0.82578629209328813</v>
      </c>
      <c r="N54" s="721">
        <f t="shared" si="30"/>
        <v>73754.8</v>
      </c>
      <c r="O54" s="721">
        <f t="shared" si="30"/>
        <v>219375</v>
      </c>
      <c r="P54" s="722">
        <f t="shared" si="30"/>
        <v>0.32664143284562913</v>
      </c>
      <c r="Q54" s="722">
        <f t="shared" si="30"/>
        <v>0.3467218488209135</v>
      </c>
      <c r="R54" s="722">
        <f t="shared" si="30"/>
        <v>0.20262317653742409</v>
      </c>
      <c r="S54" s="189"/>
      <c r="T54" s="189"/>
      <c r="U54" s="189"/>
      <c r="V54" s="1645"/>
      <c r="W54" s="1645"/>
      <c r="X54" s="1645"/>
      <c r="Y54" s="1645"/>
      <c r="Z54" s="1645"/>
      <c r="AA54" s="1645"/>
      <c r="AB54" s="189"/>
    </row>
    <row r="55" spans="1:28">
      <c r="A55" s="720"/>
      <c r="B55" s="721"/>
      <c r="C55" s="721"/>
      <c r="D55" s="721"/>
      <c r="E55" s="721"/>
      <c r="F55" s="721"/>
      <c r="G55" s="721"/>
      <c r="H55" s="721"/>
      <c r="I55" s="721"/>
      <c r="J55" s="721"/>
      <c r="K55" s="721"/>
      <c r="L55" s="722"/>
      <c r="M55" s="722"/>
      <c r="N55" s="721"/>
      <c r="O55" s="721"/>
      <c r="P55" s="722"/>
      <c r="Q55" s="189"/>
      <c r="R55" s="189"/>
      <c r="S55" s="189"/>
      <c r="T55" s="189"/>
      <c r="U55" s="189"/>
      <c r="V55" s="1645"/>
      <c r="W55" s="1645"/>
      <c r="X55" s="1645"/>
      <c r="Y55" s="1645"/>
      <c r="Z55" s="1645"/>
      <c r="AA55" s="1645"/>
      <c r="AB55" s="189"/>
    </row>
    <row r="56" spans="1:28">
      <c r="A56" s="723" t="s">
        <v>505</v>
      </c>
      <c r="B56" s="724">
        <f t="shared" ref="B56:J56" si="31">B42/B47</f>
        <v>1.1269150747115566</v>
      </c>
      <c r="C56" s="724">
        <f t="shared" si="31"/>
        <v>1.0511566988014194</v>
      </c>
      <c r="D56" s="724">
        <f t="shared" si="31"/>
        <v>0.54769090940270604</v>
      </c>
      <c r="E56" s="724">
        <f t="shared" si="31"/>
        <v>0.59824787969850113</v>
      </c>
      <c r="F56" s="724">
        <f t="shared" si="31"/>
        <v>1.0687936678555723</v>
      </c>
      <c r="G56" s="724">
        <f t="shared" si="31"/>
        <v>1.6519632206759443</v>
      </c>
      <c r="H56" s="724">
        <f t="shared" si="31"/>
        <v>0.61632635476976727</v>
      </c>
      <c r="I56" s="724">
        <f t="shared" si="31"/>
        <v>0.85678575599685047</v>
      </c>
      <c r="J56" s="724">
        <f t="shared" si="31"/>
        <v>0.77633011343089764</v>
      </c>
      <c r="K56" s="293"/>
      <c r="L56" s="293">
        <f>L41/L47</f>
        <v>0</v>
      </c>
      <c r="M56" s="293">
        <f>M41/M47</f>
        <v>0</v>
      </c>
      <c r="N56" s="293">
        <f>N41/N47</f>
        <v>0</v>
      </c>
      <c r="O56" s="293">
        <f>O41/O47</f>
        <v>0.44284205352380751</v>
      </c>
      <c r="P56" s="293">
        <f>P41/P47</f>
        <v>0</v>
      </c>
      <c r="Q56" s="293">
        <f>Q39/Q47</f>
        <v>1.3295576021038726</v>
      </c>
      <c r="R56" s="293">
        <f>R39/R47</f>
        <v>0.75189709481705957</v>
      </c>
      <c r="S56" s="293"/>
      <c r="T56" s="293"/>
      <c r="U56" s="293"/>
      <c r="V56" s="1645"/>
      <c r="W56" s="1645"/>
      <c r="X56" s="1645"/>
      <c r="Y56" s="1645"/>
      <c r="Z56" s="1645"/>
      <c r="AA56" s="1645"/>
      <c r="AB56" s="293"/>
    </row>
    <row r="57" spans="1:28">
      <c r="A57" s="1645"/>
      <c r="B57" s="1645"/>
      <c r="C57" s="1645"/>
      <c r="D57" s="1645"/>
      <c r="E57" s="1645"/>
      <c r="F57" s="1645"/>
      <c r="G57" s="1645"/>
      <c r="H57" s="1645"/>
      <c r="I57" s="1645"/>
      <c r="J57" s="1645"/>
      <c r="K57" s="1645"/>
      <c r="L57" s="1645"/>
      <c r="M57" s="1645"/>
      <c r="N57" s="1645"/>
      <c r="O57" s="1645"/>
      <c r="P57" s="705"/>
      <c r="Q57" s="189"/>
      <c r="R57" s="189"/>
      <c r="S57" s="189"/>
      <c r="T57" s="189"/>
      <c r="U57" s="189"/>
      <c r="V57" s="1645"/>
      <c r="W57" s="1645"/>
      <c r="X57" s="1645"/>
      <c r="Y57" s="1645"/>
      <c r="Z57" s="1645"/>
      <c r="AA57" s="1645"/>
      <c r="AB57" s="189"/>
    </row>
    <row r="58" spans="1:28">
      <c r="A58" s="294" t="s">
        <v>506</v>
      </c>
      <c r="B58" s="701"/>
      <c r="C58" s="701"/>
      <c r="D58" s="701"/>
      <c r="E58" s="701"/>
      <c r="F58" s="701"/>
      <c r="G58" s="701"/>
      <c r="H58" s="701">
        <f>B58+D58+F58</f>
        <v>0</v>
      </c>
      <c r="I58" s="701">
        <f>J58-H58</f>
        <v>0</v>
      </c>
      <c r="J58" s="701">
        <f>C58+E58+G58</f>
        <v>0</v>
      </c>
      <c r="K58" s="725"/>
      <c r="L58" s="726" t="e">
        <f>H58/J58</f>
        <v>#DIV/0!</v>
      </c>
      <c r="M58" s="726" t="e">
        <f>E58/J58</f>
        <v>#DIV/0!</v>
      </c>
      <c r="N58" s="701">
        <f>D58+F58</f>
        <v>0</v>
      </c>
      <c r="O58" s="701">
        <f>J58-C58</f>
        <v>0</v>
      </c>
      <c r="P58" s="727" t="e">
        <f>N58/O58</f>
        <v>#DIV/0!</v>
      </c>
      <c r="Q58" s="727" t="e">
        <f>D58/E58</f>
        <v>#DIV/0!</v>
      </c>
      <c r="R58" s="727" t="e">
        <f>F58/G58</f>
        <v>#DIV/0!</v>
      </c>
      <c r="S58" s="727"/>
      <c r="T58" s="728"/>
      <c r="U58" s="728"/>
      <c r="V58" s="1645"/>
      <c r="W58" s="1645"/>
      <c r="X58" s="1645"/>
      <c r="Y58" s="1645"/>
      <c r="Z58" s="1645"/>
      <c r="AA58" s="1645"/>
      <c r="AB58" s="728"/>
    </row>
    <row r="59" spans="1:28">
      <c r="A59" s="729" t="s">
        <v>507</v>
      </c>
      <c r="B59" s="730">
        <f t="shared" ref="B59:J59" si="32">AVERAGE(B32:B41)</f>
        <v>2647.9</v>
      </c>
      <c r="C59" s="730">
        <f t="shared" si="32"/>
        <v>6971.7</v>
      </c>
      <c r="D59" s="711">
        <f t="shared" si="32"/>
        <v>49641.8</v>
      </c>
      <c r="E59" s="711">
        <f t="shared" si="32"/>
        <v>140354.6</v>
      </c>
      <c r="F59" s="711">
        <f t="shared" si="32"/>
        <v>4337.2</v>
      </c>
      <c r="G59" s="711">
        <f t="shared" si="32"/>
        <v>22927.8</v>
      </c>
      <c r="H59" s="711">
        <f t="shared" si="32"/>
        <v>56626.9</v>
      </c>
      <c r="I59" s="711">
        <f t="shared" si="32"/>
        <v>113627.2</v>
      </c>
      <c r="J59" s="730">
        <f t="shared" si="32"/>
        <v>170254.1</v>
      </c>
      <c r="K59" s="292"/>
      <c r="L59" s="293">
        <f>H59/J59</f>
        <v>0.33260226919645403</v>
      </c>
      <c r="M59" s="293">
        <f>E59/J59</f>
        <v>0.82438308387287007</v>
      </c>
      <c r="N59" s="292">
        <f>AVERAGE(N30:N39)</f>
        <v>73754.8</v>
      </c>
      <c r="O59" s="292">
        <f>AVERAGE(O29:O39)</f>
        <v>252862.27272727274</v>
      </c>
      <c r="P59" s="189">
        <f>N59/O59</f>
        <v>0.29167973222936672</v>
      </c>
      <c r="Q59" s="189">
        <f>D59/E59</f>
        <v>0.35368844341403843</v>
      </c>
      <c r="R59" s="189">
        <f>F59/G59</f>
        <v>0.18916773523844416</v>
      </c>
      <c r="S59" s="189"/>
      <c r="T59" s="189"/>
      <c r="U59" s="189"/>
      <c r="V59" s="1645"/>
      <c r="W59" s="1645"/>
      <c r="X59" s="1645"/>
      <c r="Y59" s="1645"/>
      <c r="Z59" s="1645"/>
      <c r="AA59" s="1645"/>
      <c r="AB59" s="189"/>
    </row>
    <row r="60" spans="1:28">
      <c r="A60" s="1645" t="s">
        <v>508</v>
      </c>
      <c r="B60" s="724">
        <f t="shared" ref="B60:J60" si="33">B58/B59</f>
        <v>0</v>
      </c>
      <c r="C60" s="724">
        <f t="shared" si="33"/>
        <v>0</v>
      </c>
      <c r="D60" s="724">
        <f t="shared" si="33"/>
        <v>0</v>
      </c>
      <c r="E60" s="724">
        <f t="shared" si="33"/>
        <v>0</v>
      </c>
      <c r="F60" s="724">
        <f t="shared" si="33"/>
        <v>0</v>
      </c>
      <c r="G60" s="724">
        <f t="shared" si="33"/>
        <v>0</v>
      </c>
      <c r="H60" s="724">
        <f t="shared" si="33"/>
        <v>0</v>
      </c>
      <c r="I60" s="724">
        <f t="shared" si="33"/>
        <v>0</v>
      </c>
      <c r="J60" s="724">
        <f t="shared" si="33"/>
        <v>0</v>
      </c>
      <c r="K60" s="293"/>
      <c r="L60" s="293" t="e">
        <f>L58/L59</f>
        <v>#DIV/0!</v>
      </c>
      <c r="M60" s="293" t="e">
        <f>M58/M59</f>
        <v>#DIV/0!</v>
      </c>
      <c r="N60" s="293">
        <f>N58/N59</f>
        <v>0</v>
      </c>
      <c r="O60" s="293">
        <f>O58/O59</f>
        <v>0</v>
      </c>
      <c r="P60" s="705"/>
      <c r="Q60" s="705"/>
      <c r="R60" s="1645"/>
      <c r="S60" s="1645"/>
      <c r="T60" s="1645"/>
      <c r="U60" s="1645"/>
      <c r="V60" s="1645"/>
      <c r="W60" s="1645"/>
      <c r="X60" s="1645"/>
      <c r="Y60" s="1645"/>
      <c r="Z60" s="1645"/>
      <c r="AA60" s="1645"/>
      <c r="AB60" s="1645"/>
    </row>
    <row r="61" spans="1:28">
      <c r="A61" s="1645" t="s">
        <v>509</v>
      </c>
      <c r="B61" s="724">
        <f t="shared" ref="B61:J61" si="34">B58/B41</f>
        <v>0</v>
      </c>
      <c r="C61" s="724">
        <f t="shared" si="34"/>
        <v>0</v>
      </c>
      <c r="D61" s="744">
        <f t="shared" si="34"/>
        <v>0</v>
      </c>
      <c r="E61" s="744">
        <f t="shared" si="34"/>
        <v>0</v>
      </c>
      <c r="F61" s="744">
        <f t="shared" si="34"/>
        <v>0</v>
      </c>
      <c r="G61" s="744">
        <f t="shared" si="34"/>
        <v>0</v>
      </c>
      <c r="H61" s="744">
        <f t="shared" si="34"/>
        <v>0</v>
      </c>
      <c r="I61" s="744">
        <f t="shared" si="34"/>
        <v>0</v>
      </c>
      <c r="J61" s="724">
        <f t="shared" si="34"/>
        <v>0</v>
      </c>
      <c r="K61" s="293"/>
      <c r="L61" s="293" t="e">
        <f>L58/L36</f>
        <v>#DIV/0!</v>
      </c>
      <c r="M61" s="293" t="e">
        <f>M58/M36</f>
        <v>#DIV/0!</v>
      </c>
      <c r="N61" s="293">
        <f>N58/N36</f>
        <v>0</v>
      </c>
      <c r="O61" s="293">
        <f>O58/O36</f>
        <v>0</v>
      </c>
      <c r="P61" s="705"/>
      <c r="Q61" s="705"/>
      <c r="R61" s="1645"/>
      <c r="S61" s="1645"/>
      <c r="T61" s="1645"/>
      <c r="U61" s="1645"/>
      <c r="V61" s="1645"/>
      <c r="W61" s="1645"/>
      <c r="X61" s="1645"/>
      <c r="Y61" s="1645"/>
      <c r="Z61" s="1645"/>
      <c r="AA61" s="1645"/>
      <c r="AB61" s="1645"/>
    </row>
    <row r="62" spans="1:28">
      <c r="A62" s="1645"/>
      <c r="B62" s="293"/>
      <c r="C62" s="293"/>
      <c r="D62" s="293"/>
      <c r="E62" s="293"/>
      <c r="F62" s="1645"/>
      <c r="G62" s="1645"/>
      <c r="H62" s="1645"/>
      <c r="I62" s="1645"/>
      <c r="J62" s="1645"/>
      <c r="K62" s="1645"/>
      <c r="L62" s="1645"/>
      <c r="M62" s="1645"/>
      <c r="N62" s="1645"/>
      <c r="O62" s="1645"/>
      <c r="P62" s="705"/>
      <c r="Q62" s="705"/>
      <c r="R62" s="1645"/>
      <c r="S62" s="1645"/>
      <c r="T62" s="1645"/>
      <c r="U62" s="1645"/>
      <c r="V62" s="1645"/>
      <c r="W62" s="1645"/>
      <c r="X62" s="1645"/>
      <c r="Y62" s="1645"/>
      <c r="Z62" s="1645"/>
      <c r="AA62" s="1645"/>
      <c r="AB62" s="1645"/>
    </row>
    <row r="63" spans="1:28">
      <c r="A63" s="1645"/>
      <c r="B63" s="1645"/>
      <c r="C63" s="1645"/>
      <c r="D63" s="1645"/>
      <c r="E63" s="1645"/>
      <c r="F63" s="1645"/>
      <c r="G63" s="1645"/>
      <c r="H63" s="1645"/>
      <c r="I63" s="1645"/>
      <c r="J63" s="1645"/>
      <c r="K63" s="1645"/>
      <c r="L63" s="1645"/>
      <c r="M63" s="1645"/>
      <c r="N63" s="1645"/>
      <c r="O63" s="1645"/>
      <c r="P63" s="705"/>
      <c r="Q63" s="705"/>
      <c r="R63" s="1645"/>
      <c r="S63" s="1645"/>
      <c r="T63" s="1645"/>
      <c r="U63" s="1645"/>
      <c r="V63" s="1645"/>
      <c r="W63" s="1645"/>
      <c r="X63" s="1645"/>
      <c r="Y63" s="1645"/>
      <c r="Z63" s="1645"/>
      <c r="AA63" s="1645"/>
      <c r="AB63" s="1645"/>
    </row>
    <row r="66" spans="18:28">
      <c r="R66" s="725"/>
      <c r="S66" s="725"/>
      <c r="T66" s="725"/>
      <c r="U66" s="725"/>
      <c r="V66" s="1645"/>
      <c r="W66" s="1645"/>
      <c r="X66" s="1645"/>
      <c r="Y66" s="1645"/>
      <c r="Z66" s="1645"/>
      <c r="AA66" s="1645"/>
      <c r="AB66" s="725"/>
    </row>
  </sheetData>
  <mergeCells count="5">
    <mergeCell ref="B2:C2"/>
    <mergeCell ref="D2:E2"/>
    <mergeCell ref="F2:G2"/>
    <mergeCell ref="H2:J2"/>
    <mergeCell ref="Y2:Z2"/>
  </mergeCells>
  <pageMargins left="0.75" right="0.75" top="1" bottom="1" header="0.5" footer="0.5"/>
  <pageSetup scale="74" orientation="landscape" horizontalDpi="300" verticalDpi="300" r:id="rId1"/>
  <headerFooter alignWithMargins="0"/>
  <rowBreaks count="1" manualBreakCount="1">
    <brk id="63" max="16383" man="1"/>
  </rowBreaks>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62B2D-ADF8-4CD3-B9EB-F08922A346DC}">
  <sheetPr>
    <tabColor rgb="FF66FF33"/>
  </sheetPr>
  <dimension ref="A1:O51"/>
  <sheetViews>
    <sheetView showGridLines="0" zoomScale="110" zoomScaleNormal="110" zoomScaleSheetLayoutView="100" workbookViewId="0">
      <selection activeCell="R21" sqref="R21"/>
    </sheetView>
  </sheetViews>
  <sheetFormatPr defaultColWidth="9.33203125" defaultRowHeight="12.75" customHeight="1"/>
  <cols>
    <col min="1" max="1" width="7.33203125" style="74" customWidth="1"/>
    <col min="2" max="3" width="9.83203125" style="74" customWidth="1"/>
    <col min="4" max="4" width="1.83203125" style="74" customWidth="1"/>
    <col min="5" max="5" width="9.83203125" style="74" customWidth="1"/>
    <col min="6" max="6" width="13.1640625" style="74" customWidth="1"/>
    <col min="7" max="7" width="1.83203125" style="74" customWidth="1"/>
    <col min="8" max="9" width="9.83203125" style="74" customWidth="1"/>
    <col min="10" max="10" width="1.83203125" style="74" customWidth="1"/>
    <col min="11" max="12" width="9.83203125" style="74" customWidth="1"/>
    <col min="13" max="13" width="14.33203125" style="74" customWidth="1"/>
    <col min="14" max="14" width="1.6640625" style="74" customWidth="1"/>
    <col min="15" max="16384" width="9.33203125" style="74"/>
  </cols>
  <sheetData>
    <row r="1" spans="1:13" ht="12.75" customHeight="1">
      <c r="A1" s="84" t="s">
        <v>141</v>
      </c>
      <c r="B1" s="1675"/>
      <c r="C1" s="1675"/>
      <c r="D1" s="1675"/>
      <c r="E1" s="1675"/>
      <c r="F1" s="1675"/>
      <c r="G1" s="1675"/>
      <c r="H1" s="1675"/>
      <c r="I1" s="1675"/>
      <c r="J1" s="1675"/>
      <c r="K1" s="1675"/>
      <c r="L1" s="1675"/>
      <c r="M1" s="1675"/>
    </row>
    <row r="2" spans="1:13" ht="12.75" customHeight="1">
      <c r="A2" s="84" t="s">
        <v>510</v>
      </c>
      <c r="B2" s="1675"/>
      <c r="C2" s="1675"/>
      <c r="D2" s="1675"/>
      <c r="E2" s="1675"/>
      <c r="F2" s="1675"/>
      <c r="G2" s="1675"/>
      <c r="H2" s="1675"/>
      <c r="I2" s="1675"/>
      <c r="J2" s="1675"/>
      <c r="K2" s="1675"/>
      <c r="L2" s="1675"/>
      <c r="M2" s="1675"/>
    </row>
    <row r="3" spans="1:13" ht="12.75" customHeight="1">
      <c r="A3" s="84"/>
      <c r="B3" s="1675"/>
      <c r="C3" s="1675"/>
      <c r="D3" s="1675"/>
      <c r="E3" s="1675"/>
      <c r="F3" s="1675"/>
      <c r="G3" s="1675"/>
      <c r="H3" s="1675"/>
      <c r="I3" s="1675"/>
      <c r="J3" s="1675"/>
      <c r="K3" s="1675"/>
      <c r="L3" s="1675"/>
      <c r="M3" s="1675"/>
    </row>
    <row r="4" spans="1:13" ht="12.75" customHeight="1" thickBot="1">
      <c r="A4" s="1852" t="s">
        <v>28</v>
      </c>
      <c r="B4" s="1854" t="s">
        <v>482</v>
      </c>
      <c r="C4" s="1854"/>
      <c r="D4" s="900"/>
      <c r="E4" s="1854" t="s">
        <v>511</v>
      </c>
      <c r="F4" s="1854"/>
      <c r="G4" s="900"/>
      <c r="H4" s="1854" t="s">
        <v>512</v>
      </c>
      <c r="I4" s="1854"/>
      <c r="J4" s="900"/>
      <c r="K4" s="1854" t="s">
        <v>485</v>
      </c>
      <c r="L4" s="1854"/>
      <c r="M4" s="1855"/>
    </row>
    <row r="5" spans="1:13" ht="12.75" customHeight="1" thickBot="1">
      <c r="A5" s="1853"/>
      <c r="B5" s="1667" t="s">
        <v>260</v>
      </c>
      <c r="C5" s="1667" t="s">
        <v>36</v>
      </c>
      <c r="D5" s="1667"/>
      <c r="E5" s="1667" t="s">
        <v>260</v>
      </c>
      <c r="F5" s="1667" t="s">
        <v>36</v>
      </c>
      <c r="G5" s="1667"/>
      <c r="H5" s="1667" t="s">
        <v>260</v>
      </c>
      <c r="I5" s="1667" t="s">
        <v>36</v>
      </c>
      <c r="J5" s="1667"/>
      <c r="K5" s="1667" t="s">
        <v>260</v>
      </c>
      <c r="L5" s="1667" t="s">
        <v>369</v>
      </c>
      <c r="M5" s="902" t="s">
        <v>36</v>
      </c>
    </row>
    <row r="6" spans="1:13" ht="12.75" customHeight="1">
      <c r="A6" s="903">
        <v>1984</v>
      </c>
      <c r="B6" s="314">
        <f>IF([1]T12SthdManip!B4="","",[1]T12SthdManip!B4)</f>
        <v>2490</v>
      </c>
      <c r="C6" s="314">
        <f>IF([1]T12SthdManip!C4="","",[1]T12SthdManip!C4)</f>
        <v>20780</v>
      </c>
      <c r="D6" s="827"/>
      <c r="E6" s="314">
        <f>IF([1]T12SthdManip!D4="","",[1]T12SthdManip!D4)</f>
        <v>52447</v>
      </c>
      <c r="F6" s="314">
        <f>IF([1]T12SthdManip!E4="","",[1]T12SthdManip!E4)</f>
        <v>195751</v>
      </c>
      <c r="G6" s="827"/>
      <c r="H6" s="314">
        <f>IF([1]T12SthdManip!F4="","",[1]T12SthdManip!F4)</f>
        <v>13768</v>
      </c>
      <c r="I6" s="314">
        <f>IF([1]T12SthdManip!G4="","",[1]T12SthdManip!G4)</f>
        <v>98011</v>
      </c>
      <c r="J6" s="827"/>
      <c r="K6" s="314">
        <f>IF([1]T12SthdManip!H4="","",[1]T12SthdManip!H4)</f>
        <v>68705</v>
      </c>
      <c r="L6" s="641">
        <f>IF([1]T12SthdManip!I4="","",[1]T12SthdManip!I4)</f>
        <v>245837</v>
      </c>
      <c r="M6" s="424">
        <f>IF([1]T12SthdManip!J4="","",[1]T12SthdManip!J4)</f>
        <v>314542</v>
      </c>
    </row>
    <row r="7" spans="1:13" ht="12.75" customHeight="1">
      <c r="A7" s="904">
        <v>1985</v>
      </c>
      <c r="B7" s="314">
        <f>IF([1]T12SthdManip!B5="","",[1]T12SthdManip!B5)</f>
        <v>3690</v>
      </c>
      <c r="C7" s="314">
        <f>IF([1]T12SthdManip!C5="","",[1]T12SthdManip!C5)</f>
        <v>19990</v>
      </c>
      <c r="D7" s="827"/>
      <c r="E7" s="314">
        <f>IF([1]T12SthdManip!D5="","",[1]T12SthdManip!D5)</f>
        <v>51922</v>
      </c>
      <c r="F7" s="314">
        <f>IF([1]T12SthdManip!E5="","",[1]T12SthdManip!E5)</f>
        <v>281504</v>
      </c>
      <c r="G7" s="827"/>
      <c r="H7" s="314">
        <f>IF([1]T12SthdManip!F5="","",[1]T12SthdManip!F5)</f>
        <v>12986</v>
      </c>
      <c r="I7" s="314">
        <f>IF([1]T12SthdManip!G5="","",[1]T12SthdManip!G5)</f>
        <v>40870</v>
      </c>
      <c r="J7" s="827"/>
      <c r="K7" s="314">
        <f>IF([1]T12SthdManip!H5="","",[1]T12SthdManip!H5)</f>
        <v>68598</v>
      </c>
      <c r="L7" s="641">
        <f>IF([1]T12SthdManip!I5="","",[1]T12SthdManip!I5)</f>
        <v>273766</v>
      </c>
      <c r="M7" s="424">
        <f>IF([1]T12SthdManip!J5="","",[1]T12SthdManip!J5)</f>
        <v>342364</v>
      </c>
    </row>
    <row r="8" spans="1:13" ht="12.75" customHeight="1">
      <c r="A8" s="904">
        <v>1986</v>
      </c>
      <c r="B8" s="314">
        <f>IF([1]T12SthdManip!B6="","",[1]T12SthdManip!B6)</f>
        <v>5520</v>
      </c>
      <c r="C8" s="314">
        <f>IF([1]T12SthdManip!C6="","",[1]T12SthdManip!C6)</f>
        <v>24830</v>
      </c>
      <c r="D8" s="827"/>
      <c r="E8" s="314">
        <f>IF([1]T12SthdManip!D6="","",[1]T12SthdManip!D6)</f>
        <v>56570</v>
      </c>
      <c r="F8" s="314">
        <f>IF([1]T12SthdManip!E6="","",[1]T12SthdManip!E6)</f>
        <v>287508</v>
      </c>
      <c r="G8" s="827"/>
      <c r="H8" s="314">
        <f>IF([1]T12SthdManip!F6="","",[1]T12SthdManip!F6)</f>
        <v>9984</v>
      </c>
      <c r="I8" s="314">
        <f>IF([1]T12SthdManip!G6="","",[1]T12SthdManip!G6)</f>
        <v>64016</v>
      </c>
      <c r="J8" s="827"/>
      <c r="K8" s="314">
        <f>IF([1]T12SthdManip!H6="","",[1]T12SthdManip!H6)</f>
        <v>72074</v>
      </c>
      <c r="L8" s="641">
        <f>IF([1]T12SthdManip!I6="","",[1]T12SthdManip!I6)</f>
        <v>304280</v>
      </c>
      <c r="M8" s="424">
        <f>IF([1]T12SthdManip!J6="","",[1]T12SthdManip!J6)</f>
        <v>376354</v>
      </c>
    </row>
    <row r="9" spans="1:13" ht="12.75" customHeight="1">
      <c r="A9" s="904">
        <v>1987</v>
      </c>
      <c r="B9" s="314">
        <f>IF([1]T12SthdManip!B7="","",[1]T12SthdManip!B7)</f>
        <v>7380</v>
      </c>
      <c r="C9" s="314">
        <f>IF([1]T12SthdManip!C7="","",[1]T12SthdManip!C7)</f>
        <v>17790</v>
      </c>
      <c r="D9" s="827"/>
      <c r="E9" s="314">
        <f>IF([1]T12SthdManip!D7="","",[1]T12SthdManip!D7)</f>
        <v>106690</v>
      </c>
      <c r="F9" s="314">
        <f>IF([1]T12SthdManip!E7="","",[1]T12SthdManip!E7)</f>
        <v>238283</v>
      </c>
      <c r="G9" s="827"/>
      <c r="H9" s="314">
        <f>IF([1]T12SthdManip!F7="","",[1]T12SthdManip!F7)</f>
        <v>13990</v>
      </c>
      <c r="I9" s="314">
        <f>IF([1]T12SthdManip!G7="","",[1]T12SthdManip!G7)</f>
        <v>44959</v>
      </c>
      <c r="J9" s="827"/>
      <c r="K9" s="314">
        <f>IF([1]T12SthdManip!H7="","",[1]T12SthdManip!H7)</f>
        <v>128060</v>
      </c>
      <c r="L9" s="641">
        <f>IF([1]T12SthdManip!I7="","",[1]T12SthdManip!I7)</f>
        <v>172972</v>
      </c>
      <c r="M9" s="424">
        <f>IF([1]T12SthdManip!J7="","",[1]T12SthdManip!J7)</f>
        <v>301032</v>
      </c>
    </row>
    <row r="10" spans="1:13" ht="12.75" customHeight="1">
      <c r="A10" s="904">
        <v>1988</v>
      </c>
      <c r="B10" s="314">
        <f>IF([1]T12SthdManip!B8="","",[1]T12SthdManip!B8)</f>
        <v>4180</v>
      </c>
      <c r="C10" s="314">
        <f>IF([1]T12SthdManip!C8="","",[1]T12SthdManip!C8)</f>
        <v>22360</v>
      </c>
      <c r="D10" s="827"/>
      <c r="E10" s="314">
        <f>IF([1]T12SthdManip!D8="","",[1]T12SthdManip!D8)</f>
        <v>64331</v>
      </c>
      <c r="F10" s="314">
        <f>IF([1]T12SthdManip!E8="","",[1]T12SthdManip!E8)</f>
        <v>173151</v>
      </c>
      <c r="G10" s="827"/>
      <c r="H10" s="314">
        <f>IF([1]T12SthdManip!F8="","",[1]T12SthdManip!F8)</f>
        <v>17742</v>
      </c>
      <c r="I10" s="314">
        <f>IF([1]T12SthdManip!G8="","",[1]T12SthdManip!G8)</f>
        <v>81643</v>
      </c>
      <c r="J10" s="827"/>
      <c r="K10" s="314">
        <f>IF([1]T12SthdManip!H8="","",[1]T12SthdManip!H8)</f>
        <v>86253</v>
      </c>
      <c r="L10" s="641">
        <f>IF([1]T12SthdManip!I8="","",[1]T12SthdManip!I8)</f>
        <v>190901</v>
      </c>
      <c r="M10" s="424">
        <f>IF([1]T12SthdManip!J8="","",[1]T12SthdManip!J8)</f>
        <v>277154</v>
      </c>
    </row>
    <row r="11" spans="1:13" ht="12.75" customHeight="1">
      <c r="A11" s="904">
        <v>1989</v>
      </c>
      <c r="B11" s="314">
        <f>IF([1]T12SthdManip!B9="","",[1]T12SthdManip!B9)</f>
        <v>3770</v>
      </c>
      <c r="C11" s="314">
        <f>IF([1]T12SthdManip!C9="","",[1]T12SthdManip!C9)</f>
        <v>15730</v>
      </c>
      <c r="D11" s="827"/>
      <c r="E11" s="314">
        <f>IF([1]T12SthdManip!D9="","",[1]T12SthdManip!D9)</f>
        <v>57513</v>
      </c>
      <c r="F11" s="314">
        <f>IF([1]T12SthdManip!E9="","",[1]T12SthdManip!E9)</f>
        <v>193079</v>
      </c>
      <c r="G11" s="827"/>
      <c r="H11" s="314">
        <f>IF([1]T12SthdManip!F9="","",[1]T12SthdManip!F9)</f>
        <v>12367</v>
      </c>
      <c r="I11" s="314">
        <f>IF([1]T12SthdManip!G9="","",[1]T12SthdManip!G9)</f>
        <v>77604</v>
      </c>
      <c r="J11" s="827"/>
      <c r="K11" s="314">
        <f>IF([1]T12SthdManip!H9="","",[1]T12SthdManip!H9)</f>
        <v>73650</v>
      </c>
      <c r="L11" s="641">
        <f>IF([1]T12SthdManip!I9="","",[1]T12SthdManip!I9)</f>
        <v>212763</v>
      </c>
      <c r="M11" s="424">
        <f>IF([1]T12SthdManip!J9="","",[1]T12SthdManip!J9)</f>
        <v>286413</v>
      </c>
    </row>
    <row r="12" spans="1:13" ht="12.75" customHeight="1">
      <c r="A12" s="904">
        <v>1990</v>
      </c>
      <c r="B12" s="314">
        <f>IF([1]T12SthdManip!B10="","",[1]T12SthdManip!B10)</f>
        <v>3690</v>
      </c>
      <c r="C12" s="314">
        <f>IF([1]T12SthdManip!C10="","",[1]T12SthdManip!C10)</f>
        <v>18710</v>
      </c>
      <c r="D12" s="827"/>
      <c r="E12" s="314">
        <f>IF([1]T12SthdManip!D10="","",[1]T12SthdManip!D10)</f>
        <v>27102</v>
      </c>
      <c r="F12" s="314">
        <f>IF([1]T12SthdManip!E10="","",[1]T12SthdManip!E10)</f>
        <v>115628</v>
      </c>
      <c r="G12" s="827"/>
      <c r="H12" s="314">
        <f>IF([1]T12SthdManip!F10="","",[1]T12SthdManip!F10)</f>
        <v>8811</v>
      </c>
      <c r="I12" s="314">
        <f>IF([1]T12SthdManip!G10="","",[1]T12SthdManip!G10)</f>
        <v>47174</v>
      </c>
      <c r="J12" s="827"/>
      <c r="K12" s="314">
        <f>IF([1]T12SthdManip!H10="","",[1]T12SthdManip!H10)</f>
        <v>39603</v>
      </c>
      <c r="L12" s="641">
        <f>IF([1]T12SthdManip!I10="","",[1]T12SthdManip!I10)</f>
        <v>141909</v>
      </c>
      <c r="M12" s="424">
        <f>IF([1]T12SthdManip!J10="","",[1]T12SthdManip!J10)</f>
        <v>181512</v>
      </c>
    </row>
    <row r="13" spans="1:13" ht="12.75" customHeight="1">
      <c r="A13" s="904">
        <v>1991</v>
      </c>
      <c r="B13" s="314">
        <f>IF([1]T12SthdManip!B11="","",[1]T12SthdManip!B11)</f>
        <v>1220</v>
      </c>
      <c r="C13" s="314">
        <f>IF([1]T12SthdManip!C11="","",[1]T12SthdManip!C11)</f>
        <v>10880</v>
      </c>
      <c r="D13" s="827"/>
      <c r="E13" s="314">
        <f>IF([1]T12SthdManip!D11="","",[1]T12SthdManip!D11)</f>
        <v>60264</v>
      </c>
      <c r="F13" s="314">
        <f>IF([1]T12SthdManip!E11="","",[1]T12SthdManip!E11)</f>
        <v>234048</v>
      </c>
      <c r="G13" s="827"/>
      <c r="H13" s="314">
        <f>IF([1]T12SthdManip!F11="","",[1]T12SthdManip!F11)</f>
        <v>6207</v>
      </c>
      <c r="I13" s="314">
        <f>IF([1]T12SthdManip!G11="","",[1]T12SthdManip!G11)</f>
        <v>28265</v>
      </c>
      <c r="J13" s="827"/>
      <c r="K13" s="314">
        <f>IF([1]T12SthdManip!H11="","",[1]T12SthdManip!H11)</f>
        <v>67691</v>
      </c>
      <c r="L13" s="641">
        <f>IF([1]T12SthdManip!I11="","",[1]T12SthdManip!I11)</f>
        <v>205502</v>
      </c>
      <c r="M13" s="424">
        <f>IF([1]T12SthdManip!J11="","",[1]T12SthdManip!J11)</f>
        <v>273193</v>
      </c>
    </row>
    <row r="14" spans="1:13" ht="12.75" customHeight="1">
      <c r="A14" s="904">
        <v>1992</v>
      </c>
      <c r="B14" s="314">
        <f>IF([1]T12SthdManip!B12="","",[1]T12SthdManip!B12)</f>
        <v>2940</v>
      </c>
      <c r="C14" s="314">
        <f>IF([1]T12SthdManip!C12="","",[1]T12SthdManip!C12)</f>
        <v>14910</v>
      </c>
      <c r="D14" s="827"/>
      <c r="E14" s="314">
        <f>IF([1]T12SthdManip!D12="","",[1]T12SthdManip!D12)</f>
        <v>44294</v>
      </c>
      <c r="F14" s="314">
        <f>IF([1]T12SthdManip!E12="","",[1]T12SthdManip!E12)</f>
        <v>241524</v>
      </c>
      <c r="G14" s="827"/>
      <c r="H14" s="314">
        <f>IF([1]T12SthdManip!F12="","",[1]T12SthdManip!F12)</f>
        <v>12715</v>
      </c>
      <c r="I14" s="314">
        <f>IF([1]T12SthdManip!G12="","",[1]T12SthdManip!G12)</f>
        <v>57438</v>
      </c>
      <c r="J14" s="827"/>
      <c r="K14" s="314">
        <f>IF([1]T12SthdManip!H12="","",[1]T12SthdManip!H12)</f>
        <v>59949</v>
      </c>
      <c r="L14" s="641">
        <f>IF([1]T12SthdManip!I12="","",[1]T12SthdManip!I12)</f>
        <v>253923</v>
      </c>
      <c r="M14" s="424">
        <f>IF([1]T12SthdManip!J12="","",[1]T12SthdManip!J12)</f>
        <v>313872</v>
      </c>
    </row>
    <row r="15" spans="1:13" ht="12.75" customHeight="1">
      <c r="A15" s="904">
        <v>1993</v>
      </c>
      <c r="B15" s="314">
        <f>IF([1]T12SthdManip!B13="","",[1]T12SthdManip!B13)</f>
        <v>1250</v>
      </c>
      <c r="C15" s="314">
        <f>IF([1]T12SthdManip!C13="","",[1]T12SthdManip!C13)</f>
        <v>14360</v>
      </c>
      <c r="D15" s="827"/>
      <c r="E15" s="314">
        <f>IF([1]T12SthdManip!D13="","",[1]T12SthdManip!D13)</f>
        <v>28650</v>
      </c>
      <c r="F15" s="314">
        <f>IF([1]T12SthdManip!E13="","",[1]T12SthdManip!E13)</f>
        <v>136701</v>
      </c>
      <c r="G15" s="827"/>
      <c r="H15" s="314">
        <f>IF([1]T12SthdManip!F13="","",[1]T12SthdManip!F13)</f>
        <v>4378</v>
      </c>
      <c r="I15" s="314">
        <f>IF([1]T12SthdManip!G13="","",[1]T12SthdManip!G13)</f>
        <v>36169</v>
      </c>
      <c r="J15" s="827"/>
      <c r="K15" s="314">
        <f>IF([1]T12SthdManip!H13="","",[1]T12SthdManip!H13)</f>
        <v>34278</v>
      </c>
      <c r="L15" s="641">
        <f>IF([1]T12SthdManip!I13="","",[1]T12SthdManip!I13)</f>
        <v>152952</v>
      </c>
      <c r="M15" s="424">
        <f>IF([1]T12SthdManip!J13="","",[1]T12SthdManip!J13)</f>
        <v>187230</v>
      </c>
    </row>
    <row r="16" spans="1:13" ht="12.75" customHeight="1">
      <c r="A16" s="904">
        <v>1994</v>
      </c>
      <c r="B16" s="314">
        <f>IF([1]T12SthdManip!B14="","",[1]T12SthdManip!B14)</f>
        <v>1380</v>
      </c>
      <c r="C16" s="314">
        <f>IF([1]T12SthdManip!C14="","",[1]T12SthdManip!C14)</f>
        <v>12330</v>
      </c>
      <c r="D16" s="827"/>
      <c r="E16" s="314">
        <f>IF([1]T12SthdManip!D14="","",[1]T12SthdManip!D14)</f>
        <v>21212</v>
      </c>
      <c r="F16" s="314">
        <f>IF([1]T12SthdManip!E14="","",[1]T12SthdManip!E14)</f>
        <v>120971</v>
      </c>
      <c r="G16" s="827"/>
      <c r="H16" s="314">
        <f>IF([1]T12SthdManip!F14="","",[1]T12SthdManip!F14)</f>
        <v>5152</v>
      </c>
      <c r="I16" s="314">
        <f>IF([1]T12SthdManip!G14="","",[1]T12SthdManip!G14)</f>
        <v>27463</v>
      </c>
      <c r="J16" s="827"/>
      <c r="K16" s="314">
        <f>IF([1]T12SthdManip!H14="","",[1]T12SthdManip!H14)</f>
        <v>27744</v>
      </c>
      <c r="L16" s="641">
        <f>IF([1]T12SthdManip!I14="","",[1]T12SthdManip!I14)</f>
        <v>133020</v>
      </c>
      <c r="M16" s="424">
        <f>IF([1]T12SthdManip!J14="","",[1]T12SthdManip!J14)</f>
        <v>160764</v>
      </c>
    </row>
    <row r="17" spans="1:13" ht="12.75" customHeight="1">
      <c r="A17" s="904">
        <v>1995</v>
      </c>
      <c r="B17" s="314">
        <f>IF([1]T12SthdManip!B15="","",[1]T12SthdManip!B15)</f>
        <v>1150</v>
      </c>
      <c r="C17" s="314">
        <f>IF([1]T12SthdManip!C15="","",[1]T12SthdManip!C15)</f>
        <v>8220</v>
      </c>
      <c r="D17" s="827"/>
      <c r="E17" s="314">
        <f>IF([1]T12SthdManip!D15="","",[1]T12SthdManip!D15)</f>
        <v>25997</v>
      </c>
      <c r="F17" s="314">
        <f>IF([1]T12SthdManip!E15="","",[1]T12SthdManip!E15)</f>
        <v>180037</v>
      </c>
      <c r="G17" s="827"/>
      <c r="H17" s="314">
        <f>IF([1]T12SthdManip!F15="","",[1]T12SthdManip!F15)</f>
        <v>1847</v>
      </c>
      <c r="I17" s="314">
        <f>IF([1]T12SthdManip!G15="","",[1]T12SthdManip!G15)</f>
        <v>13221</v>
      </c>
      <c r="J17" s="827"/>
      <c r="K17" s="314">
        <f>IF([1]T12SthdManip!H15="","",[1]T12SthdManip!H15)</f>
        <v>28994</v>
      </c>
      <c r="L17" s="641">
        <f>IF([1]T12SthdManip!I15="","",[1]T12SthdManip!I15)</f>
        <v>172484</v>
      </c>
      <c r="M17" s="424">
        <f>IF([1]T12SthdManip!J15="","",[1]T12SthdManip!J15)</f>
        <v>201478</v>
      </c>
    </row>
    <row r="18" spans="1:13" ht="12.75" customHeight="1">
      <c r="A18" s="904">
        <v>1996</v>
      </c>
      <c r="B18" s="314">
        <f>IF([1]T12SthdManip!B16="","",[1]T12SthdManip!B16)</f>
        <v>1310</v>
      </c>
      <c r="C18" s="314">
        <f>IF([1]T12SthdManip!C16="","",[1]T12SthdManip!C16)</f>
        <v>10830</v>
      </c>
      <c r="D18" s="827"/>
      <c r="E18" s="314">
        <f>IF([1]T12SthdManip!D16="","",[1]T12SthdManip!D16)</f>
        <v>25721</v>
      </c>
      <c r="F18" s="314">
        <f>IF([1]T12SthdManip!E16="","",[1]T12SthdManip!E16)</f>
        <v>174464</v>
      </c>
      <c r="G18" s="827"/>
      <c r="H18" s="314">
        <f>IF([1]T12SthdManip!F16="","",[1]T12SthdManip!F16)</f>
        <v>3912</v>
      </c>
      <c r="I18" s="314">
        <f>IF([1]T12SthdManip!G16="","",[1]T12SthdManip!G16)</f>
        <v>18693</v>
      </c>
      <c r="J18" s="827"/>
      <c r="K18" s="314">
        <f>IF([1]T12SthdManip!H16="","",[1]T12SthdManip!H16)</f>
        <v>30943</v>
      </c>
      <c r="L18" s="641">
        <f>IF([1]T12SthdManip!I16="","",[1]T12SthdManip!I16)</f>
        <v>173044</v>
      </c>
      <c r="M18" s="424">
        <f>IF([1]T12SthdManip!J16="","",[1]T12SthdManip!J16)</f>
        <v>203987</v>
      </c>
    </row>
    <row r="19" spans="1:13" ht="12.75" customHeight="1">
      <c r="A19" s="904">
        <v>1997</v>
      </c>
      <c r="B19" s="314">
        <f>IF([1]T12SthdManip!B17="","",[1]T12SthdManip!B17)</f>
        <v>930</v>
      </c>
      <c r="C19" s="314">
        <f>IF([1]T12SthdManip!C17="","",[1]T12SthdManip!C17)</f>
        <v>11890</v>
      </c>
      <c r="D19" s="827"/>
      <c r="E19" s="314">
        <f>IF([1]T12SthdManip!D17="","",[1]T12SthdManip!D17)</f>
        <v>30852</v>
      </c>
      <c r="F19" s="314">
        <f>IF([1]T12SthdManip!E17="","",[1]T12SthdManip!E17)</f>
        <v>208209</v>
      </c>
      <c r="G19" s="827"/>
      <c r="H19" s="314">
        <f>IF([1]T12SthdManip!F17="","",[1]T12SthdManip!F17)</f>
        <v>3913</v>
      </c>
      <c r="I19" s="314">
        <f>IF([1]T12SthdManip!G17="","",[1]T12SthdManip!G17)</f>
        <v>36663</v>
      </c>
      <c r="J19" s="827"/>
      <c r="K19" s="314">
        <f>IF([1]T12SthdManip!H17="","",[1]T12SthdManip!H17)</f>
        <v>35695</v>
      </c>
      <c r="L19" s="641">
        <f>IF([1]T12SthdManip!I17="","",[1]T12SthdManip!I17)</f>
        <v>221067</v>
      </c>
      <c r="M19" s="424">
        <f>IF([1]T12SthdManip!J17="","",[1]T12SthdManip!J17)</f>
        <v>256762</v>
      </c>
    </row>
    <row r="20" spans="1:13" ht="12.75" customHeight="1">
      <c r="A20" s="904">
        <v>1998</v>
      </c>
      <c r="B20" s="314">
        <f>IF([1]T12SthdManip!B18="","",[1]T12SthdManip!B18)</f>
        <v>1610</v>
      </c>
      <c r="C20" s="314">
        <f>IF([1]T12SthdManip!C18="","",[1]T12SthdManip!C18)</f>
        <v>9440</v>
      </c>
      <c r="D20" s="827"/>
      <c r="E20" s="314">
        <f>IF([1]T12SthdManip!D18="","",[1]T12SthdManip!D18)</f>
        <v>34836</v>
      </c>
      <c r="F20" s="314">
        <f>IF([1]T12SthdManip!E18="","",[1]T12SthdManip!E18)</f>
        <v>134687</v>
      </c>
      <c r="G20" s="827"/>
      <c r="H20" s="314">
        <f>IF([1]T12SthdManip!F18="","",[1]T12SthdManip!F18)</f>
        <v>3415</v>
      </c>
      <c r="I20" s="314">
        <f>IF([1]T12SthdManip!G18="","",[1]T12SthdManip!G18)</f>
        <v>40241</v>
      </c>
      <c r="J20" s="827"/>
      <c r="K20" s="314">
        <f>IF([1]T12SthdManip!H18="","",[1]T12SthdManip!H18)</f>
        <v>39861</v>
      </c>
      <c r="L20" s="641">
        <f>IF([1]T12SthdManip!I18="","",[1]T12SthdManip!I18)</f>
        <v>144507</v>
      </c>
      <c r="M20" s="424">
        <f>IF([1]T12SthdManip!J18="","",[1]T12SthdManip!J18)</f>
        <v>184368</v>
      </c>
    </row>
    <row r="21" spans="1:13" ht="12.75" customHeight="1">
      <c r="A21" s="904">
        <v>1999</v>
      </c>
      <c r="B21" s="314">
        <f>IF([1]T12SthdManip!B19="","",[1]T12SthdManip!B19)</f>
        <v>1310</v>
      </c>
      <c r="C21" s="314">
        <f>IF([1]T12SthdManip!C19="","",[1]T12SthdManip!C19)</f>
        <v>7160</v>
      </c>
      <c r="D21" s="827"/>
      <c r="E21" s="314">
        <f>IF([1]T12SthdManip!D19="","",[1]T12SthdManip!D19)</f>
        <v>56626</v>
      </c>
      <c r="F21" s="314">
        <f>IF([1]T12SthdManip!E19="","",[1]T12SthdManip!E19)</f>
        <v>176466</v>
      </c>
      <c r="G21" s="827"/>
      <c r="H21" s="314">
        <f>IF([1]T12SthdManip!F19="","",[1]T12SthdManip!F19)</f>
        <v>3740</v>
      </c>
      <c r="I21" s="314">
        <f>IF([1]T12SthdManip!G19="","",[1]T12SthdManip!G19)</f>
        <v>22137</v>
      </c>
      <c r="J21" s="827"/>
      <c r="K21" s="314">
        <f>IF([1]T12SthdManip!H19="","",[1]T12SthdManip!H19)</f>
        <v>61676</v>
      </c>
      <c r="L21" s="641">
        <f>IF([1]T12SthdManip!I19="","",[1]T12SthdManip!I19)</f>
        <v>144087</v>
      </c>
      <c r="M21" s="424">
        <f>IF([1]T12SthdManip!J19="","",[1]T12SthdManip!J19)</f>
        <v>205763</v>
      </c>
    </row>
    <row r="22" spans="1:13" ht="12.75" customHeight="1">
      <c r="A22" s="904">
        <v>2000</v>
      </c>
      <c r="B22" s="314">
        <f>IF([1]T12SthdManip!B20="","",[1]T12SthdManip!B20)</f>
        <v>5728</v>
      </c>
      <c r="C22" s="314">
        <f>IF([1]T12SthdManip!C20="","",[1]T12SthdManip!C20)</f>
        <v>16619</v>
      </c>
      <c r="D22" s="827"/>
      <c r="E22" s="314">
        <f>IF([1]T12SthdManip!D20="","",[1]T12SthdManip!D20)</f>
        <v>63628</v>
      </c>
      <c r="F22" s="314">
        <f>IF([1]T12SthdManip!E20="","",[1]T12SthdManip!E20)</f>
        <v>216723</v>
      </c>
      <c r="G22" s="827"/>
      <c r="H22" s="314">
        <f>IF([1]T12SthdManip!F20="","",[1]T12SthdManip!F20)</f>
        <v>8368</v>
      </c>
      <c r="I22" s="314">
        <f>IF([1]T12SthdManip!G20="","",[1]T12SthdManip!G20)</f>
        <v>40909</v>
      </c>
      <c r="J22" s="827"/>
      <c r="K22" s="314">
        <f>IF([1]T12SthdManip!H20="","",[1]T12SthdManip!H20)</f>
        <v>77724</v>
      </c>
      <c r="L22" s="641">
        <f>IF([1]T12SthdManip!I20="","",[1]T12SthdManip!I20)</f>
        <v>196527</v>
      </c>
      <c r="M22" s="424">
        <f>IF([1]T12SthdManip!J20="","",[1]T12SthdManip!J20)</f>
        <v>274251</v>
      </c>
    </row>
    <row r="23" spans="1:13" ht="12.75" customHeight="1">
      <c r="A23" s="904">
        <v>2001</v>
      </c>
      <c r="B23" s="314">
        <f>IF([1]T12SthdManip!B21="","",[1]T12SthdManip!B21)</f>
        <v>7952</v>
      </c>
      <c r="C23" s="314">
        <f>IF([1]T12SthdManip!C21="","",[1]T12SthdManip!C21)</f>
        <v>28725</v>
      </c>
      <c r="D23" s="827"/>
      <c r="E23" s="314">
        <f>IF([1]T12SthdManip!D21="","",[1]T12SthdManip!D21)</f>
        <v>137230</v>
      </c>
      <c r="F23" s="314">
        <f>IF([1]T12SthdManip!E21="","",[1]T12SthdManip!E21)</f>
        <v>515079</v>
      </c>
      <c r="G23" s="827"/>
      <c r="H23" s="314">
        <f>IF([1]T12SthdManip!F21="","",[1]T12SthdManip!F21)</f>
        <v>12047</v>
      </c>
      <c r="I23" s="314">
        <f>IF([1]T12SthdManip!G21="","",[1]T12SthdManip!G21)</f>
        <v>86426</v>
      </c>
      <c r="J23" s="827"/>
      <c r="K23" s="314">
        <f>IF([1]T12SthdManip!H21="","",[1]T12SthdManip!H21)</f>
        <v>157229</v>
      </c>
      <c r="L23" s="641">
        <f>IF([1]T12SthdManip!I21="","",[1]T12SthdManip!I21)</f>
        <v>473001</v>
      </c>
      <c r="M23" s="424">
        <f>IF([1]T12SthdManip!J21="","",[1]T12SthdManip!J21)</f>
        <v>630230</v>
      </c>
    </row>
    <row r="24" spans="1:13" ht="12.75" customHeight="1">
      <c r="A24" s="904">
        <v>2002</v>
      </c>
      <c r="B24" s="314">
        <f>IF([1]T12SthdManip!B22="","",[1]T12SthdManip!B22)</f>
        <v>9671</v>
      </c>
      <c r="C24" s="314">
        <f>IF([1]T12SthdManip!C22="","",[1]T12SthdManip!C22)</f>
        <v>24991</v>
      </c>
      <c r="D24" s="827"/>
      <c r="E24" s="314">
        <f>IF([1]T12SthdManip!D22="","",[1]T12SthdManip!D22)</f>
        <v>87276</v>
      </c>
      <c r="F24" s="314">
        <f>IF([1]T12SthdManip!E22="","",[1]T12SthdManip!E22)</f>
        <v>323124</v>
      </c>
      <c r="G24" s="827"/>
      <c r="H24" s="314">
        <f>IF([1]T12SthdManip!F22="","",[1]T12SthdManip!F22)</f>
        <v>32333</v>
      </c>
      <c r="I24" s="314">
        <f>IF([1]T12SthdManip!G22="","",[1]T12SthdManip!G22)</f>
        <v>129882</v>
      </c>
      <c r="J24" s="827"/>
      <c r="K24" s="314">
        <f>IF([1]T12SthdManip!H22="","",[1]T12SthdManip!H22)</f>
        <v>129280</v>
      </c>
      <c r="L24" s="641">
        <f>IF([1]T12SthdManip!I22="","",[1]T12SthdManip!I22)</f>
        <v>348717</v>
      </c>
      <c r="M24" s="424">
        <f>IF([1]T12SthdManip!J22="","",[1]T12SthdManip!J22)</f>
        <v>477997</v>
      </c>
    </row>
    <row r="25" spans="1:13" ht="12.75" customHeight="1">
      <c r="A25" s="904">
        <v>2003</v>
      </c>
      <c r="B25" s="314">
        <f>IF([1]T12SthdManip!B23="","",[1]T12SthdManip!B23)</f>
        <v>1801</v>
      </c>
      <c r="C25" s="314">
        <f>IF([1]T12SthdManip!C23="","",[1]T12SthdManip!C23)</f>
        <v>14154</v>
      </c>
      <c r="D25" s="827"/>
      <c r="E25" s="314">
        <f>IF([1]T12SthdManip!D23="","",[1]T12SthdManip!D23)</f>
        <v>67049</v>
      </c>
      <c r="F25" s="314">
        <f>IF([1]T12SthdManip!E23="","",[1]T12SthdManip!E23)</f>
        <v>305795</v>
      </c>
      <c r="G25" s="827"/>
      <c r="H25" s="314">
        <f>IF([1]T12SthdManip!F23="","",[1]T12SthdManip!F23)</f>
        <v>6417</v>
      </c>
      <c r="I25" s="314">
        <f>IF([1]T12SthdManip!G23="","",[1]T12SthdManip!G23)</f>
        <v>37228</v>
      </c>
      <c r="J25" s="827"/>
      <c r="K25" s="314">
        <f>IF([1]T12SthdManip!H23="","",[1]T12SthdManip!H23)</f>
        <v>75267</v>
      </c>
      <c r="L25" s="641">
        <f>IF([1]T12SthdManip!I23="","",[1]T12SthdManip!I23)</f>
        <v>281910</v>
      </c>
      <c r="M25" s="424">
        <f>IF([1]T12SthdManip!J23="","",[1]T12SthdManip!J23)</f>
        <v>357177</v>
      </c>
    </row>
    <row r="26" spans="1:13" ht="12.75" customHeight="1">
      <c r="A26" s="904">
        <v>2004</v>
      </c>
      <c r="B26" s="314">
        <f>IF([1]T12SthdManip!B24="","",[1]T12SthdManip!B24)</f>
        <v>3289</v>
      </c>
      <c r="C26" s="314">
        <f>IF([1]T12SthdManip!C24="","",[1]T12SthdManip!C24)</f>
        <v>20148</v>
      </c>
      <c r="D26" s="827"/>
      <c r="E26" s="314">
        <f>IF([1]T12SthdManip!D24="","",[1]T12SthdManip!D24)</f>
        <v>60421</v>
      </c>
      <c r="F26" s="314">
        <f>IF([1]T12SthdManip!E24="","",[1]T12SthdManip!E24)</f>
        <v>250615</v>
      </c>
      <c r="G26" s="827"/>
      <c r="H26" s="314">
        <f>IF([1]T12SthdManip!F24="","",[1]T12SthdManip!F24)</f>
        <v>9202</v>
      </c>
      <c r="I26" s="314">
        <f>IF([1]T12SthdManip!G24="","",[1]T12SthdManip!G24)</f>
        <v>37398</v>
      </c>
      <c r="J26" s="827"/>
      <c r="K26" s="314">
        <f>IF([1]T12SthdManip!H24="","",[1]T12SthdManip!H24)</f>
        <v>72912</v>
      </c>
      <c r="L26" s="641">
        <f>IF([1]T12SthdManip!I24="","",[1]T12SthdManip!I24)</f>
        <v>235249</v>
      </c>
      <c r="M26" s="424">
        <f>IF([1]T12SthdManip!J24="","",[1]T12SthdManip!J24)</f>
        <v>308161</v>
      </c>
    </row>
    <row r="27" spans="1:13" ht="12.75" customHeight="1">
      <c r="A27" s="904">
        <v>2005</v>
      </c>
      <c r="B27" s="314">
        <f>IF([1]T12SthdManip!B25="","",[1]T12SthdManip!B25)</f>
        <v>2123</v>
      </c>
      <c r="C27" s="314">
        <f>IF([1]T12SthdManip!C25="","",[1]T12SthdManip!C25)</f>
        <v>11221</v>
      </c>
      <c r="D27" s="827"/>
      <c r="E27" s="314">
        <f>IF([1]T12SthdManip!D25="","",[1]T12SthdManip!D25)</f>
        <v>58917</v>
      </c>
      <c r="F27" s="314">
        <f>IF([1]T12SthdManip!E25="","",[1]T12SthdManip!E25)</f>
        <v>251631</v>
      </c>
      <c r="G27" s="827"/>
      <c r="H27" s="314">
        <f>IF([1]T12SthdManip!F25="","",[1]T12SthdManip!F25)</f>
        <v>9619</v>
      </c>
      <c r="I27" s="314">
        <f>IF([1]T12SthdManip!G25="","",[1]T12SthdManip!G25)</f>
        <v>48968</v>
      </c>
      <c r="J27" s="827"/>
      <c r="K27" s="314">
        <f>IF([1]T12SthdManip!H25="","",[1]T12SthdManip!H25)</f>
        <v>70659</v>
      </c>
      <c r="L27" s="641">
        <f>IF([1]T12SthdManip!I25="","",[1]T12SthdManip!I25)</f>
        <v>241161</v>
      </c>
      <c r="M27" s="424">
        <f>IF([1]T12SthdManip!J25="","",[1]T12SthdManip!J25)</f>
        <v>311820</v>
      </c>
    </row>
    <row r="28" spans="1:13" ht="12.75" customHeight="1">
      <c r="A28" s="904">
        <v>2006</v>
      </c>
      <c r="B28" s="314">
        <f>IF([1]T12SthdManip!B26="","",[1]T12SthdManip!B26)</f>
        <v>2181</v>
      </c>
      <c r="C28" s="314">
        <f>IF([1]T12SthdManip!C26="","",[1]T12SthdManip!C26)</f>
        <v>9882</v>
      </c>
      <c r="D28" s="827"/>
      <c r="E28" s="314">
        <f>IF([1]T12SthdManip!D26="","",[1]T12SthdManip!D26)</f>
        <v>63735</v>
      </c>
      <c r="F28" s="314">
        <f>IF([1]T12SthdManip!E26="","",[1]T12SthdManip!E26)</f>
        <v>245168</v>
      </c>
      <c r="G28" s="827"/>
      <c r="H28" s="314">
        <f>IF([1]T12SthdManip!F26="","",[1]T12SthdManip!F26)</f>
        <v>8466</v>
      </c>
      <c r="I28" s="314">
        <f>IF([1]T12SthdManip!G26="","",[1]T12SthdManip!G26)</f>
        <v>74128</v>
      </c>
      <c r="J28" s="827"/>
      <c r="K28" s="314">
        <f>IF([1]T12SthdManip!H26="","",[1]T12SthdManip!H26)</f>
        <v>74382</v>
      </c>
      <c r="L28" s="641">
        <f>IF([1]T12SthdManip!I26="","",[1]T12SthdManip!I26)</f>
        <v>254796</v>
      </c>
      <c r="M28" s="424">
        <f>IF([1]T12SthdManip!J26="","",[1]T12SthdManip!J26)</f>
        <v>329178</v>
      </c>
    </row>
    <row r="29" spans="1:13" ht="12.75" customHeight="1">
      <c r="A29" s="904">
        <v>2007</v>
      </c>
      <c r="B29" s="314">
        <f>IF([1]T12SthdManip!B27="","",[1]T12SthdManip!B27)</f>
        <v>1727</v>
      </c>
      <c r="C29" s="314">
        <f>IF([1]T12SthdManip!C27="","",[1]T12SthdManip!C27)</f>
        <v>9475</v>
      </c>
      <c r="D29" s="827"/>
      <c r="E29" s="314">
        <f>IF([1]T12SthdManip!D27="","",[1]T12SthdManip!D27)</f>
        <v>77268</v>
      </c>
      <c r="F29" s="314">
        <f>IF([1]T12SthdManip!E27="","",[1]T12SthdManip!E27)</f>
        <v>258848</v>
      </c>
      <c r="G29" s="827"/>
      <c r="H29" s="314">
        <f>IF([1]T12SthdManip!F27="","",[1]T12SthdManip!F27)</f>
        <v>9015</v>
      </c>
      <c r="I29" s="314">
        <f>IF([1]T12SthdManip!G27="","",[1]T12SthdManip!G27)</f>
        <v>51073</v>
      </c>
      <c r="J29" s="827"/>
      <c r="K29" s="314">
        <f>IF([1]T12SthdManip!H27="","",[1]T12SthdManip!H27)</f>
        <v>88010</v>
      </c>
      <c r="L29" s="641">
        <f>IF([1]T12SthdManip!I27="","",[1]T12SthdManip!I27)</f>
        <v>231386</v>
      </c>
      <c r="M29" s="424">
        <f>IF([1]T12SthdManip!J27="","",[1]T12SthdManip!J27)</f>
        <v>319396</v>
      </c>
    </row>
    <row r="30" spans="1:13" ht="12.75" customHeight="1">
      <c r="A30" s="904">
        <v>2008</v>
      </c>
      <c r="B30" s="314">
        <f>IF([1]T12SthdManip!B28="","",[1]T12SthdManip!B28)</f>
        <v>4489</v>
      </c>
      <c r="C30" s="314">
        <f>IF([1]T12SthdManip!C28="","",[1]T12SthdManip!C28)</f>
        <v>15832</v>
      </c>
      <c r="D30" s="827"/>
      <c r="E30" s="314">
        <f>IF([1]T12SthdManip!D28="","",[1]T12SthdManip!D28)</f>
        <v>81648</v>
      </c>
      <c r="F30" s="314">
        <f>IF([1]T12SthdManip!E28="","",[1]T12SthdManip!E28)</f>
        <v>245823</v>
      </c>
      <c r="G30" s="827"/>
      <c r="H30" s="314">
        <f>IF([1]T12SthdManip!F28="","",[1]T12SthdManip!F28)</f>
        <v>18529</v>
      </c>
      <c r="I30" s="314">
        <f>IF([1]T12SthdManip!G28="","",[1]T12SthdManip!G28)</f>
        <v>93429</v>
      </c>
      <c r="J30" s="827"/>
      <c r="K30" s="314">
        <f>IF([1]T12SthdManip!H28="","",[1]T12SthdManip!H28)</f>
        <v>104666</v>
      </c>
      <c r="L30" s="641">
        <f>IF([1]T12SthdManip!I28="","",[1]T12SthdManip!I28)</f>
        <v>250418</v>
      </c>
      <c r="M30" s="424">
        <f>IF([1]T12SthdManip!J28="","",[1]T12SthdManip!J28)</f>
        <v>355084</v>
      </c>
    </row>
    <row r="31" spans="1:13" ht="12.75" customHeight="1">
      <c r="A31" s="904">
        <v>2009</v>
      </c>
      <c r="B31" s="314">
        <f>IF([1]T12SthdManip!B29="","",[1]T12SthdManip!B29)</f>
        <v>3528</v>
      </c>
      <c r="C31" s="314">
        <f>IF([1]T12SthdManip!C29="","",[1]T12SthdManip!C29)</f>
        <v>13884</v>
      </c>
      <c r="D31" s="827"/>
      <c r="E31" s="314">
        <f>IF([1]T12SthdManip!D29="","",[1]T12SthdManip!D29)</f>
        <v>154045</v>
      </c>
      <c r="F31" s="314">
        <f>IF([1]T12SthdManip!E29="","",[1]T12SthdManip!E29)</f>
        <v>543195</v>
      </c>
      <c r="G31" s="827"/>
      <c r="H31" s="314">
        <f>IF([1]T12SthdManip!F29="","",[1]T12SthdManip!F29)</f>
        <v>13727</v>
      </c>
      <c r="I31" s="314">
        <f>IF([1]T12SthdManip!G29="","",[1]T12SthdManip!G29)</f>
        <v>44540</v>
      </c>
      <c r="J31" s="827"/>
      <c r="K31" s="314">
        <f>IF([1]T12SthdManip!H29="","",[1]T12SthdManip!H29)</f>
        <v>171300</v>
      </c>
      <c r="L31" s="641">
        <f>IF([1]T12SthdManip!I29="","",[1]T12SthdManip!I29)</f>
        <v>430319</v>
      </c>
      <c r="M31" s="424">
        <f>IF([1]T12SthdManip!J29="","",[1]T12SthdManip!J29)</f>
        <v>601619</v>
      </c>
    </row>
    <row r="32" spans="1:13" ht="12.75" customHeight="1">
      <c r="A32" s="904">
        <v>2010</v>
      </c>
      <c r="B32" s="314">
        <f>IF([1]T12SthdManip!B30="","",[1]T12SthdManip!B30)</f>
        <v>10357</v>
      </c>
      <c r="C32" s="314">
        <f>IF([1]T12SthdManip!C30="","",[1]T12SthdManip!C30)</f>
        <v>29270</v>
      </c>
      <c r="D32" s="827"/>
      <c r="E32" s="314">
        <f>IF([1]T12SthdManip!D30="","",[1]T12SthdManip!D30)</f>
        <v>120531</v>
      </c>
      <c r="F32" s="314">
        <f>IF([1]T12SthdManip!E30="","",[1]T12SthdManip!E30)</f>
        <v>304002</v>
      </c>
      <c r="G32" s="827"/>
      <c r="H32" s="314">
        <f>IF([1]T12SthdManip!F30="","",[1]T12SthdManip!F30)</f>
        <v>22364</v>
      </c>
      <c r="I32" s="314">
        <f>IF([1]T12SthdManip!G30="","",[1]T12SthdManip!G30)</f>
        <v>77146</v>
      </c>
      <c r="J32" s="827"/>
      <c r="K32" s="314">
        <f>IF([1]T12SthdManip!H30="","",[1]T12SthdManip!H30)</f>
        <v>153252</v>
      </c>
      <c r="L32" s="641">
        <f>IF([1]T12SthdManip!I30="","",[1]T12SthdManip!I30)</f>
        <v>257166</v>
      </c>
      <c r="M32" s="424">
        <f>IF([1]T12SthdManip!J30="","",[1]T12SthdManip!J30)</f>
        <v>410418</v>
      </c>
    </row>
    <row r="33" spans="1:15" ht="12.75" customHeight="1">
      <c r="A33" s="904">
        <v>2011</v>
      </c>
      <c r="B33" s="314">
        <f>IF([1]T12SthdManip!B31="","",[1]T12SthdManip!B31)</f>
        <v>2814</v>
      </c>
      <c r="C33" s="314">
        <f>IF([1]T12SthdManip!C31="","",[1]T12SthdManip!C31)</f>
        <v>9750</v>
      </c>
      <c r="D33" s="827"/>
      <c r="E33" s="314">
        <f>IF([1]T12SthdManip!D31="","",[1]T12SthdManip!D31)</f>
        <v>101263</v>
      </c>
      <c r="F33" s="314">
        <f>IF([1]T12SthdManip!E31="","",[1]T12SthdManip!E31)</f>
        <v>318125</v>
      </c>
      <c r="G33" s="827"/>
      <c r="H33" s="314">
        <f>IF([1]T12SthdManip!F31="","",[1]T12SthdManip!F31)</f>
        <v>7771</v>
      </c>
      <c r="I33" s="314">
        <f>IF([1]T12SthdManip!G31="","",[1]T12SthdManip!G31)</f>
        <v>36996</v>
      </c>
      <c r="J33" s="827"/>
      <c r="K33" s="314">
        <f>IF([1]T12SthdManip!H31="","",[1]T12SthdManip!H31)</f>
        <v>111848</v>
      </c>
      <c r="L33" s="641">
        <f>IF([1]T12SthdManip!I31="","",[1]T12SthdManip!I31)</f>
        <v>253023</v>
      </c>
      <c r="M33" s="424">
        <f>IF([1]T12SthdManip!J31="","",[1]T12SthdManip!J31)</f>
        <v>364871</v>
      </c>
      <c r="N33" s="1675"/>
      <c r="O33" s="1675"/>
    </row>
    <row r="34" spans="1:15" ht="12.75" customHeight="1">
      <c r="A34" s="904">
        <v>2012</v>
      </c>
      <c r="B34" s="314">
        <f>IF([1]T12SthdManip!B32="","",[1]T12SthdManip!B32)</f>
        <v>3023</v>
      </c>
      <c r="C34" s="314">
        <f>IF([1]T12SthdManip!C32="","",[1]T12SthdManip!C32)</f>
        <v>10958</v>
      </c>
      <c r="D34" s="827"/>
      <c r="E34" s="314">
        <f>IF([1]T12SthdManip!D32="","",[1]T12SthdManip!D32)</f>
        <v>55464</v>
      </c>
      <c r="F34" s="314">
        <f>IF([1]T12SthdManip!E32="","",[1]T12SthdManip!E32)</f>
        <v>192134</v>
      </c>
      <c r="G34" s="827"/>
      <c r="H34" s="314">
        <f>IF([1]T12SthdManip!F32="","",[1]T12SthdManip!F32)</f>
        <v>6813</v>
      </c>
      <c r="I34" s="314">
        <f>IF([1]T12SthdManip!G32="","",[1]T12SthdManip!G32)</f>
        <v>27723</v>
      </c>
      <c r="J34" s="827"/>
      <c r="K34" s="314">
        <f>IF([1]T12SthdManip!H32="","",[1]T12SthdManip!H32)</f>
        <v>65300</v>
      </c>
      <c r="L34" s="641">
        <f>IF([1]T12SthdManip!I32="","",[1]T12SthdManip!I32)</f>
        <v>165515</v>
      </c>
      <c r="M34" s="424">
        <f>IF([1]T12SthdManip!J32="","",[1]T12SthdManip!J32)</f>
        <v>230815</v>
      </c>
      <c r="N34" s="1675"/>
      <c r="O34" s="1675"/>
    </row>
    <row r="35" spans="1:15" ht="12.75" customHeight="1">
      <c r="A35" s="904">
        <v>2013</v>
      </c>
      <c r="B35" s="314">
        <f>IF([1]T12SthdManip!B33="","",[1]T12SthdManip!B33)</f>
        <v>1661</v>
      </c>
      <c r="C35" s="314">
        <f>IF([1]T12SthdManip!C33="","",[1]T12SthdManip!C33)</f>
        <v>5738</v>
      </c>
      <c r="D35" s="827"/>
      <c r="E35" s="314">
        <f>IF([1]T12SthdManip!D33="","",[1]T12SthdManip!D33)</f>
        <v>90496</v>
      </c>
      <c r="F35" s="314">
        <f>IF([1]T12SthdManip!E33="","",[1]T12SthdManip!E33)</f>
        <v>214074</v>
      </c>
      <c r="G35" s="827"/>
      <c r="H35" s="314">
        <f>IF([1]T12SthdManip!F33="","",[1]T12SthdManip!F33)</f>
        <v>2907</v>
      </c>
      <c r="I35" s="314">
        <f>IF([1]T12SthdManip!G33="","",[1]T12SthdManip!G33)</f>
        <v>11511</v>
      </c>
      <c r="J35" s="827"/>
      <c r="K35" s="314">
        <f>IF([1]T12SthdManip!H33="","",[1]T12SthdManip!H33)</f>
        <v>95064</v>
      </c>
      <c r="L35" s="641">
        <f>IF([1]T12SthdManip!I33="","",[1]T12SthdManip!I33)</f>
        <v>136259</v>
      </c>
      <c r="M35" s="424">
        <f>IF([1]T12SthdManip!J33="","",[1]T12SthdManip!J33)</f>
        <v>231323</v>
      </c>
      <c r="N35" s="1675"/>
      <c r="O35" s="1675"/>
    </row>
    <row r="36" spans="1:15" ht="12.75" customHeight="1">
      <c r="A36" s="904">
        <v>2014</v>
      </c>
      <c r="B36" s="314">
        <f>IF([1]T12SthdManip!B34="","",[1]T12SthdManip!B34)</f>
        <v>4783</v>
      </c>
      <c r="C36" s="314">
        <f>IF([1]T12SthdManip!C34="","",[1]T12SthdManip!C34)</f>
        <v>13526</v>
      </c>
      <c r="D36" s="827"/>
      <c r="E36" s="314">
        <f>IF([1]T12SthdManip!D34="","",[1]T12SthdManip!D34)</f>
        <v>109279</v>
      </c>
      <c r="F36" s="314">
        <f>IF([1]T12SthdManip!E34="","",[1]T12SthdManip!E34)</f>
        <v>260130</v>
      </c>
      <c r="G36" s="827"/>
      <c r="H36" s="314">
        <f>IF([1]T12SthdManip!F34="","",[1]T12SthdManip!F34)</f>
        <v>13341</v>
      </c>
      <c r="I36" s="314">
        <f>IF([1]T12SthdManip!G34="","",[1]T12SthdManip!G34)</f>
        <v>47057</v>
      </c>
      <c r="J36" s="827"/>
      <c r="K36" s="314">
        <f>IF([1]T12SthdManip!H34="","",[1]T12SthdManip!H34)</f>
        <v>127403</v>
      </c>
      <c r="L36" s="641">
        <f>IF([1]T12SthdManip!I34="","",[1]T12SthdManip!I34)</f>
        <v>193310</v>
      </c>
      <c r="M36" s="424">
        <f>IF([1]T12SthdManip!J34="","",[1]T12SthdManip!J34)</f>
        <v>320713</v>
      </c>
      <c r="N36" s="1675"/>
      <c r="O36" s="1675"/>
    </row>
    <row r="37" spans="1:15" ht="12.75" customHeight="1">
      <c r="A37" s="904">
        <v>2015</v>
      </c>
      <c r="B37" s="314">
        <f>IF([1]T12SthdManip!B35="","",[1]T12SthdManip!B35)</f>
        <v>3664</v>
      </c>
      <c r="C37" s="314">
        <f>IF([1]T12SthdManip!C35="","",[1]T12SthdManip!C35)</f>
        <v>8131</v>
      </c>
      <c r="D37" s="827"/>
      <c r="E37" s="314">
        <f>IF([1]T12SthdManip!D35="","",[1]T12SthdManip!D35)</f>
        <v>84896</v>
      </c>
      <c r="F37" s="314">
        <f>IF([1]T12SthdManip!E35="","",[1]T12SthdManip!E35)</f>
        <v>234382</v>
      </c>
      <c r="G37" s="827"/>
      <c r="H37" s="314">
        <f>IF([1]T12SthdManip!F35="","",[1]T12SthdManip!F35)</f>
        <v>5842</v>
      </c>
      <c r="I37" s="314">
        <f>IF([1]T12SthdManip!G35="","",[1]T12SthdManip!G35)</f>
        <v>18848</v>
      </c>
      <c r="J37" s="827"/>
      <c r="K37" s="314">
        <f>IF([1]T12SthdManip!H35="","",[1]T12SthdManip!H35)</f>
        <v>94402</v>
      </c>
      <c r="L37" s="641">
        <f>IF([1]T12SthdManip!I35="","",[1]T12SthdManip!I35)</f>
        <v>166959</v>
      </c>
      <c r="M37" s="424">
        <f>IF([1]T12SthdManip!J35="","",[1]T12SthdManip!J35)</f>
        <v>261361</v>
      </c>
      <c r="N37" s="1675"/>
      <c r="O37" s="1675"/>
    </row>
    <row r="38" spans="1:15" ht="12.75" customHeight="1">
      <c r="A38" s="904">
        <v>2016</v>
      </c>
      <c r="B38" s="314">
        <f>IF([1]T12SthdManip!B36="","",[1]T12SthdManip!B36)</f>
        <v>4822</v>
      </c>
      <c r="C38" s="314">
        <f>IF([1]T12SthdManip!C36="","",[1]T12SthdManip!C36)</f>
        <v>12238</v>
      </c>
      <c r="D38" s="827"/>
      <c r="E38" s="314">
        <f>IF([1]T12SthdManip!D36="","",[1]T12SthdManip!D36)</f>
        <v>29146</v>
      </c>
      <c r="F38" s="314">
        <f>IF([1]T12SthdManip!E36="","",[1]T12SthdManip!E36)</f>
        <v>128890</v>
      </c>
      <c r="G38" s="827"/>
      <c r="H38" s="314">
        <f>IF([1]T12SthdManip!F36="","",[1]T12SthdManip!F36)</f>
        <v>3469</v>
      </c>
      <c r="I38" s="314">
        <f>IF([1]T12SthdManip!G36="","",[1]T12SthdManip!G36)</f>
        <v>42916</v>
      </c>
      <c r="J38" s="827"/>
      <c r="K38" s="314">
        <f>IF([1]T12SthdManip!H36="","",[1]T12SthdManip!H36)</f>
        <v>37437</v>
      </c>
      <c r="L38" s="641">
        <f>IF([1]T12SthdManip!I36="","",[1]T12SthdManip!I36)</f>
        <v>146607</v>
      </c>
      <c r="M38" s="424">
        <f>IF([1]T12SthdManip!J36="","",[1]T12SthdManip!J36)</f>
        <v>184044</v>
      </c>
      <c r="N38" s="1675"/>
      <c r="O38" s="1675"/>
    </row>
    <row r="39" spans="1:15" ht="12.75" customHeight="1">
      <c r="A39" s="904">
        <v>2017</v>
      </c>
      <c r="B39" s="314">
        <f>IF([1]T12SthdManip!B37="","",[1]T12SthdManip!B37)</f>
        <v>1236</v>
      </c>
      <c r="C39" s="314">
        <f>IF([1]T12SthdManip!C37="","",[1]T12SthdManip!C37)</f>
        <v>3491</v>
      </c>
      <c r="D39" s="827"/>
      <c r="E39" s="314">
        <f>IF([1]T12SthdManip!D37="","",[1]T12SthdManip!D37)</f>
        <v>27909</v>
      </c>
      <c r="F39" s="314">
        <f>IF([1]T12SthdManip!E37="","",[1]T12SthdManip!E37)</f>
        <v>106776</v>
      </c>
      <c r="G39" s="827"/>
      <c r="H39" s="314">
        <f>IF([1]T12SthdManip!F37="","",[1]T12SthdManip!F37)</f>
        <v>751</v>
      </c>
      <c r="I39" s="314">
        <f>IF([1]T12SthdManip!G37="","",[1]T12SthdManip!G37)</f>
        <v>6574</v>
      </c>
      <c r="J39" s="827"/>
      <c r="K39" s="314">
        <f>IF([1]T12SthdManip!H37="","",[1]T12SthdManip!H37)</f>
        <v>29896</v>
      </c>
      <c r="L39" s="641">
        <f>IF([1]T12SthdManip!I37="","",[1]T12SthdManip!I37)</f>
        <v>86945</v>
      </c>
      <c r="M39" s="424">
        <f>IF([1]T12SthdManip!J37="","",[1]T12SthdManip!J37)</f>
        <v>116841</v>
      </c>
      <c r="N39" s="1675"/>
      <c r="O39" s="1675"/>
    </row>
    <row r="40" spans="1:15" ht="12.75" customHeight="1">
      <c r="A40" s="904">
        <v>2018</v>
      </c>
      <c r="B40" s="314">
        <f>IF([1]T12SthdManip!B38="","",[1]T12SthdManip!B38)</f>
        <v>2595</v>
      </c>
      <c r="C40" s="314">
        <f>IF([1]T12SthdManip!C38="","",[1]T12SthdManip!C38)</f>
        <v>6483</v>
      </c>
      <c r="D40" s="827"/>
      <c r="E40" s="314">
        <f>IF([1]T12SthdManip!D38="","",[1]T12SthdManip!D38)</f>
        <v>21725</v>
      </c>
      <c r="F40" s="314">
        <f>IF([1]T12SthdManip!E38="","",[1]T12SthdManip!E38)</f>
        <v>69338</v>
      </c>
      <c r="G40" s="827"/>
      <c r="H40" s="314">
        <f>IF([1]T12SthdManip!F38="","",[1]T12SthdManip!F38)</f>
        <v>2382</v>
      </c>
      <c r="I40" s="314">
        <f>IF([1]T12SthdManip!G38="","",[1]T12SthdManip!G38)</f>
        <v>24662</v>
      </c>
      <c r="J40" s="827"/>
      <c r="K40" s="314">
        <f>IF([1]T12SthdManip!H38="","",[1]T12SthdManip!H38)</f>
        <v>26702</v>
      </c>
      <c r="L40" s="641">
        <f>IF([1]T12SthdManip!I38="","",[1]T12SthdManip!I38)</f>
        <v>73781</v>
      </c>
      <c r="M40" s="424">
        <f>IF([1]T12SthdManip!J38="","",[1]T12SthdManip!J38)</f>
        <v>100483</v>
      </c>
      <c r="N40" s="1675"/>
      <c r="O40" s="1675"/>
    </row>
    <row r="41" spans="1:15" ht="12.75" customHeight="1">
      <c r="A41" s="904">
        <v>2019</v>
      </c>
      <c r="B41" s="314">
        <f>IF([1]T12SthdManip!B39="","",[1]T12SthdManip!B39)</f>
        <v>1522</v>
      </c>
      <c r="C41" s="314">
        <f>IF([1]T12SthdManip!C39="","",[1]T12SthdManip!C39)</f>
        <v>3134</v>
      </c>
      <c r="D41" s="827"/>
      <c r="E41" s="314">
        <f>IF([1]T12SthdManip!D39="","",[1]T12SthdManip!D39)</f>
        <v>30300</v>
      </c>
      <c r="F41" s="314">
        <f>IF([1]T12SthdManip!E39="","",[1]T12SthdManip!E39)</f>
        <v>66174</v>
      </c>
      <c r="G41" s="827"/>
      <c r="H41" s="314">
        <f>IF([1]T12SthdManip!F39="","",[1]T12SthdManip!F39)</f>
        <v>899</v>
      </c>
      <c r="I41" s="314">
        <f>IF([1]T12SthdManip!G39="","",[1]T12SthdManip!G39)</f>
        <v>6292</v>
      </c>
      <c r="J41" s="827"/>
      <c r="K41" s="314">
        <f>IF([1]T12SthdManip!H39="","",[1]T12SthdManip!H39)</f>
        <v>32721</v>
      </c>
      <c r="L41" s="641">
        <f>IF([1]T12SthdManip!I39="","",[1]T12SthdManip!I39)</f>
        <v>42879</v>
      </c>
      <c r="M41" s="424">
        <f>IF([1]T12SthdManip!J39="","",[1]T12SthdManip!J39)</f>
        <v>75600</v>
      </c>
      <c r="N41" s="1675"/>
      <c r="O41" s="84"/>
    </row>
    <row r="42" spans="1:15" ht="12.75" customHeight="1">
      <c r="A42" s="904">
        <v>2020</v>
      </c>
      <c r="B42" s="314">
        <f>IF([1]T12SthdManip!B40="","",[1]T12SthdManip!B40)</f>
        <v>2054</v>
      </c>
      <c r="C42" s="314">
        <f>IF([1]T12SthdManip!C40="","",[1]T12SthdManip!C40)</f>
        <v>4101</v>
      </c>
      <c r="D42" s="827"/>
      <c r="E42" s="314">
        <f>IF([1]T12SthdManip!D40="","",[1]T12SthdManip!D40)</f>
        <v>28132</v>
      </c>
      <c r="F42" s="314">
        <f>IF([1]T12SthdManip!E40="","",[1]T12SthdManip!E40)</f>
        <v>75392</v>
      </c>
      <c r="G42" s="827"/>
      <c r="H42" s="314">
        <f>IF([1]T12SthdManip!F40="","",[1]T12SthdManip!F40)</f>
        <v>5278</v>
      </c>
      <c r="I42" s="314">
        <f>IF([1]T12SthdManip!G40="","",[1]T12SthdManip!G40)</f>
        <v>32199</v>
      </c>
      <c r="J42" s="827"/>
      <c r="K42" s="314">
        <f>IF([1]T12SthdManip!H40="","",[1]T12SthdManip!H40)</f>
        <v>35464</v>
      </c>
      <c r="L42" s="641">
        <f>IF([1]T12SthdManip!I40="","",[1]T12SthdManip!I40)</f>
        <v>76228</v>
      </c>
      <c r="M42" s="424">
        <f>IF([1]T12SthdManip!J40="","",[1]T12SthdManip!J40)</f>
        <v>111692</v>
      </c>
      <c r="N42" s="1675"/>
      <c r="O42" s="84"/>
    </row>
    <row r="43" spans="1:15" ht="12.75" customHeight="1">
      <c r="A43" s="904">
        <v>2021</v>
      </c>
      <c r="B43" s="314">
        <f>IF([1]T12SthdManip!B41="","",[1]T12SthdManip!B41)</f>
        <v>1119</v>
      </c>
      <c r="C43" s="314">
        <f>IF([1]T12SthdManip!C41="","",[1]T12SthdManip!C41)</f>
        <v>1917</v>
      </c>
      <c r="D43" s="827"/>
      <c r="E43" s="314">
        <f>IF([1]T12SthdManip!D41="","",[1]T12SthdManip!D41)</f>
        <v>19071</v>
      </c>
      <c r="F43" s="314">
        <f>IF([1]T12SthdManip!E41="","",[1]T12SthdManip!E41)</f>
        <v>56256</v>
      </c>
      <c r="G43" s="827"/>
      <c r="H43" s="314">
        <f>IF([1]T12SthdManip!F41="","",[1]T12SthdManip!F41)</f>
        <v>1690</v>
      </c>
      <c r="I43" s="314">
        <f>IF([1]T12SthdManip!G41="","",[1]T12SthdManip!G41)</f>
        <v>11496</v>
      </c>
      <c r="J43" s="827"/>
      <c r="K43" s="314">
        <f>IF([1]T12SthdManip!H41="","",[1]T12SthdManip!H41)</f>
        <v>21880</v>
      </c>
      <c r="L43" s="641">
        <f>IF([1]T12SthdManip!I41="","",[1]T12SthdManip!I41)</f>
        <v>47789</v>
      </c>
      <c r="M43" s="424">
        <f>IF([1]T12SthdManip!J41="","",[1]T12SthdManip!J41)</f>
        <v>69669</v>
      </c>
      <c r="N43" s="1675"/>
      <c r="O43" s="84"/>
    </row>
    <row r="44" spans="1:15" ht="12.75" customHeight="1">
      <c r="A44" s="904">
        <v>2022</v>
      </c>
      <c r="B44" s="314">
        <f>IF([1]T12SthdManip!B42="","",[1]T12SthdManip!B42)</f>
        <v>2979</v>
      </c>
      <c r="C44" s="314">
        <f>IF([1]T12SthdManip!C42="","",[1]T12SthdManip!C42)</f>
        <v>6902</v>
      </c>
      <c r="D44" s="827"/>
      <c r="E44" s="314">
        <f>IF([1]T12SthdManip!D42="","",[1]T12SthdManip!D42)</f>
        <v>25550</v>
      </c>
      <c r="F44" s="314">
        <f>IF([1]T12SthdManip!E42="","",[1]T12SthdManip!E42)</f>
        <v>77084</v>
      </c>
      <c r="G44" s="827"/>
      <c r="H44" s="314">
        <f>IF([1]T12SthdManip!F42="","",[1]T12SthdManip!F42)</f>
        <v>4375</v>
      </c>
      <c r="I44" s="314">
        <f>IF([1]T12SthdManip!G42="","",[1]T12SthdManip!G42)</f>
        <v>39885</v>
      </c>
      <c r="J44" s="827"/>
      <c r="K44" s="314">
        <f>IF([1]T12SthdManip!H42="","",[1]T12SthdManip!H42)</f>
        <v>32904</v>
      </c>
      <c r="L44" s="641">
        <f>IF([1]T12SthdManip!I42="","",[1]T12SthdManip!I42)</f>
        <v>90967</v>
      </c>
      <c r="M44" s="424">
        <f>IF([1]T12SthdManip!J42="","",[1]T12SthdManip!J42)</f>
        <v>123871</v>
      </c>
      <c r="N44" s="1675"/>
      <c r="O44" s="84"/>
    </row>
    <row r="45" spans="1:15" ht="12.75" customHeight="1">
      <c r="A45" s="904">
        <v>2023</v>
      </c>
      <c r="B45" s="314">
        <f>IF([1]T12SthdManip!B43="","",[1]T12SthdManip!B43)</f>
        <v>1391</v>
      </c>
      <c r="C45" s="314">
        <f>IF([1]T12SthdManip!C43="","",[1]T12SthdManip!C43)</f>
        <v>3204</v>
      </c>
      <c r="D45" s="827"/>
      <c r="E45" s="314">
        <f>IF([1]T12SthdManip!D43="","",[1]T12SthdManip!D43)</f>
        <v>30593</v>
      </c>
      <c r="F45" s="314">
        <f>IF([1]T12SthdManip!E43="","",[1]T12SthdManip!E43)</f>
        <v>90900</v>
      </c>
      <c r="G45" s="827"/>
      <c r="H45" s="314">
        <f>IF([1]T12SthdManip!F43="","",[1]T12SthdManip!F43)</f>
        <v>1616</v>
      </c>
      <c r="I45" s="314">
        <f>IF([1]T12SthdManip!G43="","",[1]T12SthdManip!G43)</f>
        <v>19787</v>
      </c>
      <c r="J45" s="827"/>
      <c r="K45" s="314">
        <f>IF([1]T12SthdManip!H43="","",[1]T12SthdManip!H43)</f>
        <v>32209</v>
      </c>
      <c r="L45" s="641">
        <f>IF([1]T12SthdManip!I43="","",[1]T12SthdManip!I43)</f>
        <v>110687</v>
      </c>
      <c r="M45" s="424">
        <f>IF([1]T12SthdManip!J43="","",[1]T12SthdManip!J43)</f>
        <v>113891</v>
      </c>
      <c r="N45" s="1675"/>
      <c r="O45" s="84"/>
    </row>
    <row r="46" spans="1:15" ht="12.75" customHeight="1">
      <c r="A46" s="904">
        <v>2024</v>
      </c>
      <c r="B46" s="314">
        <f>IF([1]T12SthdManip!B44="","",[1]T12SthdManip!B44)</f>
        <v>3483.7894736842068</v>
      </c>
      <c r="C46" s="314">
        <f>IF([1]T12SthdManip!C44="","",[1]T12SthdManip!C44)</f>
        <v>9408.9999999999982</v>
      </c>
      <c r="D46" s="827"/>
      <c r="E46" s="314">
        <f>IF([1]T12SthdManip!D44="","",[1]T12SthdManip!D44)</f>
        <v>36543.295158213987</v>
      </c>
      <c r="F46" s="314">
        <f>IF([1]T12SthdManip!E44="","",[1]T12SthdManip!E44)</f>
        <v>121578.74197332651</v>
      </c>
      <c r="G46" s="827"/>
      <c r="H46" s="314">
        <f>IF([1]T12SthdManip!F44="","",[1]T12SthdManip!F44)</f>
        <v>4114.6124954774104</v>
      </c>
      <c r="I46" s="314">
        <f>IF([1]T12SthdManip!G44="","",[1]T12SthdManip!G44)</f>
        <v>48166.258026673502</v>
      </c>
      <c r="J46" s="827"/>
      <c r="K46" s="314">
        <f>IF([1]T12SthdManip!H44="","",[1]T12SthdManip!H44)</f>
        <v>44141.697127375606</v>
      </c>
      <c r="L46" s="641">
        <f>IF([1]T12SthdManip!I44="","",[1]T12SthdManip!I44)</f>
        <v>135012.30287262439</v>
      </c>
      <c r="M46" s="424">
        <f>IF([1]T12SthdManip!J44="","",[1]T12SthdManip!J44)</f>
        <v>179154</v>
      </c>
      <c r="N46" s="1675"/>
      <c r="O46" s="84"/>
    </row>
    <row r="47" spans="1:15" ht="12.75" customHeight="1">
      <c r="A47" s="905">
        <v>20251</v>
      </c>
      <c r="B47" s="1556" t="str">
        <f>IF([1]T12SthdManip!B45="","",[1]T12SthdManip!B45)</f>
        <v>-</v>
      </c>
      <c r="C47" s="1556" t="str">
        <f>IF([1]T12SthdManip!C45="","",[1]T12SthdManip!C45)</f>
        <v>-</v>
      </c>
      <c r="D47" s="1557"/>
      <c r="E47" s="1556" t="str">
        <f>IF([1]T12SthdManip!D45="","",[1]T12SthdManip!D45)</f>
        <v>-</v>
      </c>
      <c r="F47" s="1556" t="str">
        <f>IF([1]T12SthdManip!E45="","",[1]T12SthdManip!E45)</f>
        <v>-</v>
      </c>
      <c r="G47" s="1557"/>
      <c r="H47" s="1556" t="str">
        <f>IF([1]T12SthdManip!F45="","",[1]T12SthdManip!F45)</f>
        <v>-</v>
      </c>
      <c r="I47" s="1556" t="str">
        <f>IF([1]T12SthdManip!G45="","",[1]T12SthdManip!G45)</f>
        <v>-</v>
      </c>
      <c r="J47" s="1557"/>
      <c r="K47" s="1556" t="str">
        <f>IF([1]T12SthdManip!H45="","",[1]T12SthdManip!H45)</f>
        <v>-</v>
      </c>
      <c r="L47" s="901" t="str">
        <f>IF([1]T12SthdManip!I45="","",[1]T12SthdManip!I45)</f>
        <v>-</v>
      </c>
      <c r="M47" s="866">
        <f>IF([1]T12SthdManip!J45="","",[1]T12SthdManip!J45)</f>
        <v>155013</v>
      </c>
      <c r="N47" s="1675"/>
      <c r="O47" s="84"/>
    </row>
    <row r="48" spans="1:15" ht="12.75" customHeight="1">
      <c r="A48" s="1757"/>
      <c r="B48" s="1757"/>
      <c r="C48" s="1757"/>
      <c r="D48" s="1757"/>
      <c r="E48" s="1757"/>
      <c r="F48" s="1757"/>
      <c r="G48" s="1757"/>
      <c r="H48" s="1757"/>
      <c r="I48" s="1757"/>
      <c r="J48" s="1757"/>
      <c r="K48" s="1757"/>
      <c r="L48" s="1757"/>
      <c r="M48" s="1757"/>
      <c r="N48" s="1675"/>
      <c r="O48" s="1675"/>
    </row>
    <row r="49" spans="1:1" ht="12.75" customHeight="1">
      <c r="A49" s="84" t="s">
        <v>513</v>
      </c>
    </row>
    <row r="50" spans="1:1" ht="12.75" customHeight="1">
      <c r="A50" s="84" t="s">
        <v>87</v>
      </c>
    </row>
    <row r="51" spans="1:1" ht="12.75" customHeight="1">
      <c r="A51" s="1645"/>
    </row>
  </sheetData>
  <mergeCells count="6">
    <mergeCell ref="A48:M48"/>
    <mergeCell ref="A4:A5"/>
    <mergeCell ref="B4:C4"/>
    <mergeCell ref="E4:F4"/>
    <mergeCell ref="H4:I4"/>
    <mergeCell ref="K4:M4"/>
  </mergeCells>
  <pageMargins left="0.75" right="0.75" top="1" bottom="1" header="0.5" footer="0.5"/>
  <pageSetup scale="74" orientation="landscape" horizontalDpi="300" verticalDpi="30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E1796-4755-463D-AD49-ED7F12FEF68C}">
  <sheetPr>
    <tabColor rgb="FF66FF33"/>
  </sheetPr>
  <dimension ref="A1:I54"/>
  <sheetViews>
    <sheetView workbookViewId="0">
      <pane ySplit="2" topLeftCell="A12" activePane="bottomLeft" state="frozen"/>
      <selection pane="bottomLeft" sqref="A1:XFD1048576"/>
      <selection activeCell="J33" sqref="J33"/>
    </sheetView>
  </sheetViews>
  <sheetFormatPr defaultColWidth="9.33203125" defaultRowHeight="12.75"/>
  <cols>
    <col min="1" max="1" width="21.1640625" style="75" customWidth="1"/>
    <col min="2" max="8" width="15.83203125" style="75" customWidth="1"/>
    <col min="9" max="16384" width="9.33203125" style="75"/>
  </cols>
  <sheetData>
    <row r="1" spans="1:9" ht="14.25" customHeight="1">
      <c r="A1" s="1645" t="s">
        <v>115</v>
      </c>
      <c r="B1" s="1788" t="s">
        <v>514</v>
      </c>
      <c r="C1" s="1788"/>
      <c r="D1" s="1788" t="s">
        <v>515</v>
      </c>
      <c r="E1" s="1788"/>
      <c r="F1" s="1788" t="s">
        <v>36</v>
      </c>
      <c r="G1" s="1788"/>
      <c r="H1" s="1788"/>
      <c r="I1" s="476" t="s">
        <v>516</v>
      </c>
    </row>
    <row r="2" spans="1:9" ht="15.75">
      <c r="A2" s="1645" t="s">
        <v>517</v>
      </c>
      <c r="B2" s="1645" t="s">
        <v>287</v>
      </c>
      <c r="C2" s="1645" t="s">
        <v>36</v>
      </c>
      <c r="D2" s="1645" t="s">
        <v>287</v>
      </c>
      <c r="E2" s="1645" t="s">
        <v>36</v>
      </c>
      <c r="F2" s="1645" t="s">
        <v>369</v>
      </c>
      <c r="G2" s="1645" t="s">
        <v>260</v>
      </c>
      <c r="H2" s="1645" t="s">
        <v>36</v>
      </c>
      <c r="I2" s="1645"/>
    </row>
    <row r="3" spans="1:9">
      <c r="A3" s="1645" t="s">
        <v>518</v>
      </c>
      <c r="B3" s="682"/>
      <c r="C3" s="682"/>
      <c r="D3" s="477"/>
      <c r="E3" s="477"/>
      <c r="F3" s="684">
        <v>79900</v>
      </c>
      <c r="G3" s="684">
        <v>24500</v>
      </c>
      <c r="H3" s="684">
        <v>104400</v>
      </c>
      <c r="I3" s="1645"/>
    </row>
    <row r="4" spans="1:9">
      <c r="A4" s="1645" t="s">
        <v>519</v>
      </c>
      <c r="B4" s="682"/>
      <c r="C4" s="682"/>
      <c r="D4" s="682"/>
      <c r="E4" s="682"/>
      <c r="F4" s="684">
        <v>89600</v>
      </c>
      <c r="G4" s="684">
        <v>26700</v>
      </c>
      <c r="H4" s="684">
        <v>116300</v>
      </c>
      <c r="I4" s="1645"/>
    </row>
    <row r="5" spans="1:9">
      <c r="A5" s="1645" t="s">
        <v>520</v>
      </c>
      <c r="B5" s="478">
        <v>16613</v>
      </c>
      <c r="C5" s="478">
        <v>87513</v>
      </c>
      <c r="D5" s="478">
        <v>5463</v>
      </c>
      <c r="E5" s="478">
        <v>42432</v>
      </c>
      <c r="F5" s="478">
        <f t="shared" ref="F5:F40" si="0">(C5-B5)+(E5-D5)</f>
        <v>107869</v>
      </c>
      <c r="G5" s="478">
        <f t="shared" ref="G5:H42" si="1">SUM(D5,B5)</f>
        <v>22076</v>
      </c>
      <c r="H5" s="478">
        <f t="shared" si="1"/>
        <v>129945</v>
      </c>
      <c r="I5" s="292"/>
    </row>
    <row r="6" spans="1:9">
      <c r="A6" s="1645" t="s">
        <v>521</v>
      </c>
      <c r="B6" s="478">
        <v>20164</v>
      </c>
      <c r="C6" s="478">
        <v>52582</v>
      </c>
      <c r="D6" s="478">
        <v>5347</v>
      </c>
      <c r="E6" s="478">
        <v>18820</v>
      </c>
      <c r="F6" s="478">
        <f t="shared" si="0"/>
        <v>45891</v>
      </c>
      <c r="G6" s="478">
        <f t="shared" si="1"/>
        <v>25511</v>
      </c>
      <c r="H6" s="478">
        <f t="shared" si="1"/>
        <v>71402</v>
      </c>
      <c r="I6" s="292"/>
    </row>
    <row r="7" spans="1:9">
      <c r="A7" s="1645" t="s">
        <v>522</v>
      </c>
      <c r="B7" s="478">
        <v>15700</v>
      </c>
      <c r="C7" s="478">
        <v>60443</v>
      </c>
      <c r="D7" s="478">
        <v>4614</v>
      </c>
      <c r="E7" s="478">
        <v>26620</v>
      </c>
      <c r="F7" s="478">
        <f t="shared" si="0"/>
        <v>66749</v>
      </c>
      <c r="G7" s="478">
        <f t="shared" si="1"/>
        <v>20314</v>
      </c>
      <c r="H7" s="478">
        <f t="shared" si="1"/>
        <v>87063</v>
      </c>
      <c r="I7" s="292"/>
    </row>
    <row r="8" spans="1:9">
      <c r="A8" s="1645" t="s">
        <v>523</v>
      </c>
      <c r="B8" s="478">
        <v>16937</v>
      </c>
      <c r="C8" s="478">
        <v>83440</v>
      </c>
      <c r="D8" s="478">
        <v>8042</v>
      </c>
      <c r="E8" s="478">
        <v>47908</v>
      </c>
      <c r="F8" s="478">
        <f t="shared" si="0"/>
        <v>106369</v>
      </c>
      <c r="G8" s="478">
        <f t="shared" si="1"/>
        <v>24979</v>
      </c>
      <c r="H8" s="478">
        <f t="shared" si="1"/>
        <v>131348</v>
      </c>
      <c r="I8" s="292"/>
    </row>
    <row r="9" spans="1:9">
      <c r="A9" s="1645" t="s">
        <v>524</v>
      </c>
      <c r="B9" s="478">
        <v>4806</v>
      </c>
      <c r="C9" s="478">
        <v>30383</v>
      </c>
      <c r="D9" s="478">
        <v>4483</v>
      </c>
      <c r="E9" s="478">
        <v>26498</v>
      </c>
      <c r="F9" s="478">
        <f t="shared" si="0"/>
        <v>47592</v>
      </c>
      <c r="G9" s="478">
        <f t="shared" si="1"/>
        <v>9289</v>
      </c>
      <c r="H9" s="478">
        <f t="shared" si="1"/>
        <v>56881</v>
      </c>
      <c r="I9" s="292"/>
    </row>
    <row r="10" spans="1:9">
      <c r="A10" s="1645" t="s">
        <v>525</v>
      </c>
      <c r="B10" s="478">
        <v>14135</v>
      </c>
      <c r="C10" s="478">
        <v>84020</v>
      </c>
      <c r="D10" s="478">
        <v>3182</v>
      </c>
      <c r="E10" s="478">
        <v>15065</v>
      </c>
      <c r="F10" s="478">
        <f t="shared" si="0"/>
        <v>81768</v>
      </c>
      <c r="G10" s="478">
        <f t="shared" si="1"/>
        <v>17317</v>
      </c>
      <c r="H10" s="478">
        <f t="shared" si="1"/>
        <v>99085</v>
      </c>
      <c r="I10" s="292"/>
    </row>
    <row r="11" spans="1:9">
      <c r="A11" s="1645" t="s">
        <v>526</v>
      </c>
      <c r="B11" s="478">
        <v>13617</v>
      </c>
      <c r="C11" s="478">
        <v>97037</v>
      </c>
      <c r="D11" s="478">
        <v>5777</v>
      </c>
      <c r="E11" s="478">
        <v>31343</v>
      </c>
      <c r="F11" s="478">
        <f t="shared" si="0"/>
        <v>108986</v>
      </c>
      <c r="G11" s="478">
        <f t="shared" si="1"/>
        <v>19394</v>
      </c>
      <c r="H11" s="478">
        <f t="shared" si="1"/>
        <v>128380</v>
      </c>
      <c r="I11" s="292"/>
    </row>
    <row r="12" spans="1:9">
      <c r="A12" s="1645" t="s">
        <v>527</v>
      </c>
      <c r="B12" s="478">
        <v>7332</v>
      </c>
      <c r="C12" s="478">
        <v>41989</v>
      </c>
      <c r="D12" s="478">
        <v>1790</v>
      </c>
      <c r="E12" s="478">
        <v>17685</v>
      </c>
      <c r="F12" s="478">
        <f t="shared" si="0"/>
        <v>50552</v>
      </c>
      <c r="G12" s="478">
        <f t="shared" si="1"/>
        <v>9122</v>
      </c>
      <c r="H12" s="478">
        <f t="shared" si="1"/>
        <v>59674</v>
      </c>
      <c r="I12" s="292"/>
    </row>
    <row r="13" spans="1:9">
      <c r="A13" s="1645" t="s">
        <v>528</v>
      </c>
      <c r="B13" s="478">
        <v>5873</v>
      </c>
      <c r="C13" s="478">
        <v>37829</v>
      </c>
      <c r="D13" s="478">
        <v>2231</v>
      </c>
      <c r="E13" s="478">
        <v>9409</v>
      </c>
      <c r="F13" s="478">
        <f t="shared" si="0"/>
        <v>39134</v>
      </c>
      <c r="G13" s="478">
        <f t="shared" si="1"/>
        <v>8104</v>
      </c>
      <c r="H13" s="478">
        <f t="shared" si="1"/>
        <v>47238</v>
      </c>
      <c r="I13" s="292"/>
    </row>
    <row r="14" spans="1:9">
      <c r="A14" s="1645" t="s">
        <v>529</v>
      </c>
      <c r="B14" s="478">
        <v>6721</v>
      </c>
      <c r="C14" s="478">
        <v>69494</v>
      </c>
      <c r="D14" s="478">
        <v>1334</v>
      </c>
      <c r="E14" s="478">
        <v>9651</v>
      </c>
      <c r="F14" s="478">
        <f t="shared" si="0"/>
        <v>71090</v>
      </c>
      <c r="G14" s="478">
        <f t="shared" si="1"/>
        <v>8055</v>
      </c>
      <c r="H14" s="478">
        <f t="shared" si="1"/>
        <v>79145</v>
      </c>
      <c r="I14" s="292"/>
    </row>
    <row r="15" spans="1:9">
      <c r="A15" s="1645" t="s">
        <v>530</v>
      </c>
      <c r="B15" s="478">
        <v>5980</v>
      </c>
      <c r="C15" s="478">
        <v>73055</v>
      </c>
      <c r="D15" s="478">
        <v>1645</v>
      </c>
      <c r="E15" s="478">
        <v>13856</v>
      </c>
      <c r="F15" s="478">
        <f t="shared" si="0"/>
        <v>79286</v>
      </c>
      <c r="G15" s="478">
        <f t="shared" si="1"/>
        <v>7625</v>
      </c>
      <c r="H15" s="478">
        <f t="shared" si="1"/>
        <v>86911</v>
      </c>
      <c r="I15" s="292"/>
    </row>
    <row r="16" spans="1:9">
      <c r="A16" s="1645" t="s">
        <v>531</v>
      </c>
      <c r="B16" s="478">
        <v>7424</v>
      </c>
      <c r="C16" s="478">
        <v>74443</v>
      </c>
      <c r="D16" s="478">
        <v>1325</v>
      </c>
      <c r="E16" s="478">
        <v>12203</v>
      </c>
      <c r="F16" s="478">
        <f t="shared" si="0"/>
        <v>77897</v>
      </c>
      <c r="G16" s="478">
        <f t="shared" si="1"/>
        <v>8749</v>
      </c>
      <c r="H16" s="478">
        <f t="shared" si="1"/>
        <v>86646</v>
      </c>
      <c r="I16" s="292"/>
    </row>
    <row r="17" spans="1:9">
      <c r="A17" s="1645" t="s">
        <v>532</v>
      </c>
      <c r="B17" s="478">
        <v>7074</v>
      </c>
      <c r="C17" s="478">
        <v>50906</v>
      </c>
      <c r="D17" s="478">
        <v>2301</v>
      </c>
      <c r="E17" s="478">
        <v>19756</v>
      </c>
      <c r="F17" s="478">
        <f t="shared" si="0"/>
        <v>61287</v>
      </c>
      <c r="G17" s="478">
        <f t="shared" si="1"/>
        <v>9375</v>
      </c>
      <c r="H17" s="478">
        <f t="shared" si="1"/>
        <v>70662</v>
      </c>
      <c r="I17" s="292"/>
    </row>
    <row r="18" spans="1:9">
      <c r="A18" s="1645" t="s">
        <v>533</v>
      </c>
      <c r="B18" s="478">
        <v>10184</v>
      </c>
      <c r="C18" s="478">
        <v>64303</v>
      </c>
      <c r="D18" s="477">
        <v>914</v>
      </c>
      <c r="E18" s="478">
        <v>9748</v>
      </c>
      <c r="F18" s="478">
        <f t="shared" si="0"/>
        <v>62953</v>
      </c>
      <c r="G18" s="478">
        <f t="shared" si="1"/>
        <v>11098</v>
      </c>
      <c r="H18" s="478">
        <f t="shared" si="1"/>
        <v>74051</v>
      </c>
      <c r="I18" s="292"/>
    </row>
    <row r="19" spans="1:9">
      <c r="A19" s="1645" t="s">
        <v>412</v>
      </c>
      <c r="B19" s="478">
        <v>17689</v>
      </c>
      <c r="C19" s="478">
        <v>97288</v>
      </c>
      <c r="D19" s="478">
        <v>2886</v>
      </c>
      <c r="E19" s="478">
        <v>20014</v>
      </c>
      <c r="F19" s="478">
        <f t="shared" si="0"/>
        <v>96727</v>
      </c>
      <c r="G19" s="478">
        <f t="shared" si="1"/>
        <v>20575</v>
      </c>
      <c r="H19" s="478">
        <f t="shared" si="1"/>
        <v>117302</v>
      </c>
      <c r="I19" s="292"/>
    </row>
    <row r="20" spans="1:9">
      <c r="A20" s="1645" t="s">
        <v>413</v>
      </c>
      <c r="B20" s="478">
        <v>37545</v>
      </c>
      <c r="C20" s="478">
        <v>234615</v>
      </c>
      <c r="D20" s="478">
        <v>3174</v>
      </c>
      <c r="E20" s="478">
        <v>33851</v>
      </c>
      <c r="F20" s="478">
        <f t="shared" si="0"/>
        <v>227747</v>
      </c>
      <c r="G20" s="478">
        <f t="shared" si="1"/>
        <v>40719</v>
      </c>
      <c r="H20" s="478">
        <f t="shared" si="1"/>
        <v>268466</v>
      </c>
      <c r="I20" s="292"/>
    </row>
    <row r="21" spans="1:9">
      <c r="A21" s="1645" t="s">
        <v>414</v>
      </c>
      <c r="B21" s="478">
        <v>28308</v>
      </c>
      <c r="C21" s="478">
        <v>150577</v>
      </c>
      <c r="D21" s="478">
        <v>13623</v>
      </c>
      <c r="E21" s="478">
        <v>71599</v>
      </c>
      <c r="F21" s="478">
        <f t="shared" si="0"/>
        <v>180245</v>
      </c>
      <c r="G21" s="478">
        <f t="shared" si="1"/>
        <v>41931</v>
      </c>
      <c r="H21" s="478">
        <f t="shared" si="1"/>
        <v>222176</v>
      </c>
      <c r="I21" s="292"/>
    </row>
    <row r="22" spans="1:9">
      <c r="A22" s="1645" t="s">
        <v>415</v>
      </c>
      <c r="B22" s="478">
        <v>21892</v>
      </c>
      <c r="C22" s="478">
        <v>140066</v>
      </c>
      <c r="D22" s="478">
        <v>7254</v>
      </c>
      <c r="E22" s="478">
        <v>32444</v>
      </c>
      <c r="F22" s="478">
        <f t="shared" si="0"/>
        <v>143364</v>
      </c>
      <c r="G22" s="478">
        <f t="shared" si="1"/>
        <v>29146</v>
      </c>
      <c r="H22" s="478">
        <f t="shared" si="1"/>
        <v>172510</v>
      </c>
      <c r="I22" s="292"/>
    </row>
    <row r="23" spans="1:9">
      <c r="A23" s="1645" t="s">
        <v>416</v>
      </c>
      <c r="B23" s="478">
        <v>18297</v>
      </c>
      <c r="C23" s="478">
        <v>121688</v>
      </c>
      <c r="D23" s="478">
        <v>4774</v>
      </c>
      <c r="E23" s="478">
        <v>29958</v>
      </c>
      <c r="F23" s="478">
        <f t="shared" si="0"/>
        <v>128575</v>
      </c>
      <c r="G23" s="478">
        <f t="shared" si="1"/>
        <v>23071</v>
      </c>
      <c r="H23" s="478">
        <f t="shared" si="1"/>
        <v>151646</v>
      </c>
      <c r="I23" s="292"/>
    </row>
    <row r="24" spans="1:9">
      <c r="A24" s="1645" t="s">
        <v>417</v>
      </c>
      <c r="B24" s="478">
        <v>14586</v>
      </c>
      <c r="C24" s="478">
        <v>125133</v>
      </c>
      <c r="D24" s="478">
        <v>3544</v>
      </c>
      <c r="E24" s="478">
        <v>33032</v>
      </c>
      <c r="F24" s="478">
        <f t="shared" si="0"/>
        <v>140035</v>
      </c>
      <c r="G24" s="478">
        <f t="shared" si="1"/>
        <v>18130</v>
      </c>
      <c r="H24" s="478">
        <f t="shared" si="1"/>
        <v>158165</v>
      </c>
      <c r="I24" s="292"/>
    </row>
    <row r="25" spans="1:9">
      <c r="A25" s="1645" t="s">
        <v>418</v>
      </c>
      <c r="B25" s="478">
        <v>7877</v>
      </c>
      <c r="C25" s="478">
        <v>108321</v>
      </c>
      <c r="D25" s="478">
        <v>1633</v>
      </c>
      <c r="E25" s="478">
        <v>40845</v>
      </c>
      <c r="F25" s="478">
        <f t="shared" si="0"/>
        <v>139656</v>
      </c>
      <c r="G25" s="478">
        <f t="shared" si="1"/>
        <v>9510</v>
      </c>
      <c r="H25" s="478">
        <f t="shared" si="1"/>
        <v>149166</v>
      </c>
      <c r="I25" s="292"/>
    </row>
    <row r="26" spans="1:9">
      <c r="A26" s="1645" t="s">
        <v>419</v>
      </c>
      <c r="B26" s="478">
        <v>11242</v>
      </c>
      <c r="C26" s="478">
        <v>128259</v>
      </c>
      <c r="D26" s="478">
        <v>2924</v>
      </c>
      <c r="E26" s="478">
        <v>26883</v>
      </c>
      <c r="F26" s="478">
        <f t="shared" si="0"/>
        <v>140976</v>
      </c>
      <c r="G26" s="478">
        <f t="shared" si="1"/>
        <v>14166</v>
      </c>
      <c r="H26" s="478">
        <f t="shared" si="1"/>
        <v>155142</v>
      </c>
      <c r="I26" s="292"/>
    </row>
    <row r="27" spans="1:9">
      <c r="A27" s="1645" t="s">
        <v>420</v>
      </c>
      <c r="B27" s="478">
        <v>18216</v>
      </c>
      <c r="C27" s="478">
        <v>125500</v>
      </c>
      <c r="D27" s="478">
        <v>5659</v>
      </c>
      <c r="E27" s="478">
        <v>53370</v>
      </c>
      <c r="F27" s="478">
        <f t="shared" si="0"/>
        <v>154995</v>
      </c>
      <c r="G27" s="478">
        <f t="shared" si="1"/>
        <v>23875</v>
      </c>
      <c r="H27" s="478">
        <f t="shared" si="1"/>
        <v>178870</v>
      </c>
      <c r="I27" s="292"/>
    </row>
    <row r="28" spans="1:9">
      <c r="A28" s="1645" t="s">
        <v>421</v>
      </c>
      <c r="B28" s="478">
        <v>38210</v>
      </c>
      <c r="C28" s="478">
        <v>299598</v>
      </c>
      <c r="D28" s="478">
        <v>4529</v>
      </c>
      <c r="E28" s="478">
        <v>23784</v>
      </c>
      <c r="F28" s="478">
        <f t="shared" si="0"/>
        <v>280643</v>
      </c>
      <c r="G28" s="478">
        <f t="shared" si="1"/>
        <v>42739</v>
      </c>
      <c r="H28" s="478">
        <f t="shared" si="1"/>
        <v>323382</v>
      </c>
      <c r="I28" s="292"/>
    </row>
    <row r="29" spans="1:9">
      <c r="A29" s="1645" t="s">
        <v>422</v>
      </c>
      <c r="B29" s="478">
        <v>34549</v>
      </c>
      <c r="C29" s="478">
        <v>163020</v>
      </c>
      <c r="D29" s="478">
        <v>9584</v>
      </c>
      <c r="E29" s="478">
        <v>45276</v>
      </c>
      <c r="F29" s="478">
        <f t="shared" si="0"/>
        <v>164163</v>
      </c>
      <c r="G29" s="478">
        <f t="shared" si="1"/>
        <v>44133</v>
      </c>
      <c r="H29" s="478">
        <f t="shared" si="1"/>
        <v>208296</v>
      </c>
      <c r="I29" s="292"/>
    </row>
    <row r="30" spans="1:9">
      <c r="A30" s="1645" t="s">
        <v>423</v>
      </c>
      <c r="B30" s="478">
        <v>35240</v>
      </c>
      <c r="C30" s="478">
        <v>156208</v>
      </c>
      <c r="D30" s="478">
        <v>4198</v>
      </c>
      <c r="E30" s="478">
        <v>24112</v>
      </c>
      <c r="F30" s="478">
        <f t="shared" si="0"/>
        <v>140882</v>
      </c>
      <c r="G30" s="478">
        <f t="shared" si="1"/>
        <v>39438</v>
      </c>
      <c r="H30" s="478">
        <f t="shared" si="1"/>
        <v>180320</v>
      </c>
      <c r="I30" s="292"/>
    </row>
    <row r="31" spans="1:9">
      <c r="A31" s="1645" t="s">
        <v>424</v>
      </c>
      <c r="B31" s="478">
        <v>19806</v>
      </c>
      <c r="C31" s="478">
        <v>88184</v>
      </c>
      <c r="D31" s="478">
        <v>3337</v>
      </c>
      <c r="E31" s="478">
        <v>21002</v>
      </c>
      <c r="F31" s="478">
        <f t="shared" si="0"/>
        <v>86043</v>
      </c>
      <c r="G31" s="478">
        <f t="shared" si="1"/>
        <v>23143</v>
      </c>
      <c r="H31" s="478">
        <f t="shared" si="1"/>
        <v>109186</v>
      </c>
      <c r="I31" s="292"/>
    </row>
    <row r="32" spans="1:9">
      <c r="A32" s="1645" t="s">
        <v>425</v>
      </c>
      <c r="B32" s="478">
        <v>23470</v>
      </c>
      <c r="C32" s="478">
        <v>99130</v>
      </c>
      <c r="D32" s="478">
        <v>1885</v>
      </c>
      <c r="E32" s="478">
        <v>9024</v>
      </c>
      <c r="F32" s="478">
        <f t="shared" si="0"/>
        <v>82799</v>
      </c>
      <c r="G32" s="478">
        <f t="shared" si="1"/>
        <v>25355</v>
      </c>
      <c r="H32" s="478">
        <f t="shared" si="1"/>
        <v>108154</v>
      </c>
      <c r="I32" s="292"/>
    </row>
    <row r="33" spans="1:9">
      <c r="A33" s="1645" t="s">
        <v>426</v>
      </c>
      <c r="B33" s="478">
        <v>38861</v>
      </c>
      <c r="C33" s="478">
        <v>133957</v>
      </c>
      <c r="D33" s="478">
        <v>6928</v>
      </c>
      <c r="E33" s="478">
        <v>31634</v>
      </c>
      <c r="F33" s="478">
        <f t="shared" si="0"/>
        <v>119802</v>
      </c>
      <c r="G33" s="478">
        <f t="shared" si="1"/>
        <v>45789</v>
      </c>
      <c r="H33" s="478">
        <f t="shared" si="1"/>
        <v>165591</v>
      </c>
      <c r="I33" s="1645"/>
    </row>
    <row r="34" spans="1:9">
      <c r="A34" s="1645" t="s">
        <v>427</v>
      </c>
      <c r="B34" s="478">
        <v>30806</v>
      </c>
      <c r="C34" s="478">
        <v>123147</v>
      </c>
      <c r="D34" s="478">
        <v>3130</v>
      </c>
      <c r="E34" s="478">
        <v>13003</v>
      </c>
      <c r="F34" s="478">
        <f t="shared" si="0"/>
        <v>102214</v>
      </c>
      <c r="G34" s="478">
        <f t="shared" si="1"/>
        <v>33936</v>
      </c>
      <c r="H34" s="478">
        <f t="shared" si="1"/>
        <v>136150</v>
      </c>
      <c r="I34" s="1645"/>
    </row>
    <row r="35" spans="1:9">
      <c r="A35" s="1645" t="s">
        <v>428</v>
      </c>
      <c r="B35" s="478">
        <v>12575</v>
      </c>
      <c r="C35" s="1645">
        <v>68956</v>
      </c>
      <c r="D35" s="478">
        <v>3001</v>
      </c>
      <c r="E35" s="478">
        <v>32870</v>
      </c>
      <c r="F35" s="478">
        <f t="shared" si="0"/>
        <v>86250</v>
      </c>
      <c r="G35" s="478">
        <f t="shared" si="1"/>
        <v>15576</v>
      </c>
      <c r="H35" s="478">
        <f t="shared" si="1"/>
        <v>101826</v>
      </c>
      <c r="I35" s="1645"/>
    </row>
    <row r="36" spans="1:9">
      <c r="A36" s="1645" t="s">
        <v>389</v>
      </c>
      <c r="B36" s="478">
        <v>10454</v>
      </c>
      <c r="C36" s="478">
        <v>69450</v>
      </c>
      <c r="D36" s="478">
        <v>263</v>
      </c>
      <c r="E36" s="478">
        <v>4647</v>
      </c>
      <c r="F36" s="478">
        <f t="shared" si="0"/>
        <v>63380</v>
      </c>
      <c r="G36" s="478">
        <f t="shared" si="1"/>
        <v>10717</v>
      </c>
      <c r="H36" s="478">
        <f t="shared" si="1"/>
        <v>74097</v>
      </c>
      <c r="I36" s="1645"/>
    </row>
    <row r="37" spans="1:9">
      <c r="A37" s="1645" t="s">
        <v>390</v>
      </c>
      <c r="B37" s="478">
        <v>7055</v>
      </c>
      <c r="C37" s="478">
        <v>35253</v>
      </c>
      <c r="D37" s="478">
        <v>1229</v>
      </c>
      <c r="E37" s="478">
        <v>16565</v>
      </c>
      <c r="F37" s="478">
        <f t="shared" si="0"/>
        <v>43534</v>
      </c>
      <c r="G37" s="478">
        <f t="shared" si="1"/>
        <v>8284</v>
      </c>
      <c r="H37" s="478">
        <f t="shared" si="1"/>
        <v>51818</v>
      </c>
      <c r="I37" s="1645"/>
    </row>
    <row r="38" spans="1:9">
      <c r="A38" s="1645" t="s">
        <v>391</v>
      </c>
      <c r="B38" s="478">
        <v>9234</v>
      </c>
      <c r="C38" s="478">
        <v>30945</v>
      </c>
      <c r="D38" s="478">
        <v>400</v>
      </c>
      <c r="E38" s="478">
        <v>3465</v>
      </c>
      <c r="F38" s="478">
        <f t="shared" si="0"/>
        <v>24776</v>
      </c>
      <c r="G38" s="478">
        <f t="shared" si="1"/>
        <v>9634</v>
      </c>
      <c r="H38" s="478">
        <f t="shared" si="1"/>
        <v>34410</v>
      </c>
      <c r="I38" s="476"/>
    </row>
    <row r="39" spans="1:9">
      <c r="A39" s="1645" t="s">
        <v>392</v>
      </c>
      <c r="B39" s="828">
        <v>12213</v>
      </c>
      <c r="C39" s="828">
        <v>39989</v>
      </c>
      <c r="D39" s="828">
        <v>3265</v>
      </c>
      <c r="E39" s="828">
        <v>21326</v>
      </c>
      <c r="F39" s="478">
        <f t="shared" si="0"/>
        <v>45837</v>
      </c>
      <c r="G39" s="478">
        <f t="shared" si="1"/>
        <v>15478</v>
      </c>
      <c r="H39" s="478">
        <f t="shared" si="1"/>
        <v>61315</v>
      </c>
      <c r="I39" s="479"/>
    </row>
    <row r="40" spans="1:9">
      <c r="A40" s="1645" t="s">
        <v>393</v>
      </c>
      <c r="B40" s="828">
        <v>8335</v>
      </c>
      <c r="C40" s="828">
        <v>34964</v>
      </c>
      <c r="D40" s="828">
        <v>1268</v>
      </c>
      <c r="E40" s="828">
        <v>7622</v>
      </c>
      <c r="F40" s="478">
        <f t="shared" si="0"/>
        <v>32983</v>
      </c>
      <c r="G40" s="478">
        <f t="shared" si="1"/>
        <v>9603</v>
      </c>
      <c r="H40" s="478">
        <f t="shared" si="1"/>
        <v>42586</v>
      </c>
      <c r="I40" s="476"/>
    </row>
    <row r="41" spans="1:9">
      <c r="A41" s="1645" t="s">
        <v>394</v>
      </c>
      <c r="B41" s="828">
        <v>10907</v>
      </c>
      <c r="C41" s="828">
        <v>46351</v>
      </c>
      <c r="D41" s="828">
        <v>2934</v>
      </c>
      <c r="E41" s="828">
        <v>28664</v>
      </c>
      <c r="F41" s="478">
        <v>61174</v>
      </c>
      <c r="G41" s="478">
        <f t="shared" si="1"/>
        <v>13841</v>
      </c>
      <c r="H41" s="478">
        <f t="shared" si="1"/>
        <v>75015</v>
      </c>
      <c r="I41" s="476"/>
    </row>
    <row r="42" spans="1:9">
      <c r="A42" s="1645" t="s">
        <v>395</v>
      </c>
      <c r="B42" s="828">
        <v>13985</v>
      </c>
      <c r="C42" s="828">
        <v>55519</v>
      </c>
      <c r="D42" s="828">
        <v>2072</v>
      </c>
      <c r="E42" s="828">
        <v>11640</v>
      </c>
      <c r="F42" s="478">
        <v>51102</v>
      </c>
      <c r="G42" s="478">
        <f t="shared" si="1"/>
        <v>16057</v>
      </c>
      <c r="H42" s="478">
        <f t="shared" si="1"/>
        <v>67159</v>
      </c>
      <c r="I42" s="476"/>
    </row>
    <row r="43" spans="1:9">
      <c r="A43" s="1645" t="s">
        <v>534</v>
      </c>
      <c r="B43" s="828" t="s">
        <v>498</v>
      </c>
      <c r="C43" s="828" t="s">
        <v>498</v>
      </c>
      <c r="D43" s="828" t="s">
        <v>498</v>
      </c>
      <c r="E43" s="828" t="s">
        <v>498</v>
      </c>
      <c r="F43" s="828" t="s">
        <v>498</v>
      </c>
      <c r="G43" s="828" t="s">
        <v>498</v>
      </c>
      <c r="H43" s="478">
        <v>102684</v>
      </c>
      <c r="I43" s="476"/>
    </row>
    <row r="45" spans="1:9">
      <c r="A45" s="1645" t="s">
        <v>499</v>
      </c>
      <c r="B45" s="714">
        <f t="shared" ref="B45:G45" si="2">AVERAGE(B30:B39)</f>
        <v>19971.400000000001</v>
      </c>
      <c r="C45" s="714">
        <f t="shared" si="2"/>
        <v>84521.9</v>
      </c>
      <c r="D45" s="714">
        <f t="shared" si="2"/>
        <v>2763.6</v>
      </c>
      <c r="E45" s="714">
        <f t="shared" si="2"/>
        <v>17764.8</v>
      </c>
      <c r="F45" s="714">
        <f t="shared" si="2"/>
        <v>79551.7</v>
      </c>
      <c r="G45" s="714">
        <f t="shared" si="2"/>
        <v>22735</v>
      </c>
      <c r="H45" s="714">
        <f>AVERAGE(H32:H41)</f>
        <v>85096.2</v>
      </c>
      <c r="I45" s="479"/>
    </row>
    <row r="46" spans="1:9">
      <c r="A46" s="1645" t="s">
        <v>501</v>
      </c>
      <c r="B46" s="715">
        <f t="shared" ref="B46:G46" si="3">MIN(B30:B39)</f>
        <v>7055</v>
      </c>
      <c r="C46" s="715">
        <f t="shared" si="3"/>
        <v>30945</v>
      </c>
      <c r="D46" s="715">
        <f t="shared" si="3"/>
        <v>263</v>
      </c>
      <c r="E46" s="715">
        <f t="shared" si="3"/>
        <v>3465</v>
      </c>
      <c r="F46" s="715">
        <f t="shared" si="3"/>
        <v>24776</v>
      </c>
      <c r="G46" s="715">
        <f t="shared" si="3"/>
        <v>8284</v>
      </c>
      <c r="H46" s="715">
        <f>MIN(H32:H41)</f>
        <v>34410</v>
      </c>
      <c r="I46" s="1645"/>
    </row>
    <row r="47" spans="1:9">
      <c r="A47" s="1645" t="s">
        <v>502</v>
      </c>
      <c r="B47" s="715">
        <f t="shared" ref="B47:G47" si="4">MAX(B30:B39)</f>
        <v>38861</v>
      </c>
      <c r="C47" s="715">
        <f t="shared" si="4"/>
        <v>156208</v>
      </c>
      <c r="D47" s="715">
        <f t="shared" si="4"/>
        <v>6928</v>
      </c>
      <c r="E47" s="715">
        <f t="shared" si="4"/>
        <v>32870</v>
      </c>
      <c r="F47" s="715">
        <f t="shared" si="4"/>
        <v>140882</v>
      </c>
      <c r="G47" s="715">
        <f t="shared" si="4"/>
        <v>45789</v>
      </c>
      <c r="H47" s="715">
        <f>MAX(H32:H41)</f>
        <v>165591</v>
      </c>
      <c r="I47" s="1645"/>
    </row>
    <row r="48" spans="1:9">
      <c r="A48" s="1645" t="s">
        <v>535</v>
      </c>
      <c r="B48" s="715">
        <f t="shared" ref="B48:H48" si="5">AVERAGE(B3:B39)</f>
        <v>17162.428571428572</v>
      </c>
      <c r="C48" s="715">
        <f t="shared" si="5"/>
        <v>98477.742857142861</v>
      </c>
      <c r="D48" s="715">
        <f t="shared" si="5"/>
        <v>3876.2285714285713</v>
      </c>
      <c r="E48" s="715">
        <f t="shared" si="5"/>
        <v>25419.942857142858</v>
      </c>
      <c r="F48" s="715">
        <f t="shared" si="5"/>
        <v>101880.16216216216</v>
      </c>
      <c r="G48" s="715">
        <f t="shared" si="5"/>
        <v>21285.216216216217</v>
      </c>
      <c r="H48" s="715">
        <f t="shared" si="5"/>
        <v>123165.37837837837</v>
      </c>
      <c r="I48" s="1645"/>
    </row>
    <row r="49" spans="1:8">
      <c r="A49" s="720" t="s">
        <v>504</v>
      </c>
      <c r="B49" s="721">
        <f t="shared" ref="B49:H49" si="6">AVERAGE(B9:B18)</f>
        <v>8314.6</v>
      </c>
      <c r="C49" s="721">
        <f t="shared" si="6"/>
        <v>62345.9</v>
      </c>
      <c r="D49" s="721">
        <f t="shared" si="6"/>
        <v>2498.1999999999998</v>
      </c>
      <c r="E49" s="721">
        <f t="shared" si="6"/>
        <v>16521.400000000001</v>
      </c>
      <c r="F49" s="721">
        <f t="shared" si="6"/>
        <v>68054.5</v>
      </c>
      <c r="G49" s="721">
        <f t="shared" si="6"/>
        <v>10812.8</v>
      </c>
      <c r="H49" s="721">
        <f t="shared" si="6"/>
        <v>78867.3</v>
      </c>
    </row>
    <row r="50" spans="1:8">
      <c r="A50" s="720" t="s">
        <v>246</v>
      </c>
      <c r="B50" s="721">
        <f t="shared" ref="B50:H50" si="7">AVERAGE(B19:B28)</f>
        <v>21386.2</v>
      </c>
      <c r="C50" s="721">
        <f t="shared" si="7"/>
        <v>153104.5</v>
      </c>
      <c r="D50" s="721">
        <f t="shared" si="7"/>
        <v>5000</v>
      </c>
      <c r="E50" s="721">
        <f t="shared" si="7"/>
        <v>36578</v>
      </c>
      <c r="F50" s="721">
        <f t="shared" si="7"/>
        <v>163296.29999999999</v>
      </c>
      <c r="G50" s="721">
        <f t="shared" si="7"/>
        <v>26386.2</v>
      </c>
      <c r="H50" s="721">
        <f t="shared" si="7"/>
        <v>189682.5</v>
      </c>
    </row>
    <row r="51" spans="1:8">
      <c r="A51" s="720" t="s">
        <v>247</v>
      </c>
      <c r="B51" s="721">
        <f t="shared" ref="B51:H51" si="8">AVERAGE(B29:B38)</f>
        <v>22205</v>
      </c>
      <c r="C51" s="721">
        <f t="shared" si="8"/>
        <v>96825</v>
      </c>
      <c r="D51" s="721">
        <f t="shared" si="8"/>
        <v>3395.5</v>
      </c>
      <c r="E51" s="721">
        <f t="shared" si="8"/>
        <v>20159.8</v>
      </c>
      <c r="F51" s="721">
        <f t="shared" si="8"/>
        <v>91384.3</v>
      </c>
      <c r="G51" s="721">
        <f t="shared" si="8"/>
        <v>25600.5</v>
      </c>
      <c r="H51" s="721">
        <f t="shared" si="8"/>
        <v>116984.8</v>
      </c>
    </row>
    <row r="52" spans="1:8">
      <c r="A52" s="723" t="s">
        <v>536</v>
      </c>
      <c r="B52" s="293">
        <f t="shared" ref="B52:H52" si="9">B40/B45</f>
        <v>0.41734680593248341</v>
      </c>
      <c r="C52" s="293">
        <f t="shared" si="9"/>
        <v>0.41366793694888548</v>
      </c>
      <c r="D52" s="293">
        <f t="shared" si="9"/>
        <v>0.45882182660298165</v>
      </c>
      <c r="E52" s="293">
        <f t="shared" si="9"/>
        <v>0.4290507070161218</v>
      </c>
      <c r="F52" s="293">
        <f t="shared" si="9"/>
        <v>0.41461087569467403</v>
      </c>
      <c r="G52" s="293">
        <f t="shared" si="9"/>
        <v>0.42238838794809763</v>
      </c>
      <c r="H52" s="293">
        <f t="shared" si="9"/>
        <v>0.50044537828951241</v>
      </c>
    </row>
    <row r="54" spans="1:8">
      <c r="A54" s="1645"/>
      <c r="B54" s="293"/>
      <c r="C54" s="1645"/>
      <c r="D54" s="293"/>
      <c r="E54" s="1645"/>
      <c r="F54" s="293"/>
      <c r="G54" s="1645"/>
      <c r="H54" s="293"/>
    </row>
  </sheetData>
  <mergeCells count="3">
    <mergeCell ref="B1:C1"/>
    <mergeCell ref="D1:E1"/>
    <mergeCell ref="F1:H1"/>
  </mergeCells>
  <pageMargins left="0.75" right="0.75" top="1" bottom="1" header="0.5" footer="0.5"/>
  <pageSetup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6DFE-778C-4206-9230-EB0FBCA6284F}">
  <sheetPr>
    <tabColor rgb="FF66FF33"/>
  </sheetPr>
  <dimension ref="A1:J52"/>
  <sheetViews>
    <sheetView showGridLines="0" topLeftCell="A6" zoomScaleNormal="100" workbookViewId="0">
      <selection activeCell="P41" sqref="P41"/>
    </sheetView>
  </sheetViews>
  <sheetFormatPr defaultColWidth="9.33203125" defaultRowHeight="12.75"/>
  <cols>
    <col min="1" max="8" width="10.83203125" style="74" customWidth="1"/>
    <col min="9" max="9" width="1.6640625" style="74" customWidth="1"/>
    <col min="10" max="16384" width="9.33203125" style="74"/>
  </cols>
  <sheetData>
    <row r="1" spans="1:10" ht="15.75">
      <c r="A1" s="324" t="s">
        <v>141</v>
      </c>
      <c r="B1" s="1675"/>
      <c r="C1" s="1675"/>
      <c r="D1" s="1675"/>
      <c r="E1" s="1675"/>
      <c r="F1" s="1675"/>
      <c r="G1" s="1675"/>
      <c r="H1" s="1675"/>
      <c r="I1" s="1675"/>
      <c r="J1" s="1675"/>
    </row>
    <row r="2" spans="1:10" ht="15.75">
      <c r="A2" s="84" t="s">
        <v>537</v>
      </c>
      <c r="B2" s="1675"/>
      <c r="C2" s="1675"/>
      <c r="D2" s="1675"/>
      <c r="E2" s="1675"/>
      <c r="F2" s="1675"/>
      <c r="G2" s="1675"/>
      <c r="H2" s="1675"/>
      <c r="I2" s="1675"/>
      <c r="J2" s="1675"/>
    </row>
    <row r="3" spans="1:10" ht="15.75">
      <c r="A3" s="84"/>
      <c r="B3" s="1675"/>
      <c r="C3" s="1675"/>
      <c r="D3" s="1675"/>
      <c r="E3" s="1675"/>
      <c r="F3" s="1675"/>
      <c r="G3" s="1675"/>
      <c r="H3" s="1675"/>
      <c r="I3" s="1675"/>
      <c r="J3" s="1675"/>
    </row>
    <row r="4" spans="1:10" ht="14.25" customHeight="1" thickBot="1">
      <c r="A4" s="1852" t="s">
        <v>538</v>
      </c>
      <c r="B4" s="1854" t="s">
        <v>511</v>
      </c>
      <c r="C4" s="1857"/>
      <c r="D4" s="1854" t="s">
        <v>512</v>
      </c>
      <c r="E4" s="1857"/>
      <c r="F4" s="1854" t="s">
        <v>36</v>
      </c>
      <c r="G4" s="1854"/>
      <c r="H4" s="1855"/>
      <c r="I4" s="1675"/>
      <c r="J4" s="1675"/>
    </row>
    <row r="5" spans="1:10" ht="14.25">
      <c r="A5" s="1856"/>
      <c r="B5" s="1667" t="s">
        <v>287</v>
      </c>
      <c r="C5" s="906" t="s">
        <v>36</v>
      </c>
      <c r="D5" s="1667" t="s">
        <v>287</v>
      </c>
      <c r="E5" s="906" t="s">
        <v>36</v>
      </c>
      <c r="F5" s="1667" t="s">
        <v>539</v>
      </c>
      <c r="G5" s="1667" t="s">
        <v>260</v>
      </c>
      <c r="H5" s="902" t="s">
        <v>36</v>
      </c>
      <c r="I5" s="1675"/>
      <c r="J5" s="1675"/>
    </row>
    <row r="6" spans="1:10">
      <c r="A6" s="910" t="s">
        <v>518</v>
      </c>
      <c r="B6" s="702" t="str">
        <f>IF([1]T13LWGSthdManip!B3="","",[1]T13LWGSthdManip!B3)</f>
        <v/>
      </c>
      <c r="C6" s="702" t="str">
        <f>IF([1]T13LWGSthdManip!C3="","",[1]T13LWGSthdManip!C3)</f>
        <v/>
      </c>
      <c r="D6" s="907" t="str">
        <f>IF([1]T13LWGSthdManip!D3="","",[1]T13LWGSthdManip!D3)</f>
        <v/>
      </c>
      <c r="E6" s="908" t="str">
        <f>IF([1]T13LWGSthdManip!E3="","",[1]T13LWGSthdManip!E3)</f>
        <v/>
      </c>
      <c r="F6" s="702">
        <f>IF([1]T13LWGSthdManip!F3="","",[1]T13LWGSthdManip!F3)</f>
        <v>79900</v>
      </c>
      <c r="G6" s="702">
        <f>IF([1]T13LWGSthdManip!G3="","",[1]T13LWGSthdManip!G3)</f>
        <v>24500</v>
      </c>
      <c r="H6" s="854">
        <f>IF([1]T13LWGSthdManip!H3="","",[1]T13LWGSthdManip!H3)</f>
        <v>104400</v>
      </c>
      <c r="I6" s="1675"/>
      <c r="J6" s="1675"/>
    </row>
    <row r="7" spans="1:10">
      <c r="A7" s="904" t="s">
        <v>519</v>
      </c>
      <c r="B7" s="702" t="str">
        <f>IF([1]T13LWGSthdManip!B4="","",[1]T13LWGSthdManip!B4)</f>
        <v/>
      </c>
      <c r="C7" s="702" t="str">
        <f>IF([1]T13LWGSthdManip!C4="","",[1]T13LWGSthdManip!C4)</f>
        <v/>
      </c>
      <c r="D7" s="909" t="str">
        <f>IF([1]T13LWGSthdManip!D4="","",[1]T13LWGSthdManip!D4)</f>
        <v/>
      </c>
      <c r="E7" s="854" t="str">
        <f>IF([1]T13LWGSthdManip!E4="","",[1]T13LWGSthdManip!E4)</f>
        <v/>
      </c>
      <c r="F7" s="702">
        <f>IF([1]T13LWGSthdManip!F4="","",[1]T13LWGSthdManip!F4)</f>
        <v>89600</v>
      </c>
      <c r="G7" s="702">
        <f>IF([1]T13LWGSthdManip!G4="","",[1]T13LWGSthdManip!G4)</f>
        <v>26700</v>
      </c>
      <c r="H7" s="854">
        <f>IF([1]T13LWGSthdManip!H4="","",[1]T13LWGSthdManip!H4)</f>
        <v>116300</v>
      </c>
      <c r="I7" s="1675"/>
      <c r="J7" s="1675"/>
    </row>
    <row r="8" spans="1:10">
      <c r="A8" s="904" t="s">
        <v>520</v>
      </c>
      <c r="B8" s="702">
        <f>IF([1]T13LWGSthdManip!B5="","",[1]T13LWGSthdManip!B5)</f>
        <v>16613</v>
      </c>
      <c r="C8" s="702">
        <f>IF([1]T13LWGSthdManip!C5="","",[1]T13LWGSthdManip!C5)</f>
        <v>87513</v>
      </c>
      <c r="D8" s="909">
        <f>IF([1]T13LWGSthdManip!D5="","",[1]T13LWGSthdManip!D5)</f>
        <v>5463</v>
      </c>
      <c r="E8" s="854">
        <f>IF([1]T13LWGSthdManip!E5="","",[1]T13LWGSthdManip!E5)</f>
        <v>42432</v>
      </c>
      <c r="F8" s="702">
        <f>IF([1]T13LWGSthdManip!F5="","",[1]T13LWGSthdManip!F5)</f>
        <v>107869</v>
      </c>
      <c r="G8" s="702">
        <f>IF([1]T13LWGSthdManip!G5="","",[1]T13LWGSthdManip!G5)</f>
        <v>22076</v>
      </c>
      <c r="H8" s="854">
        <f>IF([1]T13LWGSthdManip!H5="","",[1]T13LWGSthdManip!H5)</f>
        <v>129945</v>
      </c>
      <c r="I8" s="246"/>
      <c r="J8" s="246"/>
    </row>
    <row r="9" spans="1:10">
      <c r="A9" s="904" t="s">
        <v>521</v>
      </c>
      <c r="B9" s="702">
        <f>IF([1]T13LWGSthdManip!B6="","",[1]T13LWGSthdManip!B6)</f>
        <v>20164</v>
      </c>
      <c r="C9" s="702">
        <f>IF([1]T13LWGSthdManip!C6="","",[1]T13LWGSthdManip!C6)</f>
        <v>52582</v>
      </c>
      <c r="D9" s="909">
        <f>IF([1]T13LWGSthdManip!D6="","",[1]T13LWGSthdManip!D6)</f>
        <v>5347</v>
      </c>
      <c r="E9" s="854">
        <f>IF([1]T13LWGSthdManip!E6="","",[1]T13LWGSthdManip!E6)</f>
        <v>18820</v>
      </c>
      <c r="F9" s="702">
        <f>IF([1]T13LWGSthdManip!F6="","",[1]T13LWGSthdManip!F6)</f>
        <v>45891</v>
      </c>
      <c r="G9" s="702">
        <f>IF([1]T13LWGSthdManip!G6="","",[1]T13LWGSthdManip!G6)</f>
        <v>25511</v>
      </c>
      <c r="H9" s="854">
        <f>IF([1]T13LWGSthdManip!H6="","",[1]T13LWGSthdManip!H6)</f>
        <v>71402</v>
      </c>
      <c r="I9" s="246"/>
      <c r="J9" s="246"/>
    </row>
    <row r="10" spans="1:10">
      <c r="A10" s="904" t="s">
        <v>522</v>
      </c>
      <c r="B10" s="702">
        <f>IF([1]T13LWGSthdManip!B7="","",[1]T13LWGSthdManip!B7)</f>
        <v>15700</v>
      </c>
      <c r="C10" s="702">
        <f>IF([1]T13LWGSthdManip!C7="","",[1]T13LWGSthdManip!C7)</f>
        <v>60443</v>
      </c>
      <c r="D10" s="909">
        <f>IF([1]T13LWGSthdManip!D7="","",[1]T13LWGSthdManip!D7)</f>
        <v>4614</v>
      </c>
      <c r="E10" s="854">
        <f>IF([1]T13LWGSthdManip!E7="","",[1]T13LWGSthdManip!E7)</f>
        <v>26620</v>
      </c>
      <c r="F10" s="702">
        <f>IF([1]T13LWGSthdManip!F7="","",[1]T13LWGSthdManip!F7)</f>
        <v>66749</v>
      </c>
      <c r="G10" s="702">
        <f>IF([1]T13LWGSthdManip!G7="","",[1]T13LWGSthdManip!G7)</f>
        <v>20314</v>
      </c>
      <c r="H10" s="854">
        <f>IF([1]T13LWGSthdManip!H7="","",[1]T13LWGSthdManip!H7)</f>
        <v>87063</v>
      </c>
      <c r="I10" s="246"/>
      <c r="J10" s="246"/>
    </row>
    <row r="11" spans="1:10">
      <c r="A11" s="904" t="s">
        <v>523</v>
      </c>
      <c r="B11" s="702">
        <f>IF([1]T13LWGSthdManip!B8="","",[1]T13LWGSthdManip!B8)</f>
        <v>16937</v>
      </c>
      <c r="C11" s="702">
        <f>IF([1]T13LWGSthdManip!C8="","",[1]T13LWGSthdManip!C8)</f>
        <v>83440</v>
      </c>
      <c r="D11" s="909">
        <f>IF([1]T13LWGSthdManip!D8="","",[1]T13LWGSthdManip!D8)</f>
        <v>8042</v>
      </c>
      <c r="E11" s="854">
        <f>IF([1]T13LWGSthdManip!E8="","",[1]T13LWGSthdManip!E8)</f>
        <v>47908</v>
      </c>
      <c r="F11" s="702">
        <f>IF([1]T13LWGSthdManip!F8="","",[1]T13LWGSthdManip!F8)</f>
        <v>106369</v>
      </c>
      <c r="G11" s="702">
        <f>IF([1]T13LWGSthdManip!G8="","",[1]T13LWGSthdManip!G8)</f>
        <v>24979</v>
      </c>
      <c r="H11" s="854">
        <f>IF([1]T13LWGSthdManip!H8="","",[1]T13LWGSthdManip!H8)</f>
        <v>131348</v>
      </c>
      <c r="I11" s="246"/>
      <c r="J11" s="246"/>
    </row>
    <row r="12" spans="1:10">
      <c r="A12" s="904" t="s">
        <v>524</v>
      </c>
      <c r="B12" s="702">
        <f>IF([1]T13LWGSthdManip!B9="","",[1]T13LWGSthdManip!B9)</f>
        <v>4806</v>
      </c>
      <c r="C12" s="702">
        <f>IF([1]T13LWGSthdManip!C9="","",[1]T13LWGSthdManip!C9)</f>
        <v>30383</v>
      </c>
      <c r="D12" s="909">
        <f>IF([1]T13LWGSthdManip!D9="","",[1]T13LWGSthdManip!D9)</f>
        <v>4483</v>
      </c>
      <c r="E12" s="854">
        <f>IF([1]T13LWGSthdManip!E9="","",[1]T13LWGSthdManip!E9)</f>
        <v>26498</v>
      </c>
      <c r="F12" s="702">
        <f>IF([1]T13LWGSthdManip!F9="","",[1]T13LWGSthdManip!F9)</f>
        <v>47592</v>
      </c>
      <c r="G12" s="702">
        <f>IF([1]T13LWGSthdManip!G9="","",[1]T13LWGSthdManip!G9)</f>
        <v>9289</v>
      </c>
      <c r="H12" s="854">
        <f>IF([1]T13LWGSthdManip!H9="","",[1]T13LWGSthdManip!H9)</f>
        <v>56881</v>
      </c>
      <c r="I12" s="246"/>
      <c r="J12" s="246"/>
    </row>
    <row r="13" spans="1:10">
      <c r="A13" s="904" t="s">
        <v>525</v>
      </c>
      <c r="B13" s="702">
        <f>IF([1]T13LWGSthdManip!B10="","",[1]T13LWGSthdManip!B10)</f>
        <v>14135</v>
      </c>
      <c r="C13" s="702">
        <f>IF([1]T13LWGSthdManip!C10="","",[1]T13LWGSthdManip!C10)</f>
        <v>84020</v>
      </c>
      <c r="D13" s="909">
        <f>IF([1]T13LWGSthdManip!D10="","",[1]T13LWGSthdManip!D10)</f>
        <v>3182</v>
      </c>
      <c r="E13" s="854">
        <f>IF([1]T13LWGSthdManip!E10="","",[1]T13LWGSthdManip!E10)</f>
        <v>15065</v>
      </c>
      <c r="F13" s="702">
        <f>IF([1]T13LWGSthdManip!F10="","",[1]T13LWGSthdManip!F10)</f>
        <v>81768</v>
      </c>
      <c r="G13" s="702">
        <f>IF([1]T13LWGSthdManip!G10="","",[1]T13LWGSthdManip!G10)</f>
        <v>17317</v>
      </c>
      <c r="H13" s="854">
        <f>IF([1]T13LWGSthdManip!H10="","",[1]T13LWGSthdManip!H10)</f>
        <v>99085</v>
      </c>
      <c r="I13" s="246"/>
      <c r="J13" s="246"/>
    </row>
    <row r="14" spans="1:10">
      <c r="A14" s="904" t="s">
        <v>526</v>
      </c>
      <c r="B14" s="702">
        <f>IF([1]T13LWGSthdManip!B11="","",[1]T13LWGSthdManip!B11)</f>
        <v>13617</v>
      </c>
      <c r="C14" s="702">
        <f>IF([1]T13LWGSthdManip!C11="","",[1]T13LWGSthdManip!C11)</f>
        <v>97037</v>
      </c>
      <c r="D14" s="909">
        <f>IF([1]T13LWGSthdManip!D11="","",[1]T13LWGSthdManip!D11)</f>
        <v>5777</v>
      </c>
      <c r="E14" s="854">
        <f>IF([1]T13LWGSthdManip!E11="","",[1]T13LWGSthdManip!E11)</f>
        <v>31343</v>
      </c>
      <c r="F14" s="702">
        <f>IF([1]T13LWGSthdManip!F11="","",[1]T13LWGSthdManip!F11)</f>
        <v>108986</v>
      </c>
      <c r="G14" s="702">
        <f>IF([1]T13LWGSthdManip!G11="","",[1]T13LWGSthdManip!G11)</f>
        <v>19394</v>
      </c>
      <c r="H14" s="854">
        <f>IF([1]T13LWGSthdManip!H11="","",[1]T13LWGSthdManip!H11)</f>
        <v>128380</v>
      </c>
      <c r="I14" s="246"/>
      <c r="J14" s="246"/>
    </row>
    <row r="15" spans="1:10">
      <c r="A15" s="904" t="s">
        <v>527</v>
      </c>
      <c r="B15" s="702">
        <f>IF([1]T13LWGSthdManip!B12="","",[1]T13LWGSthdManip!B12)</f>
        <v>7332</v>
      </c>
      <c r="C15" s="702">
        <f>IF([1]T13LWGSthdManip!C12="","",[1]T13LWGSthdManip!C12)</f>
        <v>41989</v>
      </c>
      <c r="D15" s="909">
        <f>IF([1]T13LWGSthdManip!D12="","",[1]T13LWGSthdManip!D12)</f>
        <v>1790</v>
      </c>
      <c r="E15" s="854">
        <f>IF([1]T13LWGSthdManip!E12="","",[1]T13LWGSthdManip!E12)</f>
        <v>17685</v>
      </c>
      <c r="F15" s="702">
        <f>IF([1]T13LWGSthdManip!F12="","",[1]T13LWGSthdManip!F12)</f>
        <v>50552</v>
      </c>
      <c r="G15" s="702">
        <f>IF([1]T13LWGSthdManip!G12="","",[1]T13LWGSthdManip!G12)</f>
        <v>9122</v>
      </c>
      <c r="H15" s="854">
        <f>IF([1]T13LWGSthdManip!H12="","",[1]T13LWGSthdManip!H12)</f>
        <v>59674</v>
      </c>
      <c r="I15" s="246"/>
      <c r="J15" s="246"/>
    </row>
    <row r="16" spans="1:10">
      <c r="A16" s="904" t="s">
        <v>528</v>
      </c>
      <c r="B16" s="702">
        <f>IF([1]T13LWGSthdManip!B13="","",[1]T13LWGSthdManip!B13)</f>
        <v>5873</v>
      </c>
      <c r="C16" s="702">
        <f>IF([1]T13LWGSthdManip!C13="","",[1]T13LWGSthdManip!C13)</f>
        <v>37829</v>
      </c>
      <c r="D16" s="909">
        <f>IF([1]T13LWGSthdManip!D13="","",[1]T13LWGSthdManip!D13)</f>
        <v>2231</v>
      </c>
      <c r="E16" s="854">
        <f>IF([1]T13LWGSthdManip!E13="","",[1]T13LWGSthdManip!E13)</f>
        <v>9409</v>
      </c>
      <c r="F16" s="702">
        <f>IF([1]T13LWGSthdManip!F13="","",[1]T13LWGSthdManip!F13)</f>
        <v>39134</v>
      </c>
      <c r="G16" s="702">
        <f>IF([1]T13LWGSthdManip!G13="","",[1]T13LWGSthdManip!G13)</f>
        <v>8104</v>
      </c>
      <c r="H16" s="854">
        <f>IF([1]T13LWGSthdManip!H13="","",[1]T13LWGSthdManip!H13)</f>
        <v>47238</v>
      </c>
      <c r="I16" s="246"/>
      <c r="J16" s="246"/>
    </row>
    <row r="17" spans="1:10">
      <c r="A17" s="904" t="s">
        <v>529</v>
      </c>
      <c r="B17" s="702">
        <f>IF([1]T13LWGSthdManip!B14="","",[1]T13LWGSthdManip!B14)</f>
        <v>6721</v>
      </c>
      <c r="C17" s="702">
        <f>IF([1]T13LWGSthdManip!C14="","",[1]T13LWGSthdManip!C14)</f>
        <v>69494</v>
      </c>
      <c r="D17" s="909">
        <f>IF([1]T13LWGSthdManip!D14="","",[1]T13LWGSthdManip!D14)</f>
        <v>1334</v>
      </c>
      <c r="E17" s="854">
        <f>IF([1]T13LWGSthdManip!E14="","",[1]T13LWGSthdManip!E14)</f>
        <v>9651</v>
      </c>
      <c r="F17" s="702">
        <f>IF([1]T13LWGSthdManip!F14="","",[1]T13LWGSthdManip!F14)</f>
        <v>71090</v>
      </c>
      <c r="G17" s="702">
        <f>IF([1]T13LWGSthdManip!G14="","",[1]T13LWGSthdManip!G14)</f>
        <v>8055</v>
      </c>
      <c r="H17" s="854">
        <f>IF([1]T13LWGSthdManip!H14="","",[1]T13LWGSthdManip!H14)</f>
        <v>79145</v>
      </c>
      <c r="I17" s="246"/>
      <c r="J17" s="246"/>
    </row>
    <row r="18" spans="1:10">
      <c r="A18" s="904" t="s">
        <v>530</v>
      </c>
      <c r="B18" s="702">
        <f>IF([1]T13LWGSthdManip!B15="","",[1]T13LWGSthdManip!B15)</f>
        <v>5980</v>
      </c>
      <c r="C18" s="702">
        <f>IF([1]T13LWGSthdManip!C15="","",[1]T13LWGSthdManip!C15)</f>
        <v>73055</v>
      </c>
      <c r="D18" s="909">
        <f>IF([1]T13LWGSthdManip!D15="","",[1]T13LWGSthdManip!D15)</f>
        <v>1645</v>
      </c>
      <c r="E18" s="854">
        <f>IF([1]T13LWGSthdManip!E15="","",[1]T13LWGSthdManip!E15)</f>
        <v>13856</v>
      </c>
      <c r="F18" s="702">
        <f>IF([1]T13LWGSthdManip!F15="","",[1]T13LWGSthdManip!F15)</f>
        <v>79286</v>
      </c>
      <c r="G18" s="702">
        <f>IF([1]T13LWGSthdManip!G15="","",[1]T13LWGSthdManip!G15)</f>
        <v>7625</v>
      </c>
      <c r="H18" s="854">
        <f>IF([1]T13LWGSthdManip!H15="","",[1]T13LWGSthdManip!H15)</f>
        <v>86911</v>
      </c>
      <c r="I18" s="246"/>
      <c r="J18" s="246"/>
    </row>
    <row r="19" spans="1:10">
      <c r="A19" s="904" t="s">
        <v>531</v>
      </c>
      <c r="B19" s="702">
        <f>IF([1]T13LWGSthdManip!B16="","",[1]T13LWGSthdManip!B16)</f>
        <v>7424</v>
      </c>
      <c r="C19" s="702">
        <f>IF([1]T13LWGSthdManip!C16="","",[1]T13LWGSthdManip!C16)</f>
        <v>74443</v>
      </c>
      <c r="D19" s="909">
        <f>IF([1]T13LWGSthdManip!D16="","",[1]T13LWGSthdManip!D16)</f>
        <v>1325</v>
      </c>
      <c r="E19" s="854">
        <f>IF([1]T13LWGSthdManip!E16="","",[1]T13LWGSthdManip!E16)</f>
        <v>12203</v>
      </c>
      <c r="F19" s="702">
        <f>IF([1]T13LWGSthdManip!F16="","",[1]T13LWGSthdManip!F16)</f>
        <v>77897</v>
      </c>
      <c r="G19" s="702">
        <f>IF([1]T13LWGSthdManip!G16="","",[1]T13LWGSthdManip!G16)</f>
        <v>8749</v>
      </c>
      <c r="H19" s="854">
        <f>IF([1]T13LWGSthdManip!H16="","",[1]T13LWGSthdManip!H16)</f>
        <v>86646</v>
      </c>
      <c r="I19" s="246"/>
      <c r="J19" s="246"/>
    </row>
    <row r="20" spans="1:10">
      <c r="A20" s="904" t="s">
        <v>532</v>
      </c>
      <c r="B20" s="702">
        <f>IF([1]T13LWGSthdManip!B17="","",[1]T13LWGSthdManip!B17)</f>
        <v>7074</v>
      </c>
      <c r="C20" s="702">
        <f>IF([1]T13LWGSthdManip!C17="","",[1]T13LWGSthdManip!C17)</f>
        <v>50906</v>
      </c>
      <c r="D20" s="909">
        <f>IF([1]T13LWGSthdManip!D17="","",[1]T13LWGSthdManip!D17)</f>
        <v>2301</v>
      </c>
      <c r="E20" s="854">
        <f>IF([1]T13LWGSthdManip!E17="","",[1]T13LWGSthdManip!E17)</f>
        <v>19756</v>
      </c>
      <c r="F20" s="702">
        <f>IF([1]T13LWGSthdManip!F17="","",[1]T13LWGSthdManip!F17)</f>
        <v>61287</v>
      </c>
      <c r="G20" s="702">
        <f>IF([1]T13LWGSthdManip!G17="","",[1]T13LWGSthdManip!G17)</f>
        <v>9375</v>
      </c>
      <c r="H20" s="854">
        <f>IF([1]T13LWGSthdManip!H17="","",[1]T13LWGSthdManip!H17)</f>
        <v>70662</v>
      </c>
      <c r="I20" s="246"/>
      <c r="J20" s="246"/>
    </row>
    <row r="21" spans="1:10">
      <c r="A21" s="904" t="s">
        <v>533</v>
      </c>
      <c r="B21" s="702">
        <f>IF([1]T13LWGSthdManip!B18="","",[1]T13LWGSthdManip!B18)</f>
        <v>10184</v>
      </c>
      <c r="C21" s="702">
        <f>IF([1]T13LWGSthdManip!C18="","",[1]T13LWGSthdManip!C18)</f>
        <v>64303</v>
      </c>
      <c r="D21" s="909">
        <f>IF([1]T13LWGSthdManip!D18="","",[1]T13LWGSthdManip!D18)</f>
        <v>914</v>
      </c>
      <c r="E21" s="854">
        <f>IF([1]T13LWGSthdManip!E18="","",[1]T13LWGSthdManip!E18)</f>
        <v>9748</v>
      </c>
      <c r="F21" s="702">
        <f>IF([1]T13LWGSthdManip!F18="","",[1]T13LWGSthdManip!F18)</f>
        <v>62953</v>
      </c>
      <c r="G21" s="702">
        <f>IF([1]T13LWGSthdManip!G18="","",[1]T13LWGSthdManip!G18)</f>
        <v>11098</v>
      </c>
      <c r="H21" s="854">
        <f>IF([1]T13LWGSthdManip!H18="","",[1]T13LWGSthdManip!H18)</f>
        <v>74051</v>
      </c>
      <c r="I21" s="246"/>
      <c r="J21" s="246"/>
    </row>
    <row r="22" spans="1:10">
      <c r="A22" s="904" t="s">
        <v>412</v>
      </c>
      <c r="B22" s="702">
        <f>IF([1]T13LWGSthdManip!B19="","",[1]T13LWGSthdManip!B19)</f>
        <v>17689</v>
      </c>
      <c r="C22" s="702">
        <f>IF([1]T13LWGSthdManip!C19="","",[1]T13LWGSthdManip!C19)</f>
        <v>97288</v>
      </c>
      <c r="D22" s="909">
        <f>IF([1]T13LWGSthdManip!D19="","",[1]T13LWGSthdManip!D19)</f>
        <v>2886</v>
      </c>
      <c r="E22" s="854">
        <f>IF([1]T13LWGSthdManip!E19="","",[1]T13LWGSthdManip!E19)</f>
        <v>20014</v>
      </c>
      <c r="F22" s="702">
        <f>IF([1]T13LWGSthdManip!F19="","",[1]T13LWGSthdManip!F19)</f>
        <v>96727</v>
      </c>
      <c r="G22" s="702">
        <f>IF([1]T13LWGSthdManip!G19="","",[1]T13LWGSthdManip!G19)</f>
        <v>20575</v>
      </c>
      <c r="H22" s="854">
        <f>IF([1]T13LWGSthdManip!H19="","",[1]T13LWGSthdManip!H19)</f>
        <v>117302</v>
      </c>
      <c r="I22" s="246"/>
      <c r="J22" s="246"/>
    </row>
    <row r="23" spans="1:10">
      <c r="A23" s="904" t="s">
        <v>413</v>
      </c>
      <c r="B23" s="702">
        <f>IF([1]T13LWGSthdManip!B20="","",[1]T13LWGSthdManip!B20)</f>
        <v>37545</v>
      </c>
      <c r="C23" s="702">
        <f>IF([1]T13LWGSthdManip!C20="","",[1]T13LWGSthdManip!C20)</f>
        <v>234615</v>
      </c>
      <c r="D23" s="909">
        <f>IF([1]T13LWGSthdManip!D20="","",[1]T13LWGSthdManip!D20)</f>
        <v>3174</v>
      </c>
      <c r="E23" s="854">
        <f>IF([1]T13LWGSthdManip!E20="","",[1]T13LWGSthdManip!E20)</f>
        <v>33851</v>
      </c>
      <c r="F23" s="702">
        <f>IF([1]T13LWGSthdManip!F20="","",[1]T13LWGSthdManip!F20)</f>
        <v>227747</v>
      </c>
      <c r="G23" s="702">
        <f>IF([1]T13LWGSthdManip!G20="","",[1]T13LWGSthdManip!G20)</f>
        <v>40719</v>
      </c>
      <c r="H23" s="854">
        <f>IF([1]T13LWGSthdManip!H20="","",[1]T13LWGSthdManip!H20)</f>
        <v>268466</v>
      </c>
      <c r="I23" s="246"/>
      <c r="J23" s="246"/>
    </row>
    <row r="24" spans="1:10">
      <c r="A24" s="904" t="s">
        <v>414</v>
      </c>
      <c r="B24" s="702">
        <f>IF([1]T13LWGSthdManip!B21="","",[1]T13LWGSthdManip!B21)</f>
        <v>28308</v>
      </c>
      <c r="C24" s="702">
        <f>IF([1]T13LWGSthdManip!C21="","",[1]T13LWGSthdManip!C21)</f>
        <v>150577</v>
      </c>
      <c r="D24" s="909">
        <f>IF([1]T13LWGSthdManip!D21="","",[1]T13LWGSthdManip!D21)</f>
        <v>13623</v>
      </c>
      <c r="E24" s="854">
        <f>IF([1]T13LWGSthdManip!E21="","",[1]T13LWGSthdManip!E21)</f>
        <v>71599</v>
      </c>
      <c r="F24" s="702">
        <f>IF([1]T13LWGSthdManip!F21="","",[1]T13LWGSthdManip!F21)</f>
        <v>180245</v>
      </c>
      <c r="G24" s="702">
        <f>IF([1]T13LWGSthdManip!G21="","",[1]T13LWGSthdManip!G21)</f>
        <v>41931</v>
      </c>
      <c r="H24" s="854">
        <f>IF([1]T13LWGSthdManip!H21="","",[1]T13LWGSthdManip!H21)</f>
        <v>222176</v>
      </c>
      <c r="I24" s="246"/>
      <c r="J24" s="246"/>
    </row>
    <row r="25" spans="1:10">
      <c r="A25" s="904" t="s">
        <v>415</v>
      </c>
      <c r="B25" s="702">
        <f>IF([1]T13LWGSthdManip!B22="","",[1]T13LWGSthdManip!B22)</f>
        <v>21892</v>
      </c>
      <c r="C25" s="702">
        <f>IF([1]T13LWGSthdManip!C22="","",[1]T13LWGSthdManip!C22)</f>
        <v>140066</v>
      </c>
      <c r="D25" s="909">
        <f>IF([1]T13LWGSthdManip!D22="","",[1]T13LWGSthdManip!D22)</f>
        <v>7254</v>
      </c>
      <c r="E25" s="854">
        <f>IF([1]T13LWGSthdManip!E22="","",[1]T13LWGSthdManip!E22)</f>
        <v>32444</v>
      </c>
      <c r="F25" s="702">
        <f>IF([1]T13LWGSthdManip!F22="","",[1]T13LWGSthdManip!F22)</f>
        <v>143364</v>
      </c>
      <c r="G25" s="702">
        <f>IF([1]T13LWGSthdManip!G22="","",[1]T13LWGSthdManip!G22)</f>
        <v>29146</v>
      </c>
      <c r="H25" s="854">
        <f>IF([1]T13LWGSthdManip!H22="","",[1]T13LWGSthdManip!H22)</f>
        <v>172510</v>
      </c>
      <c r="I25" s="246"/>
      <c r="J25" s="246"/>
    </row>
    <row r="26" spans="1:10">
      <c r="A26" s="904" t="s">
        <v>416</v>
      </c>
      <c r="B26" s="702">
        <f>IF([1]T13LWGSthdManip!B23="","",[1]T13LWGSthdManip!B23)</f>
        <v>18297</v>
      </c>
      <c r="C26" s="702">
        <f>IF([1]T13LWGSthdManip!C23="","",[1]T13LWGSthdManip!C23)</f>
        <v>121688</v>
      </c>
      <c r="D26" s="909">
        <f>IF([1]T13LWGSthdManip!D23="","",[1]T13LWGSthdManip!D23)</f>
        <v>4774</v>
      </c>
      <c r="E26" s="854">
        <f>IF([1]T13LWGSthdManip!E23="","",[1]T13LWGSthdManip!E23)</f>
        <v>29958</v>
      </c>
      <c r="F26" s="702">
        <f>IF([1]T13LWGSthdManip!F23="","",[1]T13LWGSthdManip!F23)</f>
        <v>128575</v>
      </c>
      <c r="G26" s="702">
        <f>IF([1]T13LWGSthdManip!G23="","",[1]T13LWGSthdManip!G23)</f>
        <v>23071</v>
      </c>
      <c r="H26" s="854">
        <f>IF([1]T13LWGSthdManip!H23="","",[1]T13LWGSthdManip!H23)</f>
        <v>151646</v>
      </c>
      <c r="I26" s="246"/>
      <c r="J26" s="246"/>
    </row>
    <row r="27" spans="1:10">
      <c r="A27" s="904" t="s">
        <v>417</v>
      </c>
      <c r="B27" s="702">
        <f>IF([1]T13LWGSthdManip!B24="","",[1]T13LWGSthdManip!B24)</f>
        <v>14586</v>
      </c>
      <c r="C27" s="702">
        <f>IF([1]T13LWGSthdManip!C24="","",[1]T13LWGSthdManip!C24)</f>
        <v>125133</v>
      </c>
      <c r="D27" s="909">
        <f>IF([1]T13LWGSthdManip!D24="","",[1]T13LWGSthdManip!D24)</f>
        <v>3544</v>
      </c>
      <c r="E27" s="854">
        <f>IF([1]T13LWGSthdManip!E24="","",[1]T13LWGSthdManip!E24)</f>
        <v>33032</v>
      </c>
      <c r="F27" s="702">
        <f>IF([1]T13LWGSthdManip!F24="","",[1]T13LWGSthdManip!F24)</f>
        <v>140035</v>
      </c>
      <c r="G27" s="702">
        <f>IF([1]T13LWGSthdManip!G24="","",[1]T13LWGSthdManip!G24)</f>
        <v>18130</v>
      </c>
      <c r="H27" s="854">
        <f>IF([1]T13LWGSthdManip!H24="","",[1]T13LWGSthdManip!H24)</f>
        <v>158165</v>
      </c>
      <c r="I27" s="246"/>
      <c r="J27" s="246"/>
    </row>
    <row r="28" spans="1:10">
      <c r="A28" s="904" t="s">
        <v>418</v>
      </c>
      <c r="B28" s="702">
        <f>IF([1]T13LWGSthdManip!B25="","",[1]T13LWGSthdManip!B25)</f>
        <v>7877</v>
      </c>
      <c r="C28" s="702">
        <f>IF([1]T13LWGSthdManip!C25="","",[1]T13LWGSthdManip!C25)</f>
        <v>108321</v>
      </c>
      <c r="D28" s="909">
        <f>IF([1]T13LWGSthdManip!D25="","",[1]T13LWGSthdManip!D25)</f>
        <v>1633</v>
      </c>
      <c r="E28" s="854">
        <f>IF([1]T13LWGSthdManip!E25="","",[1]T13LWGSthdManip!E25)</f>
        <v>40845</v>
      </c>
      <c r="F28" s="702">
        <f>IF([1]T13LWGSthdManip!F25="","",[1]T13LWGSthdManip!F25)</f>
        <v>139656</v>
      </c>
      <c r="G28" s="702">
        <f>IF([1]T13LWGSthdManip!G25="","",[1]T13LWGSthdManip!G25)</f>
        <v>9510</v>
      </c>
      <c r="H28" s="854">
        <f>IF([1]T13LWGSthdManip!H25="","",[1]T13LWGSthdManip!H25)</f>
        <v>149166</v>
      </c>
      <c r="I28" s="246"/>
      <c r="J28" s="246"/>
    </row>
    <row r="29" spans="1:10">
      <c r="A29" s="904" t="s">
        <v>419</v>
      </c>
      <c r="B29" s="702">
        <f>IF([1]T13LWGSthdManip!B26="","",[1]T13LWGSthdManip!B26)</f>
        <v>11242</v>
      </c>
      <c r="C29" s="702">
        <f>IF([1]T13LWGSthdManip!C26="","",[1]T13LWGSthdManip!C26)</f>
        <v>128259</v>
      </c>
      <c r="D29" s="909">
        <f>IF([1]T13LWGSthdManip!D26="","",[1]T13LWGSthdManip!D26)</f>
        <v>2924</v>
      </c>
      <c r="E29" s="854">
        <f>IF([1]T13LWGSthdManip!E26="","",[1]T13LWGSthdManip!E26)</f>
        <v>26883</v>
      </c>
      <c r="F29" s="702">
        <f>IF([1]T13LWGSthdManip!F26="","",[1]T13LWGSthdManip!F26)</f>
        <v>140976</v>
      </c>
      <c r="G29" s="702">
        <f>IF([1]T13LWGSthdManip!G26="","",[1]T13LWGSthdManip!G26)</f>
        <v>14166</v>
      </c>
      <c r="H29" s="854">
        <f>IF([1]T13LWGSthdManip!H26="","",[1]T13LWGSthdManip!H26)</f>
        <v>155142</v>
      </c>
      <c r="I29" s="246"/>
      <c r="J29" s="246"/>
    </row>
    <row r="30" spans="1:10">
      <c r="A30" s="904" t="s">
        <v>420</v>
      </c>
      <c r="B30" s="702">
        <f>IF([1]T13LWGSthdManip!B27="","",[1]T13LWGSthdManip!B27)</f>
        <v>18216</v>
      </c>
      <c r="C30" s="702">
        <f>IF([1]T13LWGSthdManip!C27="","",[1]T13LWGSthdManip!C27)</f>
        <v>125500</v>
      </c>
      <c r="D30" s="909">
        <f>IF([1]T13LWGSthdManip!D27="","",[1]T13LWGSthdManip!D27)</f>
        <v>5659</v>
      </c>
      <c r="E30" s="854">
        <f>IF([1]T13LWGSthdManip!E27="","",[1]T13LWGSthdManip!E27)</f>
        <v>53370</v>
      </c>
      <c r="F30" s="702">
        <f>IF([1]T13LWGSthdManip!F27="","",[1]T13LWGSthdManip!F27)</f>
        <v>154995</v>
      </c>
      <c r="G30" s="702">
        <f>IF([1]T13LWGSthdManip!G27="","",[1]T13LWGSthdManip!G27)</f>
        <v>23875</v>
      </c>
      <c r="H30" s="854">
        <f>IF([1]T13LWGSthdManip!H27="","",[1]T13LWGSthdManip!H27)</f>
        <v>178870</v>
      </c>
      <c r="I30" s="246"/>
      <c r="J30" s="246"/>
    </row>
    <row r="31" spans="1:10">
      <c r="A31" s="904" t="s">
        <v>421</v>
      </c>
      <c r="B31" s="702">
        <f>IF([1]T13LWGSthdManip!B28="","",[1]T13LWGSthdManip!B28)</f>
        <v>38210</v>
      </c>
      <c r="C31" s="702">
        <f>IF([1]T13LWGSthdManip!C28="","",[1]T13LWGSthdManip!C28)</f>
        <v>299598</v>
      </c>
      <c r="D31" s="909">
        <f>IF([1]T13LWGSthdManip!D28="","",[1]T13LWGSthdManip!D28)</f>
        <v>4529</v>
      </c>
      <c r="E31" s="854">
        <f>IF([1]T13LWGSthdManip!E28="","",[1]T13LWGSthdManip!E28)</f>
        <v>23784</v>
      </c>
      <c r="F31" s="702">
        <f>IF([1]T13LWGSthdManip!F28="","",[1]T13LWGSthdManip!F28)</f>
        <v>280643</v>
      </c>
      <c r="G31" s="702">
        <f>IF([1]T13LWGSthdManip!G28="","",[1]T13LWGSthdManip!G28)</f>
        <v>42739</v>
      </c>
      <c r="H31" s="854">
        <f>IF([1]T13LWGSthdManip!H28="","",[1]T13LWGSthdManip!H28)</f>
        <v>323382</v>
      </c>
      <c r="I31" s="246"/>
      <c r="J31" s="246"/>
    </row>
    <row r="32" spans="1:10">
      <c r="A32" s="904" t="s">
        <v>422</v>
      </c>
      <c r="B32" s="702">
        <f>IF([1]T13LWGSthdManip!B29="","",[1]T13LWGSthdManip!B29)</f>
        <v>34549</v>
      </c>
      <c r="C32" s="702">
        <f>IF([1]T13LWGSthdManip!C29="","",[1]T13LWGSthdManip!C29)</f>
        <v>163020</v>
      </c>
      <c r="D32" s="909">
        <f>IF([1]T13LWGSthdManip!D29="","",[1]T13LWGSthdManip!D29)</f>
        <v>9584</v>
      </c>
      <c r="E32" s="854">
        <f>IF([1]T13LWGSthdManip!E29="","",[1]T13LWGSthdManip!E29)</f>
        <v>45276</v>
      </c>
      <c r="F32" s="702">
        <f>IF([1]T13LWGSthdManip!F29="","",[1]T13LWGSthdManip!F29)</f>
        <v>164163</v>
      </c>
      <c r="G32" s="702">
        <f>IF([1]T13LWGSthdManip!G29="","",[1]T13LWGSthdManip!G29)</f>
        <v>44133</v>
      </c>
      <c r="H32" s="854">
        <f>IF([1]T13LWGSthdManip!H29="","",[1]T13LWGSthdManip!H29)</f>
        <v>208296</v>
      </c>
      <c r="I32" s="246"/>
      <c r="J32" s="246"/>
    </row>
    <row r="33" spans="1:10">
      <c r="A33" s="904" t="s">
        <v>423</v>
      </c>
      <c r="B33" s="702">
        <f>IF([1]T13LWGSthdManip!B30="","",[1]T13LWGSthdManip!B30)</f>
        <v>35240</v>
      </c>
      <c r="C33" s="702">
        <f>IF([1]T13LWGSthdManip!C30="","",[1]T13LWGSthdManip!C30)</f>
        <v>156208</v>
      </c>
      <c r="D33" s="909">
        <f>IF([1]T13LWGSthdManip!D30="","",[1]T13LWGSthdManip!D30)</f>
        <v>4198</v>
      </c>
      <c r="E33" s="854">
        <f>IF([1]T13LWGSthdManip!E30="","",[1]T13LWGSthdManip!E30)</f>
        <v>24112</v>
      </c>
      <c r="F33" s="702">
        <f>IF([1]T13LWGSthdManip!F30="","",[1]T13LWGSthdManip!F30)</f>
        <v>140882</v>
      </c>
      <c r="G33" s="702">
        <f>IF([1]T13LWGSthdManip!G30="","",[1]T13LWGSthdManip!G30)</f>
        <v>39438</v>
      </c>
      <c r="H33" s="854">
        <f>IF([1]T13LWGSthdManip!H30="","",[1]T13LWGSthdManip!H30)</f>
        <v>180320</v>
      </c>
      <c r="I33" s="246"/>
      <c r="J33" s="246"/>
    </row>
    <row r="34" spans="1:10">
      <c r="A34" s="904" t="s">
        <v>424</v>
      </c>
      <c r="B34" s="702">
        <f>IF([1]T13LWGSthdManip!B31="","",[1]T13LWGSthdManip!B31)</f>
        <v>19806</v>
      </c>
      <c r="C34" s="702">
        <f>IF([1]T13LWGSthdManip!C31="","",[1]T13LWGSthdManip!C31)</f>
        <v>88184</v>
      </c>
      <c r="D34" s="909">
        <f>IF([1]T13LWGSthdManip!D31="","",[1]T13LWGSthdManip!D31)</f>
        <v>3337</v>
      </c>
      <c r="E34" s="854">
        <f>IF([1]T13LWGSthdManip!E31="","",[1]T13LWGSthdManip!E31)</f>
        <v>21002</v>
      </c>
      <c r="F34" s="702">
        <f>IF([1]T13LWGSthdManip!F31="","",[1]T13LWGSthdManip!F31)</f>
        <v>86043</v>
      </c>
      <c r="G34" s="702">
        <f>IF([1]T13LWGSthdManip!G31="","",[1]T13LWGSthdManip!G31)</f>
        <v>23143</v>
      </c>
      <c r="H34" s="854">
        <f>IF([1]T13LWGSthdManip!H31="","",[1]T13LWGSthdManip!H31)</f>
        <v>109186</v>
      </c>
      <c r="I34" s="246"/>
      <c r="J34" s="246"/>
    </row>
    <row r="35" spans="1:10">
      <c r="A35" s="904" t="s">
        <v>425</v>
      </c>
      <c r="B35" s="702">
        <f>IF([1]T13LWGSthdManip!B32="","",[1]T13LWGSthdManip!B32)</f>
        <v>23470</v>
      </c>
      <c r="C35" s="702">
        <f>IF([1]T13LWGSthdManip!C32="","",[1]T13LWGSthdManip!C32)</f>
        <v>99130</v>
      </c>
      <c r="D35" s="909">
        <f>IF([1]T13LWGSthdManip!D32="","",[1]T13LWGSthdManip!D32)</f>
        <v>1885</v>
      </c>
      <c r="E35" s="854">
        <f>IF([1]T13LWGSthdManip!E32="","",[1]T13LWGSthdManip!E32)</f>
        <v>9024</v>
      </c>
      <c r="F35" s="702">
        <f>IF([1]T13LWGSthdManip!F32="","",[1]T13LWGSthdManip!F32)</f>
        <v>82799</v>
      </c>
      <c r="G35" s="702">
        <f>IF([1]T13LWGSthdManip!G32="","",[1]T13LWGSthdManip!G32)</f>
        <v>25355</v>
      </c>
      <c r="H35" s="854">
        <f>IF([1]T13LWGSthdManip!H32="","",[1]T13LWGSthdManip!H32)</f>
        <v>108154</v>
      </c>
      <c r="I35" s="246"/>
      <c r="J35" s="246"/>
    </row>
    <row r="36" spans="1:10">
      <c r="A36" s="904" t="s">
        <v>426</v>
      </c>
      <c r="B36" s="702">
        <f>IF([1]T13LWGSthdManip!B33="","",[1]T13LWGSthdManip!B33)</f>
        <v>38861</v>
      </c>
      <c r="C36" s="702">
        <f>IF([1]T13LWGSthdManip!C33="","",[1]T13LWGSthdManip!C33)</f>
        <v>133957</v>
      </c>
      <c r="D36" s="909">
        <f>IF([1]T13LWGSthdManip!D33="","",[1]T13LWGSthdManip!D33)</f>
        <v>6928</v>
      </c>
      <c r="E36" s="854">
        <f>IF([1]T13LWGSthdManip!E33="","",[1]T13LWGSthdManip!E33)</f>
        <v>31634</v>
      </c>
      <c r="F36" s="702">
        <f>IF([1]T13LWGSthdManip!F33="","",[1]T13LWGSthdManip!F33)</f>
        <v>119802</v>
      </c>
      <c r="G36" s="702">
        <f>IF([1]T13LWGSthdManip!G33="","",[1]T13LWGSthdManip!G33)</f>
        <v>45789</v>
      </c>
      <c r="H36" s="854">
        <f>IF([1]T13LWGSthdManip!H33="","",[1]T13LWGSthdManip!H33)</f>
        <v>165591</v>
      </c>
      <c r="I36" s="1675"/>
      <c r="J36" s="1675"/>
    </row>
    <row r="37" spans="1:10">
      <c r="A37" s="904" t="s">
        <v>427</v>
      </c>
      <c r="B37" s="702">
        <f>IF([1]T13LWGSthdManip!B34="","",[1]T13LWGSthdManip!B34)</f>
        <v>30806</v>
      </c>
      <c r="C37" s="702">
        <f>IF([1]T13LWGSthdManip!C34="","",[1]T13LWGSthdManip!C34)</f>
        <v>123147</v>
      </c>
      <c r="D37" s="909">
        <f>IF([1]T13LWGSthdManip!D34="","",[1]T13LWGSthdManip!D34)</f>
        <v>3130</v>
      </c>
      <c r="E37" s="854">
        <f>IF([1]T13LWGSthdManip!E34="","",[1]T13LWGSthdManip!E34)</f>
        <v>13003</v>
      </c>
      <c r="F37" s="702">
        <f>IF([1]T13LWGSthdManip!F34="","",[1]T13LWGSthdManip!F34)</f>
        <v>102214</v>
      </c>
      <c r="G37" s="702">
        <f>IF([1]T13LWGSthdManip!G34="","",[1]T13LWGSthdManip!G34)</f>
        <v>33936</v>
      </c>
      <c r="H37" s="854">
        <f>IF([1]T13LWGSthdManip!H34="","",[1]T13LWGSthdManip!H34)</f>
        <v>136150</v>
      </c>
      <c r="I37" s="1675"/>
      <c r="J37" s="1675"/>
    </row>
    <row r="38" spans="1:10">
      <c r="A38" s="904" t="s">
        <v>428</v>
      </c>
      <c r="B38" s="702">
        <f>IF([1]T13LWGSthdManip!B35="","",[1]T13LWGSthdManip!B35)</f>
        <v>12575</v>
      </c>
      <c r="C38" s="702">
        <f>IF([1]T13LWGSthdManip!C35="","",[1]T13LWGSthdManip!C35)</f>
        <v>68956</v>
      </c>
      <c r="D38" s="909">
        <f>IF([1]T13LWGSthdManip!D35="","",[1]T13LWGSthdManip!D35)</f>
        <v>3001</v>
      </c>
      <c r="E38" s="854">
        <f>IF([1]T13LWGSthdManip!E35="","",[1]T13LWGSthdManip!E35)</f>
        <v>32870</v>
      </c>
      <c r="F38" s="702">
        <f>IF([1]T13LWGSthdManip!F35="","",[1]T13LWGSthdManip!F35)</f>
        <v>86250</v>
      </c>
      <c r="G38" s="702">
        <f>IF([1]T13LWGSthdManip!G35="","",[1]T13LWGSthdManip!G35)</f>
        <v>15576</v>
      </c>
      <c r="H38" s="854">
        <f>IF([1]T13LWGSthdManip!H35="","",[1]T13LWGSthdManip!H35)</f>
        <v>101826</v>
      </c>
      <c r="I38" s="1675"/>
      <c r="J38" s="1675"/>
    </row>
    <row r="39" spans="1:10">
      <c r="A39" s="904" t="s">
        <v>429</v>
      </c>
      <c r="B39" s="702">
        <f>IF([1]T13LWGSthdManip!B36="","",[1]T13LWGSthdManip!B36)</f>
        <v>10454</v>
      </c>
      <c r="C39" s="702">
        <f>IF([1]T13LWGSthdManip!C36="","",[1]T13LWGSthdManip!C36)</f>
        <v>69450</v>
      </c>
      <c r="D39" s="909">
        <f>IF([1]T13LWGSthdManip!D36="","",[1]T13LWGSthdManip!D36)</f>
        <v>263</v>
      </c>
      <c r="E39" s="854">
        <f>IF([1]T13LWGSthdManip!E36="","",[1]T13LWGSthdManip!E36)</f>
        <v>4647</v>
      </c>
      <c r="F39" s="702">
        <f>IF([1]T13LWGSthdManip!F36="","",[1]T13LWGSthdManip!F36)</f>
        <v>63380</v>
      </c>
      <c r="G39" s="702">
        <f>IF([1]T13LWGSthdManip!G36="","",[1]T13LWGSthdManip!G36)</f>
        <v>10717</v>
      </c>
      <c r="H39" s="854">
        <f>IF([1]T13LWGSthdManip!H36="","",[1]T13LWGSthdManip!H36)</f>
        <v>74097</v>
      </c>
      <c r="I39" s="1675"/>
      <c r="J39" s="1675"/>
    </row>
    <row r="40" spans="1:10">
      <c r="A40" s="904" t="s">
        <v>430</v>
      </c>
      <c r="B40" s="702">
        <f>IF([1]T13LWGSthdManip!B37="","",[1]T13LWGSthdManip!B37)</f>
        <v>7055</v>
      </c>
      <c r="C40" s="702">
        <f>IF([1]T13LWGSthdManip!C37="","",[1]T13LWGSthdManip!C37)</f>
        <v>35253</v>
      </c>
      <c r="D40" s="909">
        <f>IF([1]T13LWGSthdManip!D37="","",[1]T13LWGSthdManip!D37)</f>
        <v>1229</v>
      </c>
      <c r="E40" s="854">
        <f>IF([1]T13LWGSthdManip!E37="","",[1]T13LWGSthdManip!E37)</f>
        <v>16565</v>
      </c>
      <c r="F40" s="702">
        <f>IF([1]T13LWGSthdManip!F37="","",[1]T13LWGSthdManip!F37)</f>
        <v>43534</v>
      </c>
      <c r="G40" s="702">
        <f>IF([1]T13LWGSthdManip!G37="","",[1]T13LWGSthdManip!G37)</f>
        <v>8284</v>
      </c>
      <c r="H40" s="854">
        <f>IF([1]T13LWGSthdManip!H37="","",[1]T13LWGSthdManip!H37)</f>
        <v>51818</v>
      </c>
      <c r="I40" s="1675"/>
      <c r="J40" s="1675"/>
    </row>
    <row r="41" spans="1:10" ht="15.75">
      <c r="A41" s="904" t="s">
        <v>431</v>
      </c>
      <c r="B41" s="702">
        <f>IF([1]T13LWGSthdManip!B38="","",[1]T13LWGSthdManip!B38)</f>
        <v>9234</v>
      </c>
      <c r="C41" s="702">
        <f>IF([1]T13LWGSthdManip!C38="","",[1]T13LWGSthdManip!C38)</f>
        <v>30945</v>
      </c>
      <c r="D41" s="909">
        <f>IF([1]T13LWGSthdManip!D38="","",[1]T13LWGSthdManip!D38)</f>
        <v>400</v>
      </c>
      <c r="E41" s="854">
        <f>IF([1]T13LWGSthdManip!E38="","",[1]T13LWGSthdManip!E38)</f>
        <v>3465</v>
      </c>
      <c r="F41" s="702">
        <f>IF([1]T13LWGSthdManip!F38="","",[1]T13LWGSthdManip!F38)</f>
        <v>24776</v>
      </c>
      <c r="G41" s="702">
        <f>IF([1]T13LWGSthdManip!G38="","",[1]T13LWGSthdManip!G38)</f>
        <v>9634</v>
      </c>
      <c r="H41" s="854">
        <f>IF([1]T13LWGSthdManip!H38="","",[1]T13LWGSthdManip!H38)</f>
        <v>34410</v>
      </c>
      <c r="I41" s="1675"/>
      <c r="J41" s="84"/>
    </row>
    <row r="42" spans="1:10" ht="15.75">
      <c r="A42" s="904" t="s">
        <v>432</v>
      </c>
      <c r="B42" s="702">
        <f>IF([1]T13LWGSthdManip!B39="","",[1]T13LWGSthdManip!B39)</f>
        <v>12213</v>
      </c>
      <c r="C42" s="702">
        <f>IF([1]T13LWGSthdManip!C39="","",[1]T13LWGSthdManip!C39)</f>
        <v>39989</v>
      </c>
      <c r="D42" s="909">
        <f>IF([1]T13LWGSthdManip!D39="","",[1]T13LWGSthdManip!D39)</f>
        <v>3265</v>
      </c>
      <c r="E42" s="854">
        <f>IF([1]T13LWGSthdManip!E39="","",[1]T13LWGSthdManip!E39)</f>
        <v>21326</v>
      </c>
      <c r="F42" s="702">
        <f>IF([1]T13LWGSthdManip!F39="","",[1]T13LWGSthdManip!F39)</f>
        <v>45837</v>
      </c>
      <c r="G42" s="702">
        <f>IF([1]T13LWGSthdManip!G39="","",[1]T13LWGSthdManip!G39)</f>
        <v>15478</v>
      </c>
      <c r="H42" s="854">
        <f>IF([1]T13LWGSthdManip!H39="","",[1]T13LWGSthdManip!H39)</f>
        <v>61315</v>
      </c>
      <c r="I42" s="1675"/>
      <c r="J42" s="84"/>
    </row>
    <row r="43" spans="1:10" ht="15.75">
      <c r="A43" s="904" t="s">
        <v>433</v>
      </c>
      <c r="B43" s="702">
        <f>IF([1]T13LWGSthdManip!B40="","",[1]T13LWGSthdManip!B40)</f>
        <v>8335</v>
      </c>
      <c r="C43" s="702">
        <f>IF([1]T13LWGSthdManip!C40="","",[1]T13LWGSthdManip!C40)</f>
        <v>34964</v>
      </c>
      <c r="D43" s="909">
        <f>IF([1]T13LWGSthdManip!D40="","",[1]T13LWGSthdManip!D40)</f>
        <v>1268</v>
      </c>
      <c r="E43" s="854">
        <f>IF([1]T13LWGSthdManip!E40="","",[1]T13LWGSthdManip!E40)</f>
        <v>7622</v>
      </c>
      <c r="F43" s="702">
        <f>IF([1]T13LWGSthdManip!F40="","",[1]T13LWGSthdManip!F40)</f>
        <v>32983</v>
      </c>
      <c r="G43" s="702">
        <f>IF([1]T13LWGSthdManip!G40="","",[1]T13LWGSthdManip!G40)</f>
        <v>9603</v>
      </c>
      <c r="H43" s="854">
        <f>IF([1]T13LWGSthdManip!H40="","",[1]T13LWGSthdManip!H40)</f>
        <v>42586</v>
      </c>
      <c r="I43" s="1675"/>
      <c r="J43" s="84"/>
    </row>
    <row r="44" spans="1:10" ht="15.75">
      <c r="A44" s="904" t="s">
        <v>434</v>
      </c>
      <c r="B44" s="702">
        <f>IF([1]T13LWGSthdManip!B41="","",[1]T13LWGSthdManip!B41)</f>
        <v>10907</v>
      </c>
      <c r="C44" s="702">
        <f>IF([1]T13LWGSthdManip!C41="","",[1]T13LWGSthdManip!C41)</f>
        <v>46351</v>
      </c>
      <c r="D44" s="909">
        <f>IF([1]T13LWGSthdManip!D41="","",[1]T13LWGSthdManip!D41)</f>
        <v>2934</v>
      </c>
      <c r="E44" s="854">
        <f>IF([1]T13LWGSthdManip!E41="","",[1]T13LWGSthdManip!E41)</f>
        <v>28664</v>
      </c>
      <c r="F44" s="702">
        <f>IF([1]T13LWGSthdManip!F41="","",[1]T13LWGSthdManip!F41)</f>
        <v>61174</v>
      </c>
      <c r="G44" s="702">
        <f>IF([1]T13LWGSthdManip!G41="","",[1]T13LWGSthdManip!G41)</f>
        <v>13841</v>
      </c>
      <c r="H44" s="854">
        <f>IF([1]T13LWGSthdManip!H41="","",[1]T13LWGSthdManip!H41)</f>
        <v>75015</v>
      </c>
      <c r="I44" s="1675"/>
      <c r="J44" s="84"/>
    </row>
    <row r="45" spans="1:10" ht="15.75">
      <c r="A45" s="904" t="s">
        <v>435</v>
      </c>
      <c r="B45" s="702">
        <f>IF([1]T13LWGSthdManip!B42="","",[1]T13LWGSthdManip!B42)</f>
        <v>13985</v>
      </c>
      <c r="C45" s="702">
        <f>IF([1]T13LWGSthdManip!C42="","",[1]T13LWGSthdManip!C42)</f>
        <v>55519</v>
      </c>
      <c r="D45" s="909">
        <f>IF([1]T13LWGSthdManip!D42="","",[1]T13LWGSthdManip!D42)</f>
        <v>2072</v>
      </c>
      <c r="E45" s="854">
        <f>IF([1]T13LWGSthdManip!E42="","",[1]T13LWGSthdManip!E42)</f>
        <v>11640</v>
      </c>
      <c r="F45" s="702">
        <f>IF([1]T13LWGSthdManip!F42="","",[1]T13LWGSthdManip!F42)</f>
        <v>51102</v>
      </c>
      <c r="G45" s="702">
        <f>IF([1]T13LWGSthdManip!G42="","",[1]T13LWGSthdManip!G42)</f>
        <v>16057</v>
      </c>
      <c r="H45" s="854">
        <f>IF([1]T13LWGSthdManip!H42="","",[1]T13LWGSthdManip!H42)</f>
        <v>67159</v>
      </c>
      <c r="I45" s="1675"/>
      <c r="J45" s="84"/>
    </row>
    <row r="46" spans="1:10" ht="17.100000000000001" customHeight="1">
      <c r="A46" s="905" t="s">
        <v>540</v>
      </c>
      <c r="B46" s="1071" t="str">
        <f>IF([1]T13LWGSthdManip!B43="","",[1]T13LWGSthdManip!B43)</f>
        <v>-</v>
      </c>
      <c r="C46" s="1071" t="str">
        <f>IF([1]T13LWGSthdManip!C43="","",[1]T13LWGSthdManip!C43)</f>
        <v>-</v>
      </c>
      <c r="D46" s="1408" t="str">
        <f>IF([1]T13LWGSthdManip!D43="","",[1]T13LWGSthdManip!D43)</f>
        <v>-</v>
      </c>
      <c r="E46" s="1409" t="str">
        <f>IF([1]T13LWGSthdManip!E43="","",[1]T13LWGSthdManip!E43)</f>
        <v>-</v>
      </c>
      <c r="F46" s="1071" t="str">
        <f>IF([1]T13LWGSthdManip!F43="","",[1]T13LWGSthdManip!F43)</f>
        <v>-</v>
      </c>
      <c r="G46" s="1071" t="str">
        <f>IF([1]T13LWGSthdManip!G43="","",[1]T13LWGSthdManip!G43)</f>
        <v>-</v>
      </c>
      <c r="H46" s="858">
        <f>IF([1]T13LWGSthdManip!H43="","",[1]T13LWGSthdManip!H43)</f>
        <v>102684</v>
      </c>
      <c r="I46" s="1675"/>
      <c r="J46" s="84"/>
    </row>
    <row r="47" spans="1:10" ht="20.25" customHeight="1">
      <c r="A47" s="1632" t="s">
        <v>541</v>
      </c>
      <c r="B47" s="441"/>
      <c r="C47" s="441"/>
      <c r="D47" s="441"/>
      <c r="E47" s="441"/>
      <c r="F47" s="441"/>
      <c r="G47" s="441"/>
      <c r="H47" s="441"/>
      <c r="I47" s="1675"/>
      <c r="J47" s="1675"/>
    </row>
    <row r="48" spans="1:10" ht="18" customHeight="1">
      <c r="A48" s="1632" t="s">
        <v>542</v>
      </c>
      <c r="B48" s="441"/>
      <c r="C48" s="441"/>
      <c r="D48" s="441"/>
      <c r="E48" s="441"/>
      <c r="F48" s="441"/>
      <c r="G48" s="441"/>
      <c r="H48" s="441"/>
      <c r="I48" s="1675"/>
      <c r="J48" s="1675"/>
    </row>
    <row r="49" spans="1:8" ht="39.6" customHeight="1">
      <c r="A49" s="1757" t="s">
        <v>543</v>
      </c>
      <c r="B49" s="1757"/>
      <c r="C49" s="1757"/>
      <c r="D49" s="1757"/>
      <c r="E49" s="1757"/>
      <c r="F49" s="1757"/>
      <c r="G49" s="1757"/>
      <c r="H49" s="1757"/>
    </row>
    <row r="50" spans="1:8" ht="15.75">
      <c r="A50" s="84"/>
      <c r="B50" s="1675"/>
      <c r="C50" s="1675"/>
      <c r="D50" s="1675"/>
      <c r="E50" s="1675"/>
      <c r="F50" s="1675"/>
      <c r="G50" s="1675"/>
      <c r="H50" s="1675"/>
    </row>
    <row r="51" spans="1:8" ht="15.75">
      <c r="A51" s="84" t="s">
        <v>87</v>
      </c>
      <c r="B51" s="1675"/>
      <c r="C51" s="1675"/>
      <c r="D51" s="1675"/>
      <c r="E51" s="1675"/>
      <c r="F51" s="1675"/>
      <c r="G51" s="1675"/>
      <c r="H51" s="1675"/>
    </row>
    <row r="52" spans="1:8" ht="15.75">
      <c r="A52" s="84"/>
      <c r="B52" s="1675"/>
      <c r="C52" s="1675"/>
      <c r="D52" s="1675"/>
      <c r="E52" s="1675"/>
      <c r="F52" s="1675"/>
      <c r="G52" s="1675"/>
      <c r="H52" s="1675"/>
    </row>
  </sheetData>
  <mergeCells count="5">
    <mergeCell ref="A4:A5"/>
    <mergeCell ref="B4:C4"/>
    <mergeCell ref="D4:E4"/>
    <mergeCell ref="F4:H4"/>
    <mergeCell ref="A49:H49"/>
  </mergeCells>
  <pageMargins left="0.75" right="0.75" top="1" bottom="1" header="0.5" footer="0.5"/>
  <pageSetup orientation="portrait" r:id="rId1"/>
  <headerFooter alignWithMargins="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DB222-ED8B-4714-93F2-C6290B81EBD3}">
  <sheetPr>
    <tabColor rgb="FF66FF33"/>
  </sheetPr>
  <dimension ref="A1:BB90"/>
  <sheetViews>
    <sheetView topLeftCell="S1" zoomScale="80" zoomScaleNormal="80" workbookViewId="0">
      <pane ySplit="4" topLeftCell="A5" activePane="bottomLeft" state="frozen"/>
      <selection pane="bottomLeft" activeCell="H54" sqref="H54"/>
      <selection activeCell="J33" sqref="J33"/>
    </sheetView>
  </sheetViews>
  <sheetFormatPr defaultColWidth="9.33203125" defaultRowHeight="12.75"/>
  <cols>
    <col min="1" max="1" width="10" style="75" customWidth="1"/>
    <col min="2" max="2" width="13.33203125" style="75" bestFit="1" customWidth="1"/>
    <col min="3" max="3" width="13.5" style="75" customWidth="1"/>
    <col min="4" max="4" width="14.6640625" style="75" customWidth="1"/>
    <col min="5" max="5" width="9.33203125" style="75"/>
    <col min="6" max="6" width="10" style="75" customWidth="1"/>
    <col min="7" max="7" width="7.6640625" style="75" customWidth="1"/>
    <col min="8" max="8" width="12.83203125" style="75" customWidth="1"/>
    <col min="9" max="11" width="9.33203125" style="75"/>
    <col min="12" max="12" width="56.6640625" style="75" customWidth="1"/>
    <col min="13" max="13" width="9.33203125" style="75"/>
    <col min="14" max="21" width="9.33203125" style="75" customWidth="1"/>
    <col min="22" max="23" width="12.1640625" style="75" bestFit="1" customWidth="1"/>
    <col min="24" max="25" width="12.6640625" style="75" customWidth="1"/>
    <col min="26" max="26" width="12.33203125" style="75" customWidth="1"/>
    <col min="27" max="27" width="12.6640625" style="75" customWidth="1"/>
    <col min="28" max="28" width="13.1640625" style="75" customWidth="1"/>
    <col min="29" max="31" width="12.6640625" style="75" customWidth="1"/>
    <col min="32" max="34" width="9.33203125" style="75"/>
    <col min="35" max="35" width="10.6640625" style="75" bestFit="1" customWidth="1"/>
    <col min="36" max="36" width="16.83203125" style="75" customWidth="1"/>
    <col min="37" max="40" width="9.33203125" style="75"/>
    <col min="41" max="41" width="10.1640625" style="75" customWidth="1"/>
    <col min="42" max="44" width="9.33203125" style="75"/>
    <col min="45" max="45" width="10.1640625" style="75" customWidth="1"/>
    <col min="46" max="46" width="10.33203125" style="75" customWidth="1"/>
    <col min="47" max="48" width="9.33203125" style="75"/>
    <col min="49" max="49" width="10.83203125" style="75" customWidth="1"/>
    <col min="50" max="50" width="11.33203125" style="75" customWidth="1"/>
    <col min="51" max="51" width="10.6640625" style="75" customWidth="1"/>
    <col min="52" max="16384" width="9.33203125" style="75"/>
  </cols>
  <sheetData>
    <row r="1" spans="1:53" ht="17.25" customHeight="1">
      <c r="A1" s="1645"/>
      <c r="B1" s="1645" t="s">
        <v>544</v>
      </c>
      <c r="C1" s="1645"/>
      <c r="D1" s="1645"/>
      <c r="E1" s="1645"/>
      <c r="F1" s="1645"/>
      <c r="G1" s="1645"/>
      <c r="H1" s="1645"/>
      <c r="I1" s="1645"/>
      <c r="J1" s="1645"/>
      <c r="K1" s="1645"/>
      <c r="L1" s="1645"/>
      <c r="M1" s="1645"/>
      <c r="N1" s="1645"/>
      <c r="O1" s="1645"/>
      <c r="P1" s="1645"/>
      <c r="Q1" s="1645"/>
      <c r="R1" s="1645"/>
      <c r="S1" s="1645"/>
      <c r="T1" s="1645"/>
      <c r="U1" s="1645"/>
      <c r="V1" s="1645"/>
      <c r="W1" s="1645"/>
      <c r="X1" s="1645"/>
      <c r="Y1" s="1645"/>
      <c r="Z1" s="1645"/>
      <c r="AA1" s="1645"/>
      <c r="AB1" s="1645"/>
      <c r="AC1" s="1645"/>
      <c r="AD1" s="1645"/>
      <c r="AE1" s="1645"/>
      <c r="AF1" s="1645"/>
      <c r="AG1" s="1645"/>
      <c r="AH1" s="1645"/>
      <c r="AI1" s="1645"/>
      <c r="AJ1" s="1645"/>
      <c r="AK1" s="1645"/>
      <c r="AL1" s="1645"/>
      <c r="AM1" s="1645"/>
      <c r="AN1" s="1645"/>
      <c r="AO1" s="1645"/>
      <c r="AP1" s="1645"/>
      <c r="AQ1" s="1645"/>
      <c r="AR1" s="1645"/>
      <c r="AS1" s="1645"/>
      <c r="AT1" s="1645"/>
      <c r="AU1" s="1645"/>
      <c r="AV1" s="1645"/>
      <c r="AW1" s="1645"/>
      <c r="AX1" s="1645"/>
      <c r="AY1" s="1645"/>
      <c r="AZ1" s="1645"/>
      <c r="BA1" s="1645"/>
    </row>
    <row r="2" spans="1:53" ht="13.5" customHeight="1">
      <c r="A2" s="1645"/>
      <c r="B2" s="1645" t="s">
        <v>446</v>
      </c>
      <c r="C2" s="1862" t="s">
        <v>545</v>
      </c>
      <c r="D2" s="1862"/>
      <c r="E2" s="1862"/>
      <c r="F2" s="1862"/>
      <c r="G2" s="1862"/>
      <c r="H2" s="1645"/>
      <c r="I2" s="1645"/>
      <c r="J2" s="1645"/>
      <c r="K2" s="1863" t="s">
        <v>546</v>
      </c>
      <c r="L2" s="1863"/>
      <c r="M2" s="1645"/>
      <c r="N2" s="1645"/>
      <c r="O2" s="1645"/>
      <c r="P2" s="1645"/>
      <c r="Q2" s="1645"/>
      <c r="R2" s="1645"/>
      <c r="S2" s="1645"/>
      <c r="T2" s="1645"/>
      <c r="U2" s="1645"/>
      <c r="V2" s="1645"/>
      <c r="W2" s="1645"/>
      <c r="X2" s="1645"/>
      <c r="Y2" s="1645"/>
      <c r="Z2" s="1645"/>
      <c r="AA2" s="1645"/>
      <c r="AB2" s="1645"/>
      <c r="AC2" s="1645"/>
      <c r="AD2" s="1645"/>
      <c r="AE2" s="1645"/>
      <c r="AF2" s="1645"/>
      <c r="AG2" s="412"/>
      <c r="AH2" s="1645" t="s">
        <v>547</v>
      </c>
      <c r="AI2" s="1645"/>
      <c r="AJ2" s="1645"/>
      <c r="AK2" s="1645"/>
      <c r="AL2" s="1645"/>
      <c r="AM2" s="1645"/>
      <c r="AN2" s="1864"/>
      <c r="AO2" s="1864" t="s">
        <v>548</v>
      </c>
      <c r="AP2" s="1864"/>
      <c r="AQ2" s="1864"/>
      <c r="AR2" s="1864"/>
      <c r="AS2" s="1864"/>
      <c r="AT2" s="1864"/>
      <c r="AU2" s="1864"/>
      <c r="AV2" s="1864"/>
      <c r="AW2" s="1864"/>
      <c r="AX2" s="1864"/>
      <c r="AY2" s="1864"/>
      <c r="AZ2" s="1864"/>
      <c r="BA2" s="1645"/>
    </row>
    <row r="3" spans="1:53" ht="14.25" customHeight="1">
      <c r="A3" s="1645"/>
      <c r="B3" s="1645" t="s">
        <v>549</v>
      </c>
      <c r="C3" s="1788" t="s">
        <v>546</v>
      </c>
      <c r="D3" s="1788"/>
      <c r="E3" s="1645" t="s">
        <v>550</v>
      </c>
      <c r="F3" s="1788" t="s">
        <v>551</v>
      </c>
      <c r="G3" s="1788"/>
      <c r="H3" s="1645" t="s">
        <v>552</v>
      </c>
      <c r="I3" s="1645"/>
      <c r="J3" s="1645"/>
      <c r="K3" s="1675" t="s">
        <v>553</v>
      </c>
      <c r="L3" s="1645"/>
      <c r="M3" s="1645"/>
      <c r="N3" s="1645"/>
      <c r="O3" s="1645"/>
      <c r="P3" s="1645"/>
      <c r="Q3" s="1645"/>
      <c r="R3" s="1645"/>
      <c r="S3" s="1645"/>
      <c r="T3" s="1645"/>
      <c r="U3" s="1645"/>
      <c r="V3" s="1645"/>
      <c r="W3" s="1645"/>
      <c r="X3" s="1645"/>
      <c r="Y3" s="1645"/>
      <c r="Z3" s="1645"/>
      <c r="AA3" s="1645"/>
      <c r="AB3" s="1645"/>
      <c r="AC3" s="1645"/>
      <c r="AD3" s="1645"/>
      <c r="AE3" s="1645"/>
      <c r="AF3" s="1645"/>
      <c r="AG3" s="1645"/>
      <c r="AH3" s="1645"/>
      <c r="AI3" s="1645"/>
      <c r="AJ3" s="1645"/>
      <c r="AK3" s="1645"/>
      <c r="AL3" s="1645"/>
      <c r="AM3" s="1645"/>
      <c r="AN3" s="1864"/>
      <c r="AO3" s="1864" t="s">
        <v>554</v>
      </c>
      <c r="AP3" s="1864"/>
      <c r="AQ3" s="1864"/>
      <c r="AR3" s="1864"/>
      <c r="AS3" s="1864"/>
      <c r="AT3" s="1864"/>
      <c r="AU3" s="1864"/>
      <c r="AV3" s="1864"/>
      <c r="AW3" s="1864"/>
      <c r="AX3" s="1864"/>
      <c r="AY3" s="1864"/>
      <c r="AZ3" s="1864"/>
      <c r="BA3" s="1645"/>
    </row>
    <row r="4" spans="1:53" ht="13.5" thickBot="1">
      <c r="A4" s="1645" t="s">
        <v>28</v>
      </c>
      <c r="B4" s="1645" t="s">
        <v>555</v>
      </c>
      <c r="C4" s="1645" t="s">
        <v>556</v>
      </c>
      <c r="D4" s="1645" t="s">
        <v>557</v>
      </c>
      <c r="E4" s="1645" t="s">
        <v>558</v>
      </c>
      <c r="F4" s="1645" t="s">
        <v>556</v>
      </c>
      <c r="G4" s="1645" t="s">
        <v>557</v>
      </c>
      <c r="H4" s="1645" t="s">
        <v>559</v>
      </c>
      <c r="I4" s="1645"/>
      <c r="J4" s="1645"/>
      <c r="K4" s="1645"/>
      <c r="L4" s="1645"/>
      <c r="M4" s="1645"/>
      <c r="N4" s="1645"/>
      <c r="O4" s="1645"/>
      <c r="P4" s="1645"/>
      <c r="Q4" s="1645"/>
      <c r="R4" s="1645"/>
      <c r="S4" s="1645"/>
      <c r="T4" s="1645"/>
      <c r="U4" s="1645"/>
      <c r="V4" s="1645"/>
      <c r="W4" s="422"/>
      <c r="X4" s="1645"/>
      <c r="Y4" s="1645"/>
      <c r="Z4" s="1645"/>
      <c r="AA4" s="1645"/>
      <c r="AB4" s="1645"/>
      <c r="AC4" s="1645"/>
      <c r="AD4" s="1645"/>
      <c r="AE4" s="1645"/>
      <c r="AF4" s="1645"/>
      <c r="AG4" s="1645"/>
      <c r="AH4" s="1675"/>
      <c r="AI4" s="1675"/>
      <c r="AJ4" s="1675"/>
      <c r="AK4" s="1675"/>
      <c r="AL4" s="1645"/>
      <c r="AM4" s="1645"/>
      <c r="AN4" s="1675"/>
      <c r="AO4" s="1675"/>
      <c r="AP4" s="1858"/>
      <c r="AQ4" s="1858" t="s">
        <v>472</v>
      </c>
      <c r="AR4" s="1858"/>
      <c r="AS4" s="1675"/>
      <c r="AT4" s="1675"/>
      <c r="AU4" s="1675"/>
      <c r="AV4" s="1675"/>
      <c r="AW4" s="1675"/>
      <c r="AX4" s="1675"/>
      <c r="AY4" s="1675"/>
      <c r="AZ4" s="1675"/>
      <c r="BA4" s="1645"/>
    </row>
    <row r="5" spans="1:53" ht="57" thickBot="1">
      <c r="A5" s="1645">
        <v>1980</v>
      </c>
      <c r="B5" s="536">
        <v>0.3</v>
      </c>
      <c r="C5" s="536">
        <v>3.8</v>
      </c>
      <c r="D5" s="536">
        <v>18.100000000000001</v>
      </c>
      <c r="E5" s="536">
        <v>20.5</v>
      </c>
      <c r="F5" s="536"/>
      <c r="G5" s="536">
        <v>5.0999999999999996</v>
      </c>
      <c r="H5" s="536">
        <v>47.8</v>
      </c>
      <c r="I5" s="1645"/>
      <c r="J5" s="1645"/>
      <c r="K5" s="423"/>
      <c r="L5" s="516" t="s">
        <v>545</v>
      </c>
      <c r="M5" s="516" t="s">
        <v>560</v>
      </c>
      <c r="N5" s="516">
        <v>2008</v>
      </c>
      <c r="O5" s="516">
        <v>2009</v>
      </c>
      <c r="P5" s="516">
        <v>2010</v>
      </c>
      <c r="Q5" s="516">
        <v>2011</v>
      </c>
      <c r="R5" s="516">
        <v>2012</v>
      </c>
      <c r="S5" s="516">
        <v>2013</v>
      </c>
      <c r="T5" s="516">
        <v>2014</v>
      </c>
      <c r="U5" s="516">
        <v>2015</v>
      </c>
      <c r="V5" s="516">
        <v>2016</v>
      </c>
      <c r="W5" s="516">
        <v>2017</v>
      </c>
      <c r="X5" s="421">
        <v>2018</v>
      </c>
      <c r="Y5" s="421">
        <v>2019</v>
      </c>
      <c r="Z5" s="421">
        <v>2020</v>
      </c>
      <c r="AA5" s="421">
        <v>2021</v>
      </c>
      <c r="AB5" s="421">
        <v>2022</v>
      </c>
      <c r="AC5" s="421">
        <v>2023</v>
      </c>
      <c r="AD5" s="421">
        <v>2024</v>
      </c>
      <c r="AE5" s="421">
        <v>2025</v>
      </c>
      <c r="AF5" s="1645"/>
      <c r="AG5" s="414"/>
      <c r="AH5" s="414" t="s">
        <v>28</v>
      </c>
      <c r="AI5" s="414" t="s">
        <v>561</v>
      </c>
      <c r="AJ5" s="414" t="s">
        <v>562</v>
      </c>
      <c r="AK5" s="414" t="s">
        <v>563</v>
      </c>
      <c r="AL5" s="1645" t="s">
        <v>564</v>
      </c>
      <c r="AM5" s="1645"/>
      <c r="AN5" s="415"/>
      <c r="AO5" s="416" t="s">
        <v>28</v>
      </c>
      <c r="AP5" s="416" t="s">
        <v>565</v>
      </c>
      <c r="AQ5" s="416" t="s">
        <v>566</v>
      </c>
      <c r="AR5" s="416" t="s">
        <v>567</v>
      </c>
      <c r="AS5" s="416" t="s">
        <v>568</v>
      </c>
      <c r="AT5" s="416" t="s">
        <v>569</v>
      </c>
      <c r="AU5" s="416" t="s">
        <v>570</v>
      </c>
      <c r="AV5" s="416" t="s">
        <v>571</v>
      </c>
      <c r="AW5" s="416" t="s">
        <v>572</v>
      </c>
      <c r="AX5" s="416" t="s">
        <v>573</v>
      </c>
      <c r="AY5" s="416" t="s">
        <v>574</v>
      </c>
      <c r="AZ5" s="416" t="s">
        <v>575</v>
      </c>
      <c r="BA5" s="1645" t="s">
        <v>576</v>
      </c>
    </row>
    <row r="6" spans="1:53">
      <c r="A6" s="1645">
        <v>1981</v>
      </c>
      <c r="B6" s="536">
        <v>1.9</v>
      </c>
      <c r="C6" s="536">
        <v>2.5</v>
      </c>
      <c r="D6" s="536">
        <v>22.9</v>
      </c>
      <c r="E6" s="536">
        <v>23</v>
      </c>
      <c r="F6" s="536"/>
      <c r="G6" s="536">
        <v>6.3</v>
      </c>
      <c r="H6" s="536">
        <v>56.6</v>
      </c>
      <c r="I6" s="1645"/>
      <c r="J6" s="1645"/>
      <c r="K6" s="1859" t="s">
        <v>577</v>
      </c>
      <c r="L6" s="516" t="s">
        <v>578</v>
      </c>
      <c r="M6" s="516">
        <v>112</v>
      </c>
      <c r="N6" s="516">
        <v>0</v>
      </c>
      <c r="O6" s="516">
        <v>0</v>
      </c>
      <c r="P6" s="516"/>
      <c r="Q6" s="516" t="s">
        <v>498</v>
      </c>
      <c r="R6" s="516" t="s">
        <v>498</v>
      </c>
      <c r="S6" s="516" t="s">
        <v>498</v>
      </c>
      <c r="T6" s="516"/>
      <c r="U6" s="516">
        <v>0</v>
      </c>
      <c r="V6" s="516">
        <v>0</v>
      </c>
      <c r="W6" s="516">
        <v>0</v>
      </c>
      <c r="X6" s="420">
        <v>0</v>
      </c>
      <c r="Y6" s="545"/>
      <c r="Z6" s="545"/>
      <c r="AA6" s="545"/>
      <c r="AB6" s="545"/>
      <c r="AC6" s="545"/>
      <c r="AD6" s="545"/>
      <c r="AE6" s="545"/>
      <c r="AF6" s="1645"/>
      <c r="AG6" s="1675"/>
      <c r="AH6" s="1675">
        <v>2004</v>
      </c>
      <c r="AI6" s="1675">
        <v>26795</v>
      </c>
      <c r="AJ6" s="1645">
        <f t="shared" ref="AJ6:AJ16" si="0">AS38</f>
        <v>2052</v>
      </c>
      <c r="AK6" s="1645"/>
      <c r="AL6" s="1645"/>
      <c r="AM6" s="1645"/>
      <c r="AN6" s="417"/>
      <c r="AO6" s="418">
        <v>1972</v>
      </c>
      <c r="AP6" s="418">
        <v>0</v>
      </c>
      <c r="AQ6" s="418">
        <v>0</v>
      </c>
      <c r="AR6" s="1675">
        <v>0</v>
      </c>
      <c r="AS6" s="1675">
        <f t="shared" ref="AS6:AS49" si="1">AQ6+AR6</f>
        <v>0</v>
      </c>
      <c r="AT6" s="418">
        <v>197</v>
      </c>
      <c r="AU6" s="418">
        <v>0</v>
      </c>
      <c r="AV6" s="418">
        <v>0</v>
      </c>
      <c r="AW6" s="418">
        <v>0</v>
      </c>
      <c r="AX6" s="418">
        <v>0</v>
      </c>
      <c r="AY6" s="1675">
        <v>0</v>
      </c>
      <c r="AZ6" s="1675">
        <v>197</v>
      </c>
      <c r="BA6" s="1645">
        <v>197</v>
      </c>
    </row>
    <row r="7" spans="1:53">
      <c r="A7" s="1645">
        <v>1982</v>
      </c>
      <c r="B7" s="536">
        <v>1.8</v>
      </c>
      <c r="C7" s="536">
        <v>3.6</v>
      </c>
      <c r="D7" s="536">
        <v>18.7</v>
      </c>
      <c r="E7" s="536">
        <v>19.2</v>
      </c>
      <c r="F7" s="536"/>
      <c r="G7" s="536">
        <v>5.8</v>
      </c>
      <c r="H7" s="536">
        <v>49.1</v>
      </c>
      <c r="I7" s="1645"/>
      <c r="J7" s="1645"/>
      <c r="K7" s="1860"/>
      <c r="L7" s="1675" t="s">
        <v>579</v>
      </c>
      <c r="M7" s="1675">
        <v>114</v>
      </c>
      <c r="N7" s="1675">
        <v>0</v>
      </c>
      <c r="O7" s="1675">
        <v>0</v>
      </c>
      <c r="P7" s="1675">
        <v>0</v>
      </c>
      <c r="Q7" s="1675">
        <v>0</v>
      </c>
      <c r="R7" s="1675">
        <v>0</v>
      </c>
      <c r="S7" s="1675"/>
      <c r="T7" s="1675"/>
      <c r="U7" s="1675"/>
      <c r="V7" s="1675">
        <v>0</v>
      </c>
      <c r="W7" s="1675">
        <v>0</v>
      </c>
      <c r="X7" s="420">
        <v>0</v>
      </c>
      <c r="Y7" s="545"/>
      <c r="Z7" s="545"/>
      <c r="AA7" s="545"/>
      <c r="AB7" s="545"/>
      <c r="AC7" s="545"/>
      <c r="AD7" s="545"/>
      <c r="AE7" s="545"/>
      <c r="AF7" s="1645"/>
      <c r="AG7" s="1675"/>
      <c r="AH7" s="1675">
        <v>2005</v>
      </c>
      <c r="AI7" s="419">
        <v>9027</v>
      </c>
      <c r="AJ7" s="1645">
        <f t="shared" si="0"/>
        <v>290</v>
      </c>
      <c r="AK7" s="1645"/>
      <c r="AL7" s="1645"/>
      <c r="AM7" s="1645"/>
      <c r="AN7" s="417"/>
      <c r="AO7" s="418">
        <v>1973</v>
      </c>
      <c r="AP7" s="418">
        <v>0</v>
      </c>
      <c r="AQ7" s="418">
        <v>0</v>
      </c>
      <c r="AR7" s="1675">
        <v>0</v>
      </c>
      <c r="AS7" s="1675">
        <f t="shared" si="1"/>
        <v>0</v>
      </c>
      <c r="AT7" s="418">
        <v>102</v>
      </c>
      <c r="AU7" s="418">
        <v>0</v>
      </c>
      <c r="AV7" s="418">
        <v>0</v>
      </c>
      <c r="AW7" s="418">
        <v>0</v>
      </c>
      <c r="AX7" s="418">
        <v>0</v>
      </c>
      <c r="AY7" s="1675">
        <v>0</v>
      </c>
      <c r="AZ7" s="1675">
        <v>102</v>
      </c>
      <c r="BA7" s="1645">
        <v>102</v>
      </c>
    </row>
    <row r="8" spans="1:53">
      <c r="A8" s="1645">
        <v>1983</v>
      </c>
      <c r="B8" s="536">
        <v>0.8</v>
      </c>
      <c r="C8" s="536">
        <v>1.5</v>
      </c>
      <c r="D8" s="536">
        <v>6.8</v>
      </c>
      <c r="E8" s="536">
        <v>8.6</v>
      </c>
      <c r="F8" s="536"/>
      <c r="G8" s="536">
        <v>2</v>
      </c>
      <c r="H8" s="536">
        <v>19.7</v>
      </c>
      <c r="I8" s="1645"/>
      <c r="J8" s="1645"/>
      <c r="K8" s="1860"/>
      <c r="L8" s="1675" t="s">
        <v>580</v>
      </c>
      <c r="M8" s="1675">
        <v>115</v>
      </c>
      <c r="N8" s="1675">
        <v>0</v>
      </c>
      <c r="O8" s="1675">
        <v>0</v>
      </c>
      <c r="P8" s="1675">
        <v>0</v>
      </c>
      <c r="Q8" s="1675">
        <v>11</v>
      </c>
      <c r="R8" s="1675">
        <v>0</v>
      </c>
      <c r="S8" s="1675"/>
      <c r="T8" s="1675"/>
      <c r="U8" s="1675">
        <v>0</v>
      </c>
      <c r="V8" s="1675">
        <v>21</v>
      </c>
      <c r="W8" s="1675">
        <v>7</v>
      </c>
      <c r="X8" s="420">
        <v>0</v>
      </c>
      <c r="Y8" s="545"/>
      <c r="Z8" s="545"/>
      <c r="AA8" s="545"/>
      <c r="AB8" s="545"/>
      <c r="AC8" s="545"/>
      <c r="AD8" s="545"/>
      <c r="AE8" s="545"/>
      <c r="AF8" s="1645"/>
      <c r="AG8" s="1675"/>
      <c r="AH8" s="1675">
        <v>2006</v>
      </c>
      <c r="AI8" s="419">
        <v>16752</v>
      </c>
      <c r="AJ8" s="1645">
        <f t="shared" si="0"/>
        <v>600</v>
      </c>
      <c r="AK8" s="1645"/>
      <c r="AL8" s="1645"/>
      <c r="AM8" s="1645"/>
      <c r="AN8" s="417"/>
      <c r="AO8" s="418">
        <v>1974</v>
      </c>
      <c r="AP8" s="418">
        <v>0</v>
      </c>
      <c r="AQ8" s="418">
        <v>0</v>
      </c>
      <c r="AR8" s="1675">
        <v>0</v>
      </c>
      <c r="AS8" s="1675">
        <f t="shared" si="1"/>
        <v>0</v>
      </c>
      <c r="AT8" s="418">
        <v>810</v>
      </c>
      <c r="AU8" s="418">
        <v>0</v>
      </c>
      <c r="AV8" s="418">
        <v>0</v>
      </c>
      <c r="AW8" s="418">
        <v>0</v>
      </c>
      <c r="AX8" s="418">
        <v>0</v>
      </c>
      <c r="AY8" s="1675">
        <v>0</v>
      </c>
      <c r="AZ8" s="1675">
        <v>810</v>
      </c>
      <c r="BA8" s="1645">
        <v>810</v>
      </c>
    </row>
    <row r="9" spans="1:53">
      <c r="A9" s="1645">
        <v>1984</v>
      </c>
      <c r="B9" s="536">
        <v>2.7</v>
      </c>
      <c r="C9" s="536">
        <v>6.2</v>
      </c>
      <c r="D9" s="536">
        <v>11.3</v>
      </c>
      <c r="E9" s="536">
        <v>43.7</v>
      </c>
      <c r="F9" s="536">
        <v>0.2</v>
      </c>
      <c r="G9" s="536">
        <v>4.5999999999999996</v>
      </c>
      <c r="H9" s="536">
        <v>68.7</v>
      </c>
      <c r="I9" s="1645"/>
      <c r="J9" s="1645"/>
      <c r="K9" s="1860"/>
      <c r="L9" s="1675" t="s">
        <v>581</v>
      </c>
      <c r="M9" s="1675">
        <v>116</v>
      </c>
      <c r="N9" s="1675">
        <v>30</v>
      </c>
      <c r="O9" s="1675">
        <v>20</v>
      </c>
      <c r="P9" s="1675">
        <v>8</v>
      </c>
      <c r="Q9" s="1675">
        <v>28</v>
      </c>
      <c r="R9" s="1675">
        <v>15</v>
      </c>
      <c r="S9" s="1675">
        <v>0</v>
      </c>
      <c r="T9" s="1675">
        <v>5</v>
      </c>
      <c r="U9" s="1675">
        <v>0</v>
      </c>
      <c r="V9" s="1675">
        <v>14</v>
      </c>
      <c r="W9" s="1675">
        <v>37</v>
      </c>
      <c r="X9" s="420">
        <v>13</v>
      </c>
      <c r="Y9" s="545"/>
      <c r="Z9" s="545"/>
      <c r="AA9" s="545"/>
      <c r="AB9" s="545"/>
      <c r="AC9" s="545"/>
      <c r="AD9" s="545"/>
      <c r="AE9" s="545"/>
      <c r="AF9" s="1645"/>
      <c r="AG9" s="1675"/>
      <c r="AH9" s="1675">
        <v>2007</v>
      </c>
      <c r="AI9" s="419">
        <v>13593</v>
      </c>
      <c r="AJ9" s="1645">
        <f t="shared" si="0"/>
        <v>238</v>
      </c>
      <c r="AK9" s="1645"/>
      <c r="AL9" s="1645"/>
      <c r="AM9" s="1645"/>
      <c r="AN9" s="417"/>
      <c r="AO9" s="418">
        <v>1975</v>
      </c>
      <c r="AP9" s="418">
        <v>0</v>
      </c>
      <c r="AQ9" s="418">
        <v>0</v>
      </c>
      <c r="AR9" s="1675">
        <v>0</v>
      </c>
      <c r="AS9" s="1675">
        <f t="shared" si="1"/>
        <v>0</v>
      </c>
      <c r="AT9" s="418">
        <v>2264</v>
      </c>
      <c r="AU9" s="418">
        <v>0</v>
      </c>
      <c r="AV9" s="418">
        <v>0</v>
      </c>
      <c r="AW9" s="418">
        <v>0</v>
      </c>
      <c r="AX9" s="418">
        <v>0</v>
      </c>
      <c r="AY9" s="1675">
        <v>0</v>
      </c>
      <c r="AZ9" s="1675">
        <v>2264</v>
      </c>
      <c r="BA9" s="1645">
        <v>2264</v>
      </c>
    </row>
    <row r="10" spans="1:53">
      <c r="A10" s="92">
        <v>1985</v>
      </c>
      <c r="B10" s="537">
        <v>1.8</v>
      </c>
      <c r="C10" s="537">
        <v>3.9</v>
      </c>
      <c r="D10" s="537">
        <v>15.9</v>
      </c>
      <c r="E10" s="537">
        <v>32.299999999999997</v>
      </c>
      <c r="F10" s="92">
        <v>0.2</v>
      </c>
      <c r="G10" s="537">
        <v>3</v>
      </c>
      <c r="H10" s="537">
        <v>57.1</v>
      </c>
      <c r="I10" s="1645"/>
      <c r="J10" s="1645"/>
      <c r="K10" s="1860"/>
      <c r="L10" s="1675" t="s">
        <v>582</v>
      </c>
      <c r="M10" s="1675">
        <v>117</v>
      </c>
      <c r="N10" s="1675">
        <v>0</v>
      </c>
      <c r="O10" s="1675">
        <v>10</v>
      </c>
      <c r="P10" s="1675">
        <v>0</v>
      </c>
      <c r="Q10" s="1675">
        <v>0</v>
      </c>
      <c r="R10" s="1675">
        <v>9</v>
      </c>
      <c r="S10" s="1675"/>
      <c r="T10" s="1675"/>
      <c r="U10" s="1675"/>
      <c r="V10" s="1675">
        <v>0</v>
      </c>
      <c r="W10" s="1675">
        <v>0</v>
      </c>
      <c r="X10" s="420">
        <v>0</v>
      </c>
      <c r="Y10" s="545"/>
      <c r="Z10" s="545"/>
      <c r="AA10" s="545"/>
      <c r="AB10" s="545"/>
      <c r="AC10" s="545"/>
      <c r="AD10" s="545"/>
      <c r="AE10" s="545"/>
      <c r="AF10" s="1645"/>
      <c r="AG10" s="1675"/>
      <c r="AH10" s="1675">
        <v>2008</v>
      </c>
      <c r="AI10" s="419">
        <v>13834</v>
      </c>
      <c r="AJ10" s="522">
        <f t="shared" si="0"/>
        <v>83</v>
      </c>
      <c r="AK10" s="1645"/>
      <c r="AL10" s="1645">
        <f t="shared" ref="AL10:AL24" si="2">SUM(AI10:AK10)</f>
        <v>13917</v>
      </c>
      <c r="AM10" s="1645"/>
      <c r="AN10" s="417"/>
      <c r="AO10" s="418">
        <v>1976</v>
      </c>
      <c r="AP10" s="418">
        <v>0</v>
      </c>
      <c r="AQ10" s="418">
        <v>0</v>
      </c>
      <c r="AR10" s="1675">
        <v>0</v>
      </c>
      <c r="AS10" s="1675">
        <f t="shared" si="1"/>
        <v>0</v>
      </c>
      <c r="AT10" s="418">
        <v>1506</v>
      </c>
      <c r="AU10" s="418">
        <v>0</v>
      </c>
      <c r="AV10" s="418">
        <v>0</v>
      </c>
      <c r="AW10" s="418">
        <v>0</v>
      </c>
      <c r="AX10" s="418">
        <v>0</v>
      </c>
      <c r="AY10" s="1675">
        <v>0</v>
      </c>
      <c r="AZ10" s="1675">
        <v>1506</v>
      </c>
      <c r="BA10" s="1645">
        <v>1506</v>
      </c>
    </row>
    <row r="11" spans="1:53">
      <c r="A11" s="92">
        <v>1986</v>
      </c>
      <c r="B11" s="537">
        <v>3</v>
      </c>
      <c r="C11" s="537">
        <v>4.4000000000000004</v>
      </c>
      <c r="D11" s="537">
        <v>26.9</v>
      </c>
      <c r="E11" s="537">
        <v>53.3</v>
      </c>
      <c r="F11" s="92"/>
      <c r="G11" s="537">
        <v>2.2999999999999998</v>
      </c>
      <c r="H11" s="537">
        <v>89.9</v>
      </c>
      <c r="I11" s="1645"/>
      <c r="J11" s="1645"/>
      <c r="K11" s="1860"/>
      <c r="L11" s="1675" t="s">
        <v>583</v>
      </c>
      <c r="M11" s="1675">
        <v>122</v>
      </c>
      <c r="N11" s="538" t="s">
        <v>498</v>
      </c>
      <c r="O11" s="538" t="s">
        <v>498</v>
      </c>
      <c r="P11" s="1675">
        <v>1500</v>
      </c>
      <c r="Q11" s="1675">
        <v>318</v>
      </c>
      <c r="R11" s="1675">
        <v>560</v>
      </c>
      <c r="S11" s="1675">
        <v>352</v>
      </c>
      <c r="T11" s="1675">
        <v>582</v>
      </c>
      <c r="U11" s="1675">
        <v>259</v>
      </c>
      <c r="V11" s="1675">
        <v>483</v>
      </c>
      <c r="W11" s="1675">
        <v>147</v>
      </c>
      <c r="X11" s="420">
        <v>131</v>
      </c>
      <c r="Y11" s="545"/>
      <c r="Z11" s="545"/>
      <c r="AA11" s="545"/>
      <c r="AB11" s="545"/>
      <c r="AC11" s="545"/>
      <c r="AD11" s="545"/>
      <c r="AE11" s="545"/>
      <c r="AF11" s="1645"/>
      <c r="AG11" s="1675"/>
      <c r="AH11" s="1675">
        <v>2009</v>
      </c>
      <c r="AI11" s="419">
        <v>14119</v>
      </c>
      <c r="AJ11" s="522">
        <f t="shared" si="0"/>
        <v>79</v>
      </c>
      <c r="AK11" s="1645"/>
      <c r="AL11" s="1645">
        <f t="shared" si="2"/>
        <v>14198</v>
      </c>
      <c r="AM11" s="1645"/>
      <c r="AN11" s="417"/>
      <c r="AO11" s="418">
        <v>1977</v>
      </c>
      <c r="AP11" s="418">
        <v>0</v>
      </c>
      <c r="AQ11" s="418">
        <v>0</v>
      </c>
      <c r="AR11" s="1675">
        <v>0</v>
      </c>
      <c r="AS11" s="1675">
        <f t="shared" si="1"/>
        <v>0</v>
      </c>
      <c r="AT11" s="418">
        <v>3296</v>
      </c>
      <c r="AU11" s="418">
        <v>0</v>
      </c>
      <c r="AV11" s="418">
        <v>0</v>
      </c>
      <c r="AW11" s="418">
        <v>0</v>
      </c>
      <c r="AX11" s="418">
        <v>0</v>
      </c>
      <c r="AY11" s="1675">
        <v>0</v>
      </c>
      <c r="AZ11" s="1675">
        <v>3296</v>
      </c>
      <c r="BA11" s="1645">
        <v>3296</v>
      </c>
    </row>
    <row r="12" spans="1:53">
      <c r="A12" s="92">
        <v>1987</v>
      </c>
      <c r="B12" s="537">
        <v>1.6</v>
      </c>
      <c r="C12" s="537">
        <v>4.2</v>
      </c>
      <c r="D12" s="537">
        <v>17.399999999999999</v>
      </c>
      <c r="E12" s="537">
        <v>33.6</v>
      </c>
      <c r="F12" s="92"/>
      <c r="G12" s="537">
        <v>1.6</v>
      </c>
      <c r="H12" s="537">
        <v>58.4</v>
      </c>
      <c r="I12" s="1645"/>
      <c r="J12" s="1645"/>
      <c r="K12" s="1860"/>
      <c r="L12" s="1675" t="s">
        <v>584</v>
      </c>
      <c r="M12" s="1675">
        <v>122</v>
      </c>
      <c r="N12" s="1675">
        <v>2282</v>
      </c>
      <c r="O12" s="1675">
        <v>2427</v>
      </c>
      <c r="P12" s="538" t="s">
        <v>498</v>
      </c>
      <c r="Q12" s="538" t="s">
        <v>498</v>
      </c>
      <c r="R12" s="1675" t="s">
        <v>498</v>
      </c>
      <c r="S12" s="1675" t="s">
        <v>498</v>
      </c>
      <c r="T12" s="1675" t="s">
        <v>498</v>
      </c>
      <c r="U12" s="1675" t="s">
        <v>498</v>
      </c>
      <c r="V12" s="1675" t="s">
        <v>498</v>
      </c>
      <c r="W12" s="1675" t="s">
        <v>498</v>
      </c>
      <c r="X12" s="420" t="s">
        <v>498</v>
      </c>
      <c r="Y12" s="545"/>
      <c r="Z12" s="545"/>
      <c r="AA12" s="545"/>
      <c r="AB12" s="545"/>
      <c r="AC12" s="545"/>
      <c r="AD12" s="545"/>
      <c r="AE12" s="545"/>
      <c r="AF12" s="1645"/>
      <c r="AG12" s="1675"/>
      <c r="AH12" s="1675">
        <v>2010</v>
      </c>
      <c r="AI12" s="419">
        <v>23900</v>
      </c>
      <c r="AJ12" s="522">
        <f t="shared" si="0"/>
        <v>80</v>
      </c>
      <c r="AK12" s="1645"/>
      <c r="AL12" s="1645">
        <f t="shared" si="2"/>
        <v>23980</v>
      </c>
      <c r="AM12" s="1645"/>
      <c r="AN12" s="417"/>
      <c r="AO12" s="418">
        <v>1978</v>
      </c>
      <c r="AP12" s="418">
        <v>0</v>
      </c>
      <c r="AQ12" s="418">
        <v>0</v>
      </c>
      <c r="AR12" s="1675">
        <v>0</v>
      </c>
      <c r="AS12" s="1675">
        <f t="shared" si="1"/>
        <v>0</v>
      </c>
      <c r="AT12" s="418">
        <v>4115</v>
      </c>
      <c r="AU12" s="418">
        <v>0</v>
      </c>
      <c r="AV12" s="418">
        <v>0</v>
      </c>
      <c r="AW12" s="418">
        <v>0</v>
      </c>
      <c r="AX12" s="418">
        <v>0</v>
      </c>
      <c r="AY12" s="1675">
        <v>0</v>
      </c>
      <c r="AZ12" s="1675">
        <v>4115</v>
      </c>
      <c r="BA12" s="1645">
        <v>4115</v>
      </c>
    </row>
    <row r="13" spans="1:53">
      <c r="A13" s="92">
        <v>1988</v>
      </c>
      <c r="B13" s="537">
        <v>2.7</v>
      </c>
      <c r="C13" s="537">
        <v>7</v>
      </c>
      <c r="D13" s="537">
        <v>14.2</v>
      </c>
      <c r="E13" s="537">
        <v>50.7</v>
      </c>
      <c r="F13" s="92"/>
      <c r="G13" s="537">
        <v>3.3</v>
      </c>
      <c r="H13" s="537">
        <v>77.900000000000006</v>
      </c>
      <c r="I13" s="1645"/>
      <c r="J13" s="1645"/>
      <c r="K13" s="1860"/>
      <c r="L13" s="1675" t="s">
        <v>585</v>
      </c>
      <c r="M13" s="1675">
        <v>123</v>
      </c>
      <c r="N13" s="1675">
        <v>0</v>
      </c>
      <c r="O13" s="1675">
        <v>5</v>
      </c>
      <c r="P13" s="1675">
        <v>0</v>
      </c>
      <c r="Q13" s="1675">
        <v>0</v>
      </c>
      <c r="R13" s="1675">
        <v>0</v>
      </c>
      <c r="S13" s="1675">
        <v>0</v>
      </c>
      <c r="T13" s="1675"/>
      <c r="U13" s="1675">
        <v>0</v>
      </c>
      <c r="V13" s="1675">
        <v>0</v>
      </c>
      <c r="W13" s="1675">
        <v>0</v>
      </c>
      <c r="X13" s="420">
        <v>0</v>
      </c>
      <c r="Y13" s="545"/>
      <c r="Z13" s="545"/>
      <c r="AA13" s="545"/>
      <c r="AB13" s="545"/>
      <c r="AC13" s="545"/>
      <c r="AD13" s="545"/>
      <c r="AE13" s="545"/>
      <c r="AF13" s="1645"/>
      <c r="AG13" s="1675"/>
      <c r="AH13" s="1675">
        <v>2011</v>
      </c>
      <c r="AI13" s="419">
        <v>20281</v>
      </c>
      <c r="AJ13" s="522">
        <f t="shared" si="0"/>
        <v>241</v>
      </c>
      <c r="AK13" s="1645"/>
      <c r="AL13" s="1645">
        <f t="shared" si="2"/>
        <v>20522</v>
      </c>
      <c r="AM13" s="1645"/>
      <c r="AN13" s="417"/>
      <c r="AO13" s="418">
        <v>1979</v>
      </c>
      <c r="AP13" s="418">
        <v>0</v>
      </c>
      <c r="AQ13" s="418">
        <v>0</v>
      </c>
      <c r="AR13" s="1675">
        <v>0</v>
      </c>
      <c r="AS13" s="1675">
        <f t="shared" si="1"/>
        <v>0</v>
      </c>
      <c r="AT13" s="418">
        <v>4300</v>
      </c>
      <c r="AU13" s="418">
        <v>0</v>
      </c>
      <c r="AV13" s="418">
        <v>0</v>
      </c>
      <c r="AW13" s="418">
        <v>0</v>
      </c>
      <c r="AX13" s="418">
        <v>0</v>
      </c>
      <c r="AY13" s="1675">
        <v>0</v>
      </c>
      <c r="AZ13" s="1675">
        <v>4300</v>
      </c>
      <c r="BA13" s="1645">
        <v>4300</v>
      </c>
    </row>
    <row r="14" spans="1:53">
      <c r="A14" s="92">
        <v>1989</v>
      </c>
      <c r="B14" s="537">
        <v>1.7</v>
      </c>
      <c r="C14" s="537">
        <v>3.5</v>
      </c>
      <c r="D14" s="537">
        <v>12.6</v>
      </c>
      <c r="E14" s="537">
        <v>13.4</v>
      </c>
      <c r="F14" s="92"/>
      <c r="G14" s="537">
        <v>3.8</v>
      </c>
      <c r="H14" s="537">
        <v>35</v>
      </c>
      <c r="I14" s="1645"/>
      <c r="J14" s="1645"/>
      <c r="K14" s="1860"/>
      <c r="L14" s="1675" t="s">
        <v>586</v>
      </c>
      <c r="M14" s="1675">
        <v>132</v>
      </c>
      <c r="N14" s="1675">
        <v>0</v>
      </c>
      <c r="O14" s="1675">
        <v>0</v>
      </c>
      <c r="P14" s="1675">
        <v>0</v>
      </c>
      <c r="Q14" s="1675">
        <v>0</v>
      </c>
      <c r="R14" s="1675">
        <v>0</v>
      </c>
      <c r="S14" s="1675">
        <v>0</v>
      </c>
      <c r="T14" s="1675">
        <v>0</v>
      </c>
      <c r="U14" s="1675">
        <v>0</v>
      </c>
      <c r="V14" s="1675">
        <v>0</v>
      </c>
      <c r="W14" s="1675">
        <v>0</v>
      </c>
      <c r="X14" s="420">
        <v>0</v>
      </c>
      <c r="Y14" s="545"/>
      <c r="Z14" s="545"/>
      <c r="AA14" s="545"/>
      <c r="AB14" s="545"/>
      <c r="AC14" s="545"/>
      <c r="AD14" s="545"/>
      <c r="AE14" s="545"/>
      <c r="AF14" s="1645"/>
      <c r="AG14" s="1675"/>
      <c r="AH14" s="1675">
        <v>2012</v>
      </c>
      <c r="AI14" s="419">
        <v>23574</v>
      </c>
      <c r="AJ14" s="522">
        <f t="shared" si="0"/>
        <v>498</v>
      </c>
      <c r="AK14" s="1645"/>
      <c r="AL14" s="1645">
        <f t="shared" si="2"/>
        <v>24072</v>
      </c>
      <c r="AM14" s="1645"/>
      <c r="AN14" s="417"/>
      <c r="AO14" s="418">
        <v>1980</v>
      </c>
      <c r="AP14" s="418">
        <v>5801</v>
      </c>
      <c r="AQ14" s="418">
        <v>2</v>
      </c>
      <c r="AR14" s="1675">
        <v>0</v>
      </c>
      <c r="AS14" s="418">
        <f t="shared" si="1"/>
        <v>2</v>
      </c>
      <c r="AT14" s="418">
        <v>0</v>
      </c>
      <c r="AU14" s="418">
        <v>0</v>
      </c>
      <c r="AV14" s="418">
        <v>0</v>
      </c>
      <c r="AW14" s="418">
        <v>0</v>
      </c>
      <c r="AX14" s="418">
        <v>0</v>
      </c>
      <c r="AY14" s="418">
        <v>0</v>
      </c>
      <c r="AZ14" s="419">
        <v>5803</v>
      </c>
      <c r="BA14" s="1645">
        <f t="shared" ref="BA14:BA35" si="3">SUM(AP14,AQ14,AR14,AT14)</f>
        <v>5803</v>
      </c>
    </row>
    <row r="15" spans="1:53">
      <c r="A15" s="92">
        <v>1990</v>
      </c>
      <c r="B15" s="537">
        <v>2.2000000000000002</v>
      </c>
      <c r="C15" s="537">
        <v>5.0999999999999996</v>
      </c>
      <c r="D15" s="537">
        <v>17.2</v>
      </c>
      <c r="E15" s="537">
        <v>31.8</v>
      </c>
      <c r="F15" s="92"/>
      <c r="G15" s="537">
        <v>5.6</v>
      </c>
      <c r="H15" s="537">
        <v>61.9</v>
      </c>
      <c r="I15" s="1645"/>
      <c r="J15" s="1645"/>
      <c r="K15" s="1860"/>
      <c r="L15" s="1675" t="s">
        <v>587</v>
      </c>
      <c r="M15" s="1675">
        <v>134</v>
      </c>
      <c r="N15" s="1675"/>
      <c r="O15" s="1675"/>
      <c r="P15" s="1675"/>
      <c r="Q15" s="1675"/>
      <c r="R15" s="1675"/>
      <c r="S15" s="1675">
        <v>5</v>
      </c>
      <c r="T15" s="1675">
        <v>5</v>
      </c>
      <c r="U15" s="1675">
        <v>0</v>
      </c>
      <c r="V15" s="1675">
        <v>0</v>
      </c>
      <c r="W15" s="1675">
        <v>0</v>
      </c>
      <c r="X15" s="420">
        <v>0</v>
      </c>
      <c r="Y15" s="545"/>
      <c r="Z15" s="545"/>
      <c r="AA15" s="545"/>
      <c r="AB15" s="545"/>
      <c r="AC15" s="545"/>
      <c r="AD15" s="545"/>
      <c r="AE15" s="545"/>
      <c r="AF15" s="1645"/>
      <c r="AG15" s="1675"/>
      <c r="AH15" s="1675">
        <v>2013</v>
      </c>
      <c r="AI15" s="419">
        <v>12910</v>
      </c>
      <c r="AJ15" s="522">
        <f t="shared" si="0"/>
        <v>711</v>
      </c>
      <c r="AK15" s="1645"/>
      <c r="AL15" s="1645">
        <f t="shared" si="2"/>
        <v>13621</v>
      </c>
      <c r="AM15" s="1645"/>
      <c r="AN15" s="417"/>
      <c r="AO15" s="418">
        <f t="shared" ref="AO15:AO31" si="4">SUM(AO14+1)</f>
        <v>1981</v>
      </c>
      <c r="AP15" s="418">
        <v>4714</v>
      </c>
      <c r="AQ15" s="418">
        <v>0</v>
      </c>
      <c r="AR15" s="1675">
        <v>0</v>
      </c>
      <c r="AS15" s="418">
        <f t="shared" si="1"/>
        <v>0</v>
      </c>
      <c r="AT15" s="418">
        <v>0</v>
      </c>
      <c r="AU15" s="418">
        <v>0</v>
      </c>
      <c r="AV15" s="418">
        <v>0</v>
      </c>
      <c r="AW15" s="418">
        <v>0</v>
      </c>
      <c r="AX15" s="418">
        <v>0</v>
      </c>
      <c r="AY15" s="418">
        <v>0</v>
      </c>
      <c r="AZ15" s="419">
        <v>4714</v>
      </c>
      <c r="BA15" s="1645">
        <f t="shared" si="3"/>
        <v>4714</v>
      </c>
    </row>
    <row r="16" spans="1:53">
      <c r="A16" s="92">
        <v>1991</v>
      </c>
      <c r="B16" s="537">
        <v>1.2</v>
      </c>
      <c r="C16" s="537">
        <v>3</v>
      </c>
      <c r="D16" s="537">
        <v>15</v>
      </c>
      <c r="E16" s="537">
        <v>10.4</v>
      </c>
      <c r="F16" s="92"/>
      <c r="G16" s="537">
        <v>2.2000000000000002</v>
      </c>
      <c r="H16" s="537">
        <v>31.8</v>
      </c>
      <c r="I16" s="1645"/>
      <c r="J16" s="1645"/>
      <c r="K16" s="1860"/>
      <c r="L16" s="1675" t="s">
        <v>588</v>
      </c>
      <c r="M16" s="1675">
        <v>138</v>
      </c>
      <c r="N16" s="1675">
        <v>15</v>
      </c>
      <c r="O16" s="1675">
        <v>3</v>
      </c>
      <c r="P16" s="1675">
        <v>8</v>
      </c>
      <c r="Q16" s="1675">
        <v>4</v>
      </c>
      <c r="R16" s="1675">
        <v>13</v>
      </c>
      <c r="S16" s="1675">
        <v>5</v>
      </c>
      <c r="T16" s="1675">
        <v>5</v>
      </c>
      <c r="U16" s="1675">
        <v>38</v>
      </c>
      <c r="V16" s="1675">
        <v>0</v>
      </c>
      <c r="W16" s="1675">
        <v>7</v>
      </c>
      <c r="X16" s="420">
        <v>0</v>
      </c>
      <c r="Y16" s="545"/>
      <c r="Z16" s="545"/>
      <c r="AA16" s="545"/>
      <c r="AB16" s="545"/>
      <c r="AC16" s="545"/>
      <c r="AD16" s="545"/>
      <c r="AE16" s="545"/>
      <c r="AF16" s="1645"/>
      <c r="AG16" s="1675"/>
      <c r="AH16" s="1675">
        <v>2014</v>
      </c>
      <c r="AI16" s="419">
        <v>20657</v>
      </c>
      <c r="AJ16" s="522">
        <f t="shared" si="0"/>
        <v>1340</v>
      </c>
      <c r="AK16" s="1645"/>
      <c r="AL16" s="1645">
        <f t="shared" si="2"/>
        <v>21997</v>
      </c>
      <c r="AM16" s="1645"/>
      <c r="AN16" s="417"/>
      <c r="AO16" s="418">
        <f t="shared" si="4"/>
        <v>1982</v>
      </c>
      <c r="AP16" s="418">
        <v>4138</v>
      </c>
      <c r="AQ16" s="418">
        <v>0</v>
      </c>
      <c r="AR16" s="1675">
        <v>0</v>
      </c>
      <c r="AS16" s="418">
        <f t="shared" si="1"/>
        <v>0</v>
      </c>
      <c r="AT16" s="418">
        <v>0</v>
      </c>
      <c r="AU16" s="418">
        <v>0</v>
      </c>
      <c r="AV16" s="418">
        <v>0</v>
      </c>
      <c r="AW16" s="418">
        <v>0</v>
      </c>
      <c r="AX16" s="418">
        <v>0</v>
      </c>
      <c r="AY16" s="418">
        <v>0</v>
      </c>
      <c r="AZ16" s="419">
        <v>4138</v>
      </c>
      <c r="BA16" s="1645">
        <f t="shared" si="3"/>
        <v>4138</v>
      </c>
    </row>
    <row r="17" spans="1:53">
      <c r="A17" s="92">
        <v>1992</v>
      </c>
      <c r="B17" s="537">
        <v>1.2</v>
      </c>
      <c r="C17" s="537">
        <v>3</v>
      </c>
      <c r="D17" s="537">
        <v>17.600000000000001</v>
      </c>
      <c r="E17" s="537">
        <v>23.1</v>
      </c>
      <c r="F17" s="92"/>
      <c r="G17" s="537">
        <v>3.1</v>
      </c>
      <c r="H17" s="537">
        <v>48</v>
      </c>
      <c r="I17" s="1645"/>
      <c r="J17" s="1645"/>
      <c r="K17" s="1860"/>
      <c r="L17" s="1675" t="s">
        <v>589</v>
      </c>
      <c r="M17" s="1675">
        <v>148</v>
      </c>
      <c r="N17" s="538" t="s">
        <v>498</v>
      </c>
      <c r="O17" s="1675">
        <v>0</v>
      </c>
      <c r="P17" s="1675">
        <v>0</v>
      </c>
      <c r="Q17" s="1675">
        <v>0</v>
      </c>
      <c r="R17" s="1675">
        <v>0</v>
      </c>
      <c r="S17" s="1675"/>
      <c r="T17" s="1675">
        <v>0</v>
      </c>
      <c r="U17" s="1675">
        <v>0</v>
      </c>
      <c r="V17" s="1675">
        <v>0</v>
      </c>
      <c r="W17" s="1675">
        <v>0</v>
      </c>
      <c r="X17" s="420">
        <v>0</v>
      </c>
      <c r="Y17" s="545"/>
      <c r="Z17" s="545"/>
      <c r="AA17" s="545"/>
      <c r="AB17" s="545"/>
      <c r="AC17" s="545"/>
      <c r="AD17" s="545"/>
      <c r="AE17" s="545"/>
      <c r="AF17" s="1645"/>
      <c r="AG17" s="1675"/>
      <c r="AH17" s="1675">
        <v>2015</v>
      </c>
      <c r="AI17" s="539">
        <v>3606</v>
      </c>
      <c r="AJ17" s="522">
        <v>721</v>
      </c>
      <c r="AK17" s="1645"/>
      <c r="AL17" s="1645">
        <f t="shared" si="2"/>
        <v>4327</v>
      </c>
      <c r="AM17" s="1645"/>
      <c r="AN17" s="417"/>
      <c r="AO17" s="418">
        <f t="shared" si="4"/>
        <v>1983</v>
      </c>
      <c r="AP17" s="418">
        <v>1947</v>
      </c>
      <c r="AQ17" s="418">
        <v>0</v>
      </c>
      <c r="AR17" s="1675">
        <v>0</v>
      </c>
      <c r="AS17" s="418">
        <f t="shared" si="1"/>
        <v>0</v>
      </c>
      <c r="AT17" s="418">
        <v>0</v>
      </c>
      <c r="AU17" s="418">
        <v>0</v>
      </c>
      <c r="AV17" s="418">
        <v>0</v>
      </c>
      <c r="AW17" s="418">
        <v>0</v>
      </c>
      <c r="AX17" s="418">
        <v>0</v>
      </c>
      <c r="AY17" s="418">
        <v>0</v>
      </c>
      <c r="AZ17" s="419">
        <v>1947</v>
      </c>
      <c r="BA17" s="1645">
        <f t="shared" si="3"/>
        <v>1947</v>
      </c>
    </row>
    <row r="18" spans="1:53">
      <c r="A18" s="92">
        <v>1993</v>
      </c>
      <c r="B18" s="537">
        <v>1.8</v>
      </c>
      <c r="C18" s="537">
        <v>3.2</v>
      </c>
      <c r="D18" s="537">
        <v>20</v>
      </c>
      <c r="E18" s="537">
        <v>17.3</v>
      </c>
      <c r="F18" s="92"/>
      <c r="G18" s="537">
        <v>4.7</v>
      </c>
      <c r="H18" s="537">
        <v>47</v>
      </c>
      <c r="I18" s="1645"/>
      <c r="J18" s="1645"/>
      <c r="K18" s="1860"/>
      <c r="L18" s="1675" t="s">
        <v>590</v>
      </c>
      <c r="M18" s="1675">
        <v>150</v>
      </c>
      <c r="N18" s="538" t="s">
        <v>498</v>
      </c>
      <c r="O18" s="538" t="s">
        <v>498</v>
      </c>
      <c r="P18" s="1675">
        <v>4</v>
      </c>
      <c r="Q18" s="1675">
        <v>0</v>
      </c>
      <c r="R18" s="1675">
        <v>4</v>
      </c>
      <c r="S18" s="1675"/>
      <c r="T18" s="1675">
        <v>5</v>
      </c>
      <c r="U18" s="1675">
        <v>0</v>
      </c>
      <c r="V18" s="1675">
        <v>14</v>
      </c>
      <c r="W18" s="1675">
        <v>0</v>
      </c>
      <c r="X18" s="420">
        <v>0</v>
      </c>
      <c r="Y18" s="545"/>
      <c r="Z18" s="545"/>
      <c r="AA18" s="545"/>
      <c r="AB18" s="545"/>
      <c r="AC18" s="545"/>
      <c r="AD18" s="545"/>
      <c r="AE18" s="545"/>
      <c r="AF18" s="1645"/>
      <c r="AG18" s="1675"/>
      <c r="AH18" s="1675">
        <v>2016</v>
      </c>
      <c r="AI18" s="539">
        <v>21732</v>
      </c>
      <c r="AJ18" s="522">
        <v>2494</v>
      </c>
      <c r="AK18" s="1645"/>
      <c r="AL18" s="1645">
        <f t="shared" si="2"/>
        <v>24226</v>
      </c>
      <c r="AM18" s="1645"/>
      <c r="AN18" s="417"/>
      <c r="AO18" s="418">
        <f t="shared" si="4"/>
        <v>1984</v>
      </c>
      <c r="AP18" s="418">
        <v>11062</v>
      </c>
      <c r="AQ18" s="418">
        <v>0</v>
      </c>
      <c r="AR18" s="1675">
        <v>0</v>
      </c>
      <c r="AS18" s="418">
        <f t="shared" si="1"/>
        <v>0</v>
      </c>
      <c r="AT18" s="418">
        <v>0</v>
      </c>
      <c r="AU18" s="418">
        <v>0</v>
      </c>
      <c r="AV18" s="418">
        <v>0</v>
      </c>
      <c r="AW18" s="418">
        <v>0</v>
      </c>
      <c r="AX18" s="418">
        <v>0</v>
      </c>
      <c r="AY18" s="418">
        <v>0</v>
      </c>
      <c r="AZ18" s="419">
        <v>11062</v>
      </c>
      <c r="BA18" s="1645">
        <f t="shared" si="3"/>
        <v>11062</v>
      </c>
    </row>
    <row r="19" spans="1:53">
      <c r="A19" s="92">
        <v>1994</v>
      </c>
      <c r="B19" s="537">
        <v>1.2</v>
      </c>
      <c r="C19" s="537">
        <v>2.1</v>
      </c>
      <c r="D19" s="537">
        <v>23</v>
      </c>
      <c r="E19" s="537">
        <v>15.4</v>
      </c>
      <c r="F19" s="92"/>
      <c r="G19" s="537">
        <v>5.6</v>
      </c>
      <c r="H19" s="537">
        <v>47.3</v>
      </c>
      <c r="I19" s="1645"/>
      <c r="J19" s="1645"/>
      <c r="K19" s="1860"/>
      <c r="L19" s="1675" t="s">
        <v>591</v>
      </c>
      <c r="M19" s="1675">
        <v>151</v>
      </c>
      <c r="N19" s="1675">
        <v>0</v>
      </c>
      <c r="O19" s="1675">
        <v>5</v>
      </c>
      <c r="P19" s="1675">
        <v>0</v>
      </c>
      <c r="Q19" s="1675">
        <v>0</v>
      </c>
      <c r="R19" s="1675">
        <v>4</v>
      </c>
      <c r="S19" s="1675">
        <v>38</v>
      </c>
      <c r="T19" s="1675">
        <v>5</v>
      </c>
      <c r="U19" s="1675">
        <v>19</v>
      </c>
      <c r="V19" s="1675">
        <v>0</v>
      </c>
      <c r="W19" s="1675">
        <v>7</v>
      </c>
      <c r="X19" s="420">
        <v>0</v>
      </c>
      <c r="Y19" s="545"/>
      <c r="Z19" s="545"/>
      <c r="AA19" s="545"/>
      <c r="AB19" s="545"/>
      <c r="AC19" s="545"/>
      <c r="AD19" s="545"/>
      <c r="AE19" s="545"/>
      <c r="AF19" s="1645"/>
      <c r="AG19" s="1675"/>
      <c r="AH19" s="1645">
        <v>2017</v>
      </c>
      <c r="AI19" s="1645">
        <v>2182</v>
      </c>
      <c r="AJ19" s="522">
        <v>370</v>
      </c>
      <c r="AK19" s="1645"/>
      <c r="AL19" s="1645">
        <f t="shared" si="2"/>
        <v>2552</v>
      </c>
      <c r="AM19" s="1645"/>
      <c r="AN19" s="417"/>
      <c r="AO19" s="418">
        <f t="shared" si="4"/>
        <v>1985</v>
      </c>
      <c r="AP19" s="418">
        <v>5523</v>
      </c>
      <c r="AQ19" s="418">
        <v>0</v>
      </c>
      <c r="AR19" s="1675">
        <v>0</v>
      </c>
      <c r="AS19" s="418">
        <f t="shared" si="1"/>
        <v>0</v>
      </c>
      <c r="AT19" s="418">
        <v>0</v>
      </c>
      <c r="AU19" s="418">
        <v>0</v>
      </c>
      <c r="AV19" s="418">
        <v>0</v>
      </c>
      <c r="AW19" s="418">
        <v>0</v>
      </c>
      <c r="AX19" s="418">
        <v>0</v>
      </c>
      <c r="AY19" s="418">
        <v>0</v>
      </c>
      <c r="AZ19" s="419">
        <v>5523</v>
      </c>
      <c r="BA19" s="1645">
        <f t="shared" si="3"/>
        <v>5523</v>
      </c>
    </row>
    <row r="20" spans="1:53">
      <c r="A20" s="92">
        <v>1995</v>
      </c>
      <c r="B20" s="537">
        <v>1.4</v>
      </c>
      <c r="C20" s="537">
        <v>1.5</v>
      </c>
      <c r="D20" s="537">
        <v>13</v>
      </c>
      <c r="E20" s="537">
        <v>15.1</v>
      </c>
      <c r="F20" s="92">
        <v>0.1</v>
      </c>
      <c r="G20" s="537">
        <v>7.8</v>
      </c>
      <c r="H20" s="537">
        <v>38.9</v>
      </c>
      <c r="I20" s="1645"/>
      <c r="J20" s="1645"/>
      <c r="K20" s="1860"/>
      <c r="L20" s="1675" t="s">
        <v>592</v>
      </c>
      <c r="M20" s="1675">
        <v>152</v>
      </c>
      <c r="N20" s="1675">
        <v>0</v>
      </c>
      <c r="O20" s="1675">
        <v>5</v>
      </c>
      <c r="P20" s="1675">
        <v>6</v>
      </c>
      <c r="Q20" s="1675">
        <v>0</v>
      </c>
      <c r="R20" s="1675">
        <v>0</v>
      </c>
      <c r="S20" s="1675">
        <v>0</v>
      </c>
      <c r="T20" s="1675">
        <v>5</v>
      </c>
      <c r="U20" s="1675">
        <v>6</v>
      </c>
      <c r="V20" s="1675">
        <v>0</v>
      </c>
      <c r="W20" s="1675">
        <v>0</v>
      </c>
      <c r="X20" s="420">
        <v>0</v>
      </c>
      <c r="Y20" s="545"/>
      <c r="Z20" s="545"/>
      <c r="AA20" s="545"/>
      <c r="AB20" s="545"/>
      <c r="AC20" s="545"/>
      <c r="AD20" s="545"/>
      <c r="AE20" s="545"/>
      <c r="AF20" s="1645"/>
      <c r="AG20" s="1675"/>
      <c r="AH20" s="1645">
        <v>2018</v>
      </c>
      <c r="AI20" s="1645">
        <v>9277</v>
      </c>
      <c r="AJ20" s="522">
        <v>1007</v>
      </c>
      <c r="AK20" s="1645"/>
      <c r="AL20" s="1645">
        <f t="shared" si="2"/>
        <v>10284</v>
      </c>
      <c r="AM20" s="1645"/>
      <c r="AN20" s="417"/>
      <c r="AO20" s="418">
        <f t="shared" si="4"/>
        <v>1986</v>
      </c>
      <c r="AP20" s="418">
        <v>7422</v>
      </c>
      <c r="AQ20" s="418">
        <v>1</v>
      </c>
      <c r="AR20" s="1675">
        <v>0</v>
      </c>
      <c r="AS20" s="418">
        <f t="shared" si="1"/>
        <v>1</v>
      </c>
      <c r="AT20" s="418">
        <v>0</v>
      </c>
      <c r="AU20" s="418">
        <v>0</v>
      </c>
      <c r="AV20" s="418">
        <v>0</v>
      </c>
      <c r="AW20" s="418">
        <v>0</v>
      </c>
      <c r="AX20" s="418">
        <v>0</v>
      </c>
      <c r="AY20" s="418">
        <v>0</v>
      </c>
      <c r="AZ20" s="419">
        <v>7422</v>
      </c>
      <c r="BA20" s="1645">
        <f t="shared" si="3"/>
        <v>7423</v>
      </c>
    </row>
    <row r="21" spans="1:53">
      <c r="A21" s="92">
        <v>1996</v>
      </c>
      <c r="B21" s="537">
        <v>1.2</v>
      </c>
      <c r="C21" s="537">
        <v>1</v>
      </c>
      <c r="D21" s="537">
        <v>15.1</v>
      </c>
      <c r="E21" s="537">
        <v>7.8</v>
      </c>
      <c r="F21" s="92">
        <v>0.2</v>
      </c>
      <c r="G21" s="537">
        <v>9.9</v>
      </c>
      <c r="H21" s="537">
        <v>35.200000000000003</v>
      </c>
      <c r="I21" s="1645"/>
      <c r="J21" s="1645"/>
      <c r="K21" s="1860"/>
      <c r="L21" s="1675" t="s">
        <v>593</v>
      </c>
      <c r="M21" s="1675">
        <v>153</v>
      </c>
      <c r="N21" s="1675">
        <v>5</v>
      </c>
      <c r="O21" s="1675">
        <v>20</v>
      </c>
      <c r="P21" s="1675">
        <v>33</v>
      </c>
      <c r="Q21" s="1675">
        <v>0</v>
      </c>
      <c r="R21" s="1675">
        <v>12</v>
      </c>
      <c r="S21" s="1675"/>
      <c r="T21" s="1675"/>
      <c r="U21" s="1675">
        <v>0</v>
      </c>
      <c r="V21" s="1675">
        <v>0</v>
      </c>
      <c r="W21" s="1675">
        <v>0</v>
      </c>
      <c r="X21" s="420">
        <v>0</v>
      </c>
      <c r="Y21" s="545"/>
      <c r="Z21" s="545"/>
      <c r="AA21" s="545"/>
      <c r="AB21" s="545"/>
      <c r="AC21" s="545"/>
      <c r="AD21" s="545"/>
      <c r="AE21" s="545"/>
      <c r="AF21" s="1645"/>
      <c r="AG21" s="1675"/>
      <c r="AH21" s="1645">
        <v>2019</v>
      </c>
      <c r="AI21" s="1645">
        <v>4969</v>
      </c>
      <c r="AJ21" s="522">
        <v>207</v>
      </c>
      <c r="AK21" s="1645"/>
      <c r="AL21" s="1645">
        <f t="shared" si="2"/>
        <v>5176</v>
      </c>
      <c r="AM21" s="1645"/>
      <c r="AN21" s="417"/>
      <c r="AO21" s="418">
        <f t="shared" si="4"/>
        <v>1987</v>
      </c>
      <c r="AP21" s="418">
        <v>4437</v>
      </c>
      <c r="AQ21" s="418">
        <v>0</v>
      </c>
      <c r="AR21" s="1675">
        <v>0</v>
      </c>
      <c r="AS21" s="418">
        <f t="shared" si="1"/>
        <v>0</v>
      </c>
      <c r="AT21" s="418">
        <v>0</v>
      </c>
      <c r="AU21" s="418">
        <v>0</v>
      </c>
      <c r="AV21" s="418">
        <v>0</v>
      </c>
      <c r="AW21" s="418">
        <v>0</v>
      </c>
      <c r="AX21" s="418">
        <v>0</v>
      </c>
      <c r="AY21" s="418">
        <v>0</v>
      </c>
      <c r="AZ21" s="419">
        <v>4437</v>
      </c>
      <c r="BA21" s="1645">
        <f t="shared" si="3"/>
        <v>4437</v>
      </c>
    </row>
    <row r="22" spans="1:53">
      <c r="A22" s="92">
        <v>1997</v>
      </c>
      <c r="B22" s="537">
        <v>1.9</v>
      </c>
      <c r="C22" s="537">
        <v>1.4</v>
      </c>
      <c r="D22" s="537">
        <v>6</v>
      </c>
      <c r="E22" s="537">
        <v>17.5</v>
      </c>
      <c r="F22" s="92">
        <v>0.1</v>
      </c>
      <c r="G22" s="537">
        <v>3.7</v>
      </c>
      <c r="H22" s="537">
        <v>30.6</v>
      </c>
      <c r="I22" s="1645"/>
      <c r="J22" s="1645"/>
      <c r="K22" s="1860"/>
      <c r="L22" s="1675" t="s">
        <v>594</v>
      </c>
      <c r="M22" s="1675">
        <v>154</v>
      </c>
      <c r="N22" s="1675">
        <v>10</v>
      </c>
      <c r="O22" s="1675">
        <v>5</v>
      </c>
      <c r="P22" s="1675">
        <v>0</v>
      </c>
      <c r="Q22" s="1675">
        <v>0</v>
      </c>
      <c r="R22" s="1675">
        <v>9</v>
      </c>
      <c r="S22" s="1675">
        <v>5</v>
      </c>
      <c r="T22" s="1675">
        <v>21</v>
      </c>
      <c r="U22" s="1675">
        <v>13</v>
      </c>
      <c r="V22" s="1675">
        <v>0</v>
      </c>
      <c r="W22" s="1675">
        <v>0</v>
      </c>
      <c r="X22" s="420">
        <v>0</v>
      </c>
      <c r="Y22" s="545"/>
      <c r="Z22" s="545"/>
      <c r="AA22" s="545"/>
      <c r="AB22" s="545"/>
      <c r="AC22" s="545"/>
      <c r="AD22" s="545"/>
      <c r="AE22" s="545"/>
      <c r="AF22" s="1645"/>
      <c r="AG22" s="1675"/>
      <c r="AH22" s="1645">
        <v>2020</v>
      </c>
      <c r="AI22" s="1645">
        <v>2740</v>
      </c>
      <c r="AJ22" s="522">
        <v>409</v>
      </c>
      <c r="AK22" s="1645"/>
      <c r="AL22" s="1645">
        <f t="shared" si="2"/>
        <v>3149</v>
      </c>
      <c r="AM22" s="1645"/>
      <c r="AN22" s="417"/>
      <c r="AO22" s="418">
        <f t="shared" si="4"/>
        <v>1988</v>
      </c>
      <c r="AP22" s="418">
        <v>7750</v>
      </c>
      <c r="AQ22" s="418">
        <v>0</v>
      </c>
      <c r="AR22" s="1675">
        <v>0</v>
      </c>
      <c r="AS22" s="418">
        <f t="shared" si="1"/>
        <v>0</v>
      </c>
      <c r="AT22" s="418">
        <v>0</v>
      </c>
      <c r="AU22" s="418">
        <v>0</v>
      </c>
      <c r="AV22" s="418">
        <v>0</v>
      </c>
      <c r="AW22" s="418">
        <v>0</v>
      </c>
      <c r="AX22" s="418">
        <v>0</v>
      </c>
      <c r="AY22" s="418">
        <v>0</v>
      </c>
      <c r="AZ22" s="419">
        <v>7750</v>
      </c>
      <c r="BA22" s="1645">
        <f t="shared" si="3"/>
        <v>7750</v>
      </c>
    </row>
    <row r="23" spans="1:53">
      <c r="A23" s="92">
        <v>1998</v>
      </c>
      <c r="B23" s="537">
        <v>1.2</v>
      </c>
      <c r="C23" s="537">
        <v>1.4</v>
      </c>
      <c r="D23" s="537">
        <v>5</v>
      </c>
      <c r="E23" s="537">
        <v>15.3</v>
      </c>
      <c r="F23" s="92"/>
      <c r="G23" s="537">
        <v>5.4</v>
      </c>
      <c r="H23" s="537">
        <v>28.3</v>
      </c>
      <c r="I23" s="1645"/>
      <c r="J23" s="1645"/>
      <c r="K23" s="1860"/>
      <c r="L23" s="1675" t="s">
        <v>595</v>
      </c>
      <c r="M23" s="1675">
        <v>167</v>
      </c>
      <c r="N23" s="1675">
        <v>15</v>
      </c>
      <c r="O23" s="1675">
        <v>16</v>
      </c>
      <c r="P23" s="1675">
        <v>18</v>
      </c>
      <c r="Q23" s="1675">
        <v>4</v>
      </c>
      <c r="R23" s="1675">
        <v>4</v>
      </c>
      <c r="S23" s="1675"/>
      <c r="T23" s="1675"/>
      <c r="U23" s="1675">
        <v>7</v>
      </c>
      <c r="V23" s="1675">
        <v>21</v>
      </c>
      <c r="W23" s="1675">
        <v>0</v>
      </c>
      <c r="X23" s="420">
        <v>0</v>
      </c>
      <c r="Y23" s="545"/>
      <c r="Z23" s="545"/>
      <c r="AA23" s="545"/>
      <c r="AB23" s="545"/>
      <c r="AC23" s="545"/>
      <c r="AD23" s="545"/>
      <c r="AE23" s="545"/>
      <c r="AF23" s="1645"/>
      <c r="AG23" s="1675"/>
      <c r="AH23" s="1645">
        <v>2021</v>
      </c>
      <c r="AI23" s="1645">
        <f>1709-128</f>
        <v>1581</v>
      </c>
      <c r="AJ23" s="522">
        <v>190</v>
      </c>
      <c r="AK23" s="1645"/>
      <c r="AL23" s="1645">
        <f t="shared" si="2"/>
        <v>1771</v>
      </c>
      <c r="AM23" s="1645"/>
      <c r="AN23" s="417"/>
      <c r="AO23" s="418">
        <f t="shared" si="4"/>
        <v>1989</v>
      </c>
      <c r="AP23" s="418">
        <v>3952</v>
      </c>
      <c r="AQ23" s="418">
        <v>0</v>
      </c>
      <c r="AR23" s="1675">
        <v>0</v>
      </c>
      <c r="AS23" s="418">
        <f t="shared" si="1"/>
        <v>0</v>
      </c>
      <c r="AT23" s="418">
        <v>0</v>
      </c>
      <c r="AU23" s="418">
        <v>0</v>
      </c>
      <c r="AV23" s="418">
        <v>0</v>
      </c>
      <c r="AW23" s="418">
        <v>0</v>
      </c>
      <c r="AX23" s="418">
        <v>0</v>
      </c>
      <c r="AY23" s="418">
        <v>0</v>
      </c>
      <c r="AZ23" s="419">
        <v>3952</v>
      </c>
      <c r="BA23" s="1645">
        <f t="shared" si="3"/>
        <v>3952</v>
      </c>
    </row>
    <row r="24" spans="1:53">
      <c r="A24" s="92">
        <v>1999</v>
      </c>
      <c r="B24" s="404">
        <f>[2]T10!$D7</f>
        <v>1282</v>
      </c>
      <c r="C24" s="540">
        <f>1.5*1000</f>
        <v>1500</v>
      </c>
      <c r="D24" s="540">
        <f>6.3*1000</f>
        <v>6300</v>
      </c>
      <c r="E24" s="540">
        <f>12.4*1000</f>
        <v>12400</v>
      </c>
      <c r="F24" s="92"/>
      <c r="G24" s="540">
        <f>4.6*1000</f>
        <v>4600</v>
      </c>
      <c r="H24" s="404">
        <f t="shared" ref="H24:H50" si="5">SUM(B24:G24)</f>
        <v>26082</v>
      </c>
      <c r="I24" s="1645"/>
      <c r="J24" s="1645"/>
      <c r="K24" s="1860"/>
      <c r="L24" s="1675" t="s">
        <v>596</v>
      </c>
      <c r="M24" s="1675">
        <v>168</v>
      </c>
      <c r="N24" s="538" t="s">
        <v>498</v>
      </c>
      <c r="O24" s="538" t="s">
        <v>498</v>
      </c>
      <c r="P24" s="1675">
        <v>699</v>
      </c>
      <c r="Q24" s="1675">
        <v>332</v>
      </c>
      <c r="R24" s="1675">
        <v>825</v>
      </c>
      <c r="S24" s="1675">
        <v>261</v>
      </c>
      <c r="T24" s="1675">
        <v>805</v>
      </c>
      <c r="U24" s="1675">
        <v>616</v>
      </c>
      <c r="V24" s="1675">
        <v>1667</v>
      </c>
      <c r="W24" s="1675">
        <v>258</v>
      </c>
      <c r="X24" s="420">
        <v>377</v>
      </c>
      <c r="Y24" s="545"/>
      <c r="Z24" s="545"/>
      <c r="AA24" s="545"/>
      <c r="AB24" s="545"/>
      <c r="AC24" s="545"/>
      <c r="AD24" s="545"/>
      <c r="AE24" s="545"/>
      <c r="AF24" s="1645"/>
      <c r="AG24" s="1675"/>
      <c r="AH24" s="1645">
        <v>2022</v>
      </c>
      <c r="AI24" s="1645">
        <v>5800</v>
      </c>
      <c r="AJ24" s="1645">
        <v>290</v>
      </c>
      <c r="AK24" s="1645"/>
      <c r="AL24" s="1645">
        <f t="shared" si="2"/>
        <v>6090</v>
      </c>
      <c r="AM24" s="1645"/>
      <c r="AN24" s="417"/>
      <c r="AO24" s="418">
        <f t="shared" si="4"/>
        <v>1990</v>
      </c>
      <c r="AP24" s="418">
        <v>4323</v>
      </c>
      <c r="AQ24" s="418">
        <v>0</v>
      </c>
      <c r="AR24" s="1675">
        <v>0</v>
      </c>
      <c r="AS24" s="418">
        <f t="shared" si="1"/>
        <v>0</v>
      </c>
      <c r="AT24" s="418">
        <v>0</v>
      </c>
      <c r="AU24" s="418">
        <v>0</v>
      </c>
      <c r="AV24" s="418">
        <v>0</v>
      </c>
      <c r="AW24" s="418">
        <v>0</v>
      </c>
      <c r="AX24" s="418">
        <v>0</v>
      </c>
      <c r="AY24" s="418">
        <v>0</v>
      </c>
      <c r="AZ24" s="419">
        <v>4323</v>
      </c>
      <c r="BA24" s="1645">
        <f t="shared" si="3"/>
        <v>4323</v>
      </c>
    </row>
    <row r="25" spans="1:53">
      <c r="A25" s="92">
        <v>2000</v>
      </c>
      <c r="B25" s="404">
        <f>[2]T10!$D8</f>
        <v>1619</v>
      </c>
      <c r="C25" s="540">
        <f>1.7*1000</f>
        <v>1700</v>
      </c>
      <c r="D25" s="404">
        <v>14805</v>
      </c>
      <c r="E25" s="540">
        <f>13.1*1000</f>
        <v>13100</v>
      </c>
      <c r="F25" s="541">
        <f>0.4*1000</f>
        <v>400</v>
      </c>
      <c r="G25" s="540">
        <f>9.6*1000</f>
        <v>9600</v>
      </c>
      <c r="H25" s="404">
        <f t="shared" si="5"/>
        <v>41224</v>
      </c>
      <c r="I25" s="1645"/>
      <c r="J25" s="1645"/>
      <c r="K25" s="1860"/>
      <c r="L25" s="1675" t="s">
        <v>597</v>
      </c>
      <c r="M25" s="1675">
        <v>168</v>
      </c>
      <c r="N25" s="1675">
        <v>1143</v>
      </c>
      <c r="O25" s="1675">
        <v>707</v>
      </c>
      <c r="P25" s="1675"/>
      <c r="Q25" s="1675" t="s">
        <v>498</v>
      </c>
      <c r="R25" s="1675" t="s">
        <v>498</v>
      </c>
      <c r="S25" s="1675" t="s">
        <v>498</v>
      </c>
      <c r="T25" s="1675" t="s">
        <v>498</v>
      </c>
      <c r="U25" s="1675" t="s">
        <v>498</v>
      </c>
      <c r="V25" s="1675" t="s">
        <v>498</v>
      </c>
      <c r="W25" s="1675" t="s">
        <v>498</v>
      </c>
      <c r="X25" s="420" t="s">
        <v>498</v>
      </c>
      <c r="Y25" s="545"/>
      <c r="Z25" s="545"/>
      <c r="AA25" s="545"/>
      <c r="AB25" s="545"/>
      <c r="AC25" s="545"/>
      <c r="AD25" s="545"/>
      <c r="AE25" s="545"/>
      <c r="AF25" s="1645"/>
      <c r="AG25" s="1675"/>
      <c r="AH25" s="1645">
        <v>2023</v>
      </c>
      <c r="AI25" s="1645">
        <v>1050</v>
      </c>
      <c r="AJ25" s="1645">
        <v>224</v>
      </c>
      <c r="AK25" s="1645"/>
      <c r="AL25" s="1645">
        <f>SUM(AI25:AK25)</f>
        <v>1274</v>
      </c>
      <c r="AM25" s="1645"/>
      <c r="AN25" s="417"/>
      <c r="AO25" s="418">
        <f t="shared" si="4"/>
        <v>1991</v>
      </c>
      <c r="AP25" s="418">
        <v>2223</v>
      </c>
      <c r="AQ25" s="418">
        <v>2</v>
      </c>
      <c r="AR25" s="1675">
        <v>0</v>
      </c>
      <c r="AS25" s="418">
        <f t="shared" si="1"/>
        <v>2</v>
      </c>
      <c r="AT25" s="418">
        <v>0</v>
      </c>
      <c r="AU25" s="418">
        <v>0</v>
      </c>
      <c r="AV25" s="418">
        <v>0</v>
      </c>
      <c r="AW25" s="418">
        <v>0</v>
      </c>
      <c r="AX25" s="418">
        <v>0</v>
      </c>
      <c r="AY25" s="418">
        <v>0</v>
      </c>
      <c r="AZ25" s="419">
        <v>2223</v>
      </c>
      <c r="BA25" s="1645">
        <f t="shared" si="3"/>
        <v>2225</v>
      </c>
    </row>
    <row r="26" spans="1:53">
      <c r="A26" s="92">
        <v>2001</v>
      </c>
      <c r="B26" s="404">
        <f>[2]T10!$D9</f>
        <v>1966</v>
      </c>
      <c r="C26" s="540">
        <f>3.1*1000</f>
        <v>3100</v>
      </c>
      <c r="D26" s="404">
        <v>19787</v>
      </c>
      <c r="E26" s="540">
        <f>28.4*1000</f>
        <v>28400</v>
      </c>
      <c r="F26" s="541">
        <f>1.9*1000</f>
        <v>1900</v>
      </c>
      <c r="G26" s="540">
        <f>16.4*1000</f>
        <v>16400</v>
      </c>
      <c r="H26" s="404">
        <f t="shared" si="5"/>
        <v>71553</v>
      </c>
      <c r="I26" s="1645"/>
      <c r="J26" s="1645"/>
      <c r="K26" s="1860"/>
      <c r="L26" s="1675" t="s">
        <v>598</v>
      </c>
      <c r="M26" s="1675">
        <v>173</v>
      </c>
      <c r="N26" s="1675">
        <v>0</v>
      </c>
      <c r="O26" s="1675">
        <v>0</v>
      </c>
      <c r="P26" s="1675"/>
      <c r="Q26" s="1675" t="s">
        <v>498</v>
      </c>
      <c r="R26" s="1675" t="s">
        <v>498</v>
      </c>
      <c r="S26" s="1675" t="s">
        <v>498</v>
      </c>
      <c r="T26" s="1675"/>
      <c r="U26" s="1675">
        <v>0</v>
      </c>
      <c r="V26" s="1675">
        <v>0</v>
      </c>
      <c r="W26" s="1675">
        <v>0</v>
      </c>
      <c r="X26" s="420">
        <v>0</v>
      </c>
      <c r="Y26" s="545"/>
      <c r="Z26" s="545"/>
      <c r="AA26" s="545"/>
      <c r="AB26" s="545"/>
      <c r="AC26" s="545"/>
      <c r="AD26" s="545"/>
      <c r="AE26" s="545"/>
      <c r="AF26" s="1645"/>
      <c r="AG26" s="1645"/>
      <c r="AH26" s="1645">
        <v>2024</v>
      </c>
      <c r="AI26" s="1645">
        <v>18144</v>
      </c>
      <c r="AJ26" s="1645">
        <v>868</v>
      </c>
      <c r="AK26" s="1645"/>
      <c r="AL26" s="1645">
        <f>SUM(AI26:AK26)</f>
        <v>19012</v>
      </c>
      <c r="AM26" s="1645"/>
      <c r="AN26" s="417"/>
      <c r="AO26" s="418">
        <f t="shared" si="4"/>
        <v>1992</v>
      </c>
      <c r="AP26" s="418">
        <v>6001</v>
      </c>
      <c r="AQ26" s="418">
        <v>0</v>
      </c>
      <c r="AR26" s="1675">
        <v>0</v>
      </c>
      <c r="AS26" s="418">
        <f t="shared" si="1"/>
        <v>0</v>
      </c>
      <c r="AT26" s="418">
        <v>0</v>
      </c>
      <c r="AU26" s="418">
        <v>0</v>
      </c>
      <c r="AV26" s="418">
        <v>0</v>
      </c>
      <c r="AW26" s="418">
        <v>0</v>
      </c>
      <c r="AX26" s="418">
        <v>0</v>
      </c>
      <c r="AY26" s="418">
        <v>0</v>
      </c>
      <c r="AZ26" s="419">
        <v>6001</v>
      </c>
      <c r="BA26" s="1645">
        <f t="shared" si="3"/>
        <v>6001</v>
      </c>
    </row>
    <row r="27" spans="1:53">
      <c r="A27" s="92">
        <v>2002</v>
      </c>
      <c r="B27" s="404">
        <f>[2]T10!$D10</f>
        <v>4404</v>
      </c>
      <c r="C27" s="540">
        <f>6*1000</f>
        <v>6000</v>
      </c>
      <c r="D27" s="404">
        <v>34915</v>
      </c>
      <c r="E27" s="540">
        <f>35.2*1000</f>
        <v>35200</v>
      </c>
      <c r="F27" s="541">
        <f>2.8*1000</f>
        <v>2800</v>
      </c>
      <c r="G27" s="540">
        <f>33.8*1000</f>
        <v>33800</v>
      </c>
      <c r="H27" s="404">
        <f t="shared" si="5"/>
        <v>117119</v>
      </c>
      <c r="I27" s="1645"/>
      <c r="J27" s="1645"/>
      <c r="K27" s="1860"/>
      <c r="L27" s="1675" t="s">
        <v>599</v>
      </c>
      <c r="M27" s="1675">
        <v>174</v>
      </c>
      <c r="N27" s="1675">
        <v>0</v>
      </c>
      <c r="O27" s="1675">
        <v>0</v>
      </c>
      <c r="P27" s="1675"/>
      <c r="Q27" s="1675" t="s">
        <v>498</v>
      </c>
      <c r="R27" s="1675" t="s">
        <v>498</v>
      </c>
      <c r="S27" s="1675" t="s">
        <v>498</v>
      </c>
      <c r="T27" s="1675"/>
      <c r="U27" s="1675">
        <v>0</v>
      </c>
      <c r="V27" s="1675">
        <v>0</v>
      </c>
      <c r="W27" s="1675">
        <v>0</v>
      </c>
      <c r="X27" s="420">
        <v>0</v>
      </c>
      <c r="Y27" s="545"/>
      <c r="Z27" s="545"/>
      <c r="AA27" s="545"/>
      <c r="AB27" s="545"/>
      <c r="AC27" s="545"/>
      <c r="AD27" s="545"/>
      <c r="AE27" s="545"/>
      <c r="AF27" s="1645"/>
      <c r="AG27" s="1645"/>
      <c r="AH27" s="1645">
        <v>2025</v>
      </c>
      <c r="AI27" s="1645">
        <v>5093</v>
      </c>
      <c r="AJ27" s="1645">
        <v>394</v>
      </c>
      <c r="AK27" s="1645"/>
      <c r="AL27" s="1645">
        <f>SUM(AI27:AK27)</f>
        <v>5487</v>
      </c>
      <c r="AM27" s="1645"/>
      <c r="AN27" s="417"/>
      <c r="AO27" s="418">
        <f t="shared" si="4"/>
        <v>1993</v>
      </c>
      <c r="AP27" s="418">
        <v>2181</v>
      </c>
      <c r="AQ27" s="418">
        <v>0</v>
      </c>
      <c r="AR27" s="1675">
        <v>0</v>
      </c>
      <c r="AS27" s="418">
        <f t="shared" si="1"/>
        <v>0</v>
      </c>
      <c r="AT27" s="418">
        <v>0</v>
      </c>
      <c r="AU27" s="418">
        <v>0</v>
      </c>
      <c r="AV27" s="418">
        <v>0</v>
      </c>
      <c r="AW27" s="418">
        <v>0</v>
      </c>
      <c r="AX27" s="418">
        <v>0</v>
      </c>
      <c r="AY27" s="418">
        <v>0</v>
      </c>
      <c r="AZ27" s="419">
        <v>2181</v>
      </c>
      <c r="BA27" s="1645">
        <f t="shared" si="3"/>
        <v>2181</v>
      </c>
    </row>
    <row r="28" spans="1:53">
      <c r="A28" s="92">
        <v>2003</v>
      </c>
      <c r="B28" s="404">
        <f>[2]T10!$D11</f>
        <v>2691</v>
      </c>
      <c r="C28" s="540">
        <f>2.7*1000</f>
        <v>2700</v>
      </c>
      <c r="D28" s="404">
        <v>26858</v>
      </c>
      <c r="E28" s="540">
        <f>17.5*1000</f>
        <v>17500</v>
      </c>
      <c r="F28" s="541">
        <f>4.5*1000</f>
        <v>4500</v>
      </c>
      <c r="G28" s="540">
        <f>23*1000</f>
        <v>23000</v>
      </c>
      <c r="H28" s="404">
        <f t="shared" si="5"/>
        <v>77249</v>
      </c>
      <c r="I28" s="1645"/>
      <c r="J28" s="1645"/>
      <c r="K28" s="1860"/>
      <c r="L28" s="1675" t="s">
        <v>600</v>
      </c>
      <c r="M28" s="1675">
        <v>175</v>
      </c>
      <c r="N28" s="1675">
        <v>0</v>
      </c>
      <c r="O28" s="1675">
        <v>0</v>
      </c>
      <c r="P28" s="1675"/>
      <c r="Q28" s="1675" t="s">
        <v>498</v>
      </c>
      <c r="R28" s="1675" t="s">
        <v>498</v>
      </c>
      <c r="S28" s="1675" t="s">
        <v>498</v>
      </c>
      <c r="T28" s="1675"/>
      <c r="U28" s="1675">
        <v>0</v>
      </c>
      <c r="V28" s="1675">
        <v>0</v>
      </c>
      <c r="W28" s="1675">
        <v>0</v>
      </c>
      <c r="X28" s="420">
        <v>0</v>
      </c>
      <c r="Y28" s="545"/>
      <c r="Z28" s="545"/>
      <c r="AA28" s="545"/>
      <c r="AB28" s="545"/>
      <c r="AC28" s="545"/>
      <c r="AD28" s="545"/>
      <c r="AE28" s="545"/>
      <c r="AF28" s="1645"/>
      <c r="AG28" s="1645"/>
      <c r="AH28" s="1645"/>
      <c r="AI28" s="1645"/>
      <c r="AJ28" s="1645"/>
      <c r="AK28" s="1645"/>
      <c r="AL28" s="1645"/>
      <c r="AM28" s="1645"/>
      <c r="AN28" s="417"/>
      <c r="AO28" s="418">
        <f t="shared" si="4"/>
        <v>1994</v>
      </c>
      <c r="AP28" s="418">
        <v>1476</v>
      </c>
      <c r="AQ28" s="418">
        <v>40</v>
      </c>
      <c r="AR28" s="1675">
        <v>0</v>
      </c>
      <c r="AS28" s="418">
        <f t="shared" si="1"/>
        <v>40</v>
      </c>
      <c r="AT28" s="418">
        <v>0</v>
      </c>
      <c r="AU28" s="418">
        <v>0</v>
      </c>
      <c r="AV28" s="418">
        <v>0</v>
      </c>
      <c r="AW28" s="418">
        <v>0</v>
      </c>
      <c r="AX28" s="418">
        <v>0</v>
      </c>
      <c r="AY28" s="418">
        <v>0</v>
      </c>
      <c r="AZ28" s="419">
        <v>1476</v>
      </c>
      <c r="BA28" s="1645">
        <f t="shared" si="3"/>
        <v>1516</v>
      </c>
    </row>
    <row r="29" spans="1:53">
      <c r="A29" s="92">
        <v>2004</v>
      </c>
      <c r="B29" s="404">
        <f>[2]T10!$D12</f>
        <v>2954</v>
      </c>
      <c r="C29" s="540">
        <f>5.6*1000</f>
        <v>5600</v>
      </c>
      <c r="D29" s="404">
        <v>44470</v>
      </c>
      <c r="E29" s="540">
        <f>36.4*1000</f>
        <v>36400</v>
      </c>
      <c r="F29" s="541">
        <f>2.4*1000</f>
        <v>2400</v>
      </c>
      <c r="G29" s="540">
        <f>23.1*1000</f>
        <v>23100</v>
      </c>
      <c r="H29" s="404">
        <f t="shared" si="5"/>
        <v>114924</v>
      </c>
      <c r="I29" s="1645"/>
      <c r="J29" s="1645"/>
      <c r="K29" s="1860"/>
      <c r="L29" s="1675" t="s">
        <v>601</v>
      </c>
      <c r="M29" s="1675">
        <v>178</v>
      </c>
      <c r="N29" s="1675">
        <v>5</v>
      </c>
      <c r="O29" s="1675">
        <v>20</v>
      </c>
      <c r="P29" s="1675">
        <v>0</v>
      </c>
      <c r="Q29" s="1675">
        <v>0</v>
      </c>
      <c r="R29" s="1675">
        <v>12</v>
      </c>
      <c r="S29" s="1675">
        <v>10</v>
      </c>
      <c r="T29" s="1675">
        <v>123</v>
      </c>
      <c r="U29" s="1675">
        <v>178</v>
      </c>
      <c r="V29" s="1675">
        <v>7</v>
      </c>
      <c r="W29" s="1675">
        <v>7</v>
      </c>
      <c r="X29" s="420">
        <v>1</v>
      </c>
      <c r="Y29" s="545"/>
      <c r="Z29" s="545"/>
      <c r="AA29" s="545"/>
      <c r="AB29" s="545"/>
      <c r="AC29" s="545"/>
      <c r="AD29" s="545"/>
      <c r="AE29" s="545"/>
      <c r="AF29" s="1645"/>
      <c r="AG29" s="1645"/>
      <c r="AH29" s="1645"/>
      <c r="AI29" s="1645"/>
      <c r="AJ29" s="1645"/>
      <c r="AK29" s="1645"/>
      <c r="AL29" s="1645"/>
      <c r="AM29" s="1645"/>
      <c r="AN29" s="417"/>
      <c r="AO29" s="418">
        <f t="shared" si="4"/>
        <v>1995</v>
      </c>
      <c r="AP29" s="418">
        <v>1007</v>
      </c>
      <c r="AQ29" s="418">
        <v>5</v>
      </c>
      <c r="AR29" s="1675">
        <v>0</v>
      </c>
      <c r="AS29" s="418">
        <f t="shared" si="1"/>
        <v>5</v>
      </c>
      <c r="AT29" s="418">
        <v>0</v>
      </c>
      <c r="AU29" s="418">
        <v>0</v>
      </c>
      <c r="AV29" s="418">
        <v>0</v>
      </c>
      <c r="AW29" s="418">
        <v>0</v>
      </c>
      <c r="AX29" s="418">
        <v>0</v>
      </c>
      <c r="AY29" s="418">
        <v>0</v>
      </c>
      <c r="AZ29" s="419">
        <v>1007</v>
      </c>
      <c r="BA29" s="1645">
        <f t="shared" si="3"/>
        <v>1012</v>
      </c>
    </row>
    <row r="30" spans="1:53">
      <c r="A30" s="92">
        <v>2005</v>
      </c>
      <c r="B30" s="404">
        <f>[2]T10!$D13</f>
        <v>2055</v>
      </c>
      <c r="C30" s="540">
        <f>2*1000</f>
        <v>2000</v>
      </c>
      <c r="D30" s="404">
        <v>15204</v>
      </c>
      <c r="E30" s="540">
        <f>14.6*1000</f>
        <v>14600</v>
      </c>
      <c r="F30" s="541">
        <f>4.1*1000</f>
        <v>4100</v>
      </c>
      <c r="G30" s="540">
        <f>18.8*1000</f>
        <v>18800</v>
      </c>
      <c r="H30" s="404">
        <f t="shared" si="5"/>
        <v>56759</v>
      </c>
      <c r="I30" s="1645"/>
      <c r="J30" s="1645"/>
      <c r="K30" s="1860"/>
      <c r="L30" s="1675" t="s">
        <v>602</v>
      </c>
      <c r="M30" s="1675">
        <v>185</v>
      </c>
      <c r="N30" s="1675">
        <v>1610</v>
      </c>
      <c r="O30" s="1675">
        <v>1039</v>
      </c>
      <c r="P30" s="1675">
        <v>1252</v>
      </c>
      <c r="Q30" s="1675">
        <v>1039</v>
      </c>
      <c r="R30" s="1675">
        <v>1544</v>
      </c>
      <c r="S30" s="1675">
        <v>685</v>
      </c>
      <c r="T30" s="1675">
        <v>810</v>
      </c>
      <c r="U30" s="1675">
        <v>179</v>
      </c>
      <c r="V30" s="1675">
        <v>852</v>
      </c>
      <c r="W30" s="1675">
        <v>395</v>
      </c>
      <c r="X30" s="420">
        <v>730</v>
      </c>
      <c r="Y30" s="545"/>
      <c r="Z30" s="545"/>
      <c r="AA30" s="545"/>
      <c r="AB30" s="545"/>
      <c r="AC30" s="545"/>
      <c r="AD30" s="545"/>
      <c r="AE30" s="545"/>
      <c r="AF30" s="1645"/>
      <c r="AG30" s="1645"/>
      <c r="AH30" s="1645"/>
      <c r="AI30" s="1645"/>
      <c r="AJ30" s="1645"/>
      <c r="AK30" s="1645"/>
      <c r="AL30" s="1645"/>
      <c r="AM30" s="1645"/>
      <c r="AN30" s="417"/>
      <c r="AO30" s="418">
        <f t="shared" si="4"/>
        <v>1996</v>
      </c>
      <c r="AP30" s="418">
        <v>293</v>
      </c>
      <c r="AQ30" s="418">
        <v>0</v>
      </c>
      <c r="AR30" s="1675">
        <v>0</v>
      </c>
      <c r="AS30" s="418">
        <f t="shared" si="1"/>
        <v>0</v>
      </c>
      <c r="AT30" s="418">
        <v>0</v>
      </c>
      <c r="AU30" s="418">
        <v>0</v>
      </c>
      <c r="AV30" s="418">
        <v>0</v>
      </c>
      <c r="AW30" s="418">
        <v>0</v>
      </c>
      <c r="AX30" s="418">
        <v>0</v>
      </c>
      <c r="AY30" s="418">
        <v>0</v>
      </c>
      <c r="AZ30" s="419">
        <v>293</v>
      </c>
      <c r="BA30" s="1645">
        <f t="shared" si="3"/>
        <v>293</v>
      </c>
    </row>
    <row r="31" spans="1:53">
      <c r="A31" s="92">
        <v>2006</v>
      </c>
      <c r="B31" s="404">
        <f>[2]T10!$D14</f>
        <v>3021</v>
      </c>
      <c r="C31" s="540">
        <f>4.3*1000</f>
        <v>4300</v>
      </c>
      <c r="D31" s="404">
        <v>29384</v>
      </c>
      <c r="E31" s="540">
        <f>17*1000</f>
        <v>17000</v>
      </c>
      <c r="F31" s="541">
        <f>1.3*1000</f>
        <v>1300</v>
      </c>
      <c r="G31" s="540">
        <f>24.8*1000</f>
        <v>24800</v>
      </c>
      <c r="H31" s="404">
        <f t="shared" si="5"/>
        <v>79805</v>
      </c>
      <c r="I31" s="483">
        <f t="shared" ref="I31:I43" si="6">H31-C31-D31</f>
        <v>46121</v>
      </c>
      <c r="J31" s="1645"/>
      <c r="K31" s="1860"/>
      <c r="L31" s="1675" t="s">
        <v>603</v>
      </c>
      <c r="M31" s="1675">
        <v>193</v>
      </c>
      <c r="N31" s="1675">
        <v>0</v>
      </c>
      <c r="O31" s="1675">
        <v>0</v>
      </c>
      <c r="P31" s="1675">
        <v>11</v>
      </c>
      <c r="Q31" s="1675">
        <v>0</v>
      </c>
      <c r="R31" s="1675">
        <v>2</v>
      </c>
      <c r="S31" s="1675"/>
      <c r="T31" s="1675"/>
      <c r="U31" s="1675">
        <v>0</v>
      </c>
      <c r="V31" s="1675">
        <v>7</v>
      </c>
      <c r="W31" s="1675">
        <v>0</v>
      </c>
      <c r="X31" s="420">
        <v>0</v>
      </c>
      <c r="Y31" s="545"/>
      <c r="Z31" s="545"/>
      <c r="AA31" s="545"/>
      <c r="AB31" s="545"/>
      <c r="AC31" s="545"/>
      <c r="AD31" s="545"/>
      <c r="AE31" s="545"/>
      <c r="AF31" s="1645"/>
      <c r="AG31" s="1645"/>
      <c r="AH31" s="1645"/>
      <c r="AI31" s="1645"/>
      <c r="AJ31" s="1645"/>
      <c r="AK31" s="1645"/>
      <c r="AL31" s="1645"/>
      <c r="AM31" s="1645"/>
      <c r="AN31" s="417"/>
      <c r="AO31" s="418">
        <f t="shared" si="4"/>
        <v>1997</v>
      </c>
      <c r="AP31" s="418">
        <v>1021</v>
      </c>
      <c r="AQ31" s="418">
        <v>66</v>
      </c>
      <c r="AR31" s="1675">
        <v>0</v>
      </c>
      <c r="AS31" s="418">
        <f t="shared" si="1"/>
        <v>66</v>
      </c>
      <c r="AT31" s="418">
        <v>0</v>
      </c>
      <c r="AU31" s="418">
        <v>0</v>
      </c>
      <c r="AV31" s="418">
        <v>0</v>
      </c>
      <c r="AW31" s="418">
        <v>0</v>
      </c>
      <c r="AX31" s="418">
        <v>0</v>
      </c>
      <c r="AY31" s="418">
        <v>0</v>
      </c>
      <c r="AZ31" s="419">
        <v>1021</v>
      </c>
      <c r="BA31" s="1645">
        <f t="shared" si="3"/>
        <v>1087</v>
      </c>
    </row>
    <row r="32" spans="1:53">
      <c r="A32" s="92">
        <v>2007</v>
      </c>
      <c r="B32" s="404">
        <f>[2]T10!$D15</f>
        <v>2695</v>
      </c>
      <c r="C32" s="540">
        <f>3.5*1000</f>
        <v>3500</v>
      </c>
      <c r="D32" s="404">
        <v>12406</v>
      </c>
      <c r="E32" s="540">
        <f>13.1*1000</f>
        <v>13100</v>
      </c>
      <c r="F32" s="541">
        <f>1.2*1000</f>
        <v>1200</v>
      </c>
      <c r="G32" s="540">
        <f>9.2*1000</f>
        <v>9200</v>
      </c>
      <c r="H32" s="404">
        <f t="shared" si="5"/>
        <v>42101</v>
      </c>
      <c r="I32" s="483">
        <f t="shared" si="6"/>
        <v>26195</v>
      </c>
      <c r="J32" s="1645"/>
      <c r="K32" s="1860"/>
      <c r="L32" s="1675" t="s">
        <v>604</v>
      </c>
      <c r="M32" s="542">
        <v>196</v>
      </c>
      <c r="N32" s="1675"/>
      <c r="O32" s="1675"/>
      <c r="P32" s="1675" t="s">
        <v>498</v>
      </c>
      <c r="Q32" s="1675" t="s">
        <v>498</v>
      </c>
      <c r="R32" s="1675" t="s">
        <v>498</v>
      </c>
      <c r="S32" s="1675"/>
      <c r="T32" s="1675"/>
      <c r="U32" s="1675"/>
      <c r="V32" s="1675"/>
      <c r="W32" s="1675"/>
      <c r="X32" s="420"/>
      <c r="Y32" s="545"/>
      <c r="Z32" s="545"/>
      <c r="AA32" s="545"/>
      <c r="AB32" s="545"/>
      <c r="AC32" s="545"/>
      <c r="AD32" s="545"/>
      <c r="AE32" s="545"/>
      <c r="AF32" s="1645"/>
      <c r="AG32" s="1645"/>
      <c r="AH32" s="1645"/>
      <c r="AI32" s="1645"/>
      <c r="AJ32" s="1645"/>
      <c r="AK32" s="1645"/>
      <c r="AL32" s="1645"/>
      <c r="AM32" s="1645"/>
      <c r="AN32" s="1669"/>
      <c r="AO32" s="419">
        <v>1998</v>
      </c>
      <c r="AP32" s="419">
        <v>0</v>
      </c>
      <c r="AQ32" s="418">
        <v>47</v>
      </c>
      <c r="AR32" s="1675">
        <v>0</v>
      </c>
      <c r="AS32" s="419">
        <f t="shared" si="1"/>
        <v>47</v>
      </c>
      <c r="AT32" s="419">
        <v>1437</v>
      </c>
      <c r="AU32" s="419">
        <v>0</v>
      </c>
      <c r="AV32" s="419">
        <v>56</v>
      </c>
      <c r="AW32" s="418">
        <v>11</v>
      </c>
      <c r="AX32" s="418">
        <v>0</v>
      </c>
      <c r="AY32" s="419">
        <v>0</v>
      </c>
      <c r="AZ32" s="419">
        <v>1417</v>
      </c>
      <c r="BA32" s="1645">
        <f t="shared" si="3"/>
        <v>1484</v>
      </c>
    </row>
    <row r="33" spans="1:53">
      <c r="A33" s="92">
        <v>2008</v>
      </c>
      <c r="B33" s="404">
        <f>[2]T10!$D16</f>
        <v>2035</v>
      </c>
      <c r="C33" s="404">
        <f>N40</f>
        <v>5140</v>
      </c>
      <c r="D33" s="404">
        <v>22540</v>
      </c>
      <c r="E33" s="404">
        <f t="shared" ref="E33:E48" si="7">AL10</f>
        <v>13917</v>
      </c>
      <c r="F33" s="541">
        <f>0.9*1000</f>
        <v>900</v>
      </c>
      <c r="G33" s="540">
        <f>20.6*1000</f>
        <v>20600</v>
      </c>
      <c r="H33" s="404">
        <f t="shared" si="5"/>
        <v>65132</v>
      </c>
      <c r="I33" s="483">
        <f t="shared" si="6"/>
        <v>37452</v>
      </c>
      <c r="J33" s="1645"/>
      <c r="K33" s="1860"/>
      <c r="L33" s="1675" t="s">
        <v>605</v>
      </c>
      <c r="M33" s="1675">
        <v>205</v>
      </c>
      <c r="N33" s="1675">
        <v>25</v>
      </c>
      <c r="O33" s="1675">
        <v>9</v>
      </c>
      <c r="P33" s="1675" t="s">
        <v>498</v>
      </c>
      <c r="Q33" s="1675" t="s">
        <v>498</v>
      </c>
      <c r="R33" s="1675" t="s">
        <v>498</v>
      </c>
      <c r="S33" s="1675" t="s">
        <v>498</v>
      </c>
      <c r="T33" s="1675" t="s">
        <v>498</v>
      </c>
      <c r="U33" s="1675" t="s">
        <v>498</v>
      </c>
      <c r="V33" s="1675" t="s">
        <v>498</v>
      </c>
      <c r="W33" s="1675" t="s">
        <v>498</v>
      </c>
      <c r="X33" s="420" t="s">
        <v>498</v>
      </c>
      <c r="Y33" s="545"/>
      <c r="Z33" s="545"/>
      <c r="AA33" s="545"/>
      <c r="AB33" s="545"/>
      <c r="AC33" s="545"/>
      <c r="AD33" s="545"/>
      <c r="AE33" s="545"/>
      <c r="AF33" s="1645"/>
      <c r="AG33" s="1645"/>
      <c r="AH33" s="1645"/>
      <c r="AI33" s="1645"/>
      <c r="AJ33" s="1645"/>
      <c r="AK33" s="1645"/>
      <c r="AL33" s="1645"/>
      <c r="AM33" s="1645"/>
      <c r="AN33" s="1669"/>
      <c r="AO33" s="419">
        <v>1999</v>
      </c>
      <c r="AP33" s="419">
        <v>37</v>
      </c>
      <c r="AQ33" s="418">
        <v>737</v>
      </c>
      <c r="AR33" s="1675">
        <v>0</v>
      </c>
      <c r="AS33" s="419">
        <f t="shared" si="1"/>
        <v>737</v>
      </c>
      <c r="AT33" s="419">
        <v>0</v>
      </c>
      <c r="AU33" s="419">
        <v>0</v>
      </c>
      <c r="AV33" s="419">
        <v>471</v>
      </c>
      <c r="AW33" s="418">
        <v>266</v>
      </c>
      <c r="AX33" s="418">
        <v>0</v>
      </c>
      <c r="AY33" s="419">
        <v>0</v>
      </c>
      <c r="AZ33" s="419">
        <v>37</v>
      </c>
      <c r="BA33" s="1645">
        <f t="shared" si="3"/>
        <v>774</v>
      </c>
    </row>
    <row r="34" spans="1:53">
      <c r="A34" s="92">
        <v>2009</v>
      </c>
      <c r="B34" s="404">
        <f>[2]T10!$D17</f>
        <v>1381</v>
      </c>
      <c r="C34" s="404">
        <f>O40</f>
        <v>4291</v>
      </c>
      <c r="D34" s="404">
        <v>18013</v>
      </c>
      <c r="E34" s="404">
        <f t="shared" si="7"/>
        <v>14198</v>
      </c>
      <c r="F34" s="541">
        <f>0.7*1000</f>
        <v>700</v>
      </c>
      <c r="G34" s="540">
        <f>19.1*1000</f>
        <v>19100</v>
      </c>
      <c r="H34" s="404">
        <f t="shared" si="5"/>
        <v>57683</v>
      </c>
      <c r="I34" s="483">
        <f t="shared" si="6"/>
        <v>35379</v>
      </c>
      <c r="J34" s="1645"/>
      <c r="K34" s="1860"/>
      <c r="L34" s="1675" t="s">
        <v>606</v>
      </c>
      <c r="M34" s="1675">
        <v>205</v>
      </c>
      <c r="N34" s="1675"/>
      <c r="O34" s="1675"/>
      <c r="P34" s="1675">
        <v>5</v>
      </c>
      <c r="Q34" s="1675">
        <v>40</v>
      </c>
      <c r="R34" s="1675">
        <v>42</v>
      </c>
      <c r="S34" s="1675">
        <v>45</v>
      </c>
      <c r="T34" s="1675">
        <v>118</v>
      </c>
      <c r="U34" s="1675">
        <v>44</v>
      </c>
      <c r="V34" s="1675">
        <v>42</v>
      </c>
      <c r="W34" s="1675">
        <v>13</v>
      </c>
      <c r="X34" s="420">
        <v>22</v>
      </c>
      <c r="Y34" s="545"/>
      <c r="Z34" s="545"/>
      <c r="AA34" s="545"/>
      <c r="AB34" s="545"/>
      <c r="AC34" s="545"/>
      <c r="AD34" s="545"/>
      <c r="AE34" s="545"/>
      <c r="AF34" s="1645"/>
      <c r="AG34" s="1645"/>
      <c r="AH34" s="1645"/>
      <c r="AI34" s="1645"/>
      <c r="AJ34" s="1645"/>
      <c r="AK34" s="1645"/>
      <c r="AL34" s="1645"/>
      <c r="AM34" s="1645"/>
      <c r="AN34" s="1669"/>
      <c r="AO34" s="419">
        <v>2000</v>
      </c>
      <c r="AP34" s="419">
        <v>132</v>
      </c>
      <c r="AQ34" s="418">
        <v>308</v>
      </c>
      <c r="AR34" s="1675">
        <v>0</v>
      </c>
      <c r="AS34" s="419">
        <f t="shared" si="1"/>
        <v>308</v>
      </c>
      <c r="AT34" s="419">
        <v>0</v>
      </c>
      <c r="AU34" s="419">
        <v>0</v>
      </c>
      <c r="AV34" s="419">
        <v>116</v>
      </c>
      <c r="AW34" s="418">
        <v>192</v>
      </c>
      <c r="AX34" s="418">
        <v>0</v>
      </c>
      <c r="AY34" s="419">
        <v>0</v>
      </c>
      <c r="AZ34" s="419">
        <v>132</v>
      </c>
      <c r="BA34" s="1645">
        <f t="shared" si="3"/>
        <v>440</v>
      </c>
    </row>
    <row r="35" spans="1:53">
      <c r="A35" s="92">
        <v>2010</v>
      </c>
      <c r="B35" s="404">
        <f>[2]T10!$D18</f>
        <v>4220</v>
      </c>
      <c r="C35" s="404">
        <f>P40</f>
        <v>3636</v>
      </c>
      <c r="D35" s="404">
        <v>23450</v>
      </c>
      <c r="E35" s="404">
        <f t="shared" si="7"/>
        <v>23980</v>
      </c>
      <c r="F35" s="541">
        <f>1*1000</f>
        <v>1000</v>
      </c>
      <c r="G35" s="540">
        <f>26.3*1000</f>
        <v>26300</v>
      </c>
      <c r="H35" s="404">
        <f t="shared" si="5"/>
        <v>82586</v>
      </c>
      <c r="I35" s="483">
        <f t="shared" si="6"/>
        <v>55500</v>
      </c>
      <c r="J35" s="1645"/>
      <c r="K35" s="1860"/>
      <c r="L35" s="1675" t="s">
        <v>607</v>
      </c>
      <c r="M35" s="1675">
        <v>244</v>
      </c>
      <c r="N35" s="1675"/>
      <c r="O35" s="1675"/>
      <c r="P35" s="1675">
        <v>0</v>
      </c>
      <c r="Q35" s="1675">
        <v>7</v>
      </c>
      <c r="R35" s="1675">
        <v>13</v>
      </c>
      <c r="S35" s="1675">
        <v>4</v>
      </c>
      <c r="T35" s="1675">
        <v>11</v>
      </c>
      <c r="U35" s="1675">
        <v>44</v>
      </c>
      <c r="V35" s="1675">
        <v>13</v>
      </c>
      <c r="W35" s="1675">
        <v>0</v>
      </c>
      <c r="X35" s="420">
        <v>0</v>
      </c>
      <c r="Y35" s="545"/>
      <c r="Z35" s="545"/>
      <c r="AA35" s="545"/>
      <c r="AB35" s="545"/>
      <c r="AC35" s="545"/>
      <c r="AD35" s="545"/>
      <c r="AE35" s="545"/>
      <c r="AF35" s="1645"/>
      <c r="AG35" s="1645"/>
      <c r="AH35" s="1645"/>
      <c r="AI35" s="1645"/>
      <c r="AJ35" s="1645"/>
      <c r="AK35" s="1645"/>
      <c r="AL35" s="1645"/>
      <c r="AM35" s="1645"/>
      <c r="AN35" s="1669"/>
      <c r="AO35" s="419">
        <v>2001</v>
      </c>
      <c r="AP35" s="419">
        <v>652</v>
      </c>
      <c r="AQ35" s="418">
        <v>590</v>
      </c>
      <c r="AR35" s="1675">
        <v>0</v>
      </c>
      <c r="AS35" s="419">
        <f t="shared" si="1"/>
        <v>590</v>
      </c>
      <c r="AT35" s="419">
        <v>0</v>
      </c>
      <c r="AU35" s="419">
        <v>599</v>
      </c>
      <c r="AV35" s="419">
        <v>302</v>
      </c>
      <c r="AW35" s="418">
        <v>288</v>
      </c>
      <c r="AX35" s="418">
        <v>0</v>
      </c>
      <c r="AY35" s="419">
        <v>0</v>
      </c>
      <c r="AZ35" s="419">
        <v>53</v>
      </c>
      <c r="BA35" s="1645">
        <f t="shared" si="3"/>
        <v>1242</v>
      </c>
    </row>
    <row r="36" spans="1:53">
      <c r="A36" s="92">
        <v>2011</v>
      </c>
      <c r="B36" s="404">
        <f>[2]T10!$D19</f>
        <v>4371</v>
      </c>
      <c r="C36" s="404">
        <f>Q40</f>
        <v>2654</v>
      </c>
      <c r="D36" s="404">
        <v>17461</v>
      </c>
      <c r="E36" s="404">
        <f t="shared" si="7"/>
        <v>20522</v>
      </c>
      <c r="F36" s="541">
        <f>0.6*1000</f>
        <v>600</v>
      </c>
      <c r="G36" s="540">
        <f>17.1*1000</f>
        <v>17100</v>
      </c>
      <c r="H36" s="404">
        <f t="shared" si="5"/>
        <v>62708</v>
      </c>
      <c r="I36" s="483">
        <f t="shared" si="6"/>
        <v>42593</v>
      </c>
      <c r="J36" s="1645"/>
      <c r="K36" s="1860"/>
      <c r="L36" s="1675" t="s">
        <v>608</v>
      </c>
      <c r="M36" s="1675">
        <v>245</v>
      </c>
      <c r="N36" s="1675"/>
      <c r="O36" s="1675"/>
      <c r="P36" s="1675">
        <v>28</v>
      </c>
      <c r="Q36" s="1675">
        <v>284</v>
      </c>
      <c r="R36" s="1675">
        <v>537</v>
      </c>
      <c r="S36" s="1675">
        <v>284</v>
      </c>
      <c r="T36" s="1675">
        <v>161</v>
      </c>
      <c r="U36" s="1675">
        <v>199</v>
      </c>
      <c r="V36" s="1675">
        <v>560</v>
      </c>
      <c r="W36" s="1675">
        <v>163</v>
      </c>
      <c r="X36" s="420">
        <v>301</v>
      </c>
      <c r="Y36" s="545"/>
      <c r="Z36" s="545"/>
      <c r="AA36" s="545"/>
      <c r="AB36" s="545"/>
      <c r="AC36" s="545"/>
      <c r="AD36" s="545"/>
      <c r="AE36" s="545"/>
      <c r="AF36" s="1645"/>
      <c r="AG36" s="1645"/>
      <c r="AH36" s="1645"/>
      <c r="AI36" s="1645"/>
      <c r="AJ36" s="1645"/>
      <c r="AK36" s="1645"/>
      <c r="AL36" s="1645"/>
      <c r="AM36" s="1645"/>
      <c r="AN36" s="1669"/>
      <c r="AO36" s="1675">
        <v>2002</v>
      </c>
      <c r="AP36" s="1675">
        <v>888</v>
      </c>
      <c r="AQ36" s="418">
        <v>3287</v>
      </c>
      <c r="AR36" s="1675">
        <v>0</v>
      </c>
      <c r="AS36" s="419">
        <f t="shared" si="1"/>
        <v>3287</v>
      </c>
      <c r="AT36" s="1675">
        <v>0</v>
      </c>
      <c r="AU36" s="1675">
        <v>888</v>
      </c>
      <c r="AV36" s="1675">
        <v>2355</v>
      </c>
      <c r="AW36" s="418">
        <v>932</v>
      </c>
      <c r="AX36" s="418">
        <v>0</v>
      </c>
      <c r="AY36" s="1675">
        <v>0</v>
      </c>
      <c r="AZ36" s="419">
        <v>0</v>
      </c>
      <c r="BA36" s="1645">
        <v>4175</v>
      </c>
    </row>
    <row r="37" spans="1:53">
      <c r="A37" s="92">
        <v>2012</v>
      </c>
      <c r="B37" s="404">
        <f>[2]T10!$D20</f>
        <v>4049</v>
      </c>
      <c r="C37" s="404">
        <f>R40</f>
        <v>4808</v>
      </c>
      <c r="D37" s="404">
        <v>17210</v>
      </c>
      <c r="E37" s="404">
        <f t="shared" si="7"/>
        <v>24072</v>
      </c>
      <c r="F37" s="541">
        <f>1.2*1000</f>
        <v>1200</v>
      </c>
      <c r="G37" s="540">
        <f>18.5*1000</f>
        <v>18500</v>
      </c>
      <c r="H37" s="404">
        <f t="shared" si="5"/>
        <v>69839</v>
      </c>
      <c r="I37" s="483">
        <f t="shared" si="6"/>
        <v>47821</v>
      </c>
      <c r="J37" s="1645"/>
      <c r="K37" s="1860"/>
      <c r="L37" s="1675" t="s">
        <v>609</v>
      </c>
      <c r="M37" s="1675">
        <v>246</v>
      </c>
      <c r="N37" s="1675"/>
      <c r="O37" s="1675"/>
      <c r="P37" s="1675">
        <v>64</v>
      </c>
      <c r="Q37" s="1675">
        <v>401</v>
      </c>
      <c r="R37" s="1675">
        <v>593</v>
      </c>
      <c r="S37" s="1675">
        <v>1043</v>
      </c>
      <c r="T37" s="1675">
        <v>906</v>
      </c>
      <c r="U37" s="1675">
        <v>560</v>
      </c>
      <c r="V37" s="1675">
        <v>1514</v>
      </c>
      <c r="W37" s="1675">
        <v>228</v>
      </c>
      <c r="X37" s="420">
        <v>671</v>
      </c>
      <c r="Y37" s="545"/>
      <c r="Z37" s="545"/>
      <c r="AA37" s="545"/>
      <c r="AB37" s="545"/>
      <c r="AC37" s="545"/>
      <c r="AD37" s="545"/>
      <c r="AE37" s="545"/>
      <c r="AF37" s="1645"/>
      <c r="AG37" s="1645"/>
      <c r="AH37" s="1645"/>
      <c r="AI37" s="1645"/>
      <c r="AJ37" s="1645"/>
      <c r="AK37" s="1645"/>
      <c r="AL37" s="1645"/>
      <c r="AM37" s="1645"/>
      <c r="AN37" s="1669"/>
      <c r="AO37" s="419">
        <v>2003</v>
      </c>
      <c r="AP37" s="419">
        <v>745</v>
      </c>
      <c r="AQ37" s="418">
        <v>692</v>
      </c>
      <c r="AR37" s="1675">
        <v>0</v>
      </c>
      <c r="AS37" s="419">
        <f t="shared" si="1"/>
        <v>692</v>
      </c>
      <c r="AT37" s="419">
        <v>0</v>
      </c>
      <c r="AU37" s="419">
        <v>745</v>
      </c>
      <c r="AV37" s="419">
        <v>685</v>
      </c>
      <c r="AW37" s="418">
        <v>7</v>
      </c>
      <c r="AX37" s="418">
        <v>0</v>
      </c>
      <c r="AY37" s="419">
        <v>0</v>
      </c>
      <c r="AZ37" s="419">
        <v>0</v>
      </c>
      <c r="BA37" s="1645">
        <v>1427</v>
      </c>
    </row>
    <row r="38" spans="1:53">
      <c r="A38" s="92">
        <v>2013</v>
      </c>
      <c r="B38" s="404">
        <f>[2]T10!$D21</f>
        <v>2391</v>
      </c>
      <c r="C38" s="404">
        <f>S40</f>
        <v>3130</v>
      </c>
      <c r="D38" s="404">
        <v>9574</v>
      </c>
      <c r="E38" s="404">
        <f t="shared" si="7"/>
        <v>13621</v>
      </c>
      <c r="F38" s="541">
        <f>1.6*1000</f>
        <v>1600</v>
      </c>
      <c r="G38" s="540">
        <f>7*1000</f>
        <v>7000</v>
      </c>
      <c r="H38" s="404">
        <f t="shared" si="5"/>
        <v>37316</v>
      </c>
      <c r="I38" s="483">
        <f t="shared" si="6"/>
        <v>24612</v>
      </c>
      <c r="J38" s="1645"/>
      <c r="K38" s="1860"/>
      <c r="L38" s="1675" t="s">
        <v>610</v>
      </c>
      <c r="M38" s="1675">
        <v>247</v>
      </c>
      <c r="N38" s="1675"/>
      <c r="O38" s="1675"/>
      <c r="P38" s="1675">
        <v>0</v>
      </c>
      <c r="Q38" s="1675">
        <v>186</v>
      </c>
      <c r="R38" s="1675">
        <v>610</v>
      </c>
      <c r="S38" s="1675">
        <v>393</v>
      </c>
      <c r="T38" s="1675">
        <v>460</v>
      </c>
      <c r="U38" s="1675">
        <v>127</v>
      </c>
      <c r="V38" s="1675">
        <v>794</v>
      </c>
      <c r="W38" s="1675">
        <v>201</v>
      </c>
      <c r="X38" s="420">
        <v>320</v>
      </c>
      <c r="Y38" s="545"/>
      <c r="Z38" s="545"/>
      <c r="AA38" s="545"/>
      <c r="AB38" s="545"/>
      <c r="AC38" s="545"/>
      <c r="AD38" s="545"/>
      <c r="AE38" s="545"/>
      <c r="AF38" s="1645"/>
      <c r="AG38" s="1645"/>
      <c r="AH38" s="1645"/>
      <c r="AI38" s="1645"/>
      <c r="AJ38" s="1645"/>
      <c r="AK38" s="1645"/>
      <c r="AL38" s="1645"/>
      <c r="AM38" s="1645"/>
      <c r="AN38" s="1669"/>
      <c r="AO38" s="419">
        <v>2004</v>
      </c>
      <c r="AP38" s="419">
        <v>606</v>
      </c>
      <c r="AQ38" s="418">
        <v>2052</v>
      </c>
      <c r="AR38" s="1675">
        <v>0</v>
      </c>
      <c r="AS38" s="419">
        <f t="shared" si="1"/>
        <v>2052</v>
      </c>
      <c r="AT38" s="419">
        <v>0</v>
      </c>
      <c r="AU38" s="419">
        <v>606</v>
      </c>
      <c r="AV38" s="419">
        <v>1932</v>
      </c>
      <c r="AW38" s="418">
        <v>55</v>
      </c>
      <c r="AX38" s="418">
        <v>0</v>
      </c>
      <c r="AY38" s="419">
        <v>0</v>
      </c>
      <c r="AZ38" s="419">
        <v>65</v>
      </c>
      <c r="BA38" s="1645">
        <f>SUM(AP38,AQ38,AR38,AT38)</f>
        <v>2658</v>
      </c>
    </row>
    <row r="39" spans="1:53">
      <c r="A39" s="92">
        <v>2014</v>
      </c>
      <c r="B39" s="404">
        <f>[2]T10!$D22</f>
        <v>3816</v>
      </c>
      <c r="C39" s="404">
        <f>T40</f>
        <v>4027</v>
      </c>
      <c r="D39" s="404">
        <v>25139</v>
      </c>
      <c r="E39" s="404">
        <f t="shared" si="7"/>
        <v>21997</v>
      </c>
      <c r="F39" s="92">
        <f>AQ57</f>
        <v>1530</v>
      </c>
      <c r="G39" s="540">
        <f>24*1000</f>
        <v>24000</v>
      </c>
      <c r="H39" s="404">
        <f t="shared" si="5"/>
        <v>80509</v>
      </c>
      <c r="I39" s="483">
        <f t="shared" si="6"/>
        <v>51343</v>
      </c>
      <c r="J39" s="1645"/>
      <c r="K39" s="1860"/>
      <c r="L39" s="1675" t="s">
        <v>611</v>
      </c>
      <c r="M39" s="1675">
        <v>250</v>
      </c>
      <c r="N39" s="1675">
        <v>0</v>
      </c>
      <c r="O39" s="1675">
        <v>0</v>
      </c>
      <c r="P39" s="1675">
        <v>0</v>
      </c>
      <c r="Q39" s="1675">
        <v>0</v>
      </c>
      <c r="R39" s="1675">
        <v>0</v>
      </c>
      <c r="S39" s="1675"/>
      <c r="T39" s="1675"/>
      <c r="U39" s="1675">
        <v>0</v>
      </c>
      <c r="V39" s="1675">
        <v>0</v>
      </c>
      <c r="W39" s="1675">
        <v>0</v>
      </c>
      <c r="X39" s="420">
        <v>0</v>
      </c>
      <c r="Y39" s="545"/>
      <c r="Z39" s="545"/>
      <c r="AA39" s="545"/>
      <c r="AB39" s="545"/>
      <c r="AC39" s="545"/>
      <c r="AD39" s="545"/>
      <c r="AE39" s="545"/>
      <c r="AF39" s="1645"/>
      <c r="AG39" s="1645"/>
      <c r="AH39" s="1645"/>
      <c r="AI39" s="1645"/>
      <c r="AJ39" s="1645"/>
      <c r="AK39" s="1645"/>
      <c r="AL39" s="1645"/>
      <c r="AM39" s="1645"/>
      <c r="AN39" s="1669"/>
      <c r="AO39" s="419">
        <v>2005</v>
      </c>
      <c r="AP39" s="419">
        <v>122</v>
      </c>
      <c r="AQ39" s="418">
        <v>290</v>
      </c>
      <c r="AR39" s="1675">
        <v>0</v>
      </c>
      <c r="AS39" s="419">
        <f t="shared" si="1"/>
        <v>290</v>
      </c>
      <c r="AT39" s="419">
        <v>0</v>
      </c>
      <c r="AU39" s="419">
        <v>100</v>
      </c>
      <c r="AV39" s="419">
        <v>191</v>
      </c>
      <c r="AW39" s="1675">
        <v>71</v>
      </c>
      <c r="AX39" s="1675">
        <v>22</v>
      </c>
      <c r="AY39" s="419">
        <v>28</v>
      </c>
      <c r="AZ39" s="419">
        <v>0</v>
      </c>
      <c r="BA39" s="1645">
        <f>SUM(AP39,AQ39,AR39,AT39)</f>
        <v>412</v>
      </c>
    </row>
    <row r="40" spans="1:53">
      <c r="A40" s="92">
        <v>2015</v>
      </c>
      <c r="B40" s="404">
        <f>[2]T10!$D23</f>
        <v>1708</v>
      </c>
      <c r="C40" s="404">
        <f>U40</f>
        <v>2289</v>
      </c>
      <c r="D40" s="404">
        <v>36325</v>
      </c>
      <c r="E40" s="404">
        <f t="shared" si="7"/>
        <v>4327</v>
      </c>
      <c r="F40" s="92">
        <f>AR57</f>
        <v>636</v>
      </c>
      <c r="G40" s="540">
        <f>21.3*1000</f>
        <v>21300</v>
      </c>
      <c r="H40" s="404">
        <f t="shared" si="5"/>
        <v>66585</v>
      </c>
      <c r="I40" s="483">
        <f t="shared" si="6"/>
        <v>27971</v>
      </c>
      <c r="J40" s="1645"/>
      <c r="K40" s="1860"/>
      <c r="L40" s="1675" t="s">
        <v>564</v>
      </c>
      <c r="M40" s="1675"/>
      <c r="N40" s="1675">
        <f t="shared" ref="N40:X40" si="8">SUM(N6:N39)</f>
        <v>5140</v>
      </c>
      <c r="O40" s="1675">
        <f t="shared" si="8"/>
        <v>4291</v>
      </c>
      <c r="P40" s="1675">
        <f t="shared" si="8"/>
        <v>3636</v>
      </c>
      <c r="Q40" s="1675">
        <f t="shared" si="8"/>
        <v>2654</v>
      </c>
      <c r="R40" s="1675">
        <f t="shared" si="8"/>
        <v>4808</v>
      </c>
      <c r="S40" s="1675">
        <f t="shared" si="8"/>
        <v>3130</v>
      </c>
      <c r="T40" s="1675">
        <f t="shared" si="8"/>
        <v>4027</v>
      </c>
      <c r="U40" s="1675">
        <f t="shared" si="8"/>
        <v>2289</v>
      </c>
      <c r="V40" s="1675">
        <f t="shared" si="8"/>
        <v>6009</v>
      </c>
      <c r="W40" s="1675">
        <f t="shared" si="8"/>
        <v>1470</v>
      </c>
      <c r="X40" s="420">
        <f t="shared" si="8"/>
        <v>2566</v>
      </c>
      <c r="Y40" s="1558">
        <f>AVERAGE(T40:X40)</f>
        <v>3272.2</v>
      </c>
      <c r="Z40" s="1559">
        <f t="shared" ref="Z40:AE40" si="9">Y40</f>
        <v>3272.2</v>
      </c>
      <c r="AA40" s="1559">
        <f t="shared" si="9"/>
        <v>3272.2</v>
      </c>
      <c r="AB40" s="1559">
        <f t="shared" si="9"/>
        <v>3272.2</v>
      </c>
      <c r="AC40" s="1559">
        <f t="shared" si="9"/>
        <v>3272.2</v>
      </c>
      <c r="AD40" s="1559">
        <f t="shared" si="9"/>
        <v>3272.2</v>
      </c>
      <c r="AE40" s="1559">
        <f t="shared" si="9"/>
        <v>3272.2</v>
      </c>
      <c r="AF40" s="1645"/>
      <c r="AG40" s="1645"/>
      <c r="AH40" s="1645"/>
      <c r="AI40" s="1645"/>
      <c r="AJ40" s="1645"/>
      <c r="AK40" s="1645"/>
      <c r="AL40" s="1645"/>
      <c r="AM40" s="1645"/>
      <c r="AN40" s="1669"/>
      <c r="AO40" s="419">
        <v>2006</v>
      </c>
      <c r="AP40" s="419">
        <v>48</v>
      </c>
      <c r="AQ40" s="418">
        <v>600</v>
      </c>
      <c r="AR40" s="1675">
        <v>0</v>
      </c>
      <c r="AS40" s="419">
        <f t="shared" si="1"/>
        <v>600</v>
      </c>
      <c r="AT40" s="419">
        <v>0</v>
      </c>
      <c r="AU40" s="419">
        <v>48</v>
      </c>
      <c r="AV40" s="419">
        <v>585</v>
      </c>
      <c r="AW40" s="418">
        <v>15</v>
      </c>
      <c r="AX40" s="418">
        <v>0</v>
      </c>
      <c r="AY40" s="419">
        <v>0</v>
      </c>
      <c r="AZ40" s="419">
        <v>0</v>
      </c>
      <c r="BA40" s="1645">
        <f>SUM(AP40,AQ40,AR40,AT40)</f>
        <v>648</v>
      </c>
    </row>
    <row r="41" spans="1:53" ht="13.5" thickBot="1">
      <c r="A41" s="92">
        <v>2016</v>
      </c>
      <c r="B41" s="404">
        <f>[2]T10!$D24</f>
        <v>3332</v>
      </c>
      <c r="C41" s="404">
        <f>V40</f>
        <v>6009</v>
      </c>
      <c r="D41" s="404">
        <f>V89</f>
        <v>28826</v>
      </c>
      <c r="E41" s="404">
        <f t="shared" si="7"/>
        <v>24226</v>
      </c>
      <c r="F41" s="92">
        <f>AS57</f>
        <v>1187</v>
      </c>
      <c r="G41" s="540">
        <f>24.6*1000</f>
        <v>24600</v>
      </c>
      <c r="H41" s="404">
        <f t="shared" si="5"/>
        <v>88180</v>
      </c>
      <c r="I41" s="483">
        <f t="shared" si="6"/>
        <v>53345</v>
      </c>
      <c r="J41" s="543"/>
      <c r="K41" s="1861"/>
      <c r="L41" s="528" t="s">
        <v>612</v>
      </c>
      <c r="M41" s="528"/>
      <c r="N41" s="528" t="s">
        <v>613</v>
      </c>
      <c r="O41" s="528" t="s">
        <v>613</v>
      </c>
      <c r="P41" s="528" t="s">
        <v>613</v>
      </c>
      <c r="Q41" s="528" t="s">
        <v>613</v>
      </c>
      <c r="R41" s="528" t="s">
        <v>614</v>
      </c>
      <c r="S41" s="528" t="s">
        <v>613</v>
      </c>
      <c r="T41" s="528" t="s">
        <v>613</v>
      </c>
      <c r="U41" s="528" t="s">
        <v>613</v>
      </c>
      <c r="V41" s="528" t="s">
        <v>613</v>
      </c>
      <c r="W41" s="528" t="s">
        <v>613</v>
      </c>
      <c r="X41" s="1560" t="s">
        <v>615</v>
      </c>
      <c r="Y41" s="1560" t="s">
        <v>616</v>
      </c>
      <c r="Z41" s="1560" t="s">
        <v>616</v>
      </c>
      <c r="AA41" s="1560" t="s">
        <v>616</v>
      </c>
      <c r="AB41" s="1560" t="s">
        <v>616</v>
      </c>
      <c r="AC41" s="1560" t="s">
        <v>616</v>
      </c>
      <c r="AD41" s="1560" t="s">
        <v>616</v>
      </c>
      <c r="AE41" s="1560" t="s">
        <v>616</v>
      </c>
      <c r="AF41" s="1645"/>
      <c r="AG41" s="1645"/>
      <c r="AH41" s="1645"/>
      <c r="AI41" s="1645"/>
      <c r="AJ41" s="1645"/>
      <c r="AK41" s="1645"/>
      <c r="AL41" s="1645"/>
      <c r="AM41" s="1645"/>
      <c r="AN41" s="1669"/>
      <c r="AO41" s="419">
        <v>2007</v>
      </c>
      <c r="AP41" s="419">
        <v>65</v>
      </c>
      <c r="AQ41" s="418">
        <v>238</v>
      </c>
      <c r="AR41" s="1675">
        <v>0</v>
      </c>
      <c r="AS41" s="419">
        <f t="shared" si="1"/>
        <v>238</v>
      </c>
      <c r="AT41" s="419">
        <v>0</v>
      </c>
      <c r="AU41" s="419">
        <v>17</v>
      </c>
      <c r="AV41" s="419">
        <v>41</v>
      </c>
      <c r="AW41" s="1675">
        <v>0</v>
      </c>
      <c r="AX41" s="1675">
        <v>48</v>
      </c>
      <c r="AY41" s="419">
        <v>197</v>
      </c>
      <c r="AZ41" s="419">
        <v>0</v>
      </c>
      <c r="BA41" s="1645">
        <f>SUM(AP41,AQ41,AR41,AT41)</f>
        <v>303</v>
      </c>
    </row>
    <row r="42" spans="1:53" ht="12.75" customHeight="1" thickTop="1">
      <c r="A42" s="1645">
        <v>2017</v>
      </c>
      <c r="B42" s="404">
        <f>[2]T10!$D25</f>
        <v>401</v>
      </c>
      <c r="C42" s="404">
        <f>W40</f>
        <v>1470</v>
      </c>
      <c r="D42" s="1645">
        <f>W89</f>
        <v>7018</v>
      </c>
      <c r="E42" s="404">
        <f t="shared" si="7"/>
        <v>2552</v>
      </c>
      <c r="F42" s="92">
        <f>AT57</f>
        <v>406</v>
      </c>
      <c r="G42" s="404">
        <f>AT63</f>
        <v>5030</v>
      </c>
      <c r="H42" s="404">
        <f t="shared" si="5"/>
        <v>16877</v>
      </c>
      <c r="I42" s="483">
        <f t="shared" si="6"/>
        <v>8389</v>
      </c>
      <c r="J42" s="543"/>
      <c r="K42" s="1860" t="s">
        <v>617</v>
      </c>
      <c r="L42" s="1645" t="s">
        <v>618</v>
      </c>
      <c r="M42" s="1645" t="s">
        <v>619</v>
      </c>
      <c r="N42" s="1645"/>
      <c r="O42" s="1645"/>
      <c r="P42" s="1645"/>
      <c r="Q42" s="1645"/>
      <c r="R42" s="1645"/>
      <c r="S42" s="1645"/>
      <c r="T42" s="1645"/>
      <c r="U42" s="1645"/>
      <c r="V42" s="1645"/>
      <c r="W42" s="1645"/>
      <c r="X42" s="1645"/>
      <c r="Y42" s="1645"/>
      <c r="Z42" s="1645"/>
      <c r="AA42" s="1645">
        <v>8</v>
      </c>
      <c r="AB42" s="1645"/>
      <c r="AC42" s="1645"/>
      <c r="AD42" s="1645"/>
      <c r="AE42" s="1645"/>
      <c r="AF42" s="1645"/>
      <c r="AG42" s="1645"/>
      <c r="AH42" s="1645"/>
      <c r="AI42" s="1645"/>
      <c r="AJ42" s="1645"/>
      <c r="AK42" s="1645"/>
      <c r="AL42" s="1645"/>
      <c r="AM42" s="1645"/>
      <c r="AN42" s="1669"/>
      <c r="AO42" s="419">
        <v>2008</v>
      </c>
      <c r="AP42" s="419">
        <v>32</v>
      </c>
      <c r="AQ42" s="419">
        <v>2</v>
      </c>
      <c r="AR42" s="1675">
        <v>81</v>
      </c>
      <c r="AS42" s="419">
        <f t="shared" si="1"/>
        <v>83</v>
      </c>
      <c r="AT42" s="419">
        <v>0</v>
      </c>
      <c r="AU42" s="419">
        <v>32</v>
      </c>
      <c r="AV42" s="419">
        <v>81</v>
      </c>
      <c r="AW42" s="418">
        <v>2</v>
      </c>
      <c r="AX42" s="418">
        <v>0</v>
      </c>
      <c r="AY42" s="419">
        <v>2</v>
      </c>
      <c r="AZ42" s="419">
        <v>0</v>
      </c>
      <c r="BA42" s="1645">
        <v>115</v>
      </c>
    </row>
    <row r="43" spans="1:53">
      <c r="A43" s="92">
        <v>2018</v>
      </c>
      <c r="B43" s="404">
        <f>[2]T10!$D26</f>
        <v>2387</v>
      </c>
      <c r="C43" s="483">
        <f>X40</f>
        <v>2566</v>
      </c>
      <c r="D43" s="1645">
        <f>X89</f>
        <v>9324</v>
      </c>
      <c r="E43" s="1645">
        <f t="shared" si="7"/>
        <v>10284</v>
      </c>
      <c r="F43" s="1645">
        <f>AU57</f>
        <v>553</v>
      </c>
      <c r="G43" s="1645">
        <f>AU63</f>
        <v>7107</v>
      </c>
      <c r="H43" s="404">
        <f t="shared" si="5"/>
        <v>32221</v>
      </c>
      <c r="I43" s="483">
        <f t="shared" si="6"/>
        <v>20331</v>
      </c>
      <c r="J43" s="543"/>
      <c r="K43" s="1860"/>
      <c r="L43" s="1645" t="s">
        <v>620</v>
      </c>
      <c r="M43" s="1645" t="s">
        <v>621</v>
      </c>
      <c r="N43" s="1645"/>
      <c r="O43" s="1645"/>
      <c r="P43" s="1645"/>
      <c r="Q43" s="1645"/>
      <c r="R43" s="1645"/>
      <c r="S43" s="1645"/>
      <c r="T43" s="1645"/>
      <c r="U43" s="1645"/>
      <c r="V43" s="1645"/>
      <c r="W43" s="1645"/>
      <c r="X43" s="1645"/>
      <c r="Y43" s="1645"/>
      <c r="Z43" s="1645"/>
      <c r="AA43" s="1645"/>
      <c r="AB43" s="1645"/>
      <c r="AC43" s="1645"/>
      <c r="AD43" s="1645"/>
      <c r="AE43" s="1645"/>
      <c r="AF43" s="1645"/>
      <c r="AG43" s="1645"/>
      <c r="AH43" s="1645"/>
      <c r="AI43" s="1645"/>
      <c r="AJ43" s="1645"/>
      <c r="AK43" s="1645"/>
      <c r="AL43" s="1645"/>
      <c r="AM43" s="1645"/>
      <c r="AN43" s="1669"/>
      <c r="AO43" s="419">
        <v>2009</v>
      </c>
      <c r="AP43" s="419">
        <v>15</v>
      </c>
      <c r="AQ43" s="418">
        <v>0</v>
      </c>
      <c r="AR43" s="1675">
        <v>79</v>
      </c>
      <c r="AS43" s="419">
        <f t="shared" si="1"/>
        <v>79</v>
      </c>
      <c r="AT43" s="419">
        <v>0</v>
      </c>
      <c r="AU43" s="419">
        <v>15</v>
      </c>
      <c r="AV43" s="419">
        <v>76</v>
      </c>
      <c r="AW43" s="419">
        <v>3</v>
      </c>
      <c r="AX43" s="419">
        <v>0</v>
      </c>
      <c r="AY43" s="419">
        <v>0</v>
      </c>
      <c r="AZ43" s="419">
        <v>0</v>
      </c>
      <c r="BA43" s="1645">
        <v>94</v>
      </c>
    </row>
    <row r="44" spans="1:53">
      <c r="A44" s="1645">
        <v>2019</v>
      </c>
      <c r="B44" s="404">
        <v>1424</v>
      </c>
      <c r="C44" s="814">
        <f>Y40*J44</f>
        <v>1101.0135147695796</v>
      </c>
      <c r="D44" s="1645">
        <f>Y89</f>
        <v>5964</v>
      </c>
      <c r="E44" s="1645">
        <f t="shared" si="7"/>
        <v>5176</v>
      </c>
      <c r="F44" s="1645">
        <f>AV57</f>
        <v>233</v>
      </c>
      <c r="G44" s="1645">
        <f>AV63</f>
        <v>4027</v>
      </c>
      <c r="H44" s="404">
        <f t="shared" si="5"/>
        <v>17925.01351476958</v>
      </c>
      <c r="I44" s="483">
        <f t="shared" ref="I44:I48" si="10">SUM(B44,E44:G44)</f>
        <v>10860</v>
      </c>
      <c r="J44" s="543">
        <f>I44/AVERAGE($I$39:$I$43)</f>
        <v>0.33647500604167829</v>
      </c>
      <c r="K44" s="1860"/>
      <c r="L44" s="1645" t="s">
        <v>622</v>
      </c>
      <c r="M44" s="1645" t="s">
        <v>623</v>
      </c>
      <c r="N44" s="1645"/>
      <c r="O44" s="1645"/>
      <c r="P44" s="1645"/>
      <c r="Q44" s="1645"/>
      <c r="R44" s="1645"/>
      <c r="S44" s="1645"/>
      <c r="T44" s="1645"/>
      <c r="U44" s="1645"/>
      <c r="V44" s="1645">
        <v>104</v>
      </c>
      <c r="W44" s="1645">
        <v>29</v>
      </c>
      <c r="X44" s="1645">
        <v>2</v>
      </c>
      <c r="Y44" s="1645">
        <v>14</v>
      </c>
      <c r="Z44" s="1645">
        <v>39</v>
      </c>
      <c r="AA44" s="1645">
        <v>69</v>
      </c>
      <c r="AB44" s="1645">
        <v>83</v>
      </c>
      <c r="AC44" s="1645"/>
      <c r="AD44" s="1645">
        <v>16</v>
      </c>
      <c r="AE44" s="1645"/>
      <c r="AF44" s="1645"/>
      <c r="AG44" s="1645"/>
      <c r="AH44" s="1645"/>
      <c r="AI44" s="1645"/>
      <c r="AJ44" s="1645"/>
      <c r="AK44" s="1645"/>
      <c r="AL44" s="1645"/>
      <c r="AM44" s="1645"/>
      <c r="AN44" s="1669"/>
      <c r="AO44" s="419">
        <v>2010</v>
      </c>
      <c r="AP44" s="419">
        <v>56</v>
      </c>
      <c r="AQ44" s="418">
        <v>0</v>
      </c>
      <c r="AR44" s="1675">
        <v>80</v>
      </c>
      <c r="AS44" s="419">
        <f t="shared" si="1"/>
        <v>80</v>
      </c>
      <c r="AT44" s="419">
        <v>0</v>
      </c>
      <c r="AU44" s="419">
        <v>56</v>
      </c>
      <c r="AV44" s="419">
        <v>80</v>
      </c>
      <c r="AW44" s="419">
        <v>0</v>
      </c>
      <c r="AX44" s="419">
        <v>0</v>
      </c>
      <c r="AY44" s="419">
        <v>0</v>
      </c>
      <c r="AZ44" s="419">
        <v>0</v>
      </c>
      <c r="BA44" s="1645">
        <v>136</v>
      </c>
    </row>
    <row r="45" spans="1:53">
      <c r="A45" s="92">
        <v>2020</v>
      </c>
      <c r="B45" s="1645">
        <v>1505</v>
      </c>
      <c r="C45" s="814">
        <f>Z40*J45</f>
        <v>1190.9397567217543</v>
      </c>
      <c r="D45" s="1645">
        <f>Z89</f>
        <v>10117</v>
      </c>
      <c r="E45" s="1645">
        <f t="shared" si="7"/>
        <v>3149</v>
      </c>
      <c r="F45" s="1645">
        <f>AW57</f>
        <v>555</v>
      </c>
      <c r="G45" s="1645">
        <f>AW63</f>
        <v>6538</v>
      </c>
      <c r="H45" s="404">
        <f t="shared" si="5"/>
        <v>23054.939756721753</v>
      </c>
      <c r="I45" s="483">
        <f t="shared" si="10"/>
        <v>11747</v>
      </c>
      <c r="J45" s="543">
        <f t="shared" ref="J45:J47" si="11">I45/AVERAGE($I$39:$I$43)</f>
        <v>0.36395689649830526</v>
      </c>
      <c r="K45" s="1860"/>
      <c r="L45" s="1645" t="s">
        <v>624</v>
      </c>
      <c r="M45" s="1645" t="s">
        <v>625</v>
      </c>
      <c r="N45" s="1645"/>
      <c r="O45" s="1645"/>
      <c r="P45" s="1645"/>
      <c r="Q45" s="1645"/>
      <c r="R45" s="1645"/>
      <c r="S45" s="1645"/>
      <c r="T45" s="1645"/>
      <c r="U45" s="1645"/>
      <c r="V45" s="1645">
        <v>3</v>
      </c>
      <c r="W45" s="1645">
        <v>17</v>
      </c>
      <c r="X45" s="1645">
        <v>25</v>
      </c>
      <c r="Y45" s="1645">
        <v>9</v>
      </c>
      <c r="Z45" s="1645"/>
      <c r="AA45" s="1645"/>
      <c r="AB45" s="1645"/>
      <c r="AC45" s="1645">
        <v>10</v>
      </c>
      <c r="AD45" s="1645"/>
      <c r="AE45" s="1645"/>
      <c r="AF45" s="1645"/>
      <c r="AG45" s="1645"/>
      <c r="AH45" s="1645"/>
      <c r="AI45" s="1645"/>
      <c r="AJ45" s="1645"/>
      <c r="AK45" s="1645"/>
      <c r="AL45" s="1645"/>
      <c r="AM45" s="1645"/>
      <c r="AN45" s="1669"/>
      <c r="AO45" s="419">
        <v>2011</v>
      </c>
      <c r="AP45" s="419">
        <v>3</v>
      </c>
      <c r="AQ45" s="418">
        <v>0</v>
      </c>
      <c r="AR45" s="1675">
        <v>241</v>
      </c>
      <c r="AS45" s="419">
        <f t="shared" si="1"/>
        <v>241</v>
      </c>
      <c r="AT45" s="419">
        <v>0</v>
      </c>
      <c r="AU45" s="419">
        <v>3</v>
      </c>
      <c r="AV45" s="419">
        <v>239</v>
      </c>
      <c r="AW45" s="419">
        <v>2</v>
      </c>
      <c r="AX45" s="419">
        <v>0</v>
      </c>
      <c r="AY45" s="419">
        <v>0</v>
      </c>
      <c r="AZ45" s="419">
        <v>0</v>
      </c>
      <c r="BA45" s="1645">
        <v>244</v>
      </c>
    </row>
    <row r="46" spans="1:53">
      <c r="A46" s="1645">
        <v>2021</v>
      </c>
      <c r="B46" s="1645">
        <v>580</v>
      </c>
      <c r="C46" s="814">
        <f>AA40*J46</f>
        <v>562.57127011569037</v>
      </c>
      <c r="D46" s="1645">
        <f>AA89</f>
        <v>5739</v>
      </c>
      <c r="E46" s="1645">
        <f t="shared" si="7"/>
        <v>1771</v>
      </c>
      <c r="F46" s="1645">
        <f>AX57</f>
        <v>560</v>
      </c>
      <c r="G46" s="546">
        <f>AX63</f>
        <v>2638</v>
      </c>
      <c r="H46" s="547">
        <f t="shared" si="5"/>
        <v>11850.57127011569</v>
      </c>
      <c r="I46" s="483">
        <f t="shared" si="10"/>
        <v>5549</v>
      </c>
      <c r="J46" s="543">
        <f t="shared" si="11"/>
        <v>0.17192447592313748</v>
      </c>
      <c r="K46" s="1860"/>
      <c r="L46" s="1645" t="s">
        <v>626</v>
      </c>
      <c r="M46" s="1645" t="s">
        <v>627</v>
      </c>
      <c r="N46" s="1645"/>
      <c r="O46" s="1645"/>
      <c r="P46" s="1645"/>
      <c r="Q46" s="1645"/>
      <c r="R46" s="1645"/>
      <c r="S46" s="1645"/>
      <c r="T46" s="1645"/>
      <c r="U46" s="1645"/>
      <c r="V46" s="1645"/>
      <c r="W46" s="1645"/>
      <c r="X46" s="1645">
        <v>2</v>
      </c>
      <c r="Y46" s="1645"/>
      <c r="Z46" s="1645"/>
      <c r="AA46" s="1645"/>
      <c r="AB46" s="1645"/>
      <c r="AC46" s="1645"/>
      <c r="AD46" s="1645"/>
      <c r="AE46" s="1645"/>
      <c r="AF46" s="1645"/>
      <c r="AG46" s="1645"/>
      <c r="AH46" s="1645"/>
      <c r="AI46" s="1645"/>
      <c r="AJ46" s="1645"/>
      <c r="AK46" s="1645"/>
      <c r="AL46" s="1645"/>
      <c r="AM46" s="1645"/>
      <c r="AN46" s="1669"/>
      <c r="AO46" s="419">
        <v>2012</v>
      </c>
      <c r="AP46" s="419">
        <v>32</v>
      </c>
      <c r="AQ46" s="418">
        <v>0</v>
      </c>
      <c r="AR46" s="1675">
        <v>498</v>
      </c>
      <c r="AS46" s="419">
        <f t="shared" si="1"/>
        <v>498</v>
      </c>
      <c r="AT46" s="419">
        <v>0</v>
      </c>
      <c r="AU46" s="419">
        <v>32</v>
      </c>
      <c r="AV46" s="419">
        <v>148</v>
      </c>
      <c r="AW46" s="419">
        <v>0</v>
      </c>
      <c r="AX46" s="419">
        <v>0</v>
      </c>
      <c r="AY46" s="419">
        <v>350</v>
      </c>
      <c r="AZ46" s="419">
        <v>0</v>
      </c>
      <c r="BA46" s="1645">
        <v>530</v>
      </c>
    </row>
    <row r="47" spans="1:53">
      <c r="A47" s="92">
        <v>2022</v>
      </c>
      <c r="B47" s="1645">
        <v>1566</v>
      </c>
      <c r="C47" s="544">
        <f>AB40*J47</f>
        <v>1585.2161433643782</v>
      </c>
      <c r="D47" s="1645">
        <f>AB89</f>
        <v>13540</v>
      </c>
      <c r="E47" s="1645">
        <f t="shared" si="7"/>
        <v>6090</v>
      </c>
      <c r="F47" s="1645">
        <f>AY57</f>
        <v>560</v>
      </c>
      <c r="G47" s="546">
        <f>AY63</f>
        <v>7420</v>
      </c>
      <c r="H47" s="547">
        <f t="shared" si="5"/>
        <v>30761.216143364378</v>
      </c>
      <c r="I47" s="483">
        <f t="shared" si="10"/>
        <v>15636</v>
      </c>
      <c r="J47" s="543">
        <f t="shared" si="11"/>
        <v>0.48444964958265946</v>
      </c>
      <c r="K47" s="1860"/>
      <c r="L47" s="1645" t="s">
        <v>628</v>
      </c>
      <c r="M47" s="1645" t="s">
        <v>629</v>
      </c>
      <c r="N47" s="1645"/>
      <c r="O47" s="1645"/>
      <c r="P47" s="1645"/>
      <c r="Q47" s="1645"/>
      <c r="R47" s="1645"/>
      <c r="S47" s="1645"/>
      <c r="T47" s="1645"/>
      <c r="U47" s="1645"/>
      <c r="V47" s="1645">
        <v>2</v>
      </c>
      <c r="W47" s="1645"/>
      <c r="X47" s="1645"/>
      <c r="Y47" s="1645"/>
      <c r="Z47" s="1645"/>
      <c r="AA47" s="1645"/>
      <c r="AB47" s="1645">
        <v>8</v>
      </c>
      <c r="AC47" s="1645"/>
      <c r="AD47" s="1645"/>
      <c r="AE47" s="1645"/>
      <c r="AF47" s="1645"/>
      <c r="AG47" s="1645"/>
      <c r="AH47" s="1645"/>
      <c r="AI47" s="1645"/>
      <c r="AJ47" s="1645"/>
      <c r="AK47" s="1645"/>
      <c r="AL47" s="1645"/>
      <c r="AM47" s="1645"/>
      <c r="AN47" s="1669"/>
      <c r="AO47" s="419">
        <v>2013</v>
      </c>
      <c r="AP47" s="419">
        <v>7</v>
      </c>
      <c r="AQ47" s="418">
        <v>0</v>
      </c>
      <c r="AR47" s="1675">
        <v>711</v>
      </c>
      <c r="AS47" s="419">
        <f t="shared" si="1"/>
        <v>711</v>
      </c>
      <c r="AT47" s="419">
        <v>0</v>
      </c>
      <c r="AU47" s="419">
        <v>7</v>
      </c>
      <c r="AV47" s="419">
        <v>296</v>
      </c>
      <c r="AW47" s="419">
        <v>0</v>
      </c>
      <c r="AX47" s="419">
        <v>0</v>
      </c>
      <c r="AY47" s="419">
        <v>415</v>
      </c>
      <c r="AZ47" s="1675">
        <v>0</v>
      </c>
      <c r="BA47" s="1645">
        <f>AP47+AR47</f>
        <v>718</v>
      </c>
    </row>
    <row r="48" spans="1:53">
      <c r="A48" s="1645">
        <v>2023</v>
      </c>
      <c r="B48" s="1645">
        <v>653</v>
      </c>
      <c r="C48" s="544">
        <f>AC40*J48</f>
        <v>1062.7923273784072</v>
      </c>
      <c r="D48" s="544">
        <f>AC89</f>
        <v>9899</v>
      </c>
      <c r="E48" s="1645">
        <f t="shared" si="7"/>
        <v>1274</v>
      </c>
      <c r="F48" s="1645">
        <f>AZ57</f>
        <v>560</v>
      </c>
      <c r="G48" s="546">
        <f>AZ63</f>
        <v>7996</v>
      </c>
      <c r="H48" s="547">
        <f t="shared" si="5"/>
        <v>21444.792327378407</v>
      </c>
      <c r="I48" s="483">
        <f t="shared" si="10"/>
        <v>10483</v>
      </c>
      <c r="J48" s="543">
        <f>I48/AVERAGE($I$39:$I$43)</f>
        <v>0.32479442802347269</v>
      </c>
      <c r="K48" s="1860"/>
      <c r="L48" s="1645" t="s">
        <v>630</v>
      </c>
      <c r="M48" s="1645" t="s">
        <v>631</v>
      </c>
      <c r="N48" s="1645"/>
      <c r="O48" s="1645"/>
      <c r="P48" s="1645"/>
      <c r="Q48" s="1645"/>
      <c r="R48" s="1645"/>
      <c r="S48" s="1645"/>
      <c r="T48" s="1645"/>
      <c r="U48" s="1645"/>
      <c r="V48" s="1645"/>
      <c r="W48" s="1645"/>
      <c r="X48" s="1645"/>
      <c r="Y48" s="1645"/>
      <c r="Z48" s="1645"/>
      <c r="AA48" s="1645"/>
      <c r="AB48" s="1645">
        <v>5</v>
      </c>
      <c r="AC48" s="1645"/>
      <c r="AD48" s="1645">
        <v>42</v>
      </c>
      <c r="AE48" s="1645"/>
      <c r="AF48" s="1645"/>
      <c r="AG48" s="1645"/>
      <c r="AH48" s="1645"/>
      <c r="AI48" s="1645"/>
      <c r="AJ48" s="1645"/>
      <c r="AK48" s="1645"/>
      <c r="AL48" s="1645"/>
      <c r="AM48" s="1645"/>
      <c r="AN48" s="1669"/>
      <c r="AO48" s="419">
        <v>2014</v>
      </c>
      <c r="AP48" s="419">
        <v>16</v>
      </c>
      <c r="AQ48" s="418">
        <v>0</v>
      </c>
      <c r="AR48" s="1675">
        <v>1340</v>
      </c>
      <c r="AS48" s="419">
        <f t="shared" si="1"/>
        <v>1340</v>
      </c>
      <c r="AT48" s="419">
        <v>0</v>
      </c>
      <c r="AU48" s="419">
        <v>9</v>
      </c>
      <c r="AV48" s="419">
        <v>505</v>
      </c>
      <c r="AW48" s="419">
        <v>438</v>
      </c>
      <c r="AX48" s="419">
        <v>7</v>
      </c>
      <c r="AY48" s="419">
        <v>397</v>
      </c>
      <c r="AZ48" s="1675">
        <v>0</v>
      </c>
      <c r="BA48" s="1645">
        <f>AP48+AR48</f>
        <v>1356</v>
      </c>
    </row>
    <row r="49" spans="1:54">
      <c r="A49" s="1645">
        <v>2024</v>
      </c>
      <c r="B49" s="1645">
        <v>3989</v>
      </c>
      <c r="C49" s="544">
        <f>AD40*J49</f>
        <v>3907.5841528327724</v>
      </c>
      <c r="D49" s="544">
        <f>AD89</f>
        <v>14564</v>
      </c>
      <c r="E49" s="1645">
        <f>AL26</f>
        <v>19012</v>
      </c>
      <c r="F49" s="1645">
        <f>BA57</f>
        <v>560</v>
      </c>
      <c r="G49" s="546">
        <f>BA63</f>
        <v>14982</v>
      </c>
      <c r="H49" s="547">
        <f t="shared" si="5"/>
        <v>57014.584152832773</v>
      </c>
      <c r="I49" s="483">
        <f>SUM(B49,E49:G49)</f>
        <v>38543</v>
      </c>
      <c r="J49" s="543">
        <f>I49/AVERAGE($I$39:$I$43)</f>
        <v>1.1941764417923026</v>
      </c>
      <c r="K49" s="1860"/>
      <c r="L49" s="1645" t="s">
        <v>632</v>
      </c>
      <c r="M49" s="1645" t="s">
        <v>633</v>
      </c>
      <c r="N49" s="1645"/>
      <c r="O49" s="1645"/>
      <c r="P49" s="1645"/>
      <c r="Q49" s="1645"/>
      <c r="R49" s="1645"/>
      <c r="S49" s="1645"/>
      <c r="T49" s="1645"/>
      <c r="U49" s="1645"/>
      <c r="V49" s="1645">
        <v>22349</v>
      </c>
      <c r="W49" s="1645">
        <v>4358</v>
      </c>
      <c r="X49" s="1645">
        <v>4966</v>
      </c>
      <c r="Y49" s="1645">
        <v>4518</v>
      </c>
      <c r="Z49" s="1645">
        <v>8424</v>
      </c>
      <c r="AA49" s="1645">
        <v>4770</v>
      </c>
      <c r="AB49" s="1645">
        <v>10602</v>
      </c>
      <c r="AC49" s="1645">
        <v>6060</v>
      </c>
      <c r="AD49" s="1645">
        <v>9057</v>
      </c>
      <c r="AE49" s="1645"/>
      <c r="AF49" s="1645"/>
      <c r="AG49" s="1645"/>
      <c r="AH49" s="1645"/>
      <c r="AI49" s="1645"/>
      <c r="AJ49" s="1645"/>
      <c r="AK49" s="1645"/>
      <c r="AL49" s="1645"/>
      <c r="AM49" s="1645"/>
      <c r="AN49" s="1669"/>
      <c r="AO49" s="1675">
        <v>2015</v>
      </c>
      <c r="AP49" s="1675"/>
      <c r="AQ49" s="1675"/>
      <c r="AR49" s="1675"/>
      <c r="AS49" s="1675">
        <f t="shared" si="1"/>
        <v>0</v>
      </c>
      <c r="AT49" s="1675"/>
      <c r="AU49" s="1675"/>
      <c r="AV49" s="1675"/>
      <c r="AW49" s="1675"/>
      <c r="AX49" s="420"/>
      <c r="AY49" s="1675">
        <v>529</v>
      </c>
      <c r="AZ49" s="1675"/>
      <c r="BA49" s="1645"/>
      <c r="BB49" s="1645"/>
    </row>
    <row r="50" spans="1:54">
      <c r="A50" s="1645">
        <v>2025</v>
      </c>
      <c r="B50" s="1645">
        <v>872</v>
      </c>
      <c r="C50" s="544">
        <f>AE40*J50</f>
        <v>1681.8336276715063</v>
      </c>
      <c r="D50" s="483">
        <f>AE89</f>
        <v>10771.8</v>
      </c>
      <c r="E50" s="1645">
        <f>AL27</f>
        <v>5487</v>
      </c>
      <c r="F50" s="1645">
        <f>BB57</f>
        <v>560</v>
      </c>
      <c r="G50" s="1645">
        <f>BB63</f>
        <v>9670</v>
      </c>
      <c r="H50" s="547">
        <f t="shared" si="5"/>
        <v>29042.633627671505</v>
      </c>
      <c r="I50" s="483">
        <f>SUM(B50,E50:G50)</f>
        <v>16589</v>
      </c>
      <c r="J50" s="543">
        <f>I50/AVERAGE($I$39:$I$43)</f>
        <v>0.51397641576661157</v>
      </c>
      <c r="K50" s="2083"/>
      <c r="L50" s="1645" t="s">
        <v>634</v>
      </c>
      <c r="M50" s="1645" t="s">
        <v>635</v>
      </c>
      <c r="N50" s="1645"/>
      <c r="O50" s="1645"/>
      <c r="P50" s="1645"/>
      <c r="Q50" s="1645"/>
      <c r="R50" s="1645"/>
      <c r="S50" s="1645"/>
      <c r="T50" s="1645"/>
      <c r="U50" s="1645"/>
      <c r="V50" s="1645"/>
      <c r="W50" s="1645"/>
      <c r="X50" s="1645"/>
      <c r="Y50" s="1645"/>
      <c r="Z50" s="1645"/>
      <c r="AA50" s="1645"/>
      <c r="AB50" s="1645"/>
      <c r="AC50" s="1645"/>
      <c r="AD50" s="1645"/>
      <c r="AE50" s="1645"/>
      <c r="AF50" s="1645"/>
      <c r="AG50" s="1645"/>
      <c r="AH50" s="1645"/>
      <c r="AI50" s="1645"/>
      <c r="AJ50" s="1645"/>
      <c r="AK50" s="1645"/>
      <c r="AL50" s="1645"/>
      <c r="AM50" s="1645"/>
      <c r="AN50" s="1645"/>
      <c r="AO50" s="1645"/>
      <c r="AP50" s="1645"/>
      <c r="AQ50" s="1645"/>
      <c r="AR50" s="1645"/>
      <c r="AS50" s="1645"/>
      <c r="AT50" s="1645"/>
      <c r="AU50" s="1645"/>
      <c r="AV50" s="1645"/>
      <c r="AW50" s="1645"/>
      <c r="AX50" s="1645"/>
      <c r="AY50" s="1645"/>
      <c r="AZ50" s="1645"/>
      <c r="BA50" s="1645"/>
      <c r="BB50" s="1645"/>
    </row>
    <row r="51" spans="1:54">
      <c r="A51" s="1645"/>
      <c r="B51" s="1645"/>
      <c r="C51" s="1645"/>
      <c r="D51" s="1645"/>
      <c r="E51" s="1645"/>
      <c r="F51" s="1645"/>
      <c r="G51" s="1645"/>
      <c r="H51" s="1645"/>
      <c r="I51" s="1645"/>
      <c r="J51" s="1645"/>
      <c r="K51" s="2083"/>
      <c r="L51" s="1645" t="s">
        <v>636</v>
      </c>
      <c r="M51" s="1645" t="s">
        <v>637</v>
      </c>
      <c r="N51" s="1645"/>
      <c r="O51" s="1645"/>
      <c r="P51" s="1645"/>
      <c r="Q51" s="1645"/>
      <c r="R51" s="1645"/>
      <c r="S51" s="1645"/>
      <c r="T51" s="1645"/>
      <c r="U51" s="1645"/>
      <c r="V51" s="1645"/>
      <c r="W51" s="1645"/>
      <c r="X51" s="1645"/>
      <c r="Y51" s="1645"/>
      <c r="Z51" s="1645"/>
      <c r="AA51" s="1645"/>
      <c r="AB51" s="1645"/>
      <c r="AC51" s="1645"/>
      <c r="AD51" s="1645"/>
      <c r="AE51" s="1645"/>
      <c r="AF51" s="1645"/>
      <c r="AG51" s="1645"/>
      <c r="AH51" s="1645"/>
      <c r="AI51" s="1645"/>
      <c r="AJ51" s="1645"/>
      <c r="AK51" s="1645"/>
      <c r="AL51" s="1645"/>
      <c r="AM51" s="1645"/>
      <c r="AN51" s="1645"/>
      <c r="AO51" s="1645"/>
      <c r="AP51" s="1645"/>
      <c r="AQ51" s="1645"/>
      <c r="AR51" s="1645"/>
      <c r="AS51" s="1645"/>
      <c r="AT51" s="1645"/>
      <c r="AU51" s="1645"/>
      <c r="AV51" s="1645"/>
      <c r="AW51" s="1645"/>
      <c r="AX51" s="1645"/>
      <c r="AY51" s="1645"/>
      <c r="AZ51" s="1645"/>
      <c r="BA51" s="1645"/>
      <c r="BB51" s="1645"/>
    </row>
    <row r="52" spans="1:54">
      <c r="A52" s="1645"/>
      <c r="B52" s="1645"/>
      <c r="C52" s="1645"/>
      <c r="D52" s="1645"/>
      <c r="E52" s="1645"/>
      <c r="F52" s="1645"/>
      <c r="G52" s="1645"/>
      <c r="H52" s="1645"/>
      <c r="I52" s="1645"/>
      <c r="J52" s="1645"/>
      <c r="K52" s="2083"/>
      <c r="L52" s="1645" t="s">
        <v>638</v>
      </c>
      <c r="M52" s="1645" t="s">
        <v>639</v>
      </c>
      <c r="N52" s="1645"/>
      <c r="O52" s="1645"/>
      <c r="P52" s="1645"/>
      <c r="Q52" s="1645"/>
      <c r="R52" s="1645"/>
      <c r="S52" s="1645"/>
      <c r="T52" s="1645"/>
      <c r="U52" s="1645"/>
      <c r="V52" s="1645"/>
      <c r="W52" s="1645">
        <v>23</v>
      </c>
      <c r="X52" s="1645">
        <v>45</v>
      </c>
      <c r="Y52" s="1645">
        <v>204</v>
      </c>
      <c r="Z52" s="1645">
        <v>75</v>
      </c>
      <c r="AA52" s="1645">
        <v>0</v>
      </c>
      <c r="AB52" s="1645">
        <v>12</v>
      </c>
      <c r="AC52" s="1645">
        <v>5</v>
      </c>
      <c r="AD52" s="1645">
        <v>18</v>
      </c>
      <c r="AE52" s="1645"/>
      <c r="AF52" s="1645"/>
      <c r="AG52" s="1668"/>
      <c r="AH52" s="1668" t="s">
        <v>640</v>
      </c>
      <c r="AI52" s="1645"/>
      <c r="AJ52" s="1645"/>
      <c r="AK52" s="1645"/>
      <c r="AL52" s="1645"/>
      <c r="AM52" s="1645"/>
      <c r="AN52" s="1645"/>
      <c r="AO52" s="1645"/>
      <c r="AP52" s="1645"/>
      <c r="AQ52" s="1645"/>
      <c r="AR52" s="1645"/>
      <c r="AS52" s="1645"/>
      <c r="AT52" s="1645"/>
      <c r="AU52" s="1645"/>
      <c r="AV52" s="1645"/>
      <c r="AW52" s="1645"/>
      <c r="AX52" s="1645"/>
      <c r="AY52" s="1645"/>
      <c r="AZ52" s="1645"/>
      <c r="BA52" s="1645"/>
      <c r="BB52" s="1645"/>
    </row>
    <row r="53" spans="1:54" ht="13.5" thickBot="1">
      <c r="A53" s="548" t="s">
        <v>641</v>
      </c>
      <c r="B53" s="1645"/>
      <c r="C53" s="1645"/>
      <c r="D53" s="1645"/>
      <c r="E53" s="1645"/>
      <c r="F53" s="1645"/>
      <c r="G53" s="1645"/>
      <c r="H53" s="1645"/>
      <c r="I53" s="1645"/>
      <c r="J53" s="1645"/>
      <c r="K53" s="2083"/>
      <c r="L53" s="1645" t="s">
        <v>642</v>
      </c>
      <c r="M53" s="1645" t="s">
        <v>637</v>
      </c>
      <c r="N53" s="1645"/>
      <c r="O53" s="1645"/>
      <c r="P53" s="1645"/>
      <c r="Q53" s="1645"/>
      <c r="R53" s="1645"/>
      <c r="S53" s="1645"/>
      <c r="T53" s="1645"/>
      <c r="U53" s="1645"/>
      <c r="V53" s="1645"/>
      <c r="W53" s="1645">
        <v>4</v>
      </c>
      <c r="X53" s="1645">
        <v>7</v>
      </c>
      <c r="Y53" s="1645"/>
      <c r="Z53" s="1645">
        <v>12</v>
      </c>
      <c r="AA53" s="1645">
        <v>0</v>
      </c>
      <c r="AB53" s="1645">
        <v>35</v>
      </c>
      <c r="AC53" s="1645"/>
      <c r="AD53" s="1645"/>
      <c r="AE53" s="1645"/>
      <c r="AF53" s="1645"/>
      <c r="AG53" s="1645"/>
      <c r="AH53" s="1645"/>
      <c r="AI53" s="1645"/>
      <c r="AJ53" s="1645"/>
      <c r="AK53" s="1645"/>
      <c r="AL53" s="1645"/>
      <c r="AM53" s="1645"/>
      <c r="AN53" s="1645"/>
      <c r="AO53" s="1645"/>
      <c r="AP53" s="1645"/>
      <c r="AQ53" s="1645"/>
      <c r="AR53" s="1645"/>
      <c r="AS53" s="1645"/>
      <c r="AT53" s="1645"/>
      <c r="AU53" s="1645"/>
      <c r="AV53" s="1645"/>
      <c r="AW53" s="1645"/>
      <c r="AX53" s="1645"/>
      <c r="AY53" s="1645"/>
      <c r="AZ53" s="1645"/>
      <c r="BA53" s="1645"/>
      <c r="BB53" s="1645"/>
    </row>
    <row r="54" spans="1:54" ht="13.5" thickBot="1">
      <c r="A54" s="1645"/>
      <c r="B54" s="1645"/>
      <c r="C54" s="1645"/>
      <c r="D54" s="1645"/>
      <c r="E54" s="1645"/>
      <c r="F54" s="1645"/>
      <c r="G54" s="1645"/>
      <c r="H54" s="1645"/>
      <c r="I54" s="1645"/>
      <c r="J54" s="1645">
        <f>D36/G36</f>
        <v>1.0211111111111111</v>
      </c>
      <c r="K54" s="2083"/>
      <c r="L54" s="1645" t="s">
        <v>643</v>
      </c>
      <c r="M54" s="1645" t="s">
        <v>644</v>
      </c>
      <c r="N54" s="1645"/>
      <c r="O54" s="1645"/>
      <c r="P54" s="1645"/>
      <c r="Q54" s="1645"/>
      <c r="R54" s="1645"/>
      <c r="S54" s="1645"/>
      <c r="T54" s="1645"/>
      <c r="U54" s="1645"/>
      <c r="V54" s="1645"/>
      <c r="W54" s="1645"/>
      <c r="X54" s="1645"/>
      <c r="Y54" s="1645"/>
      <c r="Z54" s="1645"/>
      <c r="AA54" s="1645"/>
      <c r="AB54" s="1645"/>
      <c r="AC54" s="1645"/>
      <c r="AD54" s="1645"/>
      <c r="AE54" s="1645"/>
      <c r="AF54" s="1645"/>
      <c r="AG54" s="549"/>
      <c r="AH54" s="550"/>
      <c r="AI54" s="550" t="s">
        <v>369</v>
      </c>
      <c r="AJ54" s="421"/>
      <c r="AK54" s="421">
        <v>2008</v>
      </c>
      <c r="AL54" s="421">
        <v>2009</v>
      </c>
      <c r="AM54" s="421">
        <v>2010</v>
      </c>
      <c r="AN54" s="421">
        <v>2011</v>
      </c>
      <c r="AO54" s="421">
        <v>2012</v>
      </c>
      <c r="AP54" s="421">
        <v>2013</v>
      </c>
      <c r="AQ54" s="421">
        <v>2014</v>
      </c>
      <c r="AR54" s="421">
        <v>2015</v>
      </c>
      <c r="AS54" s="421">
        <v>2016</v>
      </c>
      <c r="AT54" s="421">
        <v>2017</v>
      </c>
      <c r="AU54" s="421">
        <v>2018</v>
      </c>
      <c r="AV54" s="421">
        <v>2019</v>
      </c>
      <c r="AW54" s="421">
        <v>2020</v>
      </c>
      <c r="AX54" s="421">
        <v>2021</v>
      </c>
      <c r="AY54" s="421">
        <v>2022</v>
      </c>
      <c r="AZ54" s="421">
        <v>2023</v>
      </c>
      <c r="BA54" s="421">
        <v>2024</v>
      </c>
      <c r="BB54" s="421">
        <v>2025</v>
      </c>
    </row>
    <row r="55" spans="1:54" ht="12.75" customHeight="1">
      <c r="A55" s="1645"/>
      <c r="B55" s="1645"/>
      <c r="C55" s="1645"/>
      <c r="D55" s="1645"/>
      <c r="E55" s="1645"/>
      <c r="F55" s="1645"/>
      <c r="G55" s="1645"/>
      <c r="H55" s="1645"/>
      <c r="I55" s="1645">
        <f>$G$49*J55</f>
        <v>13937.309189189189</v>
      </c>
      <c r="J55" s="1645">
        <f t="shared" ref="J55:J67" si="12">D37/G37</f>
        <v>0.93027027027027032</v>
      </c>
      <c r="K55" s="2083"/>
      <c r="L55" s="1645" t="s">
        <v>645</v>
      </c>
      <c r="M55" s="1645" t="s">
        <v>646</v>
      </c>
      <c r="N55" s="1645"/>
      <c r="O55" s="1645"/>
      <c r="P55" s="1645"/>
      <c r="Q55" s="1645"/>
      <c r="R55" s="1645"/>
      <c r="S55" s="1645"/>
      <c r="T55" s="1645"/>
      <c r="U55" s="1645"/>
      <c r="V55" s="1645"/>
      <c r="W55" s="1645"/>
      <c r="X55" s="1645"/>
      <c r="Y55" s="1645"/>
      <c r="Z55" s="1645"/>
      <c r="AA55" s="1645"/>
      <c r="AB55" s="1645">
        <v>4</v>
      </c>
      <c r="AC55" s="1645"/>
      <c r="AD55" s="1645"/>
      <c r="AE55" s="1645"/>
      <c r="AF55" s="1645"/>
      <c r="AG55" s="1665"/>
      <c r="AH55" s="1645" t="s">
        <v>556</v>
      </c>
      <c r="AI55" s="1645" t="s">
        <v>647</v>
      </c>
      <c r="AJ55" s="1645"/>
      <c r="AK55" s="1645"/>
      <c r="AL55" s="1645"/>
      <c r="AM55" s="1645"/>
      <c r="AN55" s="1645"/>
      <c r="AO55" s="1645"/>
      <c r="AP55" s="1645"/>
      <c r="AQ55" s="1645">
        <v>1123</v>
      </c>
      <c r="AR55" s="1645">
        <v>476</v>
      </c>
      <c r="AS55" s="1645">
        <v>815</v>
      </c>
      <c r="AT55" s="1645">
        <v>329</v>
      </c>
      <c r="AU55" s="1645">
        <v>450</v>
      </c>
      <c r="AV55" s="1645">
        <v>202</v>
      </c>
      <c r="AW55" s="1645">
        <v>352</v>
      </c>
      <c r="AX55" s="545"/>
      <c r="AY55" s="545"/>
      <c r="AZ55" s="545"/>
      <c r="BA55" s="545"/>
      <c r="BB55" s="545"/>
    </row>
    <row r="56" spans="1:54">
      <c r="A56" s="1645"/>
      <c r="B56" s="1645"/>
      <c r="C56" s="1645"/>
      <c r="D56" s="483"/>
      <c r="E56" s="1645"/>
      <c r="F56" s="1645"/>
      <c r="G56" s="1645"/>
      <c r="H56" s="1645"/>
      <c r="I56" s="1645">
        <f t="shared" ref="I56:I67" si="13">$G$49*J56</f>
        <v>20491.095428571429</v>
      </c>
      <c r="J56" s="1645">
        <f t="shared" si="12"/>
        <v>1.3677142857142857</v>
      </c>
      <c r="K56" s="2083"/>
      <c r="L56" s="1645" t="s">
        <v>648</v>
      </c>
      <c r="M56" s="1645" t="s">
        <v>649</v>
      </c>
      <c r="N56" s="1645"/>
      <c r="O56" s="1645"/>
      <c r="P56" s="1645"/>
      <c r="Q56" s="1645"/>
      <c r="R56" s="1645"/>
      <c r="S56" s="1645"/>
      <c r="T56" s="1645"/>
      <c r="U56" s="1645"/>
      <c r="V56" s="1645"/>
      <c r="W56" s="1645"/>
      <c r="X56" s="1645">
        <v>2</v>
      </c>
      <c r="Y56" s="1645"/>
      <c r="Z56" s="1645"/>
      <c r="AA56" s="1645"/>
      <c r="AB56" s="1645"/>
      <c r="AC56" s="1645"/>
      <c r="AD56" s="1645"/>
      <c r="AE56" s="1645"/>
      <c r="AF56" s="1645"/>
      <c r="AG56" s="1665"/>
      <c r="AH56" s="1645"/>
      <c r="AI56" s="1645" t="s">
        <v>650</v>
      </c>
      <c r="AJ56" s="1645"/>
      <c r="AK56" s="1645"/>
      <c r="AL56" s="1645"/>
      <c r="AM56" s="1645"/>
      <c r="AN56" s="1645"/>
      <c r="AO56" s="1645"/>
      <c r="AP56" s="1645"/>
      <c r="AQ56" s="1645">
        <v>407</v>
      </c>
      <c r="AR56" s="1645">
        <v>160</v>
      </c>
      <c r="AS56" s="1645">
        <v>372</v>
      </c>
      <c r="AT56" s="1645">
        <v>77</v>
      </c>
      <c r="AU56" s="1645">
        <v>103</v>
      </c>
      <c r="AV56" s="1645">
        <v>31</v>
      </c>
      <c r="AW56" s="1645">
        <v>203</v>
      </c>
      <c r="AX56" s="545"/>
      <c r="AY56" s="545"/>
      <c r="AZ56" s="545"/>
      <c r="BA56" s="545"/>
      <c r="BB56" s="545"/>
    </row>
    <row r="57" spans="1:54" ht="13.5" thickBot="1">
      <c r="A57" s="1645"/>
      <c r="B57" s="1645"/>
      <c r="C57" s="1645"/>
      <c r="D57" s="1645"/>
      <c r="E57" s="1645"/>
      <c r="F57" s="1645" t="s">
        <v>651</v>
      </c>
      <c r="G57" s="1645"/>
      <c r="H57" s="1645"/>
      <c r="I57" s="1645">
        <f t="shared" si="13"/>
        <v>15693.020750000001</v>
      </c>
      <c r="J57" s="1645">
        <f t="shared" si="12"/>
        <v>1.0474583333333334</v>
      </c>
      <c r="K57" s="2083"/>
      <c r="L57" s="1645" t="s">
        <v>652</v>
      </c>
      <c r="M57" s="1645" t="s">
        <v>653</v>
      </c>
      <c r="N57" s="1645"/>
      <c r="O57" s="1645"/>
      <c r="P57" s="1645"/>
      <c r="Q57" s="1645"/>
      <c r="R57" s="1645"/>
      <c r="S57" s="1645"/>
      <c r="T57" s="1645"/>
      <c r="U57" s="1645"/>
      <c r="V57" s="1645"/>
      <c r="W57" s="1645"/>
      <c r="X57" s="1645"/>
      <c r="Y57" s="1645">
        <v>2</v>
      </c>
      <c r="Z57" s="1645"/>
      <c r="AA57" s="1645"/>
      <c r="AB57" s="1645"/>
      <c r="AC57" s="1645"/>
      <c r="AD57" s="1645"/>
      <c r="AE57" s="1645"/>
      <c r="AF57" s="1645"/>
      <c r="AG57" s="551"/>
      <c r="AH57" s="552"/>
      <c r="AI57" s="552" t="s">
        <v>564</v>
      </c>
      <c r="AJ57" s="552"/>
      <c r="AK57" s="552"/>
      <c r="AL57" s="552"/>
      <c r="AM57" s="552"/>
      <c r="AN57" s="552"/>
      <c r="AO57" s="552"/>
      <c r="AP57" s="552"/>
      <c r="AQ57" s="552">
        <f t="shared" ref="AQ57:AW57" si="14">SUM(AQ55:AQ56)</f>
        <v>1530</v>
      </c>
      <c r="AR57" s="552">
        <f t="shared" si="14"/>
        <v>636</v>
      </c>
      <c r="AS57" s="552">
        <f t="shared" si="14"/>
        <v>1187</v>
      </c>
      <c r="AT57" s="552">
        <f t="shared" si="14"/>
        <v>406</v>
      </c>
      <c r="AU57" s="552">
        <f t="shared" si="14"/>
        <v>553</v>
      </c>
      <c r="AV57" s="552">
        <f t="shared" si="14"/>
        <v>233</v>
      </c>
      <c r="AW57" s="552">
        <f t="shared" si="14"/>
        <v>555</v>
      </c>
      <c r="AX57" s="1561">
        <v>560</v>
      </c>
      <c r="AY57" s="1561">
        <v>560</v>
      </c>
      <c r="AZ57" s="1561">
        <v>560</v>
      </c>
      <c r="BA57" s="1561">
        <v>560</v>
      </c>
      <c r="BB57" s="1561">
        <f>BA57</f>
        <v>560</v>
      </c>
    </row>
    <row r="58" spans="1:54" ht="12.75" customHeight="1">
      <c r="A58" s="1645"/>
      <c r="B58" s="1645"/>
      <c r="C58" s="1645"/>
      <c r="D58" s="1645"/>
      <c r="E58" s="1645"/>
      <c r="F58" s="1645"/>
      <c r="G58" s="1645"/>
      <c r="H58" s="1645"/>
      <c r="I58" s="1645">
        <f t="shared" si="13"/>
        <v>25550.288732394365</v>
      </c>
      <c r="J58" s="1645">
        <f t="shared" si="12"/>
        <v>1.7053990610328638</v>
      </c>
      <c r="K58" s="2083"/>
      <c r="L58" s="1645" t="s">
        <v>654</v>
      </c>
      <c r="M58" s="1645" t="s">
        <v>655</v>
      </c>
      <c r="N58" s="1645"/>
      <c r="O58" s="1645"/>
      <c r="P58" s="1645"/>
      <c r="Q58" s="1645"/>
      <c r="R58" s="1645"/>
      <c r="S58" s="1645"/>
      <c r="T58" s="1645"/>
      <c r="U58" s="1645"/>
      <c r="V58" s="1645"/>
      <c r="W58" s="1645">
        <v>4</v>
      </c>
      <c r="X58" s="1645"/>
      <c r="Y58" s="1645"/>
      <c r="Z58" s="1645"/>
      <c r="AA58" s="1645"/>
      <c r="AB58" s="1645"/>
      <c r="AC58" s="1645"/>
      <c r="AD58" s="1645"/>
      <c r="AE58" s="1645"/>
      <c r="AF58" s="1645"/>
      <c r="AG58" s="1665"/>
      <c r="AH58" s="1645" t="s">
        <v>557</v>
      </c>
      <c r="AI58" s="1645" t="s">
        <v>656</v>
      </c>
      <c r="AJ58" s="1645"/>
      <c r="AK58" s="1645"/>
      <c r="AL58" s="1645"/>
      <c r="AM58" s="1645"/>
      <c r="AN58" s="1645"/>
      <c r="AO58" s="1645"/>
      <c r="AP58" s="1645"/>
      <c r="AQ58" s="1645"/>
      <c r="AR58" s="1645"/>
      <c r="AS58" s="1645"/>
      <c r="AT58" s="1645">
        <v>817</v>
      </c>
      <c r="AU58" s="1645">
        <v>1055</v>
      </c>
      <c r="AV58" s="1645">
        <v>735</v>
      </c>
      <c r="AW58" s="1645">
        <v>1087</v>
      </c>
      <c r="AX58" s="1645">
        <v>220</v>
      </c>
      <c r="AY58" s="1645">
        <v>1883</v>
      </c>
      <c r="AZ58" s="1645">
        <v>680</v>
      </c>
      <c r="BA58" s="1645">
        <v>2178</v>
      </c>
      <c r="BB58" s="1645">
        <f>778</f>
        <v>778</v>
      </c>
    </row>
    <row r="59" spans="1:54">
      <c r="A59" s="1645"/>
      <c r="B59" s="1645"/>
      <c r="C59" s="1645"/>
      <c r="D59" s="1645"/>
      <c r="E59" s="1645"/>
      <c r="F59" s="1645"/>
      <c r="G59" s="1645"/>
      <c r="H59" s="1645"/>
      <c r="I59" s="1645">
        <f t="shared" si="13"/>
        <v>17555.737073170734</v>
      </c>
      <c r="J59" s="1645">
        <f t="shared" si="12"/>
        <v>1.1717886178861789</v>
      </c>
      <c r="K59" s="2083"/>
      <c r="L59" s="1645" t="s">
        <v>657</v>
      </c>
      <c r="M59" s="1645" t="s">
        <v>658</v>
      </c>
      <c r="N59" s="1645"/>
      <c r="O59" s="1645"/>
      <c r="P59" s="1645"/>
      <c r="Q59" s="1645"/>
      <c r="R59" s="1645"/>
      <c r="S59" s="1645"/>
      <c r="T59" s="1645"/>
      <c r="U59" s="1645"/>
      <c r="V59" s="1645"/>
      <c r="W59" s="1645"/>
      <c r="X59" s="1645"/>
      <c r="Y59" s="1645"/>
      <c r="Z59" s="1645"/>
      <c r="AA59" s="1645"/>
      <c r="AB59" s="1645"/>
      <c r="AC59" s="1645"/>
      <c r="AD59" s="1645"/>
      <c r="AE59" s="1645"/>
      <c r="AF59" s="1645"/>
      <c r="AG59" s="1665"/>
      <c r="AH59" s="1645"/>
      <c r="AI59" s="1645" t="s">
        <v>659</v>
      </c>
      <c r="AJ59" s="1645"/>
      <c r="AK59" s="1645"/>
      <c r="AL59" s="1645"/>
      <c r="AM59" s="1645"/>
      <c r="AN59" s="1645"/>
      <c r="AO59" s="1645"/>
      <c r="AP59" s="1645"/>
      <c r="AQ59" s="1645"/>
      <c r="AR59" s="1645"/>
      <c r="AS59" s="1645"/>
      <c r="AT59" s="1645">
        <v>2550</v>
      </c>
      <c r="AU59" s="1645">
        <v>3586</v>
      </c>
      <c r="AV59" s="1645">
        <v>1079</v>
      </c>
      <c r="AW59" s="1645">
        <v>1571</v>
      </c>
      <c r="AX59" s="1645">
        <v>755</v>
      </c>
      <c r="AY59" s="1645">
        <v>2471</v>
      </c>
      <c r="AZ59" s="1645">
        <v>2926</v>
      </c>
      <c r="BA59" s="1645">
        <v>4527</v>
      </c>
      <c r="BB59" s="1645">
        <f>3329+427</f>
        <v>3756</v>
      </c>
    </row>
    <row r="60" spans="1:54">
      <c r="A60" s="1645"/>
      <c r="B60" s="1645"/>
      <c r="C60" s="1645"/>
      <c r="D60" s="1645"/>
      <c r="E60" s="1645"/>
      <c r="F60" s="1645"/>
      <c r="G60" s="1645"/>
      <c r="H60" s="1645"/>
      <c r="I60" s="1645">
        <f t="shared" si="13"/>
        <v>20903.315308151094</v>
      </c>
      <c r="J60" s="1645">
        <f t="shared" si="12"/>
        <v>1.3952286282306163</v>
      </c>
      <c r="K60" s="2083"/>
      <c r="L60" s="1645" t="s">
        <v>660</v>
      </c>
      <c r="M60" s="1645" t="s">
        <v>661</v>
      </c>
      <c r="N60" s="1645"/>
      <c r="O60" s="1645"/>
      <c r="P60" s="1645"/>
      <c r="Q60" s="1645"/>
      <c r="R60" s="1645"/>
      <c r="S60" s="1645"/>
      <c r="T60" s="1645"/>
      <c r="U60" s="1645"/>
      <c r="V60" s="1645"/>
      <c r="W60" s="1645"/>
      <c r="X60" s="1645"/>
      <c r="Y60" s="1645"/>
      <c r="Z60" s="1645"/>
      <c r="AA60" s="1645"/>
      <c r="AB60" s="1645"/>
      <c r="AC60" s="1645"/>
      <c r="AD60" s="1645"/>
      <c r="AE60" s="1645"/>
      <c r="AF60" s="1645"/>
      <c r="AG60" s="1665"/>
      <c r="AH60" s="1645"/>
      <c r="AI60" s="1645" t="s">
        <v>662</v>
      </c>
      <c r="AJ60" s="1645"/>
      <c r="AK60" s="1645"/>
      <c r="AL60" s="1645"/>
      <c r="AM60" s="1645"/>
      <c r="AN60" s="1645"/>
      <c r="AO60" s="1645"/>
      <c r="AP60" s="1645"/>
      <c r="AQ60" s="1645"/>
      <c r="AR60" s="1645"/>
      <c r="AS60" s="1645"/>
      <c r="AT60" s="1645">
        <v>1273</v>
      </c>
      <c r="AU60" s="1645">
        <v>1730</v>
      </c>
      <c r="AV60" s="1645">
        <v>1429</v>
      </c>
      <c r="AW60" s="1645">
        <v>3056</v>
      </c>
      <c r="AX60" s="1645">
        <v>1208</v>
      </c>
      <c r="AY60" s="1645">
        <v>2193</v>
      </c>
      <c r="AZ60" s="1645">
        <v>3152</v>
      </c>
      <c r="BA60" s="1645">
        <v>6103</v>
      </c>
      <c r="BB60" s="1645">
        <v>3604</v>
      </c>
    </row>
    <row r="61" spans="1:54">
      <c r="A61" s="1645"/>
      <c r="B61" s="1645"/>
      <c r="C61" s="1645"/>
      <c r="D61" s="1645"/>
      <c r="E61" s="1645"/>
      <c r="F61" s="1645"/>
      <c r="G61" s="1645"/>
      <c r="H61" s="1645"/>
      <c r="I61" s="1645">
        <f t="shared" si="13"/>
        <v>19655.574504010128</v>
      </c>
      <c r="J61" s="1645">
        <f t="shared" si="12"/>
        <v>1.3119459687631911</v>
      </c>
      <c r="K61" s="2083"/>
      <c r="L61" s="1645" t="s">
        <v>663</v>
      </c>
      <c r="M61" s="1645" t="s">
        <v>664</v>
      </c>
      <c r="N61" s="1645"/>
      <c r="O61" s="1645"/>
      <c r="P61" s="1645"/>
      <c r="Q61" s="1645"/>
      <c r="R61" s="1645"/>
      <c r="S61" s="1645"/>
      <c r="T61" s="1645"/>
      <c r="U61" s="1645"/>
      <c r="V61" s="1645"/>
      <c r="W61" s="1645"/>
      <c r="X61" s="1645"/>
      <c r="Y61" s="1645"/>
      <c r="Z61" s="1645"/>
      <c r="AA61" s="1645"/>
      <c r="AB61" s="1645"/>
      <c r="AC61" s="1645"/>
      <c r="AD61" s="1645"/>
      <c r="AE61" s="1645"/>
      <c r="AF61" s="1645"/>
      <c r="AG61" s="1665"/>
      <c r="AH61" s="1645"/>
      <c r="AI61" s="1645" t="s">
        <v>665</v>
      </c>
      <c r="AJ61" s="1645"/>
      <c r="AK61" s="1645"/>
      <c r="AL61" s="1645"/>
      <c r="AM61" s="1645"/>
      <c r="AN61" s="1645"/>
      <c r="AO61" s="1645"/>
      <c r="AP61" s="1645"/>
      <c r="AQ61" s="1645"/>
      <c r="AR61" s="1645"/>
      <c r="AS61" s="1645"/>
      <c r="AT61" s="1645">
        <v>390</v>
      </c>
      <c r="AU61" s="1645">
        <v>721</v>
      </c>
      <c r="AV61" s="1645">
        <v>775</v>
      </c>
      <c r="AW61" s="1645">
        <v>802</v>
      </c>
      <c r="AX61" s="1645">
        <v>451</v>
      </c>
      <c r="AY61" s="1645">
        <v>844</v>
      </c>
      <c r="AZ61" s="1645">
        <v>1208</v>
      </c>
      <c r="BA61" s="1645">
        <v>2104</v>
      </c>
      <c r="BB61" s="1645">
        <f>1478+3</f>
        <v>1481</v>
      </c>
    </row>
    <row r="62" spans="1:54">
      <c r="A62" s="1645"/>
      <c r="B62" s="1645"/>
      <c r="C62" s="1645"/>
      <c r="D62" s="1645"/>
      <c r="E62" s="1645"/>
      <c r="F62" s="1645"/>
      <c r="G62" s="1645"/>
      <c r="H62" s="1645"/>
      <c r="I62" s="1645">
        <f t="shared" si="13"/>
        <v>22188.390365036008</v>
      </c>
      <c r="J62" s="1645">
        <f t="shared" si="12"/>
        <v>1.4810032282095853</v>
      </c>
      <c r="K62" s="2083"/>
      <c r="L62" s="1645" t="s">
        <v>666</v>
      </c>
      <c r="M62" s="1645" t="s">
        <v>667</v>
      </c>
      <c r="N62" s="1645"/>
      <c r="O62" s="1645"/>
      <c r="P62" s="1645"/>
      <c r="Q62" s="1645"/>
      <c r="R62" s="1645"/>
      <c r="S62" s="1645"/>
      <c r="T62" s="1645"/>
      <c r="U62" s="1645"/>
      <c r="V62" s="1645">
        <v>50</v>
      </c>
      <c r="W62" s="1645"/>
      <c r="X62" s="1645"/>
      <c r="Y62" s="1645"/>
      <c r="Z62" s="1645"/>
      <c r="AA62" s="1645"/>
      <c r="AB62" s="1645"/>
      <c r="AC62" s="1645"/>
      <c r="AD62" s="1645"/>
      <c r="AE62" s="1645"/>
      <c r="AF62" s="1645"/>
      <c r="AG62" s="1665"/>
      <c r="AH62" s="1645"/>
      <c r="AI62" s="1645" t="s">
        <v>668</v>
      </c>
      <c r="AJ62" s="1645"/>
      <c r="AK62" s="1645"/>
      <c r="AL62" s="1645"/>
      <c r="AM62" s="1645"/>
      <c r="AN62" s="1645"/>
      <c r="AO62" s="1645"/>
      <c r="AP62" s="1645"/>
      <c r="AQ62" s="1645"/>
      <c r="AR62" s="1645"/>
      <c r="AS62" s="1645"/>
      <c r="AT62" s="1645">
        <v>0</v>
      </c>
      <c r="AU62" s="1645">
        <v>15</v>
      </c>
      <c r="AV62" s="1645">
        <v>9</v>
      </c>
      <c r="AW62" s="1645">
        <v>22</v>
      </c>
      <c r="AX62" s="1645">
        <v>4</v>
      </c>
      <c r="AY62" s="1645">
        <v>29</v>
      </c>
      <c r="AZ62" s="1645">
        <v>30</v>
      </c>
      <c r="BA62" s="1645">
        <v>70</v>
      </c>
      <c r="BB62" s="1645">
        <f>51</f>
        <v>51</v>
      </c>
    </row>
    <row r="63" spans="1:54" ht="13.5" thickBot="1">
      <c r="A63" s="1645"/>
      <c r="B63" s="1645"/>
      <c r="C63" s="1645"/>
      <c r="D63" s="1645"/>
      <c r="E63" s="1645"/>
      <c r="F63" s="1645"/>
      <c r="G63" s="1645"/>
      <c r="H63" s="1645"/>
      <c r="I63" s="1645">
        <f t="shared" si="13"/>
        <v>23183.373202814317</v>
      </c>
      <c r="J63" s="1645">
        <f t="shared" si="12"/>
        <v>1.5474151116549404</v>
      </c>
      <c r="K63" s="2083"/>
      <c r="L63" s="1645" t="s">
        <v>669</v>
      </c>
      <c r="M63" s="1645" t="s">
        <v>664</v>
      </c>
      <c r="N63" s="1645"/>
      <c r="O63" s="1645"/>
      <c r="P63" s="1645"/>
      <c r="Q63" s="1645"/>
      <c r="R63" s="1645"/>
      <c r="S63" s="1645"/>
      <c r="T63" s="1645"/>
      <c r="U63" s="1645"/>
      <c r="V63" s="1645">
        <v>12</v>
      </c>
      <c r="W63" s="1645"/>
      <c r="X63" s="1645">
        <v>16</v>
      </c>
      <c r="Y63" s="1645"/>
      <c r="Z63" s="1645"/>
      <c r="AA63" s="1645"/>
      <c r="AB63" s="1645">
        <v>21</v>
      </c>
      <c r="AC63" s="1645"/>
      <c r="AD63" s="1645">
        <v>11</v>
      </c>
      <c r="AE63" s="1645"/>
      <c r="AF63" s="1645"/>
      <c r="AG63" s="1666"/>
      <c r="AH63" s="552"/>
      <c r="AI63" s="552" t="s">
        <v>564</v>
      </c>
      <c r="AJ63" s="552"/>
      <c r="AK63" s="552"/>
      <c r="AL63" s="552"/>
      <c r="AM63" s="552"/>
      <c r="AN63" s="552"/>
      <c r="AO63" s="552"/>
      <c r="AP63" s="552"/>
      <c r="AQ63" s="552"/>
      <c r="AR63" s="552"/>
      <c r="AS63" s="552"/>
      <c r="AT63" s="552">
        <f t="shared" ref="AT63:AW63" si="15">SUM(AT58:AT62)</f>
        <v>5030</v>
      </c>
      <c r="AU63" s="552">
        <f t="shared" si="15"/>
        <v>7107</v>
      </c>
      <c r="AV63" s="552">
        <f t="shared" si="15"/>
        <v>4027</v>
      </c>
      <c r="AW63" s="552">
        <f t="shared" si="15"/>
        <v>6538</v>
      </c>
      <c r="AX63" s="552">
        <f>SUM(AX58:AX62)</f>
        <v>2638</v>
      </c>
      <c r="AY63" s="552">
        <f>SUM(AY58:AY62)</f>
        <v>7420</v>
      </c>
      <c r="AZ63" s="552">
        <f>SUM(AZ58:AZ62)</f>
        <v>7996</v>
      </c>
      <c r="BA63" s="552">
        <f>SUM(BA58:BA62)</f>
        <v>14982</v>
      </c>
      <c r="BB63" s="552">
        <f>SUM(BB58:BB62)</f>
        <v>9670</v>
      </c>
    </row>
    <row r="64" spans="1:54">
      <c r="A64" s="1645"/>
      <c r="B64" s="1645"/>
      <c r="C64" s="1645"/>
      <c r="D64" s="1645"/>
      <c r="E64" s="1645"/>
      <c r="F64" s="1645"/>
      <c r="G64" s="1645"/>
      <c r="H64" s="1645"/>
      <c r="I64" s="1645">
        <f t="shared" si="13"/>
        <v>32593.517058377562</v>
      </c>
      <c r="J64" s="1645">
        <f t="shared" si="12"/>
        <v>2.1755117513267628</v>
      </c>
      <c r="K64" s="2083"/>
      <c r="L64" s="1645" t="s">
        <v>670</v>
      </c>
      <c r="M64" s="1645" t="s">
        <v>671</v>
      </c>
      <c r="N64" s="1645"/>
      <c r="O64" s="1645"/>
      <c r="P64" s="1645"/>
      <c r="Q64" s="1645"/>
      <c r="R64" s="1645"/>
      <c r="S64" s="1645"/>
      <c r="T64" s="1645"/>
      <c r="U64" s="1645"/>
      <c r="V64" s="1645"/>
      <c r="W64" s="1645"/>
      <c r="X64" s="1645"/>
      <c r="Y64" s="1645"/>
      <c r="Z64" s="1645"/>
      <c r="AA64" s="1645"/>
      <c r="AB64" s="1645"/>
      <c r="AC64" s="1645"/>
      <c r="AD64" s="1645"/>
      <c r="AE64" s="1645"/>
      <c r="AF64" s="1645"/>
      <c r="AG64" s="1645"/>
      <c r="AH64" s="1645"/>
      <c r="AI64" s="1645"/>
      <c r="AJ64" s="1645"/>
      <c r="AK64" s="1645"/>
      <c r="AL64" s="1645"/>
      <c r="AM64" s="1645"/>
      <c r="AN64" s="1645"/>
      <c r="AO64" s="1645"/>
      <c r="AP64" s="1645"/>
      <c r="AQ64" s="1645"/>
      <c r="AR64" s="1645"/>
      <c r="AS64" s="1645"/>
      <c r="AT64" s="1645"/>
      <c r="AU64" s="1645"/>
      <c r="AV64" s="1645"/>
      <c r="AW64" s="1645"/>
      <c r="AX64" s="1645"/>
      <c r="AY64" s="1645"/>
      <c r="AZ64" s="1645"/>
      <c r="BA64" s="1645"/>
      <c r="BB64" s="1645"/>
    </row>
    <row r="65" spans="9:30">
      <c r="I65" s="1645">
        <f t="shared" si="13"/>
        <v>27339.121293800537</v>
      </c>
      <c r="J65" s="1645">
        <f t="shared" si="12"/>
        <v>1.8247978436657681</v>
      </c>
      <c r="K65" s="2083"/>
      <c r="L65" s="1645" t="s">
        <v>672</v>
      </c>
      <c r="M65" s="1645">
        <v>602</v>
      </c>
      <c r="N65" s="1645"/>
      <c r="O65" s="1645"/>
      <c r="P65" s="1645"/>
      <c r="Q65" s="1645"/>
      <c r="R65" s="1645"/>
      <c r="S65" s="1645"/>
      <c r="T65" s="1645"/>
      <c r="U65" s="1645"/>
      <c r="V65" s="1645"/>
      <c r="W65" s="1645"/>
      <c r="X65" s="1645"/>
      <c r="Y65" s="1645">
        <v>5</v>
      </c>
      <c r="Z65" s="1645">
        <v>3</v>
      </c>
      <c r="AA65" s="1645"/>
      <c r="AB65" s="1645">
        <v>13</v>
      </c>
      <c r="AC65" s="1645">
        <v>31</v>
      </c>
      <c r="AD65" s="1645">
        <v>8</v>
      </c>
    </row>
    <row r="66" spans="9:30">
      <c r="I66" s="1645">
        <f t="shared" si="13"/>
        <v>18547.626063031516</v>
      </c>
      <c r="J66" s="1645">
        <f t="shared" si="12"/>
        <v>1.2379939969984992</v>
      </c>
      <c r="K66" s="2083"/>
      <c r="L66" s="1645" t="s">
        <v>673</v>
      </c>
      <c r="M66" s="1645" t="s">
        <v>674</v>
      </c>
      <c r="N66" s="1645"/>
      <c r="O66" s="1645"/>
      <c r="P66" s="1645"/>
      <c r="Q66" s="1645"/>
      <c r="R66" s="1645"/>
      <c r="S66" s="1645"/>
      <c r="T66" s="1645"/>
      <c r="U66" s="1645"/>
      <c r="V66" s="1645">
        <v>703</v>
      </c>
      <c r="W66" s="1645">
        <v>414</v>
      </c>
      <c r="X66" s="1645">
        <v>303</v>
      </c>
      <c r="Y66" s="1645">
        <v>107</v>
      </c>
      <c r="Z66" s="1645">
        <v>39</v>
      </c>
      <c r="AA66" s="1645">
        <v>39</v>
      </c>
      <c r="AB66" s="1645">
        <v>64</v>
      </c>
      <c r="AC66" s="1645">
        <v>210</v>
      </c>
      <c r="AD66" s="1645">
        <v>640</v>
      </c>
    </row>
    <row r="67" spans="9:30">
      <c r="I67" s="1645">
        <f t="shared" si="13"/>
        <v>14564</v>
      </c>
      <c r="J67" s="1645">
        <f t="shared" si="12"/>
        <v>0.97209985315712188</v>
      </c>
      <c r="K67" s="2083"/>
      <c r="L67" s="1645" t="s">
        <v>675</v>
      </c>
      <c r="M67" s="1645" t="s">
        <v>676</v>
      </c>
      <c r="N67" s="1645"/>
      <c r="O67" s="1645"/>
      <c r="P67" s="1645"/>
      <c r="Q67" s="1645"/>
      <c r="R67" s="1645"/>
      <c r="S67" s="1645"/>
      <c r="T67" s="1645"/>
      <c r="U67" s="1645"/>
      <c r="V67" s="1645">
        <v>971</v>
      </c>
      <c r="W67" s="1645">
        <v>592</v>
      </c>
      <c r="X67" s="1645">
        <v>786</v>
      </c>
      <c r="Y67" s="1645">
        <v>175</v>
      </c>
      <c r="Z67" s="1645">
        <v>142</v>
      </c>
      <c r="AA67" s="1645">
        <v>46</v>
      </c>
      <c r="AB67" s="1645">
        <v>145</v>
      </c>
      <c r="AC67" s="1645">
        <v>539</v>
      </c>
      <c r="AD67" s="1645">
        <v>904</v>
      </c>
    </row>
    <row r="68" spans="9:30">
      <c r="I68" s="1645"/>
      <c r="J68" s="1645">
        <f t="shared" ref="J68:J69" si="16">D50/(G50+D50)</f>
        <v>0.52694968153489419</v>
      </c>
      <c r="K68" s="2083"/>
      <c r="L68" s="1645" t="s">
        <v>677</v>
      </c>
      <c r="M68" s="1645" t="s">
        <v>678</v>
      </c>
      <c r="N68" s="1645"/>
      <c r="O68" s="1645"/>
      <c r="P68" s="1645"/>
      <c r="Q68" s="1645"/>
      <c r="R68" s="1645"/>
      <c r="S68" s="1645"/>
      <c r="T68" s="1645"/>
      <c r="U68" s="1645"/>
      <c r="V68" s="1645"/>
      <c r="W68" s="1645"/>
      <c r="X68" s="1645">
        <v>4</v>
      </c>
      <c r="Y68" s="1645"/>
      <c r="Z68" s="1645"/>
      <c r="AA68" s="1645">
        <v>14</v>
      </c>
      <c r="AB68" s="1645">
        <v>5</v>
      </c>
      <c r="AC68" s="1645"/>
      <c r="AD68" s="1645">
        <v>5</v>
      </c>
    </row>
    <row r="69" spans="9:30">
      <c r="I69" s="1645"/>
      <c r="J69" s="1645" t="e">
        <f t="shared" si="16"/>
        <v>#DIV/0!</v>
      </c>
      <c r="K69" s="2083"/>
      <c r="L69" s="1645" t="s">
        <v>679</v>
      </c>
      <c r="M69" s="1645" t="s">
        <v>680</v>
      </c>
      <c r="N69" s="1645"/>
      <c r="O69" s="1645"/>
      <c r="P69" s="1645"/>
      <c r="Q69" s="1645"/>
      <c r="R69" s="1645"/>
      <c r="S69" s="1645"/>
      <c r="T69" s="1645"/>
      <c r="U69" s="1645"/>
      <c r="V69" s="1645">
        <v>229</v>
      </c>
      <c r="W69" s="1645">
        <v>58</v>
      </c>
      <c r="X69" s="1645">
        <v>149</v>
      </c>
      <c r="Y69" s="1645">
        <v>158</v>
      </c>
      <c r="Z69" s="1645">
        <v>172</v>
      </c>
      <c r="AA69" s="1645">
        <v>89</v>
      </c>
      <c r="AB69" s="1645">
        <v>141</v>
      </c>
      <c r="AC69" s="1645">
        <v>640</v>
      </c>
      <c r="AD69" s="1645">
        <v>600</v>
      </c>
    </row>
    <row r="70" spans="9:30">
      <c r="I70" s="1645"/>
      <c r="J70" s="1645"/>
      <c r="K70" s="2083"/>
      <c r="L70" s="1645" t="s">
        <v>681</v>
      </c>
      <c r="M70" s="1645" t="s">
        <v>682</v>
      </c>
      <c r="N70" s="1645"/>
      <c r="O70" s="1645"/>
      <c r="P70" s="1645"/>
      <c r="Q70" s="1645"/>
      <c r="R70" s="1645"/>
      <c r="S70" s="1645"/>
      <c r="T70" s="1645"/>
      <c r="U70" s="1645"/>
      <c r="V70" s="1645">
        <v>9</v>
      </c>
      <c r="W70" s="1645">
        <v>3</v>
      </c>
      <c r="X70" s="1645">
        <v>5</v>
      </c>
      <c r="Y70" s="1645">
        <v>4</v>
      </c>
      <c r="Z70" s="1645">
        <v>58</v>
      </c>
      <c r="AA70" s="1645"/>
      <c r="AB70" s="1645">
        <v>25</v>
      </c>
      <c r="AC70" s="1645"/>
      <c r="AD70" s="1645">
        <v>7</v>
      </c>
    </row>
    <row r="71" spans="9:30">
      <c r="I71" s="1645"/>
      <c r="J71" s="1645"/>
      <c r="K71" s="2083"/>
      <c r="L71" s="1645" t="s">
        <v>683</v>
      </c>
      <c r="M71" s="1645" t="s">
        <v>682</v>
      </c>
      <c r="N71" s="1645"/>
      <c r="O71" s="1645"/>
      <c r="P71" s="1645"/>
      <c r="Q71" s="1645"/>
      <c r="R71" s="1645"/>
      <c r="S71" s="1645"/>
      <c r="T71" s="1645"/>
      <c r="U71" s="1645"/>
      <c r="V71" s="1645"/>
      <c r="W71" s="1645"/>
      <c r="X71" s="1645"/>
      <c r="Y71" s="1645"/>
      <c r="Z71" s="1645"/>
      <c r="AA71" s="1645"/>
      <c r="AB71" s="1645"/>
      <c r="AC71" s="1645"/>
      <c r="AD71" s="1645"/>
    </row>
    <row r="72" spans="9:30">
      <c r="I72" s="1645"/>
      <c r="J72" s="1645"/>
      <c r="K72" s="2083"/>
      <c r="L72" s="1645" t="s">
        <v>684</v>
      </c>
      <c r="M72" s="1645" t="s">
        <v>685</v>
      </c>
      <c r="N72" s="1645"/>
      <c r="O72" s="1645"/>
      <c r="P72" s="1645"/>
      <c r="Q72" s="1645"/>
      <c r="R72" s="1645"/>
      <c r="S72" s="1645"/>
      <c r="T72" s="1645"/>
      <c r="U72" s="1645"/>
      <c r="V72" s="1645">
        <v>2624</v>
      </c>
      <c r="W72" s="1645">
        <v>817</v>
      </c>
      <c r="X72" s="1645">
        <v>2188</v>
      </c>
      <c r="Y72" s="1645">
        <v>535</v>
      </c>
      <c r="Z72" s="1645">
        <v>848</v>
      </c>
      <c r="AA72" s="1645">
        <v>531</v>
      </c>
      <c r="AB72" s="1645">
        <v>1915</v>
      </c>
      <c r="AC72" s="1645">
        <v>2102</v>
      </c>
      <c r="AD72" s="1645">
        <v>2722</v>
      </c>
    </row>
    <row r="73" spans="9:30">
      <c r="I73" s="1645"/>
      <c r="J73" s="1645"/>
      <c r="K73" s="2083"/>
      <c r="L73" s="1645" t="s">
        <v>686</v>
      </c>
      <c r="M73" s="1645" t="s">
        <v>685</v>
      </c>
      <c r="N73" s="1645"/>
      <c r="O73" s="1645"/>
      <c r="P73" s="1645"/>
      <c r="Q73" s="1645"/>
      <c r="R73" s="1645"/>
      <c r="S73" s="1645"/>
      <c r="T73" s="1645"/>
      <c r="U73" s="1645"/>
      <c r="V73" s="1645"/>
      <c r="W73" s="1645"/>
      <c r="X73" s="1645"/>
      <c r="Y73" s="1645"/>
      <c r="Z73" s="1645"/>
      <c r="AA73" s="1645"/>
      <c r="AB73" s="1645"/>
      <c r="AC73" s="1645"/>
      <c r="AD73" s="1645"/>
    </row>
    <row r="74" spans="9:30">
      <c r="I74" s="1645"/>
      <c r="J74" s="1645"/>
      <c r="K74" s="2083"/>
      <c r="L74" s="1645" t="s">
        <v>687</v>
      </c>
      <c r="M74" s="1645" t="s">
        <v>688</v>
      </c>
      <c r="N74" s="1645"/>
      <c r="O74" s="1645"/>
      <c r="P74" s="1645"/>
      <c r="Q74" s="1645"/>
      <c r="R74" s="1645"/>
      <c r="S74" s="1645"/>
      <c r="T74" s="1645"/>
      <c r="U74" s="1645"/>
      <c r="V74" s="1645"/>
      <c r="W74" s="1645"/>
      <c r="X74" s="1645"/>
      <c r="Y74" s="1645"/>
      <c r="Z74" s="1645">
        <v>6</v>
      </c>
      <c r="AA74" s="1645"/>
      <c r="AB74" s="1645"/>
      <c r="AC74" s="1645"/>
      <c r="AD74" s="1645">
        <v>6</v>
      </c>
    </row>
    <row r="75" spans="9:30">
      <c r="I75" s="1645"/>
      <c r="J75" s="1645"/>
      <c r="K75" s="2083"/>
      <c r="L75" s="1645" t="s">
        <v>689</v>
      </c>
      <c r="M75" s="1645" t="s">
        <v>690</v>
      </c>
      <c r="N75" s="1645"/>
      <c r="O75" s="1645"/>
      <c r="P75" s="1645"/>
      <c r="Q75" s="1645"/>
      <c r="R75" s="1645"/>
      <c r="S75" s="1645"/>
      <c r="T75" s="1645"/>
      <c r="U75" s="1645"/>
      <c r="V75" s="1645"/>
      <c r="W75" s="1645"/>
      <c r="X75" s="1645">
        <v>4</v>
      </c>
      <c r="Y75" s="1645">
        <v>14</v>
      </c>
      <c r="Z75" s="1645"/>
      <c r="AA75" s="1645"/>
      <c r="AB75" s="1645">
        <v>29</v>
      </c>
      <c r="AC75" s="1645"/>
      <c r="AD75" s="1645">
        <v>6</v>
      </c>
    </row>
    <row r="76" spans="9:30">
      <c r="I76" s="1645"/>
      <c r="J76" s="1645"/>
      <c r="K76" s="2083"/>
      <c r="L76" s="1645" t="s">
        <v>691</v>
      </c>
      <c r="M76" s="1645" t="s">
        <v>692</v>
      </c>
      <c r="N76" s="1645"/>
      <c r="O76" s="1645"/>
      <c r="P76" s="1645"/>
      <c r="Q76" s="1645"/>
      <c r="R76" s="1645"/>
      <c r="S76" s="1645"/>
      <c r="T76" s="1645"/>
      <c r="U76" s="1645"/>
      <c r="V76" s="1645">
        <v>10</v>
      </c>
      <c r="W76" s="1645"/>
      <c r="X76" s="1645"/>
      <c r="Y76" s="1645"/>
      <c r="Z76" s="1645"/>
      <c r="AA76" s="1645">
        <v>8</v>
      </c>
      <c r="AB76" s="1645">
        <v>12</v>
      </c>
      <c r="AC76" s="1645">
        <v>5</v>
      </c>
      <c r="AD76" s="1645"/>
    </row>
    <row r="77" spans="9:30">
      <c r="I77" s="1645"/>
      <c r="J77" s="1645"/>
      <c r="K77" s="2083"/>
      <c r="L77" s="1645" t="s">
        <v>693</v>
      </c>
      <c r="M77" s="1645" t="s">
        <v>694</v>
      </c>
      <c r="N77" s="1645"/>
      <c r="O77" s="1645"/>
      <c r="P77" s="1645"/>
      <c r="Q77" s="1645"/>
      <c r="R77" s="1645"/>
      <c r="S77" s="1645"/>
      <c r="T77" s="1645"/>
      <c r="U77" s="1645"/>
      <c r="V77" s="1645">
        <v>4</v>
      </c>
      <c r="W77" s="1645"/>
      <c r="X77" s="1645"/>
      <c r="Y77" s="1645">
        <v>5</v>
      </c>
      <c r="Z77" s="1645">
        <v>6</v>
      </c>
      <c r="AA77" s="1645"/>
      <c r="AB77" s="1645"/>
      <c r="AC77" s="1645"/>
      <c r="AD77" s="1645"/>
    </row>
    <row r="78" spans="9:30">
      <c r="I78" s="1645"/>
      <c r="J78" s="1645"/>
      <c r="K78" s="2083"/>
      <c r="L78" s="1645" t="s">
        <v>695</v>
      </c>
      <c r="M78" s="1645" t="s">
        <v>696</v>
      </c>
      <c r="N78" s="1645"/>
      <c r="O78" s="1645"/>
      <c r="P78" s="1645"/>
      <c r="Q78" s="1645"/>
      <c r="R78" s="1645"/>
      <c r="S78" s="1645"/>
      <c r="T78" s="1645"/>
      <c r="U78" s="1645"/>
      <c r="V78" s="1645"/>
      <c r="W78" s="1645"/>
      <c r="X78" s="1645"/>
      <c r="Y78" s="1645"/>
      <c r="Z78" s="1645"/>
      <c r="AA78" s="1645"/>
      <c r="AB78" s="1645"/>
      <c r="AC78" s="1645"/>
      <c r="AD78" s="1645"/>
    </row>
    <row r="79" spans="9:30">
      <c r="I79" s="1645"/>
      <c r="J79" s="1645"/>
      <c r="K79" s="2083"/>
      <c r="L79" s="1645" t="s">
        <v>697</v>
      </c>
      <c r="M79" s="1645" t="s">
        <v>698</v>
      </c>
      <c r="N79" s="1645"/>
      <c r="O79" s="1645"/>
      <c r="P79" s="1645"/>
      <c r="Q79" s="1645"/>
      <c r="R79" s="1645"/>
      <c r="S79" s="1645"/>
      <c r="T79" s="1645"/>
      <c r="U79" s="1645"/>
      <c r="V79" s="1645"/>
      <c r="W79" s="1645"/>
      <c r="X79" s="1645"/>
      <c r="Y79" s="1645"/>
      <c r="Z79" s="1645"/>
      <c r="AA79" s="1645"/>
      <c r="AB79" s="1645"/>
      <c r="AC79" s="1645"/>
      <c r="AD79" s="1645"/>
    </row>
    <row r="80" spans="9:30">
      <c r="I80" s="1645"/>
      <c r="J80" s="1645"/>
      <c r="K80" s="2083"/>
      <c r="L80" s="1645" t="s">
        <v>699</v>
      </c>
      <c r="M80" s="1645" t="s">
        <v>700</v>
      </c>
      <c r="N80" s="1645"/>
      <c r="O80" s="1645"/>
      <c r="P80" s="1645"/>
      <c r="Q80" s="1645"/>
      <c r="R80" s="1645"/>
      <c r="S80" s="1645"/>
      <c r="T80" s="1645"/>
      <c r="U80" s="1645"/>
      <c r="V80" s="1645">
        <v>8</v>
      </c>
      <c r="W80" s="1645">
        <v>4</v>
      </c>
      <c r="X80" s="1645">
        <v>153</v>
      </c>
      <c r="Y80" s="1645">
        <v>53</v>
      </c>
      <c r="Z80" s="1645">
        <v>33</v>
      </c>
      <c r="AA80" s="1645"/>
      <c r="AB80" s="1645"/>
      <c r="AC80" s="1645"/>
      <c r="AD80" s="1645">
        <v>68</v>
      </c>
    </row>
    <row r="81" spans="11:31">
      <c r="K81" s="2083"/>
      <c r="L81" s="1645" t="s">
        <v>701</v>
      </c>
      <c r="M81" s="1645" t="s">
        <v>702</v>
      </c>
      <c r="N81" s="1645"/>
      <c r="O81" s="1645"/>
      <c r="P81" s="1645"/>
      <c r="Q81" s="1645"/>
      <c r="R81" s="1645"/>
      <c r="S81" s="1645"/>
      <c r="T81" s="1645"/>
      <c r="U81" s="1645"/>
      <c r="V81" s="1645">
        <v>38</v>
      </c>
      <c r="W81" s="1645"/>
      <c r="X81" s="1645"/>
      <c r="Y81" s="1645">
        <v>5</v>
      </c>
      <c r="Z81" s="1645">
        <v>6</v>
      </c>
      <c r="AA81" s="1645">
        <v>7</v>
      </c>
      <c r="AB81" s="1645"/>
      <c r="AC81" s="1645"/>
      <c r="AD81" s="1645">
        <v>21</v>
      </c>
      <c r="AE81" s="1645"/>
    </row>
    <row r="82" spans="11:31">
      <c r="K82" s="2083"/>
      <c r="L82" s="1645" t="s">
        <v>703</v>
      </c>
      <c r="M82" s="1645" t="s">
        <v>704</v>
      </c>
      <c r="N82" s="1645"/>
      <c r="O82" s="1645"/>
      <c r="P82" s="1645"/>
      <c r="Q82" s="1645"/>
      <c r="R82" s="1645"/>
      <c r="S82" s="1645"/>
      <c r="T82" s="1645"/>
      <c r="U82" s="1645"/>
      <c r="V82" s="1645">
        <v>950</v>
      </c>
      <c r="W82" s="1645">
        <v>406</v>
      </c>
      <c r="X82" s="1645">
        <v>432</v>
      </c>
      <c r="Y82" s="1645">
        <v>110</v>
      </c>
      <c r="Z82" s="1645">
        <v>215</v>
      </c>
      <c r="AA82" s="1645">
        <v>135</v>
      </c>
      <c r="AB82" s="1645">
        <v>389</v>
      </c>
      <c r="AC82" s="1645">
        <v>151</v>
      </c>
      <c r="AD82" s="1645">
        <v>375</v>
      </c>
      <c r="AE82" s="1645"/>
    </row>
    <row r="83" spans="11:31">
      <c r="K83" s="2083"/>
      <c r="L83" s="1645" t="s">
        <v>705</v>
      </c>
      <c r="M83" s="1645" t="s">
        <v>706</v>
      </c>
      <c r="N83" s="1645"/>
      <c r="O83" s="1645"/>
      <c r="P83" s="1645"/>
      <c r="Q83" s="1645"/>
      <c r="R83" s="1645"/>
      <c r="S83" s="1645"/>
      <c r="T83" s="1645"/>
      <c r="U83" s="1645"/>
      <c r="V83" s="1645"/>
      <c r="W83" s="1645"/>
      <c r="X83" s="1645"/>
      <c r="Y83" s="1645"/>
      <c r="Z83" s="1645">
        <v>3</v>
      </c>
      <c r="AA83" s="1645"/>
      <c r="AB83" s="1645"/>
      <c r="AC83" s="1645"/>
      <c r="AD83" s="1645"/>
      <c r="AE83" s="1645"/>
    </row>
    <row r="84" spans="11:31">
      <c r="K84" s="2083"/>
      <c r="L84" s="1645" t="s">
        <v>707</v>
      </c>
      <c r="M84" s="1645" t="s">
        <v>708</v>
      </c>
      <c r="N84" s="1645"/>
      <c r="O84" s="1645"/>
      <c r="P84" s="1645"/>
      <c r="Q84" s="1645"/>
      <c r="R84" s="1645"/>
      <c r="S84" s="1645"/>
      <c r="T84" s="1645"/>
      <c r="U84" s="1645"/>
      <c r="V84" s="1645"/>
      <c r="W84" s="1645"/>
      <c r="X84" s="1645"/>
      <c r="Y84" s="1645"/>
      <c r="Z84" s="1645"/>
      <c r="AA84" s="1645"/>
      <c r="AB84" s="1645"/>
      <c r="AC84" s="1645"/>
      <c r="AD84" s="1645"/>
      <c r="AE84" s="1645"/>
    </row>
    <row r="85" spans="11:31">
      <c r="K85" s="2083"/>
      <c r="L85" s="1645" t="s">
        <v>709</v>
      </c>
      <c r="M85" s="1645" t="s">
        <v>710</v>
      </c>
      <c r="N85" s="1645"/>
      <c r="O85" s="1645"/>
      <c r="P85" s="1645"/>
      <c r="Q85" s="1645"/>
      <c r="R85" s="1645"/>
      <c r="S85" s="1645"/>
      <c r="T85" s="1645"/>
      <c r="U85" s="1645"/>
      <c r="V85" s="1645"/>
      <c r="W85" s="1645"/>
      <c r="X85" s="1645"/>
      <c r="Y85" s="1645"/>
      <c r="Z85" s="1645"/>
      <c r="AA85" s="1645"/>
      <c r="AB85" s="1645"/>
      <c r="AC85" s="1645"/>
      <c r="AD85" s="1645"/>
      <c r="AE85" s="1645"/>
    </row>
    <row r="86" spans="11:31">
      <c r="K86" s="2083"/>
      <c r="L86" s="1645" t="s">
        <v>711</v>
      </c>
      <c r="M86" s="1645" t="s">
        <v>712</v>
      </c>
      <c r="N86" s="1645"/>
      <c r="O86" s="1645"/>
      <c r="P86" s="1645"/>
      <c r="Q86" s="1645"/>
      <c r="R86" s="1645"/>
      <c r="S86" s="1645"/>
      <c r="T86" s="1645"/>
      <c r="U86" s="1645"/>
      <c r="V86" s="1645">
        <v>6</v>
      </c>
      <c r="W86" s="1645">
        <v>10</v>
      </c>
      <c r="X86" s="1645">
        <v>7</v>
      </c>
      <c r="Y86" s="1645"/>
      <c r="Z86" s="1645"/>
      <c r="AA86" s="1645"/>
      <c r="AB86" s="1645">
        <v>4</v>
      </c>
      <c r="AC86" s="1645"/>
      <c r="AD86" s="1645">
        <v>6</v>
      </c>
      <c r="AE86" s="1645"/>
    </row>
    <row r="87" spans="11:31">
      <c r="K87" s="2083"/>
      <c r="L87" s="1645" t="s">
        <v>713</v>
      </c>
      <c r="M87" s="1645" t="s">
        <v>710</v>
      </c>
      <c r="N87" s="1645"/>
      <c r="O87" s="1645"/>
      <c r="P87" s="1645"/>
      <c r="Q87" s="1645"/>
      <c r="R87" s="1645"/>
      <c r="S87" s="1645"/>
      <c r="T87" s="1645"/>
      <c r="U87" s="1645"/>
      <c r="V87" s="1645">
        <v>657</v>
      </c>
      <c r="W87" s="1645">
        <v>229</v>
      </c>
      <c r="X87" s="1645">
        <v>228</v>
      </c>
      <c r="Y87" s="1645">
        <v>46</v>
      </c>
      <c r="Z87" s="1645">
        <v>36</v>
      </c>
      <c r="AA87" s="1645">
        <v>23</v>
      </c>
      <c r="AB87" s="1645">
        <v>24</v>
      </c>
      <c r="AC87" s="1645">
        <v>146</v>
      </c>
      <c r="AD87" s="1645">
        <v>52</v>
      </c>
      <c r="AE87" s="1645"/>
    </row>
    <row r="88" spans="11:31" ht="13.5" thickBot="1">
      <c r="K88" s="2084"/>
      <c r="L88" s="422" t="s">
        <v>714</v>
      </c>
      <c r="M88" s="422" t="s">
        <v>708</v>
      </c>
      <c r="N88" s="422"/>
      <c r="O88" s="422"/>
      <c r="P88" s="422"/>
      <c r="Q88" s="422"/>
      <c r="R88" s="422"/>
      <c r="S88" s="422"/>
      <c r="T88" s="422"/>
      <c r="U88" s="422"/>
      <c r="V88" s="422">
        <v>97</v>
      </c>
      <c r="W88" s="422">
        <v>50</v>
      </c>
      <c r="X88" s="422"/>
      <c r="Y88" s="422"/>
      <c r="Z88" s="422"/>
      <c r="AA88" s="422"/>
      <c r="AB88" s="422">
        <v>4</v>
      </c>
      <c r="AC88" s="422"/>
      <c r="AD88" s="422"/>
      <c r="AE88" s="422"/>
    </row>
    <row r="89" spans="11:31">
      <c r="K89" s="1645"/>
      <c r="L89" s="1645"/>
      <c r="M89" s="1645"/>
      <c r="N89" s="1645"/>
      <c r="O89" s="1645"/>
      <c r="P89" s="1645"/>
      <c r="Q89" s="1645"/>
      <c r="R89" s="1645"/>
      <c r="S89" s="1645"/>
      <c r="T89" s="1645"/>
      <c r="U89" s="1645"/>
      <c r="V89" s="1645">
        <f t="shared" ref="V89:AB89" si="17">SUM(V42:V88)</f>
        <v>28826</v>
      </c>
      <c r="W89" s="1645">
        <f t="shared" si="17"/>
        <v>7018</v>
      </c>
      <c r="X89" s="1645">
        <f t="shared" si="17"/>
        <v>9324</v>
      </c>
      <c r="Y89" s="1645">
        <f t="shared" si="17"/>
        <v>5964</v>
      </c>
      <c r="Z89" s="1645">
        <f t="shared" si="17"/>
        <v>10117</v>
      </c>
      <c r="AA89" s="1645">
        <f t="shared" si="17"/>
        <v>5739</v>
      </c>
      <c r="AB89" s="1645">
        <f t="shared" si="17"/>
        <v>13540</v>
      </c>
      <c r="AC89" s="483">
        <f>SUM(AC42:AC88)</f>
        <v>9899</v>
      </c>
      <c r="AD89" s="483">
        <f>SUM(AD42:AD88)</f>
        <v>14564</v>
      </c>
      <c r="AE89" s="483">
        <f>AVERAGE(Z89:AD89)</f>
        <v>10771.8</v>
      </c>
    </row>
    <row r="90" spans="11:31" ht="13.5" thickBot="1">
      <c r="K90" s="1645"/>
      <c r="L90" s="1645"/>
      <c r="M90" s="1645"/>
      <c r="N90" s="1645"/>
      <c r="O90" s="1645"/>
      <c r="P90" s="1645"/>
      <c r="Q90" s="1645"/>
      <c r="R90" s="1645"/>
      <c r="S90" s="1645"/>
      <c r="T90" s="1645"/>
      <c r="U90" s="1645"/>
      <c r="V90" s="413" t="s">
        <v>613</v>
      </c>
      <c r="W90" s="413" t="s">
        <v>613</v>
      </c>
      <c r="X90" s="413" t="s">
        <v>613</v>
      </c>
      <c r="Y90" s="413" t="s">
        <v>613</v>
      </c>
      <c r="Z90" s="413" t="s">
        <v>613</v>
      </c>
      <c r="AA90" s="413" t="s">
        <v>613</v>
      </c>
      <c r="AB90" s="413" t="s">
        <v>613</v>
      </c>
      <c r="AC90" s="413" t="s">
        <v>613</v>
      </c>
      <c r="AD90" s="413" t="s">
        <v>715</v>
      </c>
      <c r="AE90" s="413" t="s">
        <v>716</v>
      </c>
    </row>
  </sheetData>
  <mergeCells count="9">
    <mergeCell ref="AP4:AR4"/>
    <mergeCell ref="K6:K41"/>
    <mergeCell ref="K42:K88"/>
    <mergeCell ref="C2:G2"/>
    <mergeCell ref="K2:L2"/>
    <mergeCell ref="C3:D3"/>
    <mergeCell ref="F3:G3"/>
    <mergeCell ref="AN2:AZ2"/>
    <mergeCell ref="AN3:AZ3"/>
  </mergeCells>
  <pageMargins left="0.7" right="0.7" top="0.75" bottom="0.75" header="0.3" footer="0.3"/>
  <pageSetup orientation="portrait"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33B9-E987-4D97-9D92-6726F3D4C162}">
  <sheetPr>
    <tabColor rgb="FF66FF33"/>
  </sheetPr>
  <dimension ref="B1:O59"/>
  <sheetViews>
    <sheetView showGridLines="0" topLeftCell="A22" zoomScaleNormal="100" workbookViewId="0">
      <selection activeCell="H31" sqref="H31"/>
    </sheetView>
  </sheetViews>
  <sheetFormatPr defaultColWidth="9.33203125" defaultRowHeight="12.75"/>
  <cols>
    <col min="1" max="1" width="9.33203125" style="75"/>
    <col min="2" max="2" width="12.33203125" style="75" customWidth="1"/>
    <col min="3" max="3" width="12.83203125" style="75" customWidth="1"/>
    <col min="4" max="4" width="1.83203125" style="75" customWidth="1"/>
    <col min="5" max="5" width="11.6640625" style="75" customWidth="1"/>
    <col min="6" max="6" width="11.83203125" style="75" customWidth="1"/>
    <col min="7" max="7" width="1.83203125" style="75" customWidth="1"/>
    <col min="8" max="8" width="10.83203125" style="75" customWidth="1"/>
    <col min="9" max="9" width="1.83203125" style="75" customWidth="1"/>
    <col min="10" max="11" width="10.83203125" style="75" customWidth="1"/>
    <col min="12" max="12" width="1.83203125" style="75" customWidth="1"/>
    <col min="13" max="13" width="10.83203125" style="75" customWidth="1"/>
    <col min="14" max="14" width="1.6640625" style="75" customWidth="1"/>
    <col min="15" max="16384" width="9.33203125" style="75"/>
  </cols>
  <sheetData>
    <row r="1" spans="2:13" ht="15.75">
      <c r="B1" s="84" t="s">
        <v>141</v>
      </c>
      <c r="C1" s="1645"/>
      <c r="D1" s="1645"/>
      <c r="E1" s="1645"/>
      <c r="F1" s="1645"/>
      <c r="G1" s="1645"/>
      <c r="H1" s="1645"/>
      <c r="I1" s="1645"/>
      <c r="J1" s="1645"/>
      <c r="K1" s="1645"/>
      <c r="L1" s="1645"/>
      <c r="M1" s="1645"/>
    </row>
    <row r="2" spans="2:13" ht="15.75">
      <c r="B2" s="84" t="s">
        <v>717</v>
      </c>
      <c r="C2" s="1645"/>
      <c r="D2" s="1645"/>
      <c r="E2" s="1645"/>
      <c r="F2" s="1645"/>
      <c r="G2" s="1645"/>
      <c r="H2" s="1645"/>
      <c r="I2" s="1645"/>
      <c r="J2" s="1645"/>
      <c r="K2" s="1645"/>
      <c r="L2" s="1645"/>
      <c r="M2" s="1645"/>
    </row>
    <row r="3" spans="2:13" ht="15.75">
      <c r="B3" s="84"/>
      <c r="C3" s="1645"/>
      <c r="D3" s="1645"/>
      <c r="E3" s="1645"/>
      <c r="F3" s="1645"/>
      <c r="G3" s="1645"/>
      <c r="H3" s="1645"/>
      <c r="I3" s="1645"/>
      <c r="J3" s="1645"/>
      <c r="K3" s="1645"/>
      <c r="L3" s="1645"/>
      <c r="M3" s="1645"/>
    </row>
    <row r="4" spans="2:13" ht="17.25" customHeight="1">
      <c r="B4" s="1865" t="s">
        <v>28</v>
      </c>
      <c r="C4" s="1795" t="s">
        <v>718</v>
      </c>
      <c r="D4" s="911"/>
      <c r="E4" s="911"/>
      <c r="F4" s="911"/>
      <c r="G4" s="911"/>
      <c r="H4" s="911"/>
      <c r="I4" s="911"/>
      <c r="J4" s="911"/>
      <c r="K4" s="911"/>
      <c r="L4" s="911"/>
      <c r="M4" s="912"/>
    </row>
    <row r="5" spans="2:13" ht="13.5" customHeight="1" thickBot="1">
      <c r="B5" s="1866"/>
      <c r="C5" s="1798"/>
      <c r="D5" s="1645"/>
      <c r="E5" s="1869" t="s">
        <v>545</v>
      </c>
      <c r="F5" s="1869"/>
      <c r="G5" s="1869"/>
      <c r="H5" s="1869"/>
      <c r="I5" s="1869"/>
      <c r="J5" s="1869"/>
      <c r="K5" s="1869"/>
      <c r="L5" s="1645"/>
      <c r="M5" s="913"/>
    </row>
    <row r="6" spans="2:13" ht="14.25" customHeight="1" thickBot="1">
      <c r="B6" s="1866"/>
      <c r="C6" s="1798"/>
      <c r="D6" s="1645"/>
      <c r="E6" s="1870" t="s">
        <v>719</v>
      </c>
      <c r="F6" s="1870"/>
      <c r="G6" s="1645"/>
      <c r="H6" s="1798" t="s">
        <v>720</v>
      </c>
      <c r="I6" s="1645"/>
      <c r="J6" s="1870" t="s">
        <v>721</v>
      </c>
      <c r="K6" s="1870"/>
      <c r="L6" s="1645"/>
      <c r="M6" s="1871" t="s">
        <v>722</v>
      </c>
    </row>
    <row r="7" spans="2:13">
      <c r="B7" s="1867"/>
      <c r="C7" s="1868"/>
      <c r="D7" s="643"/>
      <c r="E7" s="1667" t="s">
        <v>556</v>
      </c>
      <c r="F7" s="1667" t="s">
        <v>557</v>
      </c>
      <c r="G7" s="643"/>
      <c r="H7" s="1868"/>
      <c r="I7" s="643"/>
      <c r="J7" s="1667" t="s">
        <v>556</v>
      </c>
      <c r="K7" s="1667" t="s">
        <v>557</v>
      </c>
      <c r="L7" s="643"/>
      <c r="M7" s="1872"/>
    </row>
    <row r="8" spans="2:13" ht="5.85" customHeight="1">
      <c r="B8" s="921"/>
      <c r="C8" s="1645"/>
      <c r="D8" s="1645"/>
      <c r="E8" s="1645"/>
      <c r="F8" s="1645"/>
      <c r="G8" s="1645"/>
      <c r="H8" s="1645"/>
      <c r="I8" s="1645"/>
      <c r="J8" s="1645"/>
      <c r="K8" s="1645"/>
      <c r="L8" s="1645"/>
      <c r="M8" s="913"/>
    </row>
    <row r="9" spans="2:13">
      <c r="B9" s="914" t="s">
        <v>723</v>
      </c>
      <c r="C9" s="1325">
        <f>AVERAGE([1]T14Manip!B5:B9)</f>
        <v>1.5</v>
      </c>
      <c r="D9" s="1326"/>
      <c r="E9" s="1325">
        <f>AVERAGE([1]T14Manip!C5:C9)</f>
        <v>3.5200000000000005</v>
      </c>
      <c r="F9" s="1325">
        <f>AVERAGE([1]T14Manip!D5:D9)</f>
        <v>15.559999999999999</v>
      </c>
      <c r="G9" s="76"/>
      <c r="H9" s="1325">
        <f>AVERAGE([1]T14Manip!E5:E9)</f>
        <v>23</v>
      </c>
      <c r="I9" s="76"/>
      <c r="J9" s="1325">
        <f>AVERAGE([1]T14Manip!F5:F9)</f>
        <v>0.2</v>
      </c>
      <c r="K9" s="1325">
        <f>AVERAGE([1]T14Manip!G5:G9)</f>
        <v>4.76</v>
      </c>
      <c r="L9" s="1327"/>
      <c r="M9" s="915">
        <f>AVERAGE([1]T14Manip!H5:H9)</f>
        <v>48.379999999999995</v>
      </c>
    </row>
    <row r="10" spans="2:13">
      <c r="B10" s="914">
        <v>1985</v>
      </c>
      <c r="C10" s="1325">
        <f>IF([1]T14Manip!B10="","",[1]T14Manip!B10)</f>
        <v>1.8</v>
      </c>
      <c r="D10" s="1326"/>
      <c r="E10" s="1325">
        <f>IF([1]T14Manip!C10="","",[1]T14Manip!C10)</f>
        <v>3.9</v>
      </c>
      <c r="F10" s="1325">
        <f>IF([1]T14Manip!D10="","",[1]T14Manip!D10)</f>
        <v>15.9</v>
      </c>
      <c r="G10" s="76"/>
      <c r="H10" s="1325">
        <f>IF([1]T14Manip!E10="","",[1]T14Manip!E10)</f>
        <v>32.299999999999997</v>
      </c>
      <c r="I10" s="76"/>
      <c r="J10" s="1325">
        <f>IF([1]T14Manip!F10="","",[1]T14Manip!F10)</f>
        <v>0.2</v>
      </c>
      <c r="K10" s="1325">
        <f>IF([1]T14Manip!G10="","",[1]T14Manip!G10)</f>
        <v>3</v>
      </c>
      <c r="L10" s="553"/>
      <c r="M10" s="915">
        <f>IF([1]T14Manip!H10="","",[1]T14Manip!H10)</f>
        <v>57.1</v>
      </c>
    </row>
    <row r="11" spans="2:13">
      <c r="B11" s="914">
        <v>1986</v>
      </c>
      <c r="C11" s="1325">
        <f>IF([1]T14Manip!B11="","",[1]T14Manip!B11)</f>
        <v>3</v>
      </c>
      <c r="D11" s="1326"/>
      <c r="E11" s="1325">
        <f>IF([1]T14Manip!C11="","",[1]T14Manip!C11)</f>
        <v>4.4000000000000004</v>
      </c>
      <c r="F11" s="1325">
        <f>IF([1]T14Manip!D11="","",[1]T14Manip!D11)</f>
        <v>26.9</v>
      </c>
      <c r="G11" s="76"/>
      <c r="H11" s="1325">
        <f>IF([1]T14Manip!E11="","",[1]T14Manip!E11)</f>
        <v>53.3</v>
      </c>
      <c r="I11" s="76"/>
      <c r="J11" s="1325" t="str">
        <f>IF([1]T14Manip!F11="","",[1]T14Manip!F11)</f>
        <v/>
      </c>
      <c r="K11" s="1325">
        <f>IF([1]T14Manip!G11="","",[1]T14Manip!G11)</f>
        <v>2.2999999999999998</v>
      </c>
      <c r="L11" s="553"/>
      <c r="M11" s="915">
        <f>IF([1]T14Manip!H11="","",[1]T14Manip!H11)</f>
        <v>89.9</v>
      </c>
    </row>
    <row r="12" spans="2:13">
      <c r="B12" s="914">
        <v>1987</v>
      </c>
      <c r="C12" s="1325">
        <f>IF([1]T14Manip!B12="","",[1]T14Manip!B12)</f>
        <v>1.6</v>
      </c>
      <c r="D12" s="1326"/>
      <c r="E12" s="1325">
        <f>IF([1]T14Manip!C12="","",[1]T14Manip!C12)</f>
        <v>4.2</v>
      </c>
      <c r="F12" s="1325">
        <f>IF([1]T14Manip!D12="","",[1]T14Manip!D12)</f>
        <v>17.399999999999999</v>
      </c>
      <c r="G12" s="76"/>
      <c r="H12" s="1325">
        <f>IF([1]T14Manip!E12="","",[1]T14Manip!E12)</f>
        <v>33.6</v>
      </c>
      <c r="I12" s="76"/>
      <c r="J12" s="1325" t="str">
        <f>IF([1]T14Manip!F12="","",[1]T14Manip!F12)</f>
        <v/>
      </c>
      <c r="K12" s="1325">
        <f>IF([1]T14Manip!G12="","",[1]T14Manip!G12)</f>
        <v>1.6</v>
      </c>
      <c r="L12" s="553"/>
      <c r="M12" s="915">
        <f>IF([1]T14Manip!H12="","",[1]T14Manip!H12)</f>
        <v>58.4</v>
      </c>
    </row>
    <row r="13" spans="2:13">
      <c r="B13" s="914">
        <v>1988</v>
      </c>
      <c r="C13" s="1325">
        <f>IF([1]T14Manip!B13="","",[1]T14Manip!B13)</f>
        <v>2.7</v>
      </c>
      <c r="D13" s="1326"/>
      <c r="E13" s="1325">
        <f>IF([1]T14Manip!C13="","",[1]T14Manip!C13)</f>
        <v>7</v>
      </c>
      <c r="F13" s="1325">
        <f>IF([1]T14Manip!D13="","",[1]T14Manip!D13)</f>
        <v>14.2</v>
      </c>
      <c r="G13" s="76"/>
      <c r="H13" s="1325">
        <f>IF([1]T14Manip!E13="","",[1]T14Manip!E13)</f>
        <v>50.7</v>
      </c>
      <c r="I13" s="76"/>
      <c r="J13" s="1325" t="str">
        <f>IF([1]T14Manip!F13="","",[1]T14Manip!F13)</f>
        <v/>
      </c>
      <c r="K13" s="1325">
        <f>IF([1]T14Manip!G13="","",[1]T14Manip!G13)</f>
        <v>3.3</v>
      </c>
      <c r="L13" s="553"/>
      <c r="M13" s="915">
        <f>IF([1]T14Manip!H13="","",[1]T14Manip!H13)</f>
        <v>77.900000000000006</v>
      </c>
    </row>
    <row r="14" spans="2:13">
      <c r="B14" s="914">
        <v>1989</v>
      </c>
      <c r="C14" s="1325">
        <f>IF([1]T14Manip!B14="","",[1]T14Manip!B14)</f>
        <v>1.7</v>
      </c>
      <c r="D14" s="1326"/>
      <c r="E14" s="1325">
        <f>IF([1]T14Manip!C14="","",[1]T14Manip!C14)</f>
        <v>3.5</v>
      </c>
      <c r="F14" s="1325">
        <f>IF([1]T14Manip!D14="","",[1]T14Manip!D14)</f>
        <v>12.6</v>
      </c>
      <c r="G14" s="76"/>
      <c r="H14" s="1325">
        <f>IF([1]T14Manip!E14="","",[1]T14Manip!E14)</f>
        <v>13.4</v>
      </c>
      <c r="I14" s="76"/>
      <c r="J14" s="1325" t="str">
        <f>IF([1]T14Manip!F14="","",[1]T14Manip!F14)</f>
        <v/>
      </c>
      <c r="K14" s="1325">
        <f>IF([1]T14Manip!G14="","",[1]T14Manip!G14)</f>
        <v>3.8</v>
      </c>
      <c r="L14" s="553"/>
      <c r="M14" s="915">
        <f>IF([1]T14Manip!H14="","",[1]T14Manip!H14)</f>
        <v>35</v>
      </c>
    </row>
    <row r="15" spans="2:13" ht="5.85" customHeight="1">
      <c r="B15" s="916"/>
      <c r="C15" s="1328"/>
      <c r="D15" s="1329"/>
      <c r="E15" s="1328"/>
      <c r="F15" s="1330"/>
      <c r="G15" s="1331"/>
      <c r="H15" s="1332"/>
      <c r="I15" s="1331"/>
      <c r="J15" s="1328"/>
      <c r="K15" s="1332"/>
      <c r="L15" s="1333"/>
      <c r="M15" s="917"/>
    </row>
    <row r="16" spans="2:13">
      <c r="B16" s="914">
        <v>1990</v>
      </c>
      <c r="C16" s="1325">
        <f>IF([1]T14Manip!B15="","",[1]T14Manip!B15)</f>
        <v>2.2000000000000002</v>
      </c>
      <c r="D16" s="1326"/>
      <c r="E16" s="1325">
        <f>IF([1]T14Manip!C15="","",[1]T14Manip!C15)</f>
        <v>5.0999999999999996</v>
      </c>
      <c r="F16" s="1325">
        <f>IF([1]T14Manip!D15="","",[1]T14Manip!D15)</f>
        <v>17.2</v>
      </c>
      <c r="G16" s="76"/>
      <c r="H16" s="1325">
        <f>IF([1]T14Manip!E15="","",[1]T14Manip!E15)</f>
        <v>31.8</v>
      </c>
      <c r="I16" s="76"/>
      <c r="J16" s="1325" t="str">
        <f>IF([1]T14Manip!F15="","",[1]T14Manip!F15)</f>
        <v/>
      </c>
      <c r="K16" s="1325">
        <f>IF([1]T14Manip!G15="","",[1]T14Manip!G15)</f>
        <v>5.6</v>
      </c>
      <c r="L16" s="553"/>
      <c r="M16" s="915">
        <f>IF([1]T14Manip!H15="","",[1]T14Manip!H15)</f>
        <v>61.9</v>
      </c>
    </row>
    <row r="17" spans="2:13">
      <c r="B17" s="914">
        <v>1991</v>
      </c>
      <c r="C17" s="1325">
        <f>IF([1]T14Manip!B16="","",[1]T14Manip!B16)</f>
        <v>1.2</v>
      </c>
      <c r="D17" s="1326"/>
      <c r="E17" s="1325">
        <f>IF([1]T14Manip!C16="","",[1]T14Manip!C16)</f>
        <v>3</v>
      </c>
      <c r="F17" s="1325">
        <f>IF([1]T14Manip!D16="","",[1]T14Manip!D16)</f>
        <v>15</v>
      </c>
      <c r="G17" s="76"/>
      <c r="H17" s="1325">
        <f>IF([1]T14Manip!E16="","",[1]T14Manip!E16)</f>
        <v>10.4</v>
      </c>
      <c r="I17" s="76"/>
      <c r="J17" s="1325" t="str">
        <f>IF([1]T14Manip!F16="","",[1]T14Manip!F16)</f>
        <v/>
      </c>
      <c r="K17" s="1325">
        <f>IF([1]T14Manip!G16="","",[1]T14Manip!G16)</f>
        <v>2.2000000000000002</v>
      </c>
      <c r="L17" s="553"/>
      <c r="M17" s="915">
        <f>IF([1]T14Manip!H16="","",[1]T14Manip!H16)</f>
        <v>31.8</v>
      </c>
    </row>
    <row r="18" spans="2:13">
      <c r="B18" s="914">
        <v>1992</v>
      </c>
      <c r="C18" s="1325">
        <f>IF([1]T14Manip!B17="","",[1]T14Manip!B17)</f>
        <v>1.2</v>
      </c>
      <c r="D18" s="1326"/>
      <c r="E18" s="1325">
        <f>IF([1]T14Manip!C17="","",[1]T14Manip!C17)</f>
        <v>3</v>
      </c>
      <c r="F18" s="1325">
        <f>IF([1]T14Manip!D17="","",[1]T14Manip!D17)</f>
        <v>17.600000000000001</v>
      </c>
      <c r="G18" s="76"/>
      <c r="H18" s="1325">
        <f>IF([1]T14Manip!E17="","",[1]T14Manip!E17)</f>
        <v>23.1</v>
      </c>
      <c r="I18" s="76"/>
      <c r="J18" s="1325" t="str">
        <f>IF([1]T14Manip!F17="","",[1]T14Manip!F17)</f>
        <v/>
      </c>
      <c r="K18" s="1325">
        <f>IF([1]T14Manip!G17="","",[1]T14Manip!G17)</f>
        <v>3.1</v>
      </c>
      <c r="L18" s="553"/>
      <c r="M18" s="915">
        <f>IF([1]T14Manip!H17="","",[1]T14Manip!H17)</f>
        <v>48</v>
      </c>
    </row>
    <row r="19" spans="2:13">
      <c r="B19" s="914">
        <v>1993</v>
      </c>
      <c r="C19" s="1325">
        <f>IF([1]T14Manip!B18="","",[1]T14Manip!B18)</f>
        <v>1.8</v>
      </c>
      <c r="D19" s="1326"/>
      <c r="E19" s="1325">
        <f>IF([1]T14Manip!C18="","",[1]T14Manip!C18)</f>
        <v>3.2</v>
      </c>
      <c r="F19" s="1325">
        <f>IF([1]T14Manip!D18="","",[1]T14Manip!D18)</f>
        <v>20</v>
      </c>
      <c r="G19" s="76"/>
      <c r="H19" s="1325">
        <f>IF([1]T14Manip!E18="","",[1]T14Manip!E18)</f>
        <v>17.3</v>
      </c>
      <c r="I19" s="76"/>
      <c r="J19" s="1325" t="str">
        <f>IF([1]T14Manip!F18="","",[1]T14Manip!F18)</f>
        <v/>
      </c>
      <c r="K19" s="1325">
        <f>IF([1]T14Manip!G18="","",[1]T14Manip!G18)</f>
        <v>4.7</v>
      </c>
      <c r="L19" s="553"/>
      <c r="M19" s="915">
        <f>IF([1]T14Manip!H18="","",[1]T14Manip!H18)</f>
        <v>47</v>
      </c>
    </row>
    <row r="20" spans="2:13">
      <c r="B20" s="914">
        <v>1994</v>
      </c>
      <c r="C20" s="1325">
        <f>IF([1]T14Manip!B19="","",[1]T14Manip!B19)</f>
        <v>1.2</v>
      </c>
      <c r="D20" s="1326"/>
      <c r="E20" s="1325">
        <f>IF([1]T14Manip!C19="","",[1]T14Manip!C19)</f>
        <v>2.1</v>
      </c>
      <c r="F20" s="1325">
        <f>IF([1]T14Manip!D19="","",[1]T14Manip!D19)</f>
        <v>23</v>
      </c>
      <c r="G20" s="76"/>
      <c r="H20" s="1325">
        <f>IF([1]T14Manip!E19="","",[1]T14Manip!E19)</f>
        <v>15.4</v>
      </c>
      <c r="I20" s="76"/>
      <c r="J20" s="1325" t="str">
        <f>IF([1]T14Manip!F19="","",[1]T14Manip!F19)</f>
        <v/>
      </c>
      <c r="K20" s="1325">
        <f>IF([1]T14Manip!G19="","",[1]T14Manip!G19)</f>
        <v>5.6</v>
      </c>
      <c r="L20" s="553"/>
      <c r="M20" s="915">
        <f>IF([1]T14Manip!H19="","",[1]T14Manip!H19)</f>
        <v>47.3</v>
      </c>
    </row>
    <row r="21" spans="2:13">
      <c r="B21" s="914">
        <v>1995</v>
      </c>
      <c r="C21" s="1325">
        <f>IF([1]T14Manip!B20="","",[1]T14Manip!B20)</f>
        <v>1.4</v>
      </c>
      <c r="D21" s="1326"/>
      <c r="E21" s="1325">
        <f>IF([1]T14Manip!C20="","",[1]T14Manip!C20)</f>
        <v>1.5</v>
      </c>
      <c r="F21" s="1325">
        <f>IF([1]T14Manip!D20="","",[1]T14Manip!D20)</f>
        <v>13</v>
      </c>
      <c r="G21" s="76"/>
      <c r="H21" s="1325">
        <f>IF([1]T14Manip!E20="","",[1]T14Manip!E20)</f>
        <v>15.1</v>
      </c>
      <c r="I21" s="76"/>
      <c r="J21" s="1325">
        <f>IF([1]T14Manip!F20="","",[1]T14Manip!F20)</f>
        <v>0.1</v>
      </c>
      <c r="K21" s="1325">
        <f>IF([1]T14Manip!G20="","",[1]T14Manip!G20)</f>
        <v>7.8</v>
      </c>
      <c r="L21" s="553"/>
      <c r="M21" s="915">
        <f>IF([1]T14Manip!H20="","",[1]T14Manip!H20)</f>
        <v>38.9</v>
      </c>
    </row>
    <row r="22" spans="2:13">
      <c r="B22" s="914">
        <v>1996</v>
      </c>
      <c r="C22" s="1325">
        <f>IF([1]T14Manip!B21="","",[1]T14Manip!B21)</f>
        <v>1.2</v>
      </c>
      <c r="D22" s="1326"/>
      <c r="E22" s="1325">
        <f>IF([1]T14Manip!C21="","",[1]T14Manip!C21)</f>
        <v>1</v>
      </c>
      <c r="F22" s="1325">
        <f>IF([1]T14Manip!D21="","",[1]T14Manip!D21)</f>
        <v>15.1</v>
      </c>
      <c r="G22" s="76"/>
      <c r="H22" s="1325">
        <f>IF([1]T14Manip!E21="","",[1]T14Manip!E21)</f>
        <v>7.8</v>
      </c>
      <c r="I22" s="76"/>
      <c r="J22" s="1325">
        <f>IF([1]T14Manip!F21="","",[1]T14Manip!F21)</f>
        <v>0.2</v>
      </c>
      <c r="K22" s="1325">
        <f>IF([1]T14Manip!G21="","",[1]T14Manip!G21)</f>
        <v>9.9</v>
      </c>
      <c r="L22" s="553"/>
      <c r="M22" s="915">
        <f>IF([1]T14Manip!H21="","",[1]T14Manip!H21)</f>
        <v>35.200000000000003</v>
      </c>
    </row>
    <row r="23" spans="2:13">
      <c r="B23" s="914">
        <v>1997</v>
      </c>
      <c r="C23" s="1325">
        <f>IF([1]T14Manip!B22="","",[1]T14Manip!B22)</f>
        <v>1.9</v>
      </c>
      <c r="D23" s="1326"/>
      <c r="E23" s="1325">
        <f>IF([1]T14Manip!C22="","",[1]T14Manip!C22)</f>
        <v>1.4</v>
      </c>
      <c r="F23" s="1325">
        <f>IF([1]T14Manip!D22="","",[1]T14Manip!D22)</f>
        <v>6</v>
      </c>
      <c r="G23" s="76"/>
      <c r="H23" s="1325">
        <f>IF([1]T14Manip!E22="","",[1]T14Manip!E22)</f>
        <v>17.5</v>
      </c>
      <c r="I23" s="76"/>
      <c r="J23" s="1325">
        <f>IF([1]T14Manip!F22="","",[1]T14Manip!F22)</f>
        <v>0.1</v>
      </c>
      <c r="K23" s="1325">
        <f>IF([1]T14Manip!G22="","",[1]T14Manip!G22)</f>
        <v>3.7</v>
      </c>
      <c r="L23" s="553"/>
      <c r="M23" s="915">
        <f>IF([1]T14Manip!H22="","",[1]T14Manip!H22)</f>
        <v>30.6</v>
      </c>
    </row>
    <row r="24" spans="2:13">
      <c r="B24" s="914">
        <v>1998</v>
      </c>
      <c r="C24" s="1325">
        <f>IF([1]T14Manip!B23="","",[1]T14Manip!B23)</f>
        <v>1.2</v>
      </c>
      <c r="D24" s="1326"/>
      <c r="E24" s="1325">
        <f>IF([1]T14Manip!C23="","",[1]T14Manip!C23)</f>
        <v>1.4</v>
      </c>
      <c r="F24" s="1325">
        <f>IF([1]T14Manip!D23="","",[1]T14Manip!D23)</f>
        <v>5</v>
      </c>
      <c r="G24" s="76"/>
      <c r="H24" s="1325">
        <f>IF([1]T14Manip!E23="","",[1]T14Manip!E23)</f>
        <v>15.3</v>
      </c>
      <c r="I24" s="76"/>
      <c r="J24" s="1325" t="str">
        <f>IF([1]T14Manip!F23="","",[1]T14Manip!F23)</f>
        <v/>
      </c>
      <c r="K24" s="1325">
        <f>IF([1]T14Manip!G23="","",[1]T14Manip!G23)</f>
        <v>5.4</v>
      </c>
      <c r="L24" s="553"/>
      <c r="M24" s="915">
        <f>IF([1]T14Manip!H23="","",[1]T14Manip!H23)</f>
        <v>28.3</v>
      </c>
    </row>
    <row r="25" spans="2:13">
      <c r="B25" s="914">
        <v>1999</v>
      </c>
      <c r="C25" s="1325">
        <f>IF([1]T14Manip!B24="","",[1]T14Manip!B24/1000)</f>
        <v>1.282</v>
      </c>
      <c r="D25" s="1326"/>
      <c r="E25" s="1325">
        <f>IF([1]T14Manip!C24="","",[1]T14Manip!C24/1000)</f>
        <v>1.5</v>
      </c>
      <c r="F25" s="1325">
        <f>IF([1]T14Manip!D24="","",[1]T14Manip!D24/1000)</f>
        <v>6.3</v>
      </c>
      <c r="G25" s="76"/>
      <c r="H25" s="1325">
        <f>IF([1]T14Manip!E24="","",[1]T14Manip!E24/1000)</f>
        <v>12.4</v>
      </c>
      <c r="I25" s="76"/>
      <c r="J25" s="1325" t="str">
        <f>IF([1]T14Manip!F24="","",[1]T14Manip!F24/1000)</f>
        <v/>
      </c>
      <c r="K25" s="1325">
        <f>IF([1]T14Manip!G24="","",[1]T14Manip!G24/1000)</f>
        <v>4.5999999999999996</v>
      </c>
      <c r="L25" s="553"/>
      <c r="M25" s="915">
        <f>IF([1]T14Manip!H24="","",[1]T14Manip!H24/1000)</f>
        <v>26.082000000000001</v>
      </c>
    </row>
    <row r="26" spans="2:13" ht="5.85" customHeight="1">
      <c r="B26" s="916"/>
      <c r="C26" s="1328"/>
      <c r="D26" s="1329"/>
      <c r="E26" s="1328"/>
      <c r="F26" s="1330"/>
      <c r="G26" s="1331"/>
      <c r="H26" s="1332"/>
      <c r="I26" s="1331"/>
      <c r="J26" s="1328"/>
      <c r="K26" s="1332"/>
      <c r="L26" s="1333"/>
      <c r="M26" s="918"/>
    </row>
    <row r="27" spans="2:13">
      <c r="B27" s="914">
        <v>2000</v>
      </c>
      <c r="C27" s="1325">
        <f>IF([1]T14Manip!B25="","",[1]T14Manip!B25/1000)</f>
        <v>1.619</v>
      </c>
      <c r="D27" s="1326"/>
      <c r="E27" s="1325">
        <f>IF([1]T14Manip!C25="","",[1]T14Manip!C25/1000)</f>
        <v>1.7</v>
      </c>
      <c r="F27" s="1325">
        <f>IF([1]T14Manip!D25="","",[1]T14Manip!D25/1000)</f>
        <v>14.805</v>
      </c>
      <c r="G27" s="76"/>
      <c r="H27" s="1325">
        <f>IF([1]T14Manip!E25="","",[1]T14Manip!E25/1000)</f>
        <v>13.1</v>
      </c>
      <c r="I27" s="76"/>
      <c r="J27" s="1325">
        <f>IF([1]T14Manip!F25="","",[1]T14Manip!F25/1000)</f>
        <v>0.4</v>
      </c>
      <c r="K27" s="1325">
        <f>IF([1]T14Manip!G25="","",[1]T14Manip!G25/1000)</f>
        <v>9.6</v>
      </c>
      <c r="L27" s="553"/>
      <c r="M27" s="915">
        <f>IF([1]T14Manip!H25="","",[1]T14Manip!H25/1000)</f>
        <v>41.223999999999997</v>
      </c>
    </row>
    <row r="28" spans="2:13">
      <c r="B28" s="914">
        <v>2001</v>
      </c>
      <c r="C28" s="1325">
        <f>IF([1]T14Manip!B26="","",[1]T14Manip!B26/1000)</f>
        <v>1.966</v>
      </c>
      <c r="D28" s="1326"/>
      <c r="E28" s="1325">
        <f>IF([1]T14Manip!C26="","",[1]T14Manip!C26/1000)</f>
        <v>3.1</v>
      </c>
      <c r="F28" s="1325">
        <f>IF([1]T14Manip!D26="","",[1]T14Manip!D26/1000)</f>
        <v>19.786999999999999</v>
      </c>
      <c r="G28" s="76"/>
      <c r="H28" s="1325">
        <f>IF([1]T14Manip!E26="","",[1]T14Manip!E26/1000)</f>
        <v>28.4</v>
      </c>
      <c r="I28" s="76"/>
      <c r="J28" s="1325">
        <f>IF([1]T14Manip!F26="","",[1]T14Manip!F26/1000)</f>
        <v>1.9</v>
      </c>
      <c r="K28" s="1325">
        <f>IF([1]T14Manip!G26="","",[1]T14Manip!G26/1000)</f>
        <v>16.399999999999999</v>
      </c>
      <c r="L28" s="553"/>
      <c r="M28" s="915">
        <f>IF([1]T14Manip!H26="","",[1]T14Manip!H26/1000)</f>
        <v>71.552999999999997</v>
      </c>
    </row>
    <row r="29" spans="2:13">
      <c r="B29" s="914">
        <v>2002</v>
      </c>
      <c r="C29" s="1325">
        <f>IF([1]T14Manip!B27="","",[1]T14Manip!B27/1000)</f>
        <v>4.4039999999999999</v>
      </c>
      <c r="D29" s="1326"/>
      <c r="E29" s="1325">
        <f>IF([1]T14Manip!C27="","",[1]T14Manip!C27/1000)</f>
        <v>6</v>
      </c>
      <c r="F29" s="1325">
        <f>IF([1]T14Manip!D27="","",[1]T14Manip!D27/1000)</f>
        <v>34.914999999999999</v>
      </c>
      <c r="G29" s="76"/>
      <c r="H29" s="1325">
        <f>IF([1]T14Manip!E27="","",[1]T14Manip!E27/1000)</f>
        <v>35.200000000000003</v>
      </c>
      <c r="I29" s="76"/>
      <c r="J29" s="1325">
        <f>IF([1]T14Manip!F27="","",[1]T14Manip!F27/1000)</f>
        <v>2.8</v>
      </c>
      <c r="K29" s="1325">
        <f>IF([1]T14Manip!G27="","",[1]T14Manip!G27/1000)</f>
        <v>33.799999999999997</v>
      </c>
      <c r="L29" s="553"/>
      <c r="M29" s="915">
        <f>IF([1]T14Manip!H27="","",[1]T14Manip!H27/1000)</f>
        <v>117.119</v>
      </c>
    </row>
    <row r="30" spans="2:13">
      <c r="B30" s="914">
        <v>2003</v>
      </c>
      <c r="C30" s="1325">
        <f>IF([1]T14Manip!B28="","",[1]T14Manip!B28/1000)</f>
        <v>2.6909999999999998</v>
      </c>
      <c r="D30" s="1326"/>
      <c r="E30" s="1325">
        <f>IF([1]T14Manip!C28="","",[1]T14Manip!C28/1000)</f>
        <v>2.7</v>
      </c>
      <c r="F30" s="1325">
        <f>IF([1]T14Manip!D28="","",[1]T14Manip!D28/1000)</f>
        <v>26.858000000000001</v>
      </c>
      <c r="G30" s="76"/>
      <c r="H30" s="1325">
        <f>IF([1]T14Manip!E28="","",[1]T14Manip!E28/1000)</f>
        <v>17.5</v>
      </c>
      <c r="I30" s="76"/>
      <c r="J30" s="1325">
        <f>IF([1]T14Manip!F28="","",[1]T14Manip!F28/1000)</f>
        <v>4.5</v>
      </c>
      <c r="K30" s="1325">
        <f>IF([1]T14Manip!G28="","",[1]T14Manip!G28/1000)</f>
        <v>23</v>
      </c>
      <c r="L30" s="553"/>
      <c r="M30" s="915">
        <f>IF([1]T14Manip!H28="","",[1]T14Manip!H28/1000)</f>
        <v>77.248999999999995</v>
      </c>
    </row>
    <row r="31" spans="2:13">
      <c r="B31" s="914">
        <v>2004</v>
      </c>
      <c r="C31" s="1325">
        <f>IF([1]T14Manip!B29="","",[1]T14Manip!B29/1000)</f>
        <v>2.9540000000000002</v>
      </c>
      <c r="D31" s="1326"/>
      <c r="E31" s="1325">
        <f>IF([1]T14Manip!C29="","",[1]T14Manip!C29/1000)</f>
        <v>5.6</v>
      </c>
      <c r="F31" s="1325">
        <f>IF([1]T14Manip!D29="","",[1]T14Manip!D29/1000)</f>
        <v>44.47</v>
      </c>
      <c r="G31" s="76"/>
      <c r="H31" s="1325">
        <f>IF([1]T14Manip!E29="","",[1]T14Manip!E29/1000)</f>
        <v>36.4</v>
      </c>
      <c r="I31" s="76"/>
      <c r="J31" s="1325">
        <f>IF([1]T14Manip!F29="","",[1]T14Manip!F29/1000)</f>
        <v>2.4</v>
      </c>
      <c r="K31" s="1325">
        <f>IF([1]T14Manip!G29="","",[1]T14Manip!G29/1000)</f>
        <v>23.1</v>
      </c>
      <c r="L31" s="553"/>
      <c r="M31" s="915">
        <f>IF([1]T14Manip!H29="","",[1]T14Manip!H29/1000)</f>
        <v>114.92400000000001</v>
      </c>
    </row>
    <row r="32" spans="2:13">
      <c r="B32" s="914">
        <v>2005</v>
      </c>
      <c r="C32" s="1325">
        <f>IF([1]T14Manip!B30="","",[1]T14Manip!B30/1000)</f>
        <v>2.0550000000000002</v>
      </c>
      <c r="D32" s="1326"/>
      <c r="E32" s="1325">
        <f>IF([1]T14Manip!C30="","",[1]T14Manip!C30/1000)</f>
        <v>2</v>
      </c>
      <c r="F32" s="1325">
        <f>IF([1]T14Manip!D30="","",[1]T14Manip!D30/1000)</f>
        <v>15.204000000000001</v>
      </c>
      <c r="G32" s="76"/>
      <c r="H32" s="1325">
        <f>IF([1]T14Manip!E30="","",[1]T14Manip!E30/1000)</f>
        <v>14.6</v>
      </c>
      <c r="I32" s="76"/>
      <c r="J32" s="1325">
        <f>IF([1]T14Manip!F30="","",[1]T14Manip!F30/1000)</f>
        <v>4.0999999999999996</v>
      </c>
      <c r="K32" s="1325">
        <f>IF([1]T14Manip!G30="","",[1]T14Manip!G30/1000)</f>
        <v>18.8</v>
      </c>
      <c r="L32" s="553"/>
      <c r="M32" s="915">
        <f>IF([1]T14Manip!H30="","",[1]T14Manip!H30/1000)</f>
        <v>56.759</v>
      </c>
    </row>
    <row r="33" spans="2:15">
      <c r="B33" s="914">
        <v>2006</v>
      </c>
      <c r="C33" s="1325">
        <f>IF([1]T14Manip!B31="","",[1]T14Manip!B31/1000)</f>
        <v>3.0209999999999999</v>
      </c>
      <c r="D33" s="1326"/>
      <c r="E33" s="1325">
        <f>IF([1]T14Manip!C31="","",[1]T14Manip!C31/1000)</f>
        <v>4.3</v>
      </c>
      <c r="F33" s="1325">
        <f>IF([1]T14Manip!D31="","",[1]T14Manip!D31/1000)</f>
        <v>29.384</v>
      </c>
      <c r="G33" s="76"/>
      <c r="H33" s="1325">
        <f>IF([1]T14Manip!E31="","",[1]T14Manip!E31/1000)</f>
        <v>17</v>
      </c>
      <c r="I33" s="76"/>
      <c r="J33" s="1325">
        <f>IF([1]T14Manip!F31="","",[1]T14Manip!F31/1000)</f>
        <v>1.3</v>
      </c>
      <c r="K33" s="1325">
        <f>IF([1]T14Manip!G31="","",[1]T14Manip!G31/1000)</f>
        <v>24.8</v>
      </c>
      <c r="L33" s="553"/>
      <c r="M33" s="915">
        <f>IF([1]T14Manip!H31="","",[1]T14Manip!H31/1000)</f>
        <v>79.805000000000007</v>
      </c>
      <c r="N33" s="1645"/>
      <c r="O33" s="1645"/>
    </row>
    <row r="34" spans="2:15">
      <c r="B34" s="914">
        <v>2007</v>
      </c>
      <c r="C34" s="1325">
        <f>IF([1]T14Manip!B32="","",[1]T14Manip!B32/1000)</f>
        <v>2.6949999999999998</v>
      </c>
      <c r="D34" s="1326"/>
      <c r="E34" s="1325">
        <f>IF([1]T14Manip!C32="","",[1]T14Manip!C32/1000)</f>
        <v>3.5</v>
      </c>
      <c r="F34" s="1325">
        <f>IF([1]T14Manip!D32="","",[1]T14Manip!D32/1000)</f>
        <v>12.406000000000001</v>
      </c>
      <c r="G34" s="76"/>
      <c r="H34" s="1325">
        <f>IF([1]T14Manip!E32="","",[1]T14Manip!E32/1000)</f>
        <v>13.1</v>
      </c>
      <c r="I34" s="76"/>
      <c r="J34" s="1325">
        <f>IF([1]T14Manip!F32="","",[1]T14Manip!F32/1000)</f>
        <v>1.2</v>
      </c>
      <c r="K34" s="1325">
        <f>IF([1]T14Manip!G32="","",[1]T14Manip!G32/1000)</f>
        <v>9.1999999999999993</v>
      </c>
      <c r="L34" s="553"/>
      <c r="M34" s="915">
        <f>IF([1]T14Manip!H32="","",[1]T14Manip!H32/1000)</f>
        <v>42.100999999999999</v>
      </c>
      <c r="N34" s="1645"/>
      <c r="O34" s="1645"/>
    </row>
    <row r="35" spans="2:15">
      <c r="B35" s="914">
        <v>2008</v>
      </c>
      <c r="C35" s="1325">
        <f>IF([1]T14Manip!B33="","",[1]T14Manip!B33/1000)</f>
        <v>2.0350000000000001</v>
      </c>
      <c r="D35" s="1326"/>
      <c r="E35" s="1325">
        <f>IF([1]T14Manip!C33="","",[1]T14Manip!C33/1000)</f>
        <v>5.14</v>
      </c>
      <c r="F35" s="1325">
        <f>IF([1]T14Manip!D33="","",[1]T14Manip!D33/1000)</f>
        <v>22.54</v>
      </c>
      <c r="G35" s="76"/>
      <c r="H35" s="1325">
        <f>IF([1]T14Manip!E33="","",[1]T14Manip!E33/1000)</f>
        <v>13.917</v>
      </c>
      <c r="I35" s="76"/>
      <c r="J35" s="1325">
        <f>IF([1]T14Manip!F33="","",[1]T14Manip!F33/1000)</f>
        <v>0.9</v>
      </c>
      <c r="K35" s="1325">
        <f>IF([1]T14Manip!G33="","",[1]T14Manip!G33/1000)</f>
        <v>20.6</v>
      </c>
      <c r="L35" s="553"/>
      <c r="M35" s="915">
        <f>IF([1]T14Manip!H33="","",[1]T14Manip!H33/1000)</f>
        <v>65.132000000000005</v>
      </c>
      <c r="N35" s="1645"/>
      <c r="O35" s="1645"/>
    </row>
    <row r="36" spans="2:15">
      <c r="B36" s="914">
        <v>2009</v>
      </c>
      <c r="C36" s="1325">
        <f>IF([1]T14Manip!B34="","",[1]T14Manip!B34/1000)</f>
        <v>1.381</v>
      </c>
      <c r="D36" s="1326"/>
      <c r="E36" s="1325">
        <f>IF([1]T14Manip!C34="","",[1]T14Manip!C34/1000)</f>
        <v>4.2910000000000004</v>
      </c>
      <c r="F36" s="1325">
        <f>IF([1]T14Manip!D34="","",[1]T14Manip!D34/1000)</f>
        <v>18.013000000000002</v>
      </c>
      <c r="G36" s="76"/>
      <c r="H36" s="1325">
        <f>IF([1]T14Manip!E34="","",[1]T14Manip!E34/1000)</f>
        <v>14.198</v>
      </c>
      <c r="I36" s="76"/>
      <c r="J36" s="1325">
        <f>IF([1]T14Manip!F34="","",[1]T14Manip!F34/1000)</f>
        <v>0.7</v>
      </c>
      <c r="K36" s="1325">
        <f>IF([1]T14Manip!G34="","",[1]T14Manip!G34/1000)</f>
        <v>19.100000000000001</v>
      </c>
      <c r="L36" s="1327"/>
      <c r="M36" s="915">
        <f>IF([1]T14Manip!H34="","",[1]T14Manip!H34/1000)</f>
        <v>57.683</v>
      </c>
      <c r="N36" s="1645"/>
      <c r="O36" s="1645"/>
    </row>
    <row r="37" spans="2:15" ht="5.85" customHeight="1">
      <c r="B37" s="916"/>
      <c r="C37" s="1325"/>
      <c r="D37" s="1326"/>
      <c r="E37" s="1325"/>
      <c r="F37" s="1334"/>
      <c r="G37" s="76"/>
      <c r="H37" s="1335"/>
      <c r="I37" s="76"/>
      <c r="J37" s="1325"/>
      <c r="K37" s="1335"/>
      <c r="L37" s="1327"/>
      <c r="M37" s="917"/>
      <c r="N37" s="1645"/>
      <c r="O37" s="1645"/>
    </row>
    <row r="38" spans="2:15">
      <c r="B38" s="914">
        <v>2010</v>
      </c>
      <c r="C38" s="1325">
        <f>IF([1]T14Manip!B35="","",[1]T14Manip!B35/1000)</f>
        <v>4.22</v>
      </c>
      <c r="D38" s="1326"/>
      <c r="E38" s="1325">
        <f>IF([1]T14Manip!C35="","",[1]T14Manip!C35/1000)</f>
        <v>3.6360000000000001</v>
      </c>
      <c r="F38" s="1325">
        <f>IF([1]T14Manip!D35="","",[1]T14Manip!D35/1000)</f>
        <v>23.45</v>
      </c>
      <c r="G38" s="76"/>
      <c r="H38" s="1325">
        <f>IF([1]T14Manip!E35="","",[1]T14Manip!E35/1000)</f>
        <v>23.98</v>
      </c>
      <c r="I38" s="76"/>
      <c r="J38" s="1325">
        <f>IF([1]T14Manip!F35="","",[1]T14Manip!F35/1000)</f>
        <v>1</v>
      </c>
      <c r="K38" s="1325">
        <f>IF([1]T14Manip!G35="","",[1]T14Manip!G35/1000)</f>
        <v>26.3</v>
      </c>
      <c r="L38" s="76"/>
      <c r="M38" s="915">
        <f>IF([1]T14Manip!H35="","",[1]T14Manip!H35/1000)</f>
        <v>82.585999999999999</v>
      </c>
      <c r="N38" s="1645"/>
      <c r="O38" s="1645"/>
    </row>
    <row r="39" spans="2:15">
      <c r="B39" s="914">
        <v>2011</v>
      </c>
      <c r="C39" s="1325">
        <f>IF([1]T14Manip!B36="","",[1]T14Manip!B36/1000)</f>
        <v>4.3710000000000004</v>
      </c>
      <c r="D39" s="1326"/>
      <c r="E39" s="1325">
        <f>IF([1]T14Manip!C36="","",[1]T14Manip!C36/1000)</f>
        <v>2.6539999999999999</v>
      </c>
      <c r="F39" s="1325">
        <f>IF([1]T14Manip!D36="","",[1]T14Manip!D36/1000)</f>
        <v>17.460999999999999</v>
      </c>
      <c r="G39" s="76"/>
      <c r="H39" s="1325">
        <f>IF([1]T14Manip!E36="","",[1]T14Manip!E36/1000)</f>
        <v>20.521999999999998</v>
      </c>
      <c r="I39" s="76"/>
      <c r="J39" s="1325">
        <f>IF([1]T14Manip!F36="","",[1]T14Manip!F36/1000)</f>
        <v>0.6</v>
      </c>
      <c r="K39" s="1325">
        <f>IF([1]T14Manip!G36="","",[1]T14Manip!G36/1000)</f>
        <v>17.100000000000001</v>
      </c>
      <c r="L39" s="76"/>
      <c r="M39" s="915">
        <f>IF([1]T14Manip!H36="","",[1]T14Manip!H36/1000)</f>
        <v>62.707999999999998</v>
      </c>
      <c r="N39" s="1645"/>
      <c r="O39" s="1645"/>
    </row>
    <row r="40" spans="2:15">
      <c r="B40" s="914">
        <v>2012</v>
      </c>
      <c r="C40" s="1325">
        <f>IF([1]T14Manip!B37="","",[1]T14Manip!B37/1000)</f>
        <v>4.0490000000000004</v>
      </c>
      <c r="D40" s="1326"/>
      <c r="E40" s="1325">
        <f>IF([1]T14Manip!C37="","",[1]T14Manip!C37/1000)</f>
        <v>4.8079999999999998</v>
      </c>
      <c r="F40" s="1325">
        <f>IF([1]T14Manip!D37="","",[1]T14Manip!D37/1000)</f>
        <v>17.21</v>
      </c>
      <c r="G40" s="76"/>
      <c r="H40" s="1325">
        <f>IF([1]T14Manip!E37="","",[1]T14Manip!E37/1000)</f>
        <v>24.071999999999999</v>
      </c>
      <c r="I40" s="76"/>
      <c r="J40" s="1325">
        <f>IF([1]T14Manip!F37="","",[1]T14Manip!F37/1000)</f>
        <v>1.2</v>
      </c>
      <c r="K40" s="1325">
        <f>IF([1]T14Manip!G37="","",[1]T14Manip!G37/1000)</f>
        <v>18.5</v>
      </c>
      <c r="L40" s="76"/>
      <c r="M40" s="915">
        <f>IF([1]T14Manip!H37="","",[1]T14Manip!H37/1000)</f>
        <v>69.838999999999999</v>
      </c>
      <c r="N40" s="1645"/>
      <c r="O40" s="1645"/>
    </row>
    <row r="41" spans="2:15">
      <c r="B41" s="914">
        <v>2013</v>
      </c>
      <c r="C41" s="1325">
        <f>IF([1]T14Manip!B38="","",[1]T14Manip!B38/1000)</f>
        <v>2.391</v>
      </c>
      <c r="D41" s="1326"/>
      <c r="E41" s="1325">
        <f>IF([1]T14Manip!C38="","",[1]T14Manip!C38/1000)</f>
        <v>3.13</v>
      </c>
      <c r="F41" s="1325">
        <f>IF([1]T14Manip!D38="","",[1]T14Manip!D38/1000)</f>
        <v>9.5739999999999998</v>
      </c>
      <c r="G41" s="76"/>
      <c r="H41" s="1325">
        <f>IF([1]T14Manip!E38="","",[1]T14Manip!E38/1000)</f>
        <v>13.621</v>
      </c>
      <c r="I41" s="76"/>
      <c r="J41" s="1325">
        <f>IF([1]T14Manip!F38="","",[1]T14Manip!F38/1000)</f>
        <v>1.6</v>
      </c>
      <c r="K41" s="1325">
        <f>IF([1]T14Manip!G38="","",[1]T14Manip!G38/1000)</f>
        <v>7</v>
      </c>
      <c r="L41" s="76"/>
      <c r="M41" s="915">
        <f>IF([1]T14Manip!H38="","",[1]T14Manip!H38/1000)</f>
        <v>37.316000000000003</v>
      </c>
      <c r="N41" s="1645"/>
      <c r="O41" s="1645"/>
    </row>
    <row r="42" spans="2:15">
      <c r="B42" s="914">
        <v>2014</v>
      </c>
      <c r="C42" s="1325">
        <f>IF([1]T14Manip!B39="","",[1]T14Manip!B39/1000)</f>
        <v>3.8159999999999998</v>
      </c>
      <c r="D42" s="1326"/>
      <c r="E42" s="1325">
        <f>IF([1]T14Manip!C39="","",[1]T14Manip!C39/1000)</f>
        <v>4.0270000000000001</v>
      </c>
      <c r="F42" s="1325">
        <f>IF([1]T14Manip!D39="","",[1]T14Manip!D39/1000)</f>
        <v>25.138999999999999</v>
      </c>
      <c r="G42" s="76"/>
      <c r="H42" s="1325">
        <f>IF([1]T14Manip!E39="","",[1]T14Manip!E39/1000)</f>
        <v>21.997</v>
      </c>
      <c r="I42" s="76"/>
      <c r="J42" s="1325">
        <f>IF([1]T14Manip!F39="","",[1]T14Manip!F39/1000)</f>
        <v>1.53</v>
      </c>
      <c r="K42" s="1325">
        <f>IF([1]T14Manip!G39="","",[1]T14Manip!G39/1000)</f>
        <v>24</v>
      </c>
      <c r="L42" s="76"/>
      <c r="M42" s="915">
        <f>IF([1]T14Manip!H39="","",[1]T14Manip!H39/1000)</f>
        <v>80.509</v>
      </c>
      <c r="N42" s="1645"/>
      <c r="O42" s="1645"/>
    </row>
    <row r="43" spans="2:15">
      <c r="B43" s="914">
        <v>2015</v>
      </c>
      <c r="C43" s="1325">
        <f>IF([1]T14Manip!B40="","",[1]T14Manip!B40/1000)</f>
        <v>1.708</v>
      </c>
      <c r="D43" s="1326"/>
      <c r="E43" s="1325">
        <f>IF([1]T14Manip!C40="","",[1]T14Manip!C40/1000)</f>
        <v>2.2890000000000001</v>
      </c>
      <c r="F43" s="1325">
        <f>IF([1]T14Manip!D40="","",[1]T14Manip!D40/1000)</f>
        <v>36.325000000000003</v>
      </c>
      <c r="G43" s="76"/>
      <c r="H43" s="1325">
        <f>IF([1]T14Manip!E40="","",[1]T14Manip!E40/1000)</f>
        <v>4.327</v>
      </c>
      <c r="I43" s="76"/>
      <c r="J43" s="1325">
        <f>IF([1]T14Manip!F40="","",[1]T14Manip!F40/1000)</f>
        <v>0.63600000000000001</v>
      </c>
      <c r="K43" s="1325">
        <f>IF([1]T14Manip!G40="","",[1]T14Manip!G40/1000)</f>
        <v>21.3</v>
      </c>
      <c r="L43" s="76"/>
      <c r="M43" s="915">
        <f>IF([1]T14Manip!H40="","",[1]T14Manip!H40/1000)</f>
        <v>66.584999999999994</v>
      </c>
      <c r="N43" s="1645"/>
      <c r="O43" s="1645"/>
    </row>
    <row r="44" spans="2:15">
      <c r="B44" s="914">
        <v>2016</v>
      </c>
      <c r="C44" s="1325">
        <f>IF([1]T14Manip!B41="","",[1]T14Manip!B41/1000)</f>
        <v>3.3319999999999999</v>
      </c>
      <c r="D44" s="1326"/>
      <c r="E44" s="1325">
        <f>IF([1]T14Manip!C41="","",[1]T14Manip!C41/1000)</f>
        <v>6.0090000000000003</v>
      </c>
      <c r="F44" s="1325">
        <f>IF([1]T14Manip!D41="","",[1]T14Manip!D41/1000)</f>
        <v>28.826000000000001</v>
      </c>
      <c r="G44" s="76"/>
      <c r="H44" s="1325">
        <f>IF([1]T14Manip!E41="","",[1]T14Manip!E41/1000)</f>
        <v>24.225999999999999</v>
      </c>
      <c r="I44" s="76"/>
      <c r="J44" s="1325">
        <f>IF([1]T14Manip!F41="","",[1]T14Manip!F41/1000)</f>
        <v>1.1870000000000001</v>
      </c>
      <c r="K44" s="1325">
        <f>IF([1]T14Manip!G41="","",[1]T14Manip!G41/1000)</f>
        <v>24.6</v>
      </c>
      <c r="L44" s="76"/>
      <c r="M44" s="915">
        <f>IF([1]T14Manip!H41="","",[1]T14Manip!H41/1000)</f>
        <v>88.18</v>
      </c>
      <c r="N44" s="1645"/>
      <c r="O44" s="1645"/>
    </row>
    <row r="45" spans="2:15">
      <c r="B45" s="914">
        <v>2017</v>
      </c>
      <c r="C45" s="1325">
        <f>IF([1]T14Manip!B42="","",[1]T14Manip!B42/1000)</f>
        <v>0.40100000000000002</v>
      </c>
      <c r="D45" s="1325"/>
      <c r="E45" s="1325">
        <f>IF([1]T14Manip!C42="","",[1]T14Manip!C42/1000)</f>
        <v>1.47</v>
      </c>
      <c r="F45" s="1325">
        <f>IF([1]T14Manip!D42="","",[1]T14Manip!D42/1000)</f>
        <v>7.0179999999999998</v>
      </c>
      <c r="G45" s="1325"/>
      <c r="H45" s="1325">
        <f>IF([1]T14Manip!E42="","",[1]T14Manip!E42/1000)</f>
        <v>2.552</v>
      </c>
      <c r="I45" s="1325"/>
      <c r="J45" s="1325">
        <f>IF([1]T14Manip!F42="","",[1]T14Manip!F42/1000)</f>
        <v>0.40600000000000003</v>
      </c>
      <c r="K45" s="1325">
        <f>IF([1]T14Manip!G42="","",[1]T14Manip!G42/1000)</f>
        <v>5.03</v>
      </c>
      <c r="L45" s="1325"/>
      <c r="M45" s="915">
        <f>IF([1]T14Manip!H42="","",[1]T14Manip!H42/1000)</f>
        <v>16.876999999999999</v>
      </c>
      <c r="N45" s="1645"/>
      <c r="O45" s="1645"/>
    </row>
    <row r="46" spans="2:15">
      <c r="B46" s="914">
        <v>2018</v>
      </c>
      <c r="C46" s="1325">
        <f>IF([1]T14Manip!B43="","",[1]T14Manip!B43/1000)</f>
        <v>2.387</v>
      </c>
      <c r="D46" s="1325"/>
      <c r="E46" s="1325">
        <f>IF([1]T14Manip!C43="","",[1]T14Manip!C43/1000)</f>
        <v>2.5659999999999998</v>
      </c>
      <c r="F46" s="1325">
        <f>IF([1]T14Manip!D43="","",[1]T14Manip!D43/1000)</f>
        <v>9.3239999999999998</v>
      </c>
      <c r="G46" s="1325"/>
      <c r="H46" s="1325">
        <f>IF([1]T14Manip!E43="","",[1]T14Manip!E43/1000)</f>
        <v>10.284000000000001</v>
      </c>
      <c r="I46" s="1325"/>
      <c r="J46" s="1325">
        <f>IF([1]T14Manip!F43="","",[1]T14Manip!F43/1000)</f>
        <v>0.55300000000000005</v>
      </c>
      <c r="K46" s="1325">
        <f>IF([1]T14Manip!G43="","",[1]T14Manip!G43/1000)</f>
        <v>7.1070000000000002</v>
      </c>
      <c r="L46" s="1325"/>
      <c r="M46" s="915">
        <f>IF([1]T14Manip!H43="","",[1]T14Manip!H43/1000)</f>
        <v>32.220999999999997</v>
      </c>
      <c r="N46" s="1645"/>
      <c r="O46" s="1645"/>
    </row>
    <row r="47" spans="2:15" ht="13.5" customHeight="1">
      <c r="B47" s="914">
        <v>2019</v>
      </c>
      <c r="C47" s="1325">
        <f>IF([1]T14Manip!B44="","",[1]T14Manip!B44/1000)</f>
        <v>1.4239999999999999</v>
      </c>
      <c r="D47" s="1325"/>
      <c r="E47" s="1325">
        <f>IF([1]T14Manip!C44="","",[1]T14Manip!C44/1000)</f>
        <v>1.1010135147695796</v>
      </c>
      <c r="F47" s="1325">
        <f>IF([1]T14Manip!D44="","",[1]T14Manip!D44/1000)</f>
        <v>5.9640000000000004</v>
      </c>
      <c r="G47" s="1325"/>
      <c r="H47" s="1325">
        <f>IF([1]T14Manip!E44="","",[1]T14Manip!E44/1000)</f>
        <v>5.1760000000000002</v>
      </c>
      <c r="I47" s="1325"/>
      <c r="J47" s="1325">
        <f>IF([1]T14Manip!F44="","",[1]T14Manip!F44/1000)</f>
        <v>0.23300000000000001</v>
      </c>
      <c r="K47" s="1325">
        <f>IF([1]T14Manip!G44="","",[1]T14Manip!G44/1000)</f>
        <v>4.0270000000000001</v>
      </c>
      <c r="L47" s="1325"/>
      <c r="M47" s="915">
        <f>IF([1]T14Manip!H44="","",[1]T14Manip!H44/1000)</f>
        <v>17.925013514769581</v>
      </c>
      <c r="N47" s="1645"/>
      <c r="O47" s="84"/>
    </row>
    <row r="48" spans="2:15" ht="4.5" customHeight="1">
      <c r="B48" s="914"/>
      <c r="C48" s="1325"/>
      <c r="D48" s="1325"/>
      <c r="E48" s="1325"/>
      <c r="F48" s="1325"/>
      <c r="G48" s="1325"/>
      <c r="H48" s="1325"/>
      <c r="I48" s="1325"/>
      <c r="J48" s="1325"/>
      <c r="K48" s="1325"/>
      <c r="L48" s="1325"/>
      <c r="M48" s="915"/>
      <c r="N48" s="1645"/>
      <c r="O48" s="84"/>
    </row>
    <row r="49" spans="2:15" ht="14.25" customHeight="1">
      <c r="B49" s="914">
        <v>2020</v>
      </c>
      <c r="C49" s="1325">
        <f>IF([1]T14Manip!B45="","",[1]T14Manip!B45/1000)</f>
        <v>1.5049999999999999</v>
      </c>
      <c r="D49" s="1325"/>
      <c r="E49" s="1325">
        <f>IF([1]T14Manip!C45="","",[1]T14Manip!C45/1000)</f>
        <v>1.1909397567217543</v>
      </c>
      <c r="F49" s="1325">
        <f>IF([1]T14Manip!D45="","",[1]T14Manip!D45/1000)</f>
        <v>10.117000000000001</v>
      </c>
      <c r="G49" s="1325"/>
      <c r="H49" s="1325">
        <f>IF([1]T14Manip!E45="","",[1]T14Manip!E45/1000)</f>
        <v>3.149</v>
      </c>
      <c r="I49" s="1325"/>
      <c r="J49" s="1325">
        <f>IF([1]T14Manip!F45="","",[1]T14Manip!F45/1000)</f>
        <v>0.55500000000000005</v>
      </c>
      <c r="K49" s="1325">
        <f>IF([1]T14Manip!G45="","",[1]T14Manip!G45/1000)</f>
        <v>6.5380000000000003</v>
      </c>
      <c r="L49" s="1325"/>
      <c r="M49" s="915">
        <f>IF([1]T14Manip!H45="","",[1]T14Manip!H45/1000)</f>
        <v>23.054939756721755</v>
      </c>
      <c r="N49" s="1645"/>
      <c r="O49" s="84"/>
    </row>
    <row r="50" spans="2:15" ht="13.5" customHeight="1">
      <c r="B50" s="914">
        <v>2021</v>
      </c>
      <c r="C50" s="1325">
        <f>IF([1]T14Manip!B46="","",[1]T14Manip!B46/1000)</f>
        <v>0.57999999999999996</v>
      </c>
      <c r="D50" s="1325"/>
      <c r="E50" s="1325">
        <f>IF([1]T14Manip!C46="","",[1]T14Manip!C46/1000)</f>
        <v>0.56257127011569041</v>
      </c>
      <c r="F50" s="1325">
        <f>IF([1]T14Manip!D46="","",[1]T14Manip!D46/1000)</f>
        <v>5.7389999999999999</v>
      </c>
      <c r="G50" s="1325"/>
      <c r="H50" s="1325">
        <f>IF([1]T14Manip!E46="","",[1]T14Manip!E46/1000)</f>
        <v>1.7709999999999999</v>
      </c>
      <c r="I50" s="1325"/>
      <c r="J50" s="1325">
        <f>IF([1]T14Manip!F46="","",[1]T14Manip!F46/1000)</f>
        <v>0.56000000000000005</v>
      </c>
      <c r="K50" s="1325">
        <f>IF([1]T14Manip!G46="","",[1]T14Manip!G46/1000)</f>
        <v>2.6379999999999999</v>
      </c>
      <c r="L50" s="1325"/>
      <c r="M50" s="915">
        <f>IF([1]T14Manip!H46="","",[1]T14Manip!H46/1000)</f>
        <v>11.85057127011569</v>
      </c>
      <c r="N50" s="1645"/>
      <c r="O50" s="84"/>
    </row>
    <row r="51" spans="2:15" ht="13.5" customHeight="1">
      <c r="B51" s="914">
        <v>2022</v>
      </c>
      <c r="C51" s="1325">
        <f>IF([1]T14Manip!B47="","",[1]T14Manip!B47/1000)</f>
        <v>1.5660000000000001</v>
      </c>
      <c r="D51" s="1325"/>
      <c r="E51" s="1325">
        <f>IF([1]T14Manip!C47="","",[1]T14Manip!C47/1000)</f>
        <v>1.5852161433643783</v>
      </c>
      <c r="F51" s="1325">
        <f>IF([1]T14Manip!D47="","",[1]T14Manip!D47/1000)</f>
        <v>13.54</v>
      </c>
      <c r="G51" s="1325"/>
      <c r="H51" s="1325">
        <f>IF([1]T14Manip!E47="","",[1]T14Manip!E47/1000)</f>
        <v>6.09</v>
      </c>
      <c r="I51" s="1325"/>
      <c r="J51" s="1325">
        <f>IF([1]T14Manip!F47="","",[1]T14Manip!F47/1000)</f>
        <v>0.56000000000000005</v>
      </c>
      <c r="K51" s="1325">
        <f>IF([1]T14Manip!G47="","",[1]T14Manip!G47/1000)</f>
        <v>7.42</v>
      </c>
      <c r="L51" s="1325"/>
      <c r="M51" s="915">
        <f>IF([1]T14Manip!H47="","",[1]T14Manip!H47/1000)</f>
        <v>30.761216143364379</v>
      </c>
      <c r="N51" s="1645"/>
      <c r="O51" s="84"/>
    </row>
    <row r="52" spans="2:15" ht="13.5" customHeight="1">
      <c r="B52" s="914">
        <v>2023</v>
      </c>
      <c r="C52" s="1325">
        <f>IF([1]T14Manip!B48="","",[1]T14Manip!B48/1000)</f>
        <v>0.65300000000000002</v>
      </c>
      <c r="D52" s="1325"/>
      <c r="E52" s="1325">
        <f>IF([1]T14Manip!C48="","",[1]T14Manip!C48/1000)</f>
        <v>1.0627923273784072</v>
      </c>
      <c r="F52" s="1325">
        <f>IF([1]T14Manip!D48="","",[1]T14Manip!D48/1000)</f>
        <v>9.8989999999999991</v>
      </c>
      <c r="G52" s="1325"/>
      <c r="H52" s="1325">
        <f>IF([1]T14Manip!E48="","",[1]T14Manip!E48/1000)</f>
        <v>1.274</v>
      </c>
      <c r="I52" s="1325"/>
      <c r="J52" s="1325">
        <f>IF([1]T14Manip!F48="","",[1]T14Manip!F48/1000)</f>
        <v>0.56000000000000005</v>
      </c>
      <c r="K52" s="1325">
        <f>IF([1]T14Manip!G48="","",[1]T14Manip!G48/1000)</f>
        <v>7.9960000000000004</v>
      </c>
      <c r="L52" s="1325"/>
      <c r="M52" s="915">
        <f>IF([1]T14Manip!H48="","",[1]T14Manip!H48/1000)</f>
        <v>21.444792327378408</v>
      </c>
      <c r="N52" s="1645"/>
      <c r="O52" s="84"/>
    </row>
    <row r="53" spans="2:15" ht="12.6" customHeight="1">
      <c r="B53" s="914">
        <v>2024</v>
      </c>
      <c r="C53" s="1562">
        <f>IF([1]T14Manip!B49="","",[1]T14Manip!B49/1000)</f>
        <v>3.9889999999999999</v>
      </c>
      <c r="D53" s="1562"/>
      <c r="E53" s="1562">
        <f>IF([1]T14Manip!C49="","",[1]T14Manip!C49/1000)</f>
        <v>3.9075841528327722</v>
      </c>
      <c r="F53" s="1562">
        <f>IF([1]T14Manip!D49="","",[1]T14Manip!D49/1000)</f>
        <v>14.564</v>
      </c>
      <c r="G53" s="1562"/>
      <c r="H53" s="1562">
        <f>IF([1]T14Manip!E49="","",[1]T14Manip!E49/1000)</f>
        <v>19.012</v>
      </c>
      <c r="I53" s="1562"/>
      <c r="J53" s="1562">
        <f>IF([1]T14Manip!F49="","",[1]T14Manip!F49/1000)</f>
        <v>0.56000000000000005</v>
      </c>
      <c r="K53" s="1562">
        <f>IF([1]T14Manip!G49="","",[1]T14Manip!G49/1000)</f>
        <v>14.981999999999999</v>
      </c>
      <c r="L53" s="1562"/>
      <c r="M53" s="915">
        <f>IF([1]T14Manip!H49="","",[1]T14Manip!H49/1000)</f>
        <v>57.014584152832775</v>
      </c>
      <c r="N53" s="1645"/>
      <c r="O53" s="1645"/>
    </row>
    <row r="54" spans="2:15" ht="12.75" customHeight="1">
      <c r="B54" s="1411">
        <v>2025</v>
      </c>
      <c r="C54" s="1412">
        <f>IF([1]T14Manip!B50="","",[1]T14Manip!B50/1000)</f>
        <v>0.872</v>
      </c>
      <c r="D54" s="1412"/>
      <c r="E54" s="1412">
        <f>IF([1]T14Manip!C50="","",[1]T14Manip!C50/1000)</f>
        <v>1.6818336276715062</v>
      </c>
      <c r="F54" s="1412">
        <f>IF([1]T14Manip!D50="","",[1]T14Manip!D50/1000)</f>
        <v>10.771799999999999</v>
      </c>
      <c r="G54" s="1412"/>
      <c r="H54" s="1412">
        <f>IF([1]T14Manip!E50="","",[1]T14Manip!E50/1000)</f>
        <v>5.4870000000000001</v>
      </c>
      <c r="I54" s="1412"/>
      <c r="J54" s="1412">
        <f>IF([1]T14Manip!F50="","",[1]T14Manip!F50/1000)</f>
        <v>0.56000000000000005</v>
      </c>
      <c r="K54" s="1412">
        <f>IF([1]T14Manip!G50="","",[1]T14Manip!G50/1000)</f>
        <v>9.67</v>
      </c>
      <c r="L54" s="1412"/>
      <c r="M54" s="1413">
        <f>IF([1]T14Manip!H50="","",[1]T14Manip!H50/1000)</f>
        <v>29.042633627671506</v>
      </c>
      <c r="N54" s="1645"/>
      <c r="O54" s="1645"/>
    </row>
    <row r="55" spans="2:15" ht="19.350000000000001" customHeight="1">
      <c r="B55" s="1757" t="s">
        <v>724</v>
      </c>
      <c r="C55" s="1757"/>
      <c r="D55" s="1757"/>
      <c r="E55" s="1757"/>
      <c r="F55" s="1757"/>
      <c r="G55" s="1757"/>
      <c r="H55" s="1757"/>
      <c r="I55" s="1757"/>
      <c r="J55" s="1757"/>
      <c r="K55" s="1757"/>
      <c r="L55" s="1757"/>
      <c r="M55" s="1757"/>
      <c r="N55" s="1645"/>
      <c r="O55" s="1645"/>
    </row>
    <row r="56" spans="2:15" ht="33" customHeight="1">
      <c r="B56" s="1757" t="s">
        <v>725</v>
      </c>
      <c r="C56" s="1757"/>
      <c r="D56" s="1757"/>
      <c r="E56" s="1757"/>
      <c r="F56" s="1757"/>
      <c r="G56" s="1757"/>
      <c r="H56" s="1757"/>
      <c r="I56" s="1757"/>
      <c r="J56" s="1757"/>
      <c r="K56" s="1757"/>
      <c r="L56" s="1757"/>
      <c r="M56" s="1757"/>
      <c r="N56" s="1645"/>
      <c r="O56" s="1645"/>
    </row>
    <row r="57" spans="2:15" ht="35.450000000000003" customHeight="1">
      <c r="B57" s="1757" t="s">
        <v>726</v>
      </c>
      <c r="C57" s="1757"/>
      <c r="D57" s="1757"/>
      <c r="E57" s="1757"/>
      <c r="F57" s="1757"/>
      <c r="G57" s="1757"/>
      <c r="H57" s="1757"/>
      <c r="I57" s="1757"/>
      <c r="J57" s="1757"/>
      <c r="K57" s="1757"/>
      <c r="L57" s="1757"/>
      <c r="M57" s="1757"/>
      <c r="N57" s="1645"/>
      <c r="O57" s="1645"/>
    </row>
    <row r="58" spans="2:15" ht="34.5" customHeight="1">
      <c r="B58" s="1757" t="s">
        <v>727</v>
      </c>
      <c r="C58" s="1757"/>
      <c r="D58" s="1757"/>
      <c r="E58" s="1757"/>
      <c r="F58" s="1757"/>
      <c r="G58" s="1757"/>
      <c r="H58" s="1757"/>
      <c r="I58" s="1757"/>
      <c r="J58" s="1757"/>
      <c r="K58" s="1757"/>
      <c r="L58" s="1757"/>
      <c r="M58" s="1757"/>
      <c r="N58" s="1645"/>
      <c r="O58" s="1645"/>
    </row>
    <row r="59" spans="2:15" ht="15.75">
      <c r="B59" s="84" t="s">
        <v>87</v>
      </c>
      <c r="C59" s="1645"/>
      <c r="D59" s="1645"/>
      <c r="E59" s="1645"/>
      <c r="F59" s="1645"/>
      <c r="G59" s="1645"/>
      <c r="H59" s="1645"/>
      <c r="I59" s="1645"/>
      <c r="J59" s="1645"/>
      <c r="K59" s="1645"/>
      <c r="L59" s="1645"/>
      <c r="M59" s="1645"/>
      <c r="N59" s="1645"/>
      <c r="O59" s="1645"/>
    </row>
  </sheetData>
  <mergeCells count="11">
    <mergeCell ref="B58:M58"/>
    <mergeCell ref="B57:M57"/>
    <mergeCell ref="B56:M56"/>
    <mergeCell ref="B4:B7"/>
    <mergeCell ref="C4:C7"/>
    <mergeCell ref="E5:K5"/>
    <mergeCell ref="E6:F6"/>
    <mergeCell ref="H6:H7"/>
    <mergeCell ref="J6:K6"/>
    <mergeCell ref="M6:M7"/>
    <mergeCell ref="B55:M55"/>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288CB-BB8A-4087-AA78-5D82ECD1631C}">
  <sheetPr>
    <tabColor rgb="FF66FF33"/>
  </sheetPr>
  <dimension ref="A1:AC85"/>
  <sheetViews>
    <sheetView zoomScaleNormal="100" workbookViewId="0">
      <pane ySplit="6" topLeftCell="A46" activePane="bottomLeft" state="frozen"/>
      <selection pane="bottomLeft" activeCell="H23" sqref="H23"/>
      <selection activeCell="J33" sqref="J33"/>
    </sheetView>
  </sheetViews>
  <sheetFormatPr defaultColWidth="9.33203125" defaultRowHeight="12.75"/>
  <cols>
    <col min="1" max="1" width="16" style="74" customWidth="1"/>
    <col min="2" max="9" width="10.83203125" style="74" customWidth="1"/>
    <col min="10" max="10" width="16.1640625" style="74" customWidth="1"/>
    <col min="11" max="13" width="10.83203125" style="74" customWidth="1"/>
    <col min="14" max="14" width="14.33203125" style="74" customWidth="1"/>
    <col min="15" max="15" width="12.6640625" style="74" customWidth="1"/>
    <col min="16" max="23" width="10.83203125" style="74" customWidth="1"/>
    <col min="24" max="16384" width="9.33203125" style="74"/>
  </cols>
  <sheetData>
    <row r="1" spans="1:29" ht="14.25" customHeight="1">
      <c r="A1" s="2085" t="s">
        <v>728</v>
      </c>
      <c r="B1" s="2085"/>
      <c r="C1" s="2085"/>
      <c r="D1" s="2085"/>
      <c r="E1" s="2085"/>
      <c r="F1" s="2085"/>
      <c r="G1" s="2085"/>
      <c r="H1" s="2085"/>
      <c r="I1" s="2085"/>
      <c r="J1" s="2085"/>
      <c r="K1" s="2085"/>
      <c r="L1" s="1675"/>
      <c r="M1" s="1675"/>
      <c r="N1" s="1675"/>
      <c r="O1" s="1675"/>
      <c r="P1" s="1675"/>
      <c r="Q1" s="1675"/>
      <c r="R1" s="1675"/>
      <c r="S1" s="1675"/>
      <c r="T1" s="1675"/>
      <c r="U1" s="1675"/>
      <c r="V1" s="1675"/>
      <c r="W1" s="1675"/>
      <c r="X1" s="1675"/>
      <c r="Y1" s="1675"/>
      <c r="Z1" s="1675"/>
      <c r="AA1" s="1675"/>
      <c r="AB1" s="1675"/>
      <c r="AC1" s="1675"/>
    </row>
    <row r="2" spans="1:29">
      <c r="A2" s="815" t="s">
        <v>729</v>
      </c>
      <c r="B2" s="1675"/>
      <c r="C2" s="1675"/>
      <c r="D2" s="1675"/>
      <c r="E2" s="1675"/>
      <c r="F2" s="1675"/>
      <c r="G2" s="1675"/>
      <c r="H2" s="1675"/>
      <c r="I2" s="1675"/>
      <c r="J2" s="1675"/>
      <c r="K2" s="1675"/>
      <c r="L2" s="1675"/>
      <c r="M2" s="1675"/>
      <c r="N2" s="542" t="s">
        <v>730</v>
      </c>
      <c r="O2" s="542"/>
      <c r="P2" s="542"/>
      <c r="Q2" s="542"/>
      <c r="R2" s="542"/>
      <c r="S2" s="542"/>
      <c r="T2" s="542"/>
      <c r="U2" s="542"/>
      <c r="V2" s="1675"/>
      <c r="W2" s="1675"/>
      <c r="X2" s="1675"/>
      <c r="Y2" s="1675"/>
      <c r="Z2" s="1675"/>
      <c r="AA2" s="1675"/>
      <c r="AB2" s="1675"/>
      <c r="AC2" s="1675"/>
    </row>
    <row r="3" spans="1:29">
      <c r="A3" s="815" t="s">
        <v>731</v>
      </c>
      <c r="B3" s="1675"/>
      <c r="C3" s="1675"/>
      <c r="D3" s="1675"/>
      <c r="E3" s="1675"/>
      <c r="F3" s="2085" t="s">
        <v>732</v>
      </c>
      <c r="G3" s="2085"/>
      <c r="H3" s="2085"/>
      <c r="I3" s="2085"/>
      <c r="J3" s="1675"/>
      <c r="K3" s="1675"/>
      <c r="L3" s="1675"/>
      <c r="M3" s="1675"/>
      <c r="N3" s="542" t="s">
        <v>733</v>
      </c>
      <c r="O3" s="542"/>
      <c r="P3" s="542"/>
      <c r="Q3" s="542"/>
      <c r="R3" s="542"/>
      <c r="S3" s="542"/>
      <c r="T3" s="542"/>
      <c r="U3" s="542"/>
      <c r="V3" s="542"/>
      <c r="W3" s="542"/>
      <c r="X3" s="1675"/>
      <c r="Y3" s="1675"/>
      <c r="Z3" s="1675"/>
      <c r="AA3" s="1675"/>
      <c r="AB3" s="1675"/>
      <c r="AC3" s="1675"/>
    </row>
    <row r="4" spans="1:29" ht="14.25" customHeight="1">
      <c r="A4" s="1675"/>
      <c r="B4" s="1675" t="s">
        <v>734</v>
      </c>
      <c r="C4" s="1675" t="s">
        <v>735</v>
      </c>
      <c r="D4" s="1675" t="s">
        <v>736</v>
      </c>
      <c r="E4" s="1675"/>
      <c r="F4" s="1675" t="s">
        <v>737</v>
      </c>
      <c r="G4" s="1675" t="s">
        <v>735</v>
      </c>
      <c r="H4" s="1675"/>
      <c r="I4" s="1675" t="s">
        <v>116</v>
      </c>
      <c r="J4" s="1675"/>
      <c r="K4" s="1675"/>
      <c r="L4" s="1675"/>
      <c r="M4" s="1675"/>
      <c r="N4" s="769" t="s">
        <v>738</v>
      </c>
      <c r="O4" s="1675"/>
      <c r="P4" s="1675"/>
      <c r="Q4" s="1675"/>
      <c r="R4" s="1675"/>
      <c r="S4" s="1675"/>
      <c r="T4" s="1675"/>
      <c r="U4" s="1675"/>
      <c r="V4" s="1675"/>
      <c r="W4" s="1675"/>
      <c r="X4" s="1675"/>
      <c r="Y4" s="1675"/>
      <c r="Z4" s="1675"/>
      <c r="AA4" s="1675"/>
      <c r="AB4" s="1675"/>
      <c r="AC4" s="1675"/>
    </row>
    <row r="5" spans="1:29">
      <c r="A5" s="1675"/>
      <c r="B5" s="1675" t="s">
        <v>739</v>
      </c>
      <c r="C5" s="1675" t="s">
        <v>179</v>
      </c>
      <c r="D5" s="1675" t="s">
        <v>320</v>
      </c>
      <c r="E5" s="1675" t="s">
        <v>286</v>
      </c>
      <c r="F5" s="1675" t="s">
        <v>740</v>
      </c>
      <c r="G5" s="1675" t="s">
        <v>179</v>
      </c>
      <c r="H5" s="1675" t="s">
        <v>179</v>
      </c>
      <c r="I5" s="1675" t="s">
        <v>741</v>
      </c>
      <c r="J5" s="1675" t="s">
        <v>742</v>
      </c>
      <c r="K5" s="1675"/>
      <c r="L5" s="1675"/>
      <c r="M5" s="1675"/>
      <c r="N5" s="1664" t="s">
        <v>743</v>
      </c>
      <c r="O5" s="1851" t="s">
        <v>744</v>
      </c>
      <c r="P5" s="1851"/>
      <c r="Q5" s="1851"/>
      <c r="R5" s="1675"/>
      <c r="S5" s="1675"/>
      <c r="T5" s="1675" t="s">
        <v>745</v>
      </c>
      <c r="U5" s="1675"/>
      <c r="V5" s="1675"/>
      <c r="W5" s="1675"/>
      <c r="X5" s="1675"/>
      <c r="Y5" s="1675"/>
      <c r="Z5" s="1675"/>
      <c r="AA5" s="1675"/>
      <c r="AB5" s="1675"/>
      <c r="AC5" s="1675"/>
    </row>
    <row r="6" spans="1:29" ht="16.5" customHeight="1">
      <c r="A6" s="1675" t="s">
        <v>28</v>
      </c>
      <c r="B6" s="1675" t="s">
        <v>746</v>
      </c>
      <c r="C6" s="1675" t="s">
        <v>747</v>
      </c>
      <c r="D6" s="1675" t="s">
        <v>329</v>
      </c>
      <c r="E6" s="1675" t="s">
        <v>748</v>
      </c>
      <c r="F6" s="1675" t="s">
        <v>749</v>
      </c>
      <c r="G6" s="1675" t="s">
        <v>747</v>
      </c>
      <c r="H6" s="1675" t="s">
        <v>748</v>
      </c>
      <c r="I6" s="1675" t="s">
        <v>750</v>
      </c>
      <c r="J6" s="1675" t="s">
        <v>751</v>
      </c>
      <c r="K6" s="1675" t="s">
        <v>752</v>
      </c>
      <c r="L6" s="1675"/>
      <c r="M6" s="1675" t="s">
        <v>753</v>
      </c>
      <c r="N6" s="1664" t="s">
        <v>754</v>
      </c>
      <c r="O6" s="1675" t="s">
        <v>755</v>
      </c>
      <c r="P6" s="1675" t="s">
        <v>756</v>
      </c>
      <c r="Q6" s="1675" t="s">
        <v>757</v>
      </c>
      <c r="R6" s="1675"/>
      <c r="S6" s="1675"/>
      <c r="T6" s="1675" t="s">
        <v>756</v>
      </c>
      <c r="U6" s="1675"/>
      <c r="V6" s="1645" t="s">
        <v>28</v>
      </c>
      <c r="W6" s="1645" t="s">
        <v>115</v>
      </c>
      <c r="X6" s="1645" t="s">
        <v>47</v>
      </c>
      <c r="Y6" s="1675"/>
      <c r="Z6" s="1675"/>
      <c r="AA6" s="1675"/>
      <c r="AB6" s="1675"/>
      <c r="AC6" s="1675"/>
    </row>
    <row r="7" spans="1:29">
      <c r="A7" s="1675">
        <v>1980</v>
      </c>
      <c r="B7" s="246">
        <v>58886</v>
      </c>
      <c r="C7" s="246">
        <v>4</v>
      </c>
      <c r="D7" s="246">
        <v>58882</v>
      </c>
      <c r="E7" s="246">
        <v>636</v>
      </c>
      <c r="F7" s="475">
        <v>107</v>
      </c>
      <c r="G7" s="246">
        <v>7.2792068697514834E-3</v>
      </c>
      <c r="H7" s="246">
        <v>1.1573938922904858</v>
      </c>
      <c r="I7" s="246">
        <v>96</v>
      </c>
      <c r="J7" s="246"/>
      <c r="K7" s="612">
        <v>26573</v>
      </c>
      <c r="L7" s="612"/>
      <c r="M7" s="246"/>
      <c r="N7" s="731">
        <f t="shared" ref="N7:N52" si="0">J7/(J7+K7)</f>
        <v>0</v>
      </c>
      <c r="O7" s="246">
        <f t="shared" ref="O7:O48" si="1">F7</f>
        <v>107</v>
      </c>
      <c r="P7" s="246">
        <f t="shared" ref="P7:P48" si="2">(B7-O7)*(J7/(J7+K7))</f>
        <v>0</v>
      </c>
      <c r="Q7" s="246">
        <f t="shared" ref="Q7:Q48" si="3">B7-P7-O7</f>
        <v>58779</v>
      </c>
      <c r="R7" s="1675" t="b">
        <f t="shared" ref="R7:R48" si="4">B7=(O7+P7+Q7)</f>
        <v>1</v>
      </c>
      <c r="S7" s="1675"/>
      <c r="T7" s="731">
        <f t="shared" ref="T7:T48" si="5">P7/B7</f>
        <v>0</v>
      </c>
      <c r="U7" s="1675"/>
      <c r="V7" s="1645">
        <v>1980</v>
      </c>
      <c r="W7" s="1645">
        <f t="shared" ref="W7:W48" si="6">ROUND(VLOOKUP(V7,$A$7:$Q$48,2,FALSE),0)</f>
        <v>58886</v>
      </c>
      <c r="X7" s="1645">
        <f t="shared" ref="X7:X48" si="7">RANK(W7,$W$7:$W$48,0)</f>
        <v>28</v>
      </c>
      <c r="Y7" s="1675"/>
      <c r="Z7" s="1675"/>
      <c r="AA7" s="1675"/>
      <c r="AB7" s="1675"/>
      <c r="AC7" s="246"/>
    </row>
    <row r="8" spans="1:29">
      <c r="A8" s="1675">
        <v>1981</v>
      </c>
      <c r="B8" s="246">
        <v>56037</v>
      </c>
      <c r="C8" s="246">
        <v>0</v>
      </c>
      <c r="D8" s="246">
        <v>56037</v>
      </c>
      <c r="E8" s="246">
        <v>1507</v>
      </c>
      <c r="F8" s="475">
        <v>236</v>
      </c>
      <c r="G8" s="246">
        <v>0</v>
      </c>
      <c r="H8" s="246">
        <v>6.3571732652192416</v>
      </c>
      <c r="I8" s="246">
        <v>218</v>
      </c>
      <c r="J8" s="246"/>
      <c r="K8" s="612">
        <v>28234</v>
      </c>
      <c r="L8" s="612"/>
      <c r="M8" s="246"/>
      <c r="N8" s="731">
        <f t="shared" si="0"/>
        <v>0</v>
      </c>
      <c r="O8" s="246">
        <f t="shared" si="1"/>
        <v>236</v>
      </c>
      <c r="P8" s="246">
        <f t="shared" si="2"/>
        <v>0</v>
      </c>
      <c r="Q8" s="246">
        <f t="shared" si="3"/>
        <v>55801</v>
      </c>
      <c r="R8" s="1675" t="b">
        <f t="shared" si="4"/>
        <v>1</v>
      </c>
      <c r="S8" s="1675"/>
      <c r="T8" s="731">
        <f t="shared" si="5"/>
        <v>0</v>
      </c>
      <c r="U8" s="1675"/>
      <c r="V8" s="1645">
        <v>1981</v>
      </c>
      <c r="W8" s="1645">
        <f t="shared" si="6"/>
        <v>56037</v>
      </c>
      <c r="X8" s="1645">
        <f t="shared" si="7"/>
        <v>29</v>
      </c>
      <c r="Y8" s="1675"/>
      <c r="Z8" s="1675"/>
      <c r="AA8" s="1675"/>
      <c r="AB8" s="1675"/>
      <c r="AC8" s="246"/>
    </row>
    <row r="9" spans="1:29">
      <c r="A9" s="1675">
        <v>1982</v>
      </c>
      <c r="B9" s="246">
        <v>50319</v>
      </c>
      <c r="C9" s="246">
        <v>100</v>
      </c>
      <c r="D9" s="246">
        <v>50219</v>
      </c>
      <c r="E9" s="246">
        <v>775</v>
      </c>
      <c r="F9" s="475">
        <v>257</v>
      </c>
      <c r="G9" s="246">
        <v>0.51062388074149356</v>
      </c>
      <c r="H9" s="246">
        <v>3.9573350757465753</v>
      </c>
      <c r="I9" s="246">
        <v>211</v>
      </c>
      <c r="J9" s="246"/>
      <c r="K9" s="612">
        <v>19005</v>
      </c>
      <c r="L9" s="612"/>
      <c r="M9" s="246"/>
      <c r="N9" s="731">
        <f t="shared" si="0"/>
        <v>0</v>
      </c>
      <c r="O9" s="246">
        <f t="shared" si="1"/>
        <v>257</v>
      </c>
      <c r="P9" s="246">
        <f t="shared" si="2"/>
        <v>0</v>
      </c>
      <c r="Q9" s="246">
        <f t="shared" si="3"/>
        <v>50062</v>
      </c>
      <c r="R9" s="1675" t="b">
        <f t="shared" si="4"/>
        <v>1</v>
      </c>
      <c r="S9" s="1675"/>
      <c r="T9" s="731">
        <f t="shared" si="5"/>
        <v>0</v>
      </c>
      <c r="U9" s="1675"/>
      <c r="V9" s="1645">
        <v>1982</v>
      </c>
      <c r="W9" s="1645">
        <f t="shared" si="6"/>
        <v>50319</v>
      </c>
      <c r="X9" s="1645">
        <f t="shared" si="7"/>
        <v>31</v>
      </c>
      <c r="Y9" s="1675"/>
      <c r="Z9" s="1675"/>
      <c r="AA9" s="1675"/>
      <c r="AB9" s="1675"/>
      <c r="AC9" s="246"/>
    </row>
    <row r="10" spans="1:29">
      <c r="A10" s="1675">
        <v>1983</v>
      </c>
      <c r="B10" s="246">
        <v>100610</v>
      </c>
      <c r="C10" s="246">
        <v>83</v>
      </c>
      <c r="D10" s="246">
        <v>100527</v>
      </c>
      <c r="E10" s="246">
        <v>3349</v>
      </c>
      <c r="F10" s="475">
        <v>241</v>
      </c>
      <c r="G10" s="246">
        <v>0.19870544422769992</v>
      </c>
      <c r="H10" s="246">
        <v>8.0176449725128567</v>
      </c>
      <c r="I10" s="246">
        <v>216</v>
      </c>
      <c r="J10" s="246"/>
      <c r="K10" s="612">
        <v>27925</v>
      </c>
      <c r="L10" s="612"/>
      <c r="M10" s="246"/>
      <c r="N10" s="731">
        <f t="shared" si="0"/>
        <v>0</v>
      </c>
      <c r="O10" s="246">
        <f t="shared" si="1"/>
        <v>241</v>
      </c>
      <c r="P10" s="246">
        <f t="shared" si="2"/>
        <v>0</v>
      </c>
      <c r="Q10" s="246">
        <f t="shared" si="3"/>
        <v>100369</v>
      </c>
      <c r="R10" s="1675" t="b">
        <f t="shared" si="4"/>
        <v>1</v>
      </c>
      <c r="S10" s="1675"/>
      <c r="T10" s="731">
        <f t="shared" si="5"/>
        <v>0</v>
      </c>
      <c r="U10" s="1675"/>
      <c r="V10" s="1645">
        <v>1983</v>
      </c>
      <c r="W10" s="1645">
        <f t="shared" si="6"/>
        <v>100610</v>
      </c>
      <c r="X10" s="1645">
        <f t="shared" si="7"/>
        <v>18</v>
      </c>
      <c r="Y10" s="1675"/>
      <c r="Z10" s="1675"/>
      <c r="AA10" s="1675"/>
      <c r="AB10" s="1675"/>
      <c r="AC10" s="246"/>
    </row>
    <row r="11" spans="1:29">
      <c r="A11" s="1675">
        <v>1984</v>
      </c>
      <c r="B11" s="246">
        <v>161890</v>
      </c>
      <c r="C11" s="246">
        <v>9345</v>
      </c>
      <c r="D11" s="246">
        <v>152545</v>
      </c>
      <c r="E11" s="246">
        <v>24616</v>
      </c>
      <c r="F11" s="475">
        <v>149</v>
      </c>
      <c r="G11" s="246">
        <v>8.617366026733178</v>
      </c>
      <c r="H11" s="246">
        <v>22.699313227829201</v>
      </c>
      <c r="I11" s="246">
        <v>105</v>
      </c>
      <c r="J11" s="246"/>
      <c r="K11" s="612">
        <v>81054</v>
      </c>
      <c r="L11" s="612"/>
      <c r="M11" s="246"/>
      <c r="N11" s="731">
        <f t="shared" si="0"/>
        <v>0</v>
      </c>
      <c r="O11" s="246">
        <f t="shared" si="1"/>
        <v>149</v>
      </c>
      <c r="P11" s="246">
        <f t="shared" si="2"/>
        <v>0</v>
      </c>
      <c r="Q11" s="246">
        <f t="shared" si="3"/>
        <v>161741</v>
      </c>
      <c r="R11" s="1675" t="b">
        <f t="shared" si="4"/>
        <v>1</v>
      </c>
      <c r="S11" s="1675"/>
      <c r="T11" s="731">
        <f t="shared" si="5"/>
        <v>0</v>
      </c>
      <c r="U11" s="1675"/>
      <c r="V11" s="1645">
        <v>1984</v>
      </c>
      <c r="W11" s="1645">
        <f t="shared" si="6"/>
        <v>161890</v>
      </c>
      <c r="X11" s="1645">
        <f t="shared" si="7"/>
        <v>13</v>
      </c>
      <c r="Y11" s="1675"/>
      <c r="Z11" s="1675"/>
      <c r="AA11" s="1675"/>
      <c r="AB11" s="1675"/>
      <c r="AC11" s="246"/>
    </row>
    <row r="12" spans="1:29">
      <c r="A12" s="1675">
        <v>1985</v>
      </c>
      <c r="B12" s="246">
        <v>200758</v>
      </c>
      <c r="C12" s="246">
        <v>32213</v>
      </c>
      <c r="D12" s="246">
        <v>166340</v>
      </c>
      <c r="E12" s="246">
        <v>49969</v>
      </c>
      <c r="F12" s="475">
        <v>59</v>
      </c>
      <c r="G12" s="246">
        <v>9.5082900418297118</v>
      </c>
      <c r="H12" s="246">
        <v>14.749316893806503</v>
      </c>
      <c r="I12" s="246">
        <v>35</v>
      </c>
      <c r="J12" s="246"/>
      <c r="K12" s="612">
        <v>52989</v>
      </c>
      <c r="L12" s="612"/>
      <c r="M12" s="246"/>
      <c r="N12" s="731">
        <f t="shared" si="0"/>
        <v>0</v>
      </c>
      <c r="O12" s="246">
        <f t="shared" si="1"/>
        <v>59</v>
      </c>
      <c r="P12" s="246">
        <f t="shared" si="2"/>
        <v>0</v>
      </c>
      <c r="Q12" s="246">
        <f t="shared" si="3"/>
        <v>200699</v>
      </c>
      <c r="R12" s="1675" t="b">
        <f t="shared" si="4"/>
        <v>1</v>
      </c>
      <c r="S12" s="1675"/>
      <c r="T12" s="731">
        <f t="shared" si="5"/>
        <v>0</v>
      </c>
      <c r="U12" s="1675"/>
      <c r="V12" s="1645">
        <v>1985</v>
      </c>
      <c r="W12" s="1645">
        <f t="shared" si="6"/>
        <v>200758</v>
      </c>
      <c r="X12" s="1645">
        <f t="shared" si="7"/>
        <v>9</v>
      </c>
      <c r="Y12" s="1675"/>
      <c r="Z12" s="1675"/>
      <c r="AA12" s="1675"/>
      <c r="AB12" s="1675"/>
      <c r="AC12" s="246"/>
    </row>
    <row r="13" spans="1:29">
      <c r="A13" s="1675">
        <v>1986</v>
      </c>
      <c r="B13" s="246">
        <v>59963</v>
      </c>
      <c r="C13" s="246">
        <v>1840</v>
      </c>
      <c r="D13" s="246">
        <v>58123</v>
      </c>
      <c r="E13" s="246">
        <v>6672</v>
      </c>
      <c r="F13" s="475">
        <v>24</v>
      </c>
      <c r="G13" s="246">
        <v>0.73883713459685185</v>
      </c>
      <c r="H13" s="246">
        <v>2.6790876967555413</v>
      </c>
      <c r="I13" s="246">
        <v>20</v>
      </c>
      <c r="J13" s="246"/>
      <c r="K13" s="612">
        <v>34788</v>
      </c>
      <c r="L13" s="612"/>
      <c r="M13" s="246"/>
      <c r="N13" s="731">
        <f t="shared" si="0"/>
        <v>0</v>
      </c>
      <c r="O13" s="246">
        <f t="shared" si="1"/>
        <v>24</v>
      </c>
      <c r="P13" s="246">
        <f t="shared" si="2"/>
        <v>0</v>
      </c>
      <c r="Q13" s="246">
        <f t="shared" si="3"/>
        <v>59939</v>
      </c>
      <c r="R13" s="1675" t="b">
        <f t="shared" si="4"/>
        <v>1</v>
      </c>
      <c r="S13" s="1675"/>
      <c r="T13" s="731">
        <f t="shared" si="5"/>
        <v>0</v>
      </c>
      <c r="U13" s="1675"/>
      <c r="V13" s="1645">
        <v>1986</v>
      </c>
      <c r="W13" s="1645">
        <f t="shared" si="6"/>
        <v>59963</v>
      </c>
      <c r="X13" s="1645">
        <f t="shared" si="7"/>
        <v>27</v>
      </c>
      <c r="Y13" s="1675"/>
      <c r="Z13" s="1675"/>
      <c r="AA13" s="1675"/>
      <c r="AB13" s="1675"/>
      <c r="AC13" s="246"/>
    </row>
    <row r="14" spans="1:29">
      <c r="A14" s="1675">
        <v>1987</v>
      </c>
      <c r="B14" s="246">
        <v>145546</v>
      </c>
      <c r="C14" s="246">
        <v>28553</v>
      </c>
      <c r="D14" s="246">
        <v>116993</v>
      </c>
      <c r="E14" s="246">
        <v>39560</v>
      </c>
      <c r="F14" s="475">
        <v>55</v>
      </c>
      <c r="G14" s="246">
        <v>10.809035845756208</v>
      </c>
      <c r="H14" s="246">
        <v>14.975850455577893</v>
      </c>
      <c r="I14" s="246">
        <v>29</v>
      </c>
      <c r="J14" s="246"/>
      <c r="K14" s="612">
        <v>40120</v>
      </c>
      <c r="L14" s="612"/>
      <c r="M14" s="246"/>
      <c r="N14" s="731">
        <f t="shared" si="0"/>
        <v>0</v>
      </c>
      <c r="O14" s="246">
        <f t="shared" si="1"/>
        <v>55</v>
      </c>
      <c r="P14" s="246">
        <f t="shared" si="2"/>
        <v>0</v>
      </c>
      <c r="Q14" s="246">
        <f t="shared" si="3"/>
        <v>145491</v>
      </c>
      <c r="R14" s="1675" t="b">
        <f t="shared" si="4"/>
        <v>1</v>
      </c>
      <c r="S14" s="1675"/>
      <c r="T14" s="731">
        <f t="shared" si="5"/>
        <v>0</v>
      </c>
      <c r="U14" s="1675"/>
      <c r="V14" s="1645">
        <v>1987</v>
      </c>
      <c r="W14" s="1645">
        <f t="shared" si="6"/>
        <v>145546</v>
      </c>
      <c r="X14" s="1645">
        <f t="shared" si="7"/>
        <v>15</v>
      </c>
      <c r="Y14" s="1675"/>
      <c r="Z14" s="1675"/>
      <c r="AA14" s="1675"/>
      <c r="AB14" s="1675"/>
      <c r="AC14" s="246"/>
    </row>
    <row r="15" spans="1:29">
      <c r="A15" s="1675">
        <v>1988</v>
      </c>
      <c r="B15" s="246">
        <v>99780</v>
      </c>
      <c r="C15" s="246">
        <v>17632</v>
      </c>
      <c r="D15" s="246">
        <v>79714</v>
      </c>
      <c r="E15" s="246">
        <v>30990</v>
      </c>
      <c r="F15" s="475">
        <v>45</v>
      </c>
      <c r="G15" s="246">
        <v>7.9271277219594189</v>
      </c>
      <c r="H15" s="246">
        <v>13.932718245435709</v>
      </c>
      <c r="I15" s="246">
        <v>23</v>
      </c>
      <c r="J15" s="246"/>
      <c r="K15" s="612">
        <v>33978</v>
      </c>
      <c r="L15" s="612"/>
      <c r="M15" s="246"/>
      <c r="N15" s="731">
        <f t="shared" si="0"/>
        <v>0</v>
      </c>
      <c r="O15" s="246">
        <f t="shared" si="1"/>
        <v>45</v>
      </c>
      <c r="P15" s="246">
        <f t="shared" si="2"/>
        <v>0</v>
      </c>
      <c r="Q15" s="246">
        <f t="shared" si="3"/>
        <v>99735</v>
      </c>
      <c r="R15" s="1675" t="b">
        <f t="shared" si="4"/>
        <v>1</v>
      </c>
      <c r="S15" s="1675"/>
      <c r="T15" s="731">
        <f t="shared" si="5"/>
        <v>0</v>
      </c>
      <c r="U15" s="1675"/>
      <c r="V15" s="1645">
        <v>1988</v>
      </c>
      <c r="W15" s="1645">
        <f t="shared" si="6"/>
        <v>99780</v>
      </c>
      <c r="X15" s="1645">
        <f t="shared" si="7"/>
        <v>19</v>
      </c>
      <c r="Y15" s="1675"/>
      <c r="Z15" s="1675"/>
      <c r="AA15" s="1675"/>
      <c r="AB15" s="1675"/>
      <c r="AC15" s="246"/>
    </row>
    <row r="16" spans="1:29">
      <c r="A16" s="1675">
        <v>1989</v>
      </c>
      <c r="B16" s="246">
        <v>47478</v>
      </c>
      <c r="C16" s="246">
        <v>36</v>
      </c>
      <c r="D16" s="246">
        <v>41884</v>
      </c>
      <c r="E16" s="246">
        <v>2138</v>
      </c>
      <c r="F16" s="475">
        <v>4</v>
      </c>
      <c r="G16" s="246">
        <v>3.1785272823591738E-3</v>
      </c>
      <c r="H16" s="246">
        <v>0.18876920360233093</v>
      </c>
      <c r="I16" s="246">
        <v>4</v>
      </c>
      <c r="J16" s="246"/>
      <c r="K16" s="612">
        <v>15976</v>
      </c>
      <c r="L16" s="612"/>
      <c r="M16" s="246"/>
      <c r="N16" s="731">
        <f t="shared" si="0"/>
        <v>0</v>
      </c>
      <c r="O16" s="246">
        <f t="shared" si="1"/>
        <v>4</v>
      </c>
      <c r="P16" s="246">
        <f t="shared" si="2"/>
        <v>0</v>
      </c>
      <c r="Q16" s="246">
        <f t="shared" si="3"/>
        <v>47474</v>
      </c>
      <c r="R16" s="1675" t="b">
        <f t="shared" si="4"/>
        <v>1</v>
      </c>
      <c r="S16" s="1675"/>
      <c r="T16" s="731">
        <f t="shared" si="5"/>
        <v>0</v>
      </c>
      <c r="U16" s="1675"/>
      <c r="V16" s="1645">
        <v>1989</v>
      </c>
      <c r="W16" s="1645">
        <f t="shared" si="6"/>
        <v>47478</v>
      </c>
      <c r="X16" s="1645">
        <f t="shared" si="7"/>
        <v>34</v>
      </c>
      <c r="Y16" s="1675"/>
      <c r="Z16" s="1675"/>
      <c r="AA16" s="1675"/>
      <c r="AB16" s="1675"/>
      <c r="AC16" s="246"/>
    </row>
    <row r="17" spans="1:29">
      <c r="A17" s="1675">
        <v>1990</v>
      </c>
      <c r="B17" s="246">
        <v>49754</v>
      </c>
      <c r="C17" s="246">
        <v>173</v>
      </c>
      <c r="D17" s="246">
        <v>49581</v>
      </c>
      <c r="E17" s="246">
        <v>2716</v>
      </c>
      <c r="F17" s="475">
        <v>1</v>
      </c>
      <c r="G17" s="246">
        <v>3.7339204005870669E-3</v>
      </c>
      <c r="H17" s="246">
        <v>5.8620391953725287E-2</v>
      </c>
      <c r="I17" s="246">
        <v>1</v>
      </c>
      <c r="J17" s="246"/>
      <c r="K17" s="612">
        <v>7609</v>
      </c>
      <c r="L17" s="612"/>
      <c r="M17" s="246"/>
      <c r="N17" s="731">
        <f t="shared" si="0"/>
        <v>0</v>
      </c>
      <c r="O17" s="246">
        <f t="shared" si="1"/>
        <v>1</v>
      </c>
      <c r="P17" s="246">
        <f t="shared" si="2"/>
        <v>0</v>
      </c>
      <c r="Q17" s="246">
        <f t="shared" si="3"/>
        <v>49753</v>
      </c>
      <c r="R17" s="1675" t="b">
        <f t="shared" si="4"/>
        <v>1</v>
      </c>
      <c r="S17" s="1675"/>
      <c r="T17" s="731">
        <f t="shared" si="5"/>
        <v>0</v>
      </c>
      <c r="U17" s="1675"/>
      <c r="V17" s="1645">
        <v>1990</v>
      </c>
      <c r="W17" s="1645">
        <f t="shared" si="6"/>
        <v>49754</v>
      </c>
      <c r="X17" s="1645">
        <f t="shared" si="7"/>
        <v>33</v>
      </c>
      <c r="Y17" s="1675"/>
      <c r="Z17" s="1675"/>
      <c r="AA17" s="1675"/>
      <c r="AB17" s="1675"/>
      <c r="AC17" s="246"/>
    </row>
    <row r="18" spans="1:29">
      <c r="A18" s="1675">
        <v>1991</v>
      </c>
      <c r="B18" s="246">
        <v>76484</v>
      </c>
      <c r="C18" s="246">
        <v>3</v>
      </c>
      <c r="D18" s="246">
        <v>76481</v>
      </c>
      <c r="E18" s="246">
        <v>3271</v>
      </c>
      <c r="F18" s="475">
        <v>10</v>
      </c>
      <c r="G18" s="246">
        <v>3.7892609537710164E-4</v>
      </c>
      <c r="H18" s="246">
        <v>0.41315575265949983</v>
      </c>
      <c r="I18" s="246">
        <v>9</v>
      </c>
      <c r="J18" s="246"/>
      <c r="K18" s="612">
        <v>27490</v>
      </c>
      <c r="L18" s="612"/>
      <c r="M18" s="246"/>
      <c r="N18" s="731">
        <f t="shared" si="0"/>
        <v>0</v>
      </c>
      <c r="O18" s="246">
        <f t="shared" si="1"/>
        <v>10</v>
      </c>
      <c r="P18" s="246">
        <f t="shared" si="2"/>
        <v>0</v>
      </c>
      <c r="Q18" s="246">
        <f t="shared" si="3"/>
        <v>76474</v>
      </c>
      <c r="R18" s="1675" t="b">
        <f t="shared" si="4"/>
        <v>1</v>
      </c>
      <c r="S18" s="1675"/>
      <c r="T18" s="731">
        <f t="shared" si="5"/>
        <v>0</v>
      </c>
      <c r="U18" s="1675"/>
      <c r="V18" s="1645">
        <v>1991</v>
      </c>
      <c r="W18" s="1645">
        <f t="shared" si="6"/>
        <v>76484</v>
      </c>
      <c r="X18" s="1645">
        <f t="shared" si="7"/>
        <v>25</v>
      </c>
      <c r="Y18" s="1675"/>
      <c r="Z18" s="1675"/>
      <c r="AA18" s="1675"/>
      <c r="AB18" s="1675"/>
      <c r="AC18" s="246"/>
    </row>
    <row r="19" spans="1:29">
      <c r="A19" s="1675">
        <v>1992</v>
      </c>
      <c r="B19" s="246">
        <v>85000</v>
      </c>
      <c r="C19" s="246">
        <v>8</v>
      </c>
      <c r="D19" s="246">
        <v>84992</v>
      </c>
      <c r="E19" s="246">
        <v>2185</v>
      </c>
      <c r="F19" s="475">
        <v>35</v>
      </c>
      <c r="G19" s="246">
        <v>1.483826293401919E-3</v>
      </c>
      <c r="H19" s="246">
        <v>0.40527005638539915</v>
      </c>
      <c r="I19" s="246">
        <v>15</v>
      </c>
      <c r="J19" s="246"/>
      <c r="K19" s="612">
        <v>41951</v>
      </c>
      <c r="L19" s="612"/>
      <c r="M19" s="246"/>
      <c r="N19" s="731">
        <f t="shared" si="0"/>
        <v>0</v>
      </c>
      <c r="O19" s="246">
        <f t="shared" si="1"/>
        <v>35</v>
      </c>
      <c r="P19" s="246">
        <f t="shared" si="2"/>
        <v>0</v>
      </c>
      <c r="Q19" s="246">
        <f t="shared" si="3"/>
        <v>84965</v>
      </c>
      <c r="R19" s="1675" t="b">
        <f t="shared" si="4"/>
        <v>1</v>
      </c>
      <c r="S19" s="1675"/>
      <c r="T19" s="731">
        <f t="shared" si="5"/>
        <v>0</v>
      </c>
      <c r="U19" s="1675"/>
      <c r="V19" s="1645">
        <v>1992</v>
      </c>
      <c r="W19" s="1645">
        <f t="shared" si="6"/>
        <v>85000</v>
      </c>
      <c r="X19" s="1645">
        <f t="shared" si="7"/>
        <v>23</v>
      </c>
      <c r="Y19" s="1675"/>
      <c r="Z19" s="1675"/>
      <c r="AA19" s="1675"/>
      <c r="AB19" s="1675"/>
      <c r="AC19" s="246"/>
    </row>
    <row r="20" spans="1:29">
      <c r="A20" s="1675">
        <v>1993</v>
      </c>
      <c r="B20" s="246">
        <v>88025</v>
      </c>
      <c r="C20" s="246">
        <v>64</v>
      </c>
      <c r="D20" s="246">
        <v>80178</v>
      </c>
      <c r="E20" s="246">
        <v>5020</v>
      </c>
      <c r="F20" s="475">
        <v>18</v>
      </c>
      <c r="G20" s="246">
        <v>1.3117758406578171E-2</v>
      </c>
      <c r="H20" s="246">
        <v>1.0289241750159752</v>
      </c>
      <c r="I20" s="246">
        <v>17</v>
      </c>
      <c r="J20" s="246"/>
      <c r="K20" s="612">
        <v>27849</v>
      </c>
      <c r="L20" s="612"/>
      <c r="M20" s="246"/>
      <c r="N20" s="731">
        <f t="shared" si="0"/>
        <v>0</v>
      </c>
      <c r="O20" s="246">
        <f t="shared" si="1"/>
        <v>18</v>
      </c>
      <c r="P20" s="246">
        <f t="shared" si="2"/>
        <v>0</v>
      </c>
      <c r="Q20" s="246">
        <f t="shared" si="3"/>
        <v>88007</v>
      </c>
      <c r="R20" s="1675" t="b">
        <f t="shared" si="4"/>
        <v>1</v>
      </c>
      <c r="S20" s="1675"/>
      <c r="T20" s="731">
        <f t="shared" si="5"/>
        <v>0</v>
      </c>
      <c r="U20" s="1675"/>
      <c r="V20" s="1645">
        <v>1993</v>
      </c>
      <c r="W20" s="1645">
        <f t="shared" si="6"/>
        <v>88025</v>
      </c>
      <c r="X20" s="1645">
        <f t="shared" si="7"/>
        <v>22</v>
      </c>
      <c r="Y20" s="1675"/>
      <c r="Z20" s="1675"/>
      <c r="AA20" s="1675"/>
      <c r="AB20" s="1675"/>
      <c r="AC20" s="246"/>
    </row>
    <row r="21" spans="1:29">
      <c r="A21" s="1675">
        <v>1994</v>
      </c>
      <c r="B21" s="246">
        <v>12873</v>
      </c>
      <c r="C21" s="246">
        <v>1</v>
      </c>
      <c r="D21" s="246">
        <v>12678</v>
      </c>
      <c r="E21" s="246">
        <v>472</v>
      </c>
      <c r="F21" s="475">
        <v>5</v>
      </c>
      <c r="G21" s="246">
        <v>4.032258064516129E-4</v>
      </c>
      <c r="H21" s="246">
        <v>0.19032258064516128</v>
      </c>
      <c r="I21" s="246">
        <v>5</v>
      </c>
      <c r="J21" s="246"/>
      <c r="K21" s="612">
        <v>1666</v>
      </c>
      <c r="L21" s="612"/>
      <c r="M21" s="246"/>
      <c r="N21" s="731">
        <f t="shared" si="0"/>
        <v>0</v>
      </c>
      <c r="O21" s="246">
        <f t="shared" si="1"/>
        <v>5</v>
      </c>
      <c r="P21" s="246">
        <f t="shared" si="2"/>
        <v>0</v>
      </c>
      <c r="Q21" s="246">
        <f t="shared" si="3"/>
        <v>12868</v>
      </c>
      <c r="R21" s="1675" t="b">
        <f t="shared" si="4"/>
        <v>1</v>
      </c>
      <c r="S21" s="1675"/>
      <c r="T21" s="731">
        <f t="shared" si="5"/>
        <v>0</v>
      </c>
      <c r="U21" s="1675"/>
      <c r="V21" s="1645">
        <v>1994</v>
      </c>
      <c r="W21" s="1645">
        <f t="shared" si="6"/>
        <v>12873</v>
      </c>
      <c r="X21" s="1645">
        <f t="shared" si="7"/>
        <v>41</v>
      </c>
      <c r="Y21" s="1675"/>
      <c r="Z21" s="1675"/>
      <c r="AA21" s="1675"/>
      <c r="AB21" s="1675"/>
      <c r="AC21" s="246"/>
    </row>
    <row r="22" spans="1:29">
      <c r="A22" s="1675">
        <v>1995</v>
      </c>
      <c r="B22" s="246">
        <v>9913</v>
      </c>
      <c r="C22" s="246">
        <v>1</v>
      </c>
      <c r="D22" s="246">
        <v>8774</v>
      </c>
      <c r="E22" s="246">
        <v>445</v>
      </c>
      <c r="F22" s="475">
        <v>5</v>
      </c>
      <c r="G22" s="246">
        <v>5.2815041723882966E-4</v>
      </c>
      <c r="H22" s="246">
        <v>0.23502693567127919</v>
      </c>
      <c r="I22" s="246">
        <v>5</v>
      </c>
      <c r="J22" s="246"/>
      <c r="K22" s="612">
        <v>4892</v>
      </c>
      <c r="L22" s="612"/>
      <c r="M22" s="246"/>
      <c r="N22" s="731">
        <f t="shared" si="0"/>
        <v>0</v>
      </c>
      <c r="O22" s="246">
        <f t="shared" si="1"/>
        <v>5</v>
      </c>
      <c r="P22" s="246">
        <f t="shared" si="2"/>
        <v>0</v>
      </c>
      <c r="Q22" s="246">
        <f t="shared" si="3"/>
        <v>9908</v>
      </c>
      <c r="R22" s="1675" t="b">
        <f t="shared" si="4"/>
        <v>1</v>
      </c>
      <c r="S22" s="1675"/>
      <c r="T22" s="731">
        <f t="shared" si="5"/>
        <v>0</v>
      </c>
      <c r="U22" s="1675"/>
      <c r="V22" s="1645">
        <v>1995</v>
      </c>
      <c r="W22" s="1645">
        <f t="shared" si="6"/>
        <v>9913</v>
      </c>
      <c r="X22" s="1645">
        <f t="shared" si="7"/>
        <v>42</v>
      </c>
      <c r="Y22" s="1675"/>
      <c r="Z22" s="1675"/>
      <c r="AA22" s="1675"/>
      <c r="AB22" s="1675"/>
      <c r="AC22" s="246"/>
    </row>
    <row r="23" spans="1:29">
      <c r="A23" s="1675">
        <v>1996</v>
      </c>
      <c r="B23" s="246">
        <v>30942</v>
      </c>
      <c r="C23" s="246">
        <v>25</v>
      </c>
      <c r="D23" s="246">
        <v>30232</v>
      </c>
      <c r="E23" s="246">
        <v>1414</v>
      </c>
      <c r="F23" s="475">
        <v>3</v>
      </c>
      <c r="G23" s="246">
        <v>2.542114361251398E-3</v>
      </c>
      <c r="H23" s="246">
        <v>0.14378198827237906</v>
      </c>
      <c r="I23" s="246">
        <v>3</v>
      </c>
      <c r="J23" s="246"/>
      <c r="K23" s="612">
        <v>17701</v>
      </c>
      <c r="L23" s="612"/>
      <c r="M23" s="246"/>
      <c r="N23" s="731">
        <f t="shared" si="0"/>
        <v>0</v>
      </c>
      <c r="O23" s="246">
        <f t="shared" si="1"/>
        <v>3</v>
      </c>
      <c r="P23" s="246">
        <f t="shared" si="2"/>
        <v>0</v>
      </c>
      <c r="Q23" s="246">
        <f t="shared" si="3"/>
        <v>30939</v>
      </c>
      <c r="R23" s="1675" t="b">
        <f t="shared" si="4"/>
        <v>1</v>
      </c>
      <c r="S23" s="1675"/>
      <c r="T23" s="731">
        <f t="shared" si="5"/>
        <v>0</v>
      </c>
      <c r="U23" s="1675"/>
      <c r="V23" s="1645">
        <v>1996</v>
      </c>
      <c r="W23" s="1645">
        <f t="shared" si="6"/>
        <v>30942</v>
      </c>
      <c r="X23" s="1645">
        <f t="shared" si="7"/>
        <v>37</v>
      </c>
      <c r="Y23" s="1675"/>
      <c r="Z23" s="1675"/>
      <c r="AA23" s="1675"/>
      <c r="AB23" s="1675"/>
      <c r="AC23" s="246"/>
    </row>
    <row r="24" spans="1:29">
      <c r="A24" s="1675">
        <v>1997</v>
      </c>
      <c r="B24" s="246">
        <v>49978.7</v>
      </c>
      <c r="C24" s="246">
        <v>11.7</v>
      </c>
      <c r="D24" s="246">
        <v>47008</v>
      </c>
      <c r="E24" s="246">
        <v>2046</v>
      </c>
      <c r="F24" s="475">
        <v>16</v>
      </c>
      <c r="G24" s="246">
        <v>4.1505811648337885E-3</v>
      </c>
      <c r="H24" s="246">
        <v>0.72581957805554975</v>
      </c>
      <c r="I24" s="246">
        <v>17</v>
      </c>
      <c r="J24" s="246"/>
      <c r="K24" s="612">
        <v>24621</v>
      </c>
      <c r="L24" s="612"/>
      <c r="M24" s="246"/>
      <c r="N24" s="731">
        <f t="shared" si="0"/>
        <v>0</v>
      </c>
      <c r="O24" s="246">
        <f t="shared" si="1"/>
        <v>16</v>
      </c>
      <c r="P24" s="246">
        <f t="shared" si="2"/>
        <v>0</v>
      </c>
      <c r="Q24" s="246">
        <f t="shared" si="3"/>
        <v>49962.7</v>
      </c>
      <c r="R24" s="1675" t="b">
        <f t="shared" si="4"/>
        <v>1</v>
      </c>
      <c r="S24" s="1675"/>
      <c r="T24" s="731">
        <f t="shared" si="5"/>
        <v>0</v>
      </c>
      <c r="U24" s="1675"/>
      <c r="V24" s="1645">
        <v>1997</v>
      </c>
      <c r="W24" s="1645">
        <f t="shared" si="6"/>
        <v>49979</v>
      </c>
      <c r="X24" s="1645">
        <f t="shared" si="7"/>
        <v>32</v>
      </c>
      <c r="Y24" s="1675"/>
      <c r="Z24" s="1675"/>
      <c r="AA24" s="1675"/>
      <c r="AB24" s="1675"/>
      <c r="AC24" s="246"/>
    </row>
    <row r="25" spans="1:29">
      <c r="A25" s="1675">
        <v>1998</v>
      </c>
      <c r="B25" s="246">
        <v>13220.2</v>
      </c>
      <c r="C25" s="246">
        <v>2.2000000000000002</v>
      </c>
      <c r="D25" s="246">
        <v>13218</v>
      </c>
      <c r="E25" s="246">
        <v>425</v>
      </c>
      <c r="F25" s="475">
        <v>4</v>
      </c>
      <c r="G25" s="246">
        <v>6.126995915336056E-4</v>
      </c>
      <c r="H25" s="246">
        <v>0.11836242109171927</v>
      </c>
      <c r="I25" s="246">
        <v>3</v>
      </c>
      <c r="J25" s="246"/>
      <c r="K25" s="612">
        <v>4664</v>
      </c>
      <c r="L25" s="612"/>
      <c r="M25" s="246"/>
      <c r="N25" s="731">
        <f t="shared" si="0"/>
        <v>0</v>
      </c>
      <c r="O25" s="246">
        <f t="shared" si="1"/>
        <v>4</v>
      </c>
      <c r="P25" s="246">
        <f t="shared" si="2"/>
        <v>0</v>
      </c>
      <c r="Q25" s="246">
        <f t="shared" si="3"/>
        <v>13216.2</v>
      </c>
      <c r="R25" s="1675" t="b">
        <f t="shared" si="4"/>
        <v>1</v>
      </c>
      <c r="S25" s="1675"/>
      <c r="T25" s="731">
        <f t="shared" si="5"/>
        <v>0</v>
      </c>
      <c r="U25" s="1675"/>
      <c r="V25" s="1645">
        <v>1998</v>
      </c>
      <c r="W25" s="1645">
        <f t="shared" si="6"/>
        <v>13220</v>
      </c>
      <c r="X25" s="1645">
        <f t="shared" si="7"/>
        <v>40</v>
      </c>
      <c r="Y25" s="1675"/>
      <c r="Z25" s="1675"/>
      <c r="AA25" s="1675"/>
      <c r="AB25" s="1675"/>
      <c r="AC25" s="246"/>
    </row>
    <row r="26" spans="1:29">
      <c r="A26" s="1675">
        <v>1999</v>
      </c>
      <c r="B26" s="246">
        <v>19093.900000000001</v>
      </c>
      <c r="C26" s="246">
        <v>0.9</v>
      </c>
      <c r="D26" s="246">
        <v>17877</v>
      </c>
      <c r="E26" s="246">
        <v>704</v>
      </c>
      <c r="F26" s="475">
        <v>15</v>
      </c>
      <c r="G26" s="246">
        <v>8.8096144434172605E-4</v>
      </c>
      <c r="H26" s="246">
        <v>0.68910761868508341</v>
      </c>
      <c r="I26" s="246">
        <v>18</v>
      </c>
      <c r="J26" s="612">
        <v>1172</v>
      </c>
      <c r="K26" s="612">
        <v>12388</v>
      </c>
      <c r="L26" s="612"/>
      <c r="M26" s="246"/>
      <c r="N26" s="731">
        <f t="shared" si="0"/>
        <v>8.6430678466076702E-2</v>
      </c>
      <c r="O26" s="246">
        <f t="shared" si="1"/>
        <v>15</v>
      </c>
      <c r="P26" s="246">
        <f t="shared" si="2"/>
        <v>1649.0022713864309</v>
      </c>
      <c r="Q26" s="246">
        <f t="shared" si="3"/>
        <v>17429.897728613571</v>
      </c>
      <c r="R26" s="1675" t="b">
        <f t="shared" si="4"/>
        <v>1</v>
      </c>
      <c r="S26" s="1675"/>
      <c r="T26" s="731">
        <f t="shared" si="5"/>
        <v>8.6362779284820321E-2</v>
      </c>
      <c r="U26" s="1675"/>
      <c r="V26" s="1645">
        <v>1999</v>
      </c>
      <c r="W26" s="1645">
        <f t="shared" si="6"/>
        <v>19094</v>
      </c>
      <c r="X26" s="1645">
        <f t="shared" si="7"/>
        <v>39</v>
      </c>
      <c r="Y26" s="1675"/>
      <c r="Z26" s="1675"/>
      <c r="AA26" s="1675"/>
      <c r="AB26" s="1675"/>
      <c r="AC26" s="246"/>
    </row>
    <row r="27" spans="1:29">
      <c r="A27" s="1675">
        <v>2000</v>
      </c>
      <c r="B27" s="246">
        <v>93763.8</v>
      </c>
      <c r="C27" s="246">
        <v>365.8</v>
      </c>
      <c r="D27" s="246">
        <v>93398</v>
      </c>
      <c r="E27" s="246">
        <v>2910</v>
      </c>
      <c r="F27" s="475">
        <v>365</v>
      </c>
      <c r="G27" s="246">
        <v>1.6041145623235176</v>
      </c>
      <c r="H27" s="246">
        <v>12.760998841884735</v>
      </c>
      <c r="I27" s="246">
        <v>337</v>
      </c>
      <c r="J27" s="612">
        <v>20979</v>
      </c>
      <c r="K27" s="612">
        <v>59944</v>
      </c>
      <c r="L27" s="612"/>
      <c r="M27" s="246"/>
      <c r="N27" s="731">
        <f t="shared" si="0"/>
        <v>0.25924644415061232</v>
      </c>
      <c r="O27" s="246">
        <f t="shared" si="1"/>
        <v>365</v>
      </c>
      <c r="P27" s="246">
        <f t="shared" si="2"/>
        <v>24213.306787934212</v>
      </c>
      <c r="Q27" s="246">
        <f t="shared" si="3"/>
        <v>69185.49321206579</v>
      </c>
      <c r="R27" s="1675" t="b">
        <f t="shared" si="4"/>
        <v>1</v>
      </c>
      <c r="S27" s="1675"/>
      <c r="T27" s="731">
        <f t="shared" si="5"/>
        <v>0.25823725987997725</v>
      </c>
      <c r="U27" s="1675"/>
      <c r="V27" s="1645">
        <v>2000</v>
      </c>
      <c r="W27" s="1645">
        <f t="shared" si="6"/>
        <v>93764</v>
      </c>
      <c r="X27" s="1645">
        <f t="shared" si="7"/>
        <v>20</v>
      </c>
      <c r="Y27" s="1675"/>
      <c r="Z27" s="1675"/>
      <c r="AA27" s="1675"/>
      <c r="AB27" s="1675"/>
      <c r="AC27" s="246"/>
    </row>
    <row r="28" spans="1:29">
      <c r="A28" s="1675">
        <v>2001</v>
      </c>
      <c r="B28" s="246">
        <v>117878.878</v>
      </c>
      <c r="C28" s="246">
        <v>1690.8780000000002</v>
      </c>
      <c r="D28" s="246">
        <v>114934</v>
      </c>
      <c r="E28" s="246">
        <v>7300</v>
      </c>
      <c r="F28" s="475">
        <v>41</v>
      </c>
      <c r="G28" s="246">
        <v>0.69878691866872389</v>
      </c>
      <c r="H28" s="246">
        <v>3.0168613621335685</v>
      </c>
      <c r="I28" s="246">
        <v>45</v>
      </c>
      <c r="J28" s="612">
        <v>32633</v>
      </c>
      <c r="K28" s="612">
        <v>74486</v>
      </c>
      <c r="L28" s="612"/>
      <c r="M28" s="246"/>
      <c r="N28" s="731">
        <f t="shared" si="0"/>
        <v>0.304642500396755</v>
      </c>
      <c r="O28" s="246">
        <f t="shared" si="1"/>
        <v>41</v>
      </c>
      <c r="P28" s="246">
        <f t="shared" si="2"/>
        <v>35898.425795367766</v>
      </c>
      <c r="Q28" s="246">
        <f t="shared" si="3"/>
        <v>81939.452204632224</v>
      </c>
      <c r="R28" s="1675" t="b">
        <f t="shared" si="4"/>
        <v>1</v>
      </c>
      <c r="S28" s="1675"/>
      <c r="T28" s="731">
        <f t="shared" si="5"/>
        <v>0.30453654127389784</v>
      </c>
      <c r="U28" s="1675"/>
      <c r="V28" s="1645">
        <v>2001</v>
      </c>
      <c r="W28" s="1645">
        <f t="shared" si="6"/>
        <v>117879</v>
      </c>
      <c r="X28" s="1645">
        <f t="shared" si="7"/>
        <v>17</v>
      </c>
      <c r="Y28" s="1675"/>
      <c r="Z28" s="1675"/>
      <c r="AA28" s="1675"/>
      <c r="AB28" s="1675"/>
      <c r="AC28" s="246"/>
    </row>
    <row r="29" spans="1:29">
      <c r="A29" s="1675">
        <v>2002</v>
      </c>
      <c r="B29" s="246">
        <v>50556.7</v>
      </c>
      <c r="C29" s="246">
        <v>23.7</v>
      </c>
      <c r="D29" s="246">
        <v>49610</v>
      </c>
      <c r="E29" s="246">
        <v>2564</v>
      </c>
      <c r="F29" s="475">
        <v>64</v>
      </c>
      <c r="G29" s="246">
        <v>3.6063284278984448E-2</v>
      </c>
      <c r="H29" s="246">
        <v>3.9015299954141822</v>
      </c>
      <c r="I29" s="246">
        <v>73</v>
      </c>
      <c r="J29" s="612">
        <v>27821</v>
      </c>
      <c r="K29" s="612">
        <v>10586</v>
      </c>
      <c r="L29" s="612"/>
      <c r="M29" s="246"/>
      <c r="N29" s="731">
        <f t="shared" si="0"/>
        <v>0.72437316114250005</v>
      </c>
      <c r="O29" s="246">
        <f t="shared" si="1"/>
        <v>64</v>
      </c>
      <c r="P29" s="246">
        <f t="shared" si="2"/>
        <v>36575.55671361991</v>
      </c>
      <c r="Q29" s="246">
        <f t="shared" si="3"/>
        <v>13917.143286380087</v>
      </c>
      <c r="R29" s="1675" t="b">
        <f t="shared" si="4"/>
        <v>1</v>
      </c>
      <c r="S29" s="1675"/>
      <c r="T29" s="731">
        <f t="shared" si="5"/>
        <v>0.72345617323954914</v>
      </c>
      <c r="U29" s="1675"/>
      <c r="V29" s="1645">
        <v>2002</v>
      </c>
      <c r="W29" s="1645">
        <f t="shared" si="6"/>
        <v>50557</v>
      </c>
      <c r="X29" s="1645">
        <f t="shared" si="7"/>
        <v>30</v>
      </c>
      <c r="Y29" s="1675"/>
      <c r="Z29" s="1675"/>
      <c r="AA29" s="1675"/>
      <c r="AB29" s="1675"/>
      <c r="AC29" s="246"/>
    </row>
    <row r="30" spans="1:29">
      <c r="A30" s="1675">
        <v>2003</v>
      </c>
      <c r="B30" s="246">
        <v>39291</v>
      </c>
      <c r="C30" s="246">
        <v>0</v>
      </c>
      <c r="D30" s="246">
        <v>39291</v>
      </c>
      <c r="E30" s="246">
        <v>1090</v>
      </c>
      <c r="F30" s="475">
        <v>40</v>
      </c>
      <c r="G30" s="246">
        <v>0</v>
      </c>
      <c r="H30" s="246">
        <v>1.1020932393288516</v>
      </c>
      <c r="I30" s="246">
        <v>37</v>
      </c>
      <c r="J30" s="612">
        <v>5074</v>
      </c>
      <c r="K30" s="612">
        <v>28977</v>
      </c>
      <c r="L30" s="612"/>
      <c r="M30" s="246"/>
      <c r="N30" s="731">
        <f t="shared" si="0"/>
        <v>0.14901177645296762</v>
      </c>
      <c r="O30" s="246">
        <f t="shared" si="1"/>
        <v>40</v>
      </c>
      <c r="P30" s="246">
        <f t="shared" si="2"/>
        <v>5848.8612375554321</v>
      </c>
      <c r="Q30" s="246">
        <f t="shared" si="3"/>
        <v>33402.138762444571</v>
      </c>
      <c r="R30" s="1675" t="b">
        <f t="shared" si="4"/>
        <v>1</v>
      </c>
      <c r="S30" s="1675"/>
      <c r="T30" s="731">
        <f t="shared" si="5"/>
        <v>0.14886007578212396</v>
      </c>
      <c r="U30" s="1675"/>
      <c r="V30" s="1645">
        <v>2003</v>
      </c>
      <c r="W30" s="1645">
        <f t="shared" si="6"/>
        <v>39291</v>
      </c>
      <c r="X30" s="1645">
        <f t="shared" si="7"/>
        <v>35</v>
      </c>
      <c r="Y30" s="1675"/>
      <c r="Z30" s="1675"/>
      <c r="AA30" s="1675"/>
      <c r="AB30" s="1675"/>
      <c r="AC30" s="246"/>
    </row>
    <row r="31" spans="1:29">
      <c r="A31" s="1675">
        <v>2004</v>
      </c>
      <c r="B31" s="246">
        <v>130231</v>
      </c>
      <c r="C31" s="246">
        <v>682</v>
      </c>
      <c r="D31" s="246">
        <v>123291</v>
      </c>
      <c r="E31" s="246">
        <v>4317</v>
      </c>
      <c r="F31" s="475">
        <v>118</v>
      </c>
      <c r="G31" s="246">
        <v>0.61533670813305441</v>
      </c>
      <c r="H31" s="246">
        <v>3.8950272272879709</v>
      </c>
      <c r="I31" s="246">
        <v>113</v>
      </c>
      <c r="J31" s="612">
        <v>33167</v>
      </c>
      <c r="K31" s="612">
        <v>78053</v>
      </c>
      <c r="L31" s="612"/>
      <c r="M31" s="246"/>
      <c r="N31" s="731">
        <f t="shared" si="0"/>
        <v>0.29821075346160764</v>
      </c>
      <c r="O31" s="246">
        <f t="shared" si="1"/>
        <v>118</v>
      </c>
      <c r="P31" s="246">
        <f t="shared" si="2"/>
        <v>38801.095765150152</v>
      </c>
      <c r="Q31" s="246">
        <f t="shared" si="3"/>
        <v>91311.904234849848</v>
      </c>
      <c r="R31" s="1675" t="b">
        <f t="shared" si="4"/>
        <v>1</v>
      </c>
      <c r="S31" s="1675"/>
      <c r="T31" s="731">
        <f t="shared" si="5"/>
        <v>0.2979405499854117</v>
      </c>
      <c r="U31" s="1675"/>
      <c r="V31" s="1645">
        <v>2004</v>
      </c>
      <c r="W31" s="1645">
        <f t="shared" si="6"/>
        <v>130231</v>
      </c>
      <c r="X31" s="1645">
        <f t="shared" si="7"/>
        <v>16</v>
      </c>
      <c r="Y31" s="1675"/>
      <c r="Z31" s="1675"/>
      <c r="AA31" s="1675"/>
      <c r="AB31" s="1675"/>
      <c r="AC31" s="246"/>
    </row>
    <row r="32" spans="1:29">
      <c r="A32" s="1675">
        <v>2005</v>
      </c>
      <c r="B32" s="246">
        <v>77399.399999999994</v>
      </c>
      <c r="C32" s="246">
        <v>4.4000000000000004</v>
      </c>
      <c r="D32" s="246">
        <v>72971</v>
      </c>
      <c r="E32" s="246">
        <v>2766</v>
      </c>
      <c r="F32" s="475">
        <v>19</v>
      </c>
      <c r="G32" s="246">
        <v>1.0612496482600598E-3</v>
      </c>
      <c r="H32" s="246">
        <v>0.66714011979257393</v>
      </c>
      <c r="I32" s="246">
        <v>18</v>
      </c>
      <c r="J32" s="612">
        <v>14218</v>
      </c>
      <c r="K32" s="612">
        <v>55559</v>
      </c>
      <c r="L32" s="612"/>
      <c r="M32" s="246"/>
      <c r="N32" s="731">
        <f t="shared" si="0"/>
        <v>0.20376341774510226</v>
      </c>
      <c r="O32" s="246">
        <f t="shared" si="1"/>
        <v>19</v>
      </c>
      <c r="P32" s="246">
        <f t="shared" si="2"/>
        <v>15767.294770483109</v>
      </c>
      <c r="Q32" s="246">
        <f t="shared" si="3"/>
        <v>61613.105229516885</v>
      </c>
      <c r="R32" s="1675" t="b">
        <f t="shared" si="4"/>
        <v>1</v>
      </c>
      <c r="S32" s="1675"/>
      <c r="T32" s="731">
        <f t="shared" si="5"/>
        <v>0.20371339791371912</v>
      </c>
      <c r="U32" s="1675"/>
      <c r="V32" s="1645">
        <v>2005</v>
      </c>
      <c r="W32" s="1645">
        <f t="shared" si="6"/>
        <v>77399</v>
      </c>
      <c r="X32" s="1645">
        <f t="shared" si="7"/>
        <v>24</v>
      </c>
      <c r="Y32" s="1675"/>
      <c r="Z32" s="1675"/>
      <c r="AA32" s="1675"/>
      <c r="AB32" s="1675"/>
      <c r="AC32" s="246"/>
    </row>
    <row r="33" spans="1:29">
      <c r="A33" s="1675">
        <v>2006</v>
      </c>
      <c r="B33" s="246">
        <v>37067.32</v>
      </c>
      <c r="C33" s="246">
        <v>1.32</v>
      </c>
      <c r="D33" s="246">
        <v>37066</v>
      </c>
      <c r="E33" s="246">
        <v>1596</v>
      </c>
      <c r="F33" s="475">
        <v>51</v>
      </c>
      <c r="G33" s="246">
        <v>1.800716193940772E-3</v>
      </c>
      <c r="H33" s="246">
        <v>2.1772295799465695</v>
      </c>
      <c r="I33" s="246">
        <v>17</v>
      </c>
      <c r="J33" s="612">
        <v>9657</v>
      </c>
      <c r="K33" s="612">
        <v>22075</v>
      </c>
      <c r="L33" s="612"/>
      <c r="M33" s="246"/>
      <c r="N33" s="731">
        <f t="shared" si="0"/>
        <v>0.30433001386612885</v>
      </c>
      <c r="O33" s="246">
        <f t="shared" si="1"/>
        <v>51</v>
      </c>
      <c r="P33" s="246">
        <f t="shared" si="2"/>
        <v>11265.177178873062</v>
      </c>
      <c r="Q33" s="246">
        <f t="shared" si="3"/>
        <v>25751.142821126938</v>
      </c>
      <c r="R33" s="1675" t="b">
        <f t="shared" si="4"/>
        <v>1</v>
      </c>
      <c r="S33" s="1675"/>
      <c r="T33" s="731">
        <f t="shared" si="5"/>
        <v>0.30391129379931059</v>
      </c>
      <c r="U33" s="1675"/>
      <c r="V33" s="1645">
        <v>2006</v>
      </c>
      <c r="W33" s="1645">
        <f t="shared" si="6"/>
        <v>37067</v>
      </c>
      <c r="X33" s="1645">
        <f t="shared" si="7"/>
        <v>36</v>
      </c>
      <c r="Y33" s="1675"/>
      <c r="Z33" s="1675"/>
      <c r="AA33" s="1675"/>
      <c r="AB33" s="1675"/>
      <c r="AC33" s="246"/>
    </row>
    <row r="34" spans="1:29">
      <c r="A34" s="1675">
        <v>2007</v>
      </c>
      <c r="B34" s="246">
        <v>26604</v>
      </c>
      <c r="C34" s="246">
        <v>0</v>
      </c>
      <c r="D34" s="246">
        <v>24376</v>
      </c>
      <c r="E34" s="246">
        <v>1414</v>
      </c>
      <c r="F34" s="475">
        <v>58</v>
      </c>
      <c r="G34" s="246">
        <v>0</v>
      </c>
      <c r="H34" s="246">
        <v>3.0873362445414845</v>
      </c>
      <c r="I34" s="246">
        <v>55</v>
      </c>
      <c r="J34" s="612">
        <v>2607</v>
      </c>
      <c r="K34" s="612">
        <v>22273</v>
      </c>
      <c r="L34" s="612"/>
      <c r="M34" s="246"/>
      <c r="N34" s="731">
        <f t="shared" si="0"/>
        <v>0.10478295819935692</v>
      </c>
      <c r="O34" s="246">
        <f t="shared" si="1"/>
        <v>58</v>
      </c>
      <c r="P34" s="246">
        <f t="shared" si="2"/>
        <v>2781.5684083601286</v>
      </c>
      <c r="Q34" s="246">
        <f t="shared" si="3"/>
        <v>23764.43159163987</v>
      </c>
      <c r="R34" s="1675" t="b">
        <f t="shared" si="4"/>
        <v>1</v>
      </c>
      <c r="S34" s="1675"/>
      <c r="T34" s="731">
        <f t="shared" si="5"/>
        <v>0.10455451843181959</v>
      </c>
      <c r="U34" s="1675"/>
      <c r="V34" s="1645">
        <v>2007</v>
      </c>
      <c r="W34" s="1645">
        <f t="shared" si="6"/>
        <v>26604</v>
      </c>
      <c r="X34" s="1645">
        <f t="shared" si="7"/>
        <v>38</v>
      </c>
      <c r="Y34" s="1675"/>
      <c r="Z34" s="1675"/>
      <c r="AA34" s="1675"/>
      <c r="AB34" s="1675"/>
      <c r="AC34" s="246"/>
    </row>
    <row r="35" spans="1:29">
      <c r="A35" s="1675">
        <v>2008</v>
      </c>
      <c r="B35" s="246">
        <v>214465</v>
      </c>
      <c r="C35" s="246">
        <v>974</v>
      </c>
      <c r="D35" s="246">
        <v>213607</v>
      </c>
      <c r="E35" s="246">
        <v>9017</v>
      </c>
      <c r="F35" s="475">
        <v>890</v>
      </c>
      <c r="G35" s="246">
        <v>4.4525434383565088</v>
      </c>
      <c r="H35" s="246">
        <v>41.220312303553023</v>
      </c>
      <c r="I35" s="246">
        <v>909</v>
      </c>
      <c r="J35" s="612">
        <v>28340</v>
      </c>
      <c r="K35" s="612">
        <v>165334</v>
      </c>
      <c r="L35" s="612"/>
      <c r="M35" s="246"/>
      <c r="N35" s="731">
        <f t="shared" si="0"/>
        <v>0.14632836622365419</v>
      </c>
      <c r="O35" s="246">
        <f t="shared" si="1"/>
        <v>890</v>
      </c>
      <c r="P35" s="246">
        <f t="shared" si="2"/>
        <v>31252.080816216945</v>
      </c>
      <c r="Q35" s="246">
        <f t="shared" si="3"/>
        <v>182322.91918378306</v>
      </c>
      <c r="R35" s="1675" t="b">
        <f t="shared" si="4"/>
        <v>1</v>
      </c>
      <c r="S35" s="1675"/>
      <c r="T35" s="731">
        <f t="shared" si="5"/>
        <v>0.14572112380209798</v>
      </c>
      <c r="U35" s="1675"/>
      <c r="V35" s="1645">
        <v>2008</v>
      </c>
      <c r="W35" s="1645">
        <f t="shared" si="6"/>
        <v>214465</v>
      </c>
      <c r="X35" s="1645">
        <f t="shared" si="7"/>
        <v>7</v>
      </c>
      <c r="Y35" s="1675"/>
      <c r="Z35" s="1675"/>
      <c r="AA35" s="1675"/>
      <c r="AB35" s="1675"/>
      <c r="AC35" s="246"/>
    </row>
    <row r="36" spans="1:29">
      <c r="A36" s="1675">
        <v>2009</v>
      </c>
      <c r="B36" s="246">
        <v>179731.5</v>
      </c>
      <c r="C36" s="246">
        <v>1187.5</v>
      </c>
      <c r="D36" s="246">
        <v>177823</v>
      </c>
      <c r="E36" s="246">
        <v>9731</v>
      </c>
      <c r="F36" s="612">
        <v>1414</v>
      </c>
      <c r="G36" s="246">
        <v>9.8900301506347059</v>
      </c>
      <c r="H36" s="246">
        <v>81.044112333327419</v>
      </c>
      <c r="I36" s="246">
        <v>1406</v>
      </c>
      <c r="J36" s="612">
        <v>16034</v>
      </c>
      <c r="K36" s="612">
        <v>134937</v>
      </c>
      <c r="L36" s="612"/>
      <c r="M36" s="246"/>
      <c r="N36" s="731">
        <f t="shared" si="0"/>
        <v>0.10620582760927595</v>
      </c>
      <c r="O36" s="246">
        <f t="shared" si="1"/>
        <v>1414</v>
      </c>
      <c r="P36" s="246">
        <f t="shared" si="2"/>
        <v>18938.357664717063</v>
      </c>
      <c r="Q36" s="246">
        <f t="shared" si="3"/>
        <v>159379.14233528293</v>
      </c>
      <c r="R36" s="1675" t="b">
        <f t="shared" si="4"/>
        <v>1</v>
      </c>
      <c r="S36" s="1675"/>
      <c r="T36" s="731">
        <f t="shared" si="5"/>
        <v>0.10537027546488548</v>
      </c>
      <c r="U36" s="1675"/>
      <c r="V36" s="1645">
        <v>2009</v>
      </c>
      <c r="W36" s="1645">
        <f t="shared" si="6"/>
        <v>179732</v>
      </c>
      <c r="X36" s="1645">
        <f t="shared" si="7"/>
        <v>12</v>
      </c>
      <c r="Y36" s="1675"/>
      <c r="Z36" s="1675"/>
      <c r="AA36" s="1675"/>
      <c r="AB36" s="1675"/>
      <c r="AC36" s="246"/>
    </row>
    <row r="37" spans="1:29">
      <c r="A37" s="1675">
        <v>2010</v>
      </c>
      <c r="B37" s="246">
        <v>392192.8</v>
      </c>
      <c r="C37" s="246">
        <v>467.8</v>
      </c>
      <c r="D37" s="246">
        <v>386525</v>
      </c>
      <c r="E37" s="246">
        <v>26125</v>
      </c>
      <c r="F37" s="612">
        <v>1861</v>
      </c>
      <c r="G37" s="246">
        <v>3.0785407161847247</v>
      </c>
      <c r="H37" s="246">
        <v>171.92577214691306</v>
      </c>
      <c r="I37" s="246">
        <v>2406</v>
      </c>
      <c r="J37" s="612">
        <v>35821</v>
      </c>
      <c r="K37" s="612">
        <v>291764</v>
      </c>
      <c r="L37" s="612"/>
      <c r="M37" s="246"/>
      <c r="N37" s="731">
        <f t="shared" si="0"/>
        <v>0.10934871865317398</v>
      </c>
      <c r="O37" s="246">
        <f t="shared" si="1"/>
        <v>1861</v>
      </c>
      <c r="P37" s="246">
        <f t="shared" si="2"/>
        <v>42682.282179586975</v>
      </c>
      <c r="Q37" s="246">
        <f t="shared" si="3"/>
        <v>347649.51782041299</v>
      </c>
      <c r="R37" s="1675" t="b">
        <f t="shared" si="4"/>
        <v>1</v>
      </c>
      <c r="S37" s="1675"/>
      <c r="T37" s="731">
        <f t="shared" si="5"/>
        <v>0.10882984639082353</v>
      </c>
      <c r="U37" s="1675"/>
      <c r="V37" s="1645">
        <v>2010</v>
      </c>
      <c r="W37" s="1645">
        <f t="shared" si="6"/>
        <v>392193</v>
      </c>
      <c r="X37" s="1645">
        <f t="shared" si="7"/>
        <v>4</v>
      </c>
      <c r="Y37" s="1675"/>
      <c r="Z37" s="1675"/>
      <c r="AA37" s="1675"/>
      <c r="AB37" s="1675"/>
      <c r="AC37" s="246"/>
    </row>
    <row r="38" spans="1:29">
      <c r="A38" s="1675">
        <v>2011</v>
      </c>
      <c r="B38" s="246">
        <v>187365.2</v>
      </c>
      <c r="C38" s="246">
        <v>1873.2</v>
      </c>
      <c r="D38" s="246">
        <v>185796</v>
      </c>
      <c r="E38" s="246">
        <v>12853</v>
      </c>
      <c r="F38" s="612">
        <v>1561</v>
      </c>
      <c r="G38" s="246">
        <v>17.993338705345153</v>
      </c>
      <c r="H38" s="246">
        <v>123.46166046327207</v>
      </c>
      <c r="I38" s="246">
        <v>1502</v>
      </c>
      <c r="J38" s="612">
        <v>18634</v>
      </c>
      <c r="K38" s="612">
        <v>111508</v>
      </c>
      <c r="L38" s="612"/>
      <c r="M38" s="246"/>
      <c r="N38" s="731">
        <f t="shared" si="0"/>
        <v>0.1431820626700066</v>
      </c>
      <c r="O38" s="246">
        <f t="shared" si="1"/>
        <v>1561</v>
      </c>
      <c r="P38" s="246">
        <f t="shared" si="2"/>
        <v>26603.828608750442</v>
      </c>
      <c r="Q38" s="246">
        <f t="shared" si="3"/>
        <v>159200.37139124956</v>
      </c>
      <c r="R38" s="1675" t="b">
        <f t="shared" si="4"/>
        <v>1</v>
      </c>
      <c r="S38" s="1675"/>
      <c r="T38" s="731">
        <f t="shared" si="5"/>
        <v>0.14198916665821851</v>
      </c>
      <c r="U38" s="1675"/>
      <c r="V38" s="1645">
        <v>2011</v>
      </c>
      <c r="W38" s="1645">
        <f t="shared" si="6"/>
        <v>187365</v>
      </c>
      <c r="X38" s="1645">
        <f t="shared" si="7"/>
        <v>10</v>
      </c>
      <c r="Y38" s="1675"/>
      <c r="Z38" s="1675"/>
      <c r="AA38" s="1675"/>
      <c r="AB38" s="1675"/>
      <c r="AC38" s="246"/>
    </row>
    <row r="39" spans="1:29">
      <c r="A39" s="1675">
        <v>2012</v>
      </c>
      <c r="B39" s="246">
        <v>521158.8</v>
      </c>
      <c r="C39" s="246">
        <v>5490.8</v>
      </c>
      <c r="D39" s="246">
        <v>515673</v>
      </c>
      <c r="E39" s="246">
        <v>45352</v>
      </c>
      <c r="F39" s="475">
        <v>512</v>
      </c>
      <c r="G39" s="246">
        <v>5.5961262398244411</v>
      </c>
      <c r="H39" s="246">
        <v>46.221956222866986</v>
      </c>
      <c r="I39" s="246">
        <v>470</v>
      </c>
      <c r="J39" s="612">
        <v>43411</v>
      </c>
      <c r="K39" s="612">
        <v>326107</v>
      </c>
      <c r="L39" s="612"/>
      <c r="M39" s="246"/>
      <c r="N39" s="731">
        <f t="shared" si="0"/>
        <v>0.11748006862994495</v>
      </c>
      <c r="O39" s="246">
        <f t="shared" si="1"/>
        <v>512</v>
      </c>
      <c r="P39" s="246">
        <f t="shared" si="2"/>
        <v>61165.621795961219</v>
      </c>
      <c r="Q39" s="246">
        <f t="shared" si="3"/>
        <v>459481.17820403876</v>
      </c>
      <c r="R39" s="1675" t="b">
        <f t="shared" si="4"/>
        <v>1</v>
      </c>
      <c r="S39" s="1675"/>
      <c r="T39" s="731">
        <f t="shared" si="5"/>
        <v>0.11736465314595325</v>
      </c>
      <c r="U39" s="1675"/>
      <c r="V39" s="1645">
        <v>2012</v>
      </c>
      <c r="W39" s="1645">
        <f t="shared" si="6"/>
        <v>521159</v>
      </c>
      <c r="X39" s="1645">
        <f t="shared" si="7"/>
        <v>2</v>
      </c>
      <c r="Y39" s="1675"/>
      <c r="Z39" s="1675"/>
      <c r="AA39" s="1675"/>
      <c r="AB39" s="1675"/>
      <c r="AC39" s="246"/>
    </row>
    <row r="40" spans="1:29">
      <c r="A40" s="1675">
        <v>2013</v>
      </c>
      <c r="B40" s="246">
        <v>186191.45</v>
      </c>
      <c r="C40" s="246">
        <v>718.45</v>
      </c>
      <c r="D40" s="246">
        <v>185505</v>
      </c>
      <c r="E40" s="246">
        <v>8046</v>
      </c>
      <c r="F40" s="612">
        <v>1011</v>
      </c>
      <c r="G40" s="246">
        <v>4.3935535814441575</v>
      </c>
      <c r="H40" s="246">
        <v>49.203886305657576</v>
      </c>
      <c r="I40" s="246">
        <v>757</v>
      </c>
      <c r="J40" s="612">
        <v>29229</v>
      </c>
      <c r="K40" s="612">
        <v>129993</v>
      </c>
      <c r="L40" s="612"/>
      <c r="M40" s="246"/>
      <c r="N40" s="731">
        <f t="shared" si="0"/>
        <v>0.18357387798168595</v>
      </c>
      <c r="O40" s="246">
        <f t="shared" si="1"/>
        <v>1011</v>
      </c>
      <c r="P40" s="246">
        <f t="shared" si="2"/>
        <v>33994.2933328937</v>
      </c>
      <c r="Q40" s="246">
        <f t="shared" si="3"/>
        <v>151186.15666710632</v>
      </c>
      <c r="R40" s="1675" t="b">
        <f t="shared" si="4"/>
        <v>1</v>
      </c>
      <c r="S40" s="1675"/>
      <c r="T40" s="731">
        <f t="shared" si="5"/>
        <v>0.18257709112257139</v>
      </c>
      <c r="U40" s="1675"/>
      <c r="V40" s="1645">
        <v>2013</v>
      </c>
      <c r="W40" s="1645">
        <f t="shared" si="6"/>
        <v>186191</v>
      </c>
      <c r="X40" s="1645">
        <f t="shared" si="7"/>
        <v>11</v>
      </c>
      <c r="Y40" s="1675"/>
      <c r="Z40" s="1675"/>
      <c r="AA40" s="1675"/>
      <c r="AB40" s="1675"/>
      <c r="AC40" s="246"/>
    </row>
    <row r="41" spans="1:29">
      <c r="A41" s="1675">
        <v>2014</v>
      </c>
      <c r="B41" s="246">
        <v>651145.55000000005</v>
      </c>
      <c r="C41" s="246">
        <v>1737.55</v>
      </c>
      <c r="D41" s="246">
        <v>614179</v>
      </c>
      <c r="E41" s="246">
        <v>30702</v>
      </c>
      <c r="F41" s="612">
        <v>2523</v>
      </c>
      <c r="G41" s="246">
        <v>7.838359888597429</v>
      </c>
      <c r="H41" s="246">
        <v>138.50152530846205</v>
      </c>
      <c r="I41" s="246">
        <v>2786</v>
      </c>
      <c r="J41" s="612">
        <v>99888</v>
      </c>
      <c r="K41" s="612">
        <v>490804</v>
      </c>
      <c r="L41" s="612"/>
      <c r="M41" s="246"/>
      <c r="N41" s="731">
        <f t="shared" si="0"/>
        <v>0.16910335674090726</v>
      </c>
      <c r="O41" s="246">
        <f t="shared" si="1"/>
        <v>2523</v>
      </c>
      <c r="P41" s="246">
        <f t="shared" si="2"/>
        <v>109684.25046284696</v>
      </c>
      <c r="Q41" s="246">
        <f t="shared" si="3"/>
        <v>538938.2995371531</v>
      </c>
      <c r="R41" s="1675" t="b">
        <f t="shared" si="4"/>
        <v>1</v>
      </c>
      <c r="S41" s="1675"/>
      <c r="T41" s="731">
        <f t="shared" si="5"/>
        <v>0.16844813031870826</v>
      </c>
      <c r="U41" s="1675"/>
      <c r="V41" s="1645">
        <v>2014</v>
      </c>
      <c r="W41" s="1645">
        <f t="shared" si="6"/>
        <v>651146</v>
      </c>
      <c r="X41" s="1645">
        <f t="shared" si="7"/>
        <v>1</v>
      </c>
      <c r="Y41" s="1675"/>
      <c r="Z41" s="1675"/>
      <c r="AA41" s="1675"/>
      <c r="AB41" s="246"/>
      <c r="AC41" s="246"/>
    </row>
    <row r="42" spans="1:29">
      <c r="A42" s="1675">
        <v>2015</v>
      </c>
      <c r="B42" s="246">
        <v>512454.8</v>
      </c>
      <c r="C42" s="246">
        <v>1546.8</v>
      </c>
      <c r="D42" s="246">
        <v>510706</v>
      </c>
      <c r="E42" s="246">
        <v>30095</v>
      </c>
      <c r="F42" s="612">
        <v>1749</v>
      </c>
      <c r="G42" s="246">
        <v>5.2611904684923543</v>
      </c>
      <c r="H42" s="246">
        <v>102.3632836496492</v>
      </c>
      <c r="I42" s="246">
        <v>440</v>
      </c>
      <c r="J42" s="612">
        <v>51533</v>
      </c>
      <c r="K42" s="612">
        <v>187055</v>
      </c>
      <c r="L42" s="612"/>
      <c r="M42" s="246"/>
      <c r="N42" s="731">
        <f t="shared" si="0"/>
        <v>0.21599158381813</v>
      </c>
      <c r="O42" s="246">
        <f t="shared" si="1"/>
        <v>1749</v>
      </c>
      <c r="P42" s="246">
        <f t="shared" si="2"/>
        <v>110308.15460710513</v>
      </c>
      <c r="Q42" s="246">
        <f t="shared" si="3"/>
        <v>400397.64539289486</v>
      </c>
      <c r="R42" s="1675" t="b">
        <f t="shared" si="4"/>
        <v>1</v>
      </c>
      <c r="S42" s="1675"/>
      <c r="T42" s="731">
        <f t="shared" si="5"/>
        <v>0.21525440801238496</v>
      </c>
      <c r="U42" s="1675"/>
      <c r="V42" s="1645">
        <v>2015</v>
      </c>
      <c r="W42" s="1645">
        <f t="shared" si="6"/>
        <v>512455</v>
      </c>
      <c r="X42" s="1645">
        <f t="shared" si="7"/>
        <v>3</v>
      </c>
      <c r="Y42" s="1675"/>
      <c r="Z42" s="1675"/>
      <c r="AA42" s="1675"/>
      <c r="AB42" s="1675"/>
      <c r="AC42" s="246"/>
    </row>
    <row r="43" spans="1:29">
      <c r="A43" s="1675">
        <v>2016</v>
      </c>
      <c r="B43" s="246">
        <v>356605.8</v>
      </c>
      <c r="C43" s="246">
        <v>1196.8</v>
      </c>
      <c r="D43" s="246">
        <v>342498</v>
      </c>
      <c r="E43" s="246">
        <v>16683</v>
      </c>
      <c r="F43" s="475">
        <v>946</v>
      </c>
      <c r="G43" s="246">
        <v>3.172755183978083</v>
      </c>
      <c r="H43" s="246">
        <v>44.227168060082185</v>
      </c>
      <c r="I43" s="246">
        <v>816</v>
      </c>
      <c r="J43" s="612">
        <v>73748</v>
      </c>
      <c r="K43" s="612">
        <v>216036</v>
      </c>
      <c r="L43" s="612"/>
      <c r="M43" s="246"/>
      <c r="N43" s="731">
        <f t="shared" si="0"/>
        <v>0.2544930016840129</v>
      </c>
      <c r="O43" s="246">
        <f t="shared" si="1"/>
        <v>946</v>
      </c>
      <c r="P43" s="246">
        <f t="shared" si="2"/>
        <v>90512.930080335689</v>
      </c>
      <c r="Q43" s="246">
        <f t="shared" si="3"/>
        <v>265146.86991966428</v>
      </c>
      <c r="R43" s="1675" t="b">
        <f t="shared" si="4"/>
        <v>1</v>
      </c>
      <c r="S43" s="1675"/>
      <c r="T43" s="731">
        <f t="shared" si="5"/>
        <v>0.25381788540830152</v>
      </c>
      <c r="U43" s="1675"/>
      <c r="V43" s="1645">
        <v>2016</v>
      </c>
      <c r="W43" s="1645">
        <f t="shared" si="6"/>
        <v>356606</v>
      </c>
      <c r="X43" s="1645">
        <f t="shared" si="7"/>
        <v>5</v>
      </c>
      <c r="Y43" s="1675"/>
      <c r="Z43" s="1675"/>
      <c r="AA43" s="1675"/>
      <c r="AB43" s="1675"/>
      <c r="AC43" s="1675"/>
    </row>
    <row r="44" spans="1:29">
      <c r="A44" s="1675">
        <v>2017</v>
      </c>
      <c r="B44" s="246">
        <v>88263</v>
      </c>
      <c r="C44" s="246">
        <v>429</v>
      </c>
      <c r="D44" s="246">
        <v>87693</v>
      </c>
      <c r="E44" s="246">
        <v>4480</v>
      </c>
      <c r="F44" s="475">
        <v>444</v>
      </c>
      <c r="G44" s="246">
        <v>2.1343825358548041</v>
      </c>
      <c r="H44" s="246">
        <v>22.289122985150403</v>
      </c>
      <c r="I44" s="246">
        <v>228</v>
      </c>
      <c r="J44" s="612">
        <v>23854</v>
      </c>
      <c r="K44" s="612">
        <v>42299</v>
      </c>
      <c r="L44" s="612"/>
      <c r="M44" s="246"/>
      <c r="N44" s="731">
        <f t="shared" si="0"/>
        <v>0.36058833310658622</v>
      </c>
      <c r="O44" s="246">
        <f t="shared" si="1"/>
        <v>444</v>
      </c>
      <c r="P44" s="246">
        <f t="shared" si="2"/>
        <v>31666.506825087297</v>
      </c>
      <c r="Q44" s="246">
        <f t="shared" si="3"/>
        <v>56152.493174912699</v>
      </c>
      <c r="R44" s="1675" t="b">
        <f t="shared" si="4"/>
        <v>1</v>
      </c>
      <c r="S44" s="1675"/>
      <c r="T44" s="731">
        <f t="shared" si="5"/>
        <v>0.35877442218242411</v>
      </c>
      <c r="U44" s="1675"/>
      <c r="V44" s="1645">
        <v>2017</v>
      </c>
      <c r="W44" s="1645">
        <f t="shared" si="6"/>
        <v>88263</v>
      </c>
      <c r="X44" s="1645">
        <f t="shared" si="7"/>
        <v>21</v>
      </c>
      <c r="Y44" s="1675"/>
      <c r="Z44" s="1675"/>
      <c r="AA44" s="1675"/>
      <c r="AB44" s="1675"/>
      <c r="AC44" s="1675"/>
    </row>
    <row r="45" spans="1:29">
      <c r="A45" s="1675">
        <v>2018</v>
      </c>
      <c r="B45" s="246">
        <v>210914.89347826087</v>
      </c>
      <c r="C45" s="246">
        <v>112.35</v>
      </c>
      <c r="D45" s="246">
        <v>193816</v>
      </c>
      <c r="E45" s="246">
        <v>7724</v>
      </c>
      <c r="F45" s="475">
        <v>297</v>
      </c>
      <c r="G45" s="246">
        <v>0.15797242403426479</v>
      </c>
      <c r="H45" s="246">
        <v>10.860516272725064</v>
      </c>
      <c r="I45" s="246">
        <v>213</v>
      </c>
      <c r="J45" s="612">
        <v>13962</v>
      </c>
      <c r="K45" s="612">
        <v>153637</v>
      </c>
      <c r="L45" s="612"/>
      <c r="M45" s="246"/>
      <c r="N45" s="731">
        <f t="shared" si="0"/>
        <v>8.3305986312567498E-2</v>
      </c>
      <c r="O45" s="246">
        <f t="shared" si="1"/>
        <v>297</v>
      </c>
      <c r="P45" s="246">
        <f t="shared" si="2"/>
        <v>17545.7313512818</v>
      </c>
      <c r="Q45" s="246">
        <f t="shared" si="3"/>
        <v>193072.16212697906</v>
      </c>
      <c r="R45" s="1675" t="b">
        <f t="shared" si="4"/>
        <v>1</v>
      </c>
      <c r="S45" s="1675"/>
      <c r="T45" s="731">
        <f t="shared" si="5"/>
        <v>8.3188678911810698E-2</v>
      </c>
      <c r="U45" s="1675"/>
      <c r="V45" s="1645">
        <v>2018</v>
      </c>
      <c r="W45" s="1645">
        <f t="shared" si="6"/>
        <v>210915</v>
      </c>
      <c r="X45" s="1645">
        <f t="shared" si="7"/>
        <v>8</v>
      </c>
      <c r="Y45" s="1675"/>
      <c r="Z45" s="1675"/>
      <c r="AA45" s="1675"/>
      <c r="AB45" s="1675"/>
      <c r="AC45" s="1675"/>
    </row>
    <row r="46" spans="1:29">
      <c r="A46" s="1675">
        <v>2019</v>
      </c>
      <c r="B46" s="732">
        <v>63221.794000000002</v>
      </c>
      <c r="C46" s="246">
        <v>41.45</v>
      </c>
      <c r="D46" s="246">
        <v>63046</v>
      </c>
      <c r="E46" s="246">
        <v>1118</v>
      </c>
      <c r="F46" s="475">
        <v>335</v>
      </c>
      <c r="G46" s="246">
        <v>0.22430032975395284</v>
      </c>
      <c r="H46" s="246">
        <v>6.0498858544009471</v>
      </c>
      <c r="I46" s="246">
        <v>81</v>
      </c>
      <c r="J46" s="612">
        <v>8878</v>
      </c>
      <c r="K46" s="612">
        <v>49862</v>
      </c>
      <c r="L46" s="612"/>
      <c r="M46" s="246"/>
      <c r="N46" s="731">
        <f t="shared" si="0"/>
        <v>0.15114061967994552</v>
      </c>
      <c r="O46" s="246">
        <f t="shared" si="1"/>
        <v>335</v>
      </c>
      <c r="P46" s="246">
        <f t="shared" si="2"/>
        <v>9504.7490148450797</v>
      </c>
      <c r="Q46" s="246">
        <f t="shared" si="3"/>
        <v>53382.04498515492</v>
      </c>
      <c r="R46" s="1675" t="b">
        <f t="shared" si="4"/>
        <v>1</v>
      </c>
      <c r="S46" s="1675"/>
      <c r="T46" s="731">
        <f t="shared" si="5"/>
        <v>0.15033975490864873</v>
      </c>
      <c r="U46" s="1675"/>
      <c r="V46" s="1645">
        <v>2019</v>
      </c>
      <c r="W46" s="1645">
        <f t="shared" si="6"/>
        <v>63222</v>
      </c>
      <c r="X46" s="1645">
        <f t="shared" si="7"/>
        <v>26</v>
      </c>
      <c r="Y46" s="1675"/>
      <c r="Z46" s="1675"/>
      <c r="AA46" s="1675"/>
      <c r="AB46" s="1675"/>
      <c r="AC46" s="1675"/>
    </row>
    <row r="47" spans="1:29">
      <c r="A47" s="1675">
        <v>2020</v>
      </c>
      <c r="B47" s="246">
        <v>345018</v>
      </c>
      <c r="C47" s="246">
        <v>3357</v>
      </c>
      <c r="D47" s="246">
        <v>341739</v>
      </c>
      <c r="E47" s="246">
        <v>15258</v>
      </c>
      <c r="F47" s="475">
        <v>750</v>
      </c>
      <c r="G47" s="246">
        <v>7.1179773347909583</v>
      </c>
      <c r="H47" s="246">
        <v>32.462853095676479</v>
      </c>
      <c r="I47" s="246">
        <v>640</v>
      </c>
      <c r="J47" s="612">
        <v>43391</v>
      </c>
      <c r="K47" s="612">
        <v>226107</v>
      </c>
      <c r="L47" s="612"/>
      <c r="M47" s="246"/>
      <c r="N47" s="731">
        <f t="shared" si="0"/>
        <v>0.16100676071807582</v>
      </c>
      <c r="O47" s="246">
        <f t="shared" si="1"/>
        <v>750</v>
      </c>
      <c r="P47" s="246">
        <f t="shared" si="2"/>
        <v>55429.475498890526</v>
      </c>
      <c r="Q47" s="246">
        <f t="shared" si="3"/>
        <v>288838.5245011095</v>
      </c>
      <c r="R47" s="1675" t="b">
        <f t="shared" si="4"/>
        <v>1</v>
      </c>
      <c r="S47" s="1675"/>
      <c r="T47" s="731">
        <f t="shared" si="5"/>
        <v>0.16065676428154627</v>
      </c>
      <c r="U47" s="1675"/>
      <c r="V47" s="1645">
        <v>2020</v>
      </c>
      <c r="W47" s="1645">
        <f t="shared" si="6"/>
        <v>345018</v>
      </c>
      <c r="X47" s="1645">
        <f t="shared" si="7"/>
        <v>6</v>
      </c>
      <c r="Y47" s="1675"/>
      <c r="Z47" s="1675"/>
      <c r="AA47" s="1675"/>
      <c r="AB47" s="1675"/>
      <c r="AC47" s="1675"/>
    </row>
    <row r="48" spans="1:29" ht="15">
      <c r="A48" s="1675">
        <v>2021</v>
      </c>
      <c r="B48" s="816">
        <v>152322</v>
      </c>
      <c r="C48" s="618">
        <v>563</v>
      </c>
      <c r="D48" s="246">
        <v>151765</v>
      </c>
      <c r="E48" s="246">
        <v>9528</v>
      </c>
      <c r="F48" s="475">
        <v>952</v>
      </c>
      <c r="G48" s="246">
        <v>4</v>
      </c>
      <c r="H48" s="246">
        <v>60</v>
      </c>
      <c r="I48" s="246">
        <v>645</v>
      </c>
      <c r="J48" s="612">
        <v>30826</v>
      </c>
      <c r="K48" s="612">
        <v>76255</v>
      </c>
      <c r="L48" s="612"/>
      <c r="M48" s="455">
        <f>C48/B48</f>
        <v>3.6961174354328331E-3</v>
      </c>
      <c r="N48" s="731">
        <f t="shared" si="0"/>
        <v>0.28787553347465938</v>
      </c>
      <c r="O48" s="246">
        <f t="shared" si="1"/>
        <v>952</v>
      </c>
      <c r="P48" s="246">
        <f t="shared" si="2"/>
        <v>43575.71950205919</v>
      </c>
      <c r="Q48" s="246">
        <f t="shared" si="3"/>
        <v>107794.28049794081</v>
      </c>
      <c r="R48" s="1675" t="b">
        <f t="shared" si="4"/>
        <v>1</v>
      </c>
      <c r="S48" s="1675"/>
      <c r="T48" s="731">
        <f t="shared" si="5"/>
        <v>0.28607633501437213</v>
      </c>
      <c r="U48" s="1675"/>
      <c r="V48" s="1645">
        <v>2021</v>
      </c>
      <c r="W48" s="1645">
        <f t="shared" si="6"/>
        <v>152322</v>
      </c>
      <c r="X48" s="1645">
        <f t="shared" si="7"/>
        <v>14</v>
      </c>
      <c r="Y48" s="1675"/>
      <c r="Z48" s="1675"/>
      <c r="AA48" s="1675"/>
      <c r="AB48" s="1675"/>
      <c r="AC48" s="1675"/>
    </row>
    <row r="49" spans="1:27" ht="15">
      <c r="A49" s="1675">
        <v>2022</v>
      </c>
      <c r="B49" s="817">
        <v>664935</v>
      </c>
      <c r="C49" s="817">
        <v>1448</v>
      </c>
      <c r="D49" s="246">
        <v>663253</v>
      </c>
      <c r="E49" s="246">
        <v>28520</v>
      </c>
      <c r="F49" s="475">
        <v>2329</v>
      </c>
      <c r="G49" s="246">
        <v>5</v>
      </c>
      <c r="H49" s="246">
        <v>99</v>
      </c>
      <c r="I49" s="246">
        <v>2087</v>
      </c>
      <c r="J49" s="612">
        <v>135837</v>
      </c>
      <c r="K49" s="612">
        <v>478413</v>
      </c>
      <c r="L49" s="612"/>
      <c r="M49" s="455">
        <f>C49/B49</f>
        <v>2.177656462661764E-3</v>
      </c>
      <c r="N49" s="731">
        <f t="shared" si="0"/>
        <v>0.22114285714285714</v>
      </c>
      <c r="O49" s="246"/>
      <c r="P49" s="246"/>
      <c r="Q49" s="246"/>
      <c r="R49" s="1675"/>
      <c r="S49" s="1675"/>
      <c r="T49" s="731"/>
      <c r="U49" s="1675"/>
      <c r="V49" s="1645"/>
      <c r="W49" s="1645"/>
      <c r="X49" s="1645"/>
      <c r="Y49" s="1675"/>
      <c r="Z49" s="1675"/>
      <c r="AA49" s="1675"/>
    </row>
    <row r="50" spans="1:27" ht="15">
      <c r="A50" s="1675">
        <v>2023</v>
      </c>
      <c r="B50" s="817">
        <v>329040</v>
      </c>
      <c r="C50" s="817">
        <v>1434</v>
      </c>
      <c r="D50" s="246">
        <v>327600</v>
      </c>
      <c r="E50" s="246">
        <v>22061</v>
      </c>
      <c r="F50" s="475">
        <v>1999</v>
      </c>
      <c r="G50" s="246">
        <v>9</v>
      </c>
      <c r="H50" s="246">
        <v>134</v>
      </c>
      <c r="I50" s="246">
        <v>1564</v>
      </c>
      <c r="J50" s="612">
        <v>84473</v>
      </c>
      <c r="K50" s="612">
        <v>136941</v>
      </c>
      <c r="L50" s="612"/>
      <c r="M50" s="455">
        <f t="shared" ref="M50:M51" si="8">C50/B50</f>
        <v>4.3581327498176513E-3</v>
      </c>
      <c r="N50" s="731">
        <f t="shared" si="0"/>
        <v>0.38151607396099613</v>
      </c>
      <c r="O50" s="246"/>
      <c r="P50" s="246"/>
      <c r="Q50" s="246"/>
      <c r="R50" s="1675"/>
      <c r="S50" s="1675"/>
      <c r="T50" s="731"/>
      <c r="U50" s="1675"/>
      <c r="V50" s="1645"/>
      <c r="W50" s="1645"/>
      <c r="X50" s="1645"/>
      <c r="Y50" s="1675"/>
      <c r="Z50" s="1675"/>
      <c r="AA50" s="1675"/>
    </row>
    <row r="51" spans="1:27">
      <c r="A51" s="1675">
        <v>2024</v>
      </c>
      <c r="B51" s="246">
        <v>761682</v>
      </c>
      <c r="C51" s="246">
        <v>4838.95</v>
      </c>
      <c r="D51" s="246">
        <v>755909</v>
      </c>
      <c r="E51" s="733">
        <v>37162</v>
      </c>
      <c r="F51" s="246">
        <v>1179</v>
      </c>
      <c r="G51" s="246">
        <v>22</v>
      </c>
      <c r="H51" s="246">
        <v>168</v>
      </c>
      <c r="I51" s="246">
        <v>2947</v>
      </c>
      <c r="J51" s="734">
        <v>190117</v>
      </c>
      <c r="K51" s="246">
        <v>491039</v>
      </c>
      <c r="L51" s="246"/>
      <c r="M51" s="455">
        <f t="shared" si="8"/>
        <v>6.3529793273308282E-3</v>
      </c>
      <c r="N51" s="731">
        <f t="shared" si="0"/>
        <v>0.27910933765539758</v>
      </c>
      <c r="O51" s="246"/>
      <c r="P51" s="246"/>
      <c r="Q51" s="246"/>
      <c r="R51" s="1675"/>
      <c r="S51" s="1675"/>
      <c r="T51" s="731"/>
      <c r="U51" s="1675"/>
      <c r="V51" s="1675"/>
      <c r="W51" s="1675"/>
      <c r="X51" s="1675"/>
      <c r="Y51" s="1675"/>
      <c r="Z51" s="1675"/>
      <c r="AA51" s="1675"/>
    </row>
    <row r="52" spans="1:27">
      <c r="A52" s="1675">
        <v>2025</v>
      </c>
      <c r="B52" s="246">
        <v>167636</v>
      </c>
      <c r="C52" s="246">
        <v>929</v>
      </c>
      <c r="D52" s="246">
        <v>166711</v>
      </c>
      <c r="E52" s="733">
        <v>7870</v>
      </c>
      <c r="F52" s="246">
        <v>1268</v>
      </c>
      <c r="G52" s="246">
        <v>7</v>
      </c>
      <c r="H52" s="246">
        <v>60</v>
      </c>
      <c r="I52" s="246">
        <v>1106</v>
      </c>
      <c r="J52" s="734">
        <v>50828</v>
      </c>
      <c r="K52" s="246">
        <v>72708</v>
      </c>
      <c r="L52" s="246"/>
      <c r="M52" s="455"/>
      <c r="N52" s="731">
        <f t="shared" si="0"/>
        <v>0.41144281828778656</v>
      </c>
      <c r="O52" s="246"/>
      <c r="P52" s="246"/>
      <c r="Q52" s="246"/>
      <c r="R52" s="1675"/>
      <c r="S52" s="1675"/>
      <c r="T52" s="731"/>
      <c r="U52" s="1675"/>
      <c r="V52" s="1675"/>
      <c r="W52" s="1675"/>
      <c r="X52" s="1675"/>
      <c r="Y52" s="1675"/>
      <c r="Z52" s="1675"/>
      <c r="AA52" s="1675"/>
    </row>
    <row r="53" spans="1:27">
      <c r="A53" s="412"/>
      <c r="B53" s="735"/>
      <c r="C53" s="735"/>
      <c r="D53" s="735"/>
      <c r="E53" s="735"/>
      <c r="F53" s="735"/>
      <c r="G53" s="735"/>
      <c r="H53" s="735"/>
      <c r="I53" s="735"/>
      <c r="J53" s="735"/>
      <c r="K53" s="735"/>
      <c r="L53" s="735"/>
      <c r="M53" s="735"/>
      <c r="N53" s="736"/>
      <c r="O53" s="735"/>
      <c r="P53" s="735"/>
      <c r="Q53" s="735"/>
      <c r="R53" s="735"/>
      <c r="S53" s="735"/>
      <c r="T53" s="737"/>
      <c r="U53" s="1675"/>
      <c r="V53" s="1675"/>
      <c r="W53" s="1675"/>
      <c r="X53" s="1675"/>
      <c r="Y53" s="1675"/>
      <c r="Z53" s="1675"/>
      <c r="AA53" s="1675"/>
    </row>
    <row r="54" spans="1:27">
      <c r="A54" s="1675" t="s">
        <v>57</v>
      </c>
      <c r="B54" s="246">
        <f>AVERAGE(B7:B16)</f>
        <v>98126.7</v>
      </c>
      <c r="C54" s="246"/>
      <c r="D54" s="246"/>
      <c r="E54" s="246"/>
      <c r="F54" s="246">
        <f>AVERAGE(F7:F16)</f>
        <v>117.7</v>
      </c>
      <c r="G54" s="246"/>
      <c r="H54" s="246"/>
      <c r="I54" s="246">
        <f>AVERAGE(I7:I16)</f>
        <v>95.7</v>
      </c>
      <c r="J54" s="246" t="e">
        <f>AVERAGE(J7:J16)</f>
        <v>#DIV/0!</v>
      </c>
      <c r="K54" s="246">
        <f>AVERAGE(K7:K16)</f>
        <v>36064.199999999997</v>
      </c>
      <c r="L54" s="246"/>
      <c r="M54" s="246"/>
      <c r="N54" s="85">
        <f>AVERAGE(N7:N16)</f>
        <v>0</v>
      </c>
      <c r="O54" s="246">
        <f>AVERAGE(O7:O16)</f>
        <v>117.7</v>
      </c>
      <c r="P54" s="246">
        <f>AVERAGE(P7:P16)</f>
        <v>0</v>
      </c>
      <c r="Q54" s="246">
        <f>AVERAGE(Q7:Q16)</f>
        <v>98009</v>
      </c>
      <c r="R54" s="246"/>
      <c r="S54" s="246"/>
      <c r="T54" s="738">
        <f>AVERAGE(T7:T16)</f>
        <v>0</v>
      </c>
      <c r="U54" s="1675"/>
      <c r="V54" s="1675"/>
      <c r="W54" s="1675"/>
      <c r="X54" s="1675"/>
      <c r="Y54" s="1675"/>
      <c r="Z54" s="1675"/>
      <c r="AA54" s="1675"/>
    </row>
    <row r="55" spans="1:27">
      <c r="A55" s="1675" t="s">
        <v>58</v>
      </c>
      <c r="B55" s="246">
        <f>MIN(B7:B16)</f>
        <v>47478</v>
      </c>
      <c r="C55" s="246"/>
      <c r="D55" s="246"/>
      <c r="E55" s="246"/>
      <c r="F55" s="246">
        <f>MIN(F7:F16)</f>
        <v>4</v>
      </c>
      <c r="G55" s="246"/>
      <c r="H55" s="246"/>
      <c r="I55" s="246">
        <f>MIN(I7:I16)</f>
        <v>4</v>
      </c>
      <c r="J55" s="246">
        <f>MIN(J7:J16)</f>
        <v>0</v>
      </c>
      <c r="K55" s="246">
        <f>MIN(K7:K16)</f>
        <v>15976</v>
      </c>
      <c r="L55" s="246"/>
      <c r="M55" s="246"/>
      <c r="N55" s="85">
        <f>MIN(N7:N16)</f>
        <v>0</v>
      </c>
      <c r="O55" s="246">
        <f>MIN(O7:O16)</f>
        <v>4</v>
      </c>
      <c r="P55" s="246">
        <f>MIN(P7:P16)</f>
        <v>0</v>
      </c>
      <c r="Q55" s="246">
        <f>MIN(Q7:Q16)</f>
        <v>47474</v>
      </c>
      <c r="R55" s="246"/>
      <c r="S55" s="246"/>
      <c r="T55" s="738">
        <f>MIN(T7:T16)</f>
        <v>0</v>
      </c>
      <c r="U55" s="1675"/>
      <c r="V55" s="1675"/>
      <c r="W55" s="1675"/>
      <c r="X55" s="1675"/>
      <c r="Y55" s="1675"/>
      <c r="Z55" s="1675"/>
      <c r="AA55" s="1675"/>
    </row>
    <row r="56" spans="1:27">
      <c r="A56" s="412" t="s">
        <v>59</v>
      </c>
      <c r="B56" s="735">
        <f>MAX(B7:B16)</f>
        <v>200758</v>
      </c>
      <c r="C56" s="735"/>
      <c r="D56" s="735"/>
      <c r="E56" s="735"/>
      <c r="F56" s="735">
        <f>MAX(F7:F16)</f>
        <v>257</v>
      </c>
      <c r="G56" s="735"/>
      <c r="H56" s="735"/>
      <c r="I56" s="735">
        <f>MAX(I7:I16)</f>
        <v>218</v>
      </c>
      <c r="J56" s="735">
        <f>MAX(J7:J16)</f>
        <v>0</v>
      </c>
      <c r="K56" s="735">
        <f>MAX(K7:K16)</f>
        <v>81054</v>
      </c>
      <c r="L56" s="735"/>
      <c r="M56" s="735"/>
      <c r="N56" s="736">
        <f>MAX(N7:N16)</f>
        <v>0</v>
      </c>
      <c r="O56" s="735">
        <f>MAX(O7:O16)</f>
        <v>257</v>
      </c>
      <c r="P56" s="735">
        <f>MAX(P7:P16)</f>
        <v>0</v>
      </c>
      <c r="Q56" s="735">
        <f>MAX(Q7:Q16)</f>
        <v>200699</v>
      </c>
      <c r="R56" s="735"/>
      <c r="S56" s="735"/>
      <c r="T56" s="737">
        <f>MAX(T7:T16)</f>
        <v>0</v>
      </c>
      <c r="U56" s="1675"/>
      <c r="V56" s="1675"/>
      <c r="W56" s="1675"/>
      <c r="X56" s="1675"/>
      <c r="Y56" s="1675"/>
      <c r="Z56" s="1675"/>
      <c r="AA56" s="246"/>
    </row>
    <row r="57" spans="1:27">
      <c r="A57" s="1675" t="s">
        <v>60</v>
      </c>
      <c r="B57" s="246">
        <f>AVERAGE(B17:B26)</f>
        <v>43528.380000000005</v>
      </c>
      <c r="C57" s="246"/>
      <c r="D57" s="246"/>
      <c r="E57" s="246"/>
      <c r="F57" s="246">
        <f>AVERAGE(F17:F26)</f>
        <v>11.2</v>
      </c>
      <c r="G57" s="246"/>
      <c r="H57" s="246"/>
      <c r="I57" s="246">
        <f>AVERAGE(I17:I26)</f>
        <v>9.3000000000000007</v>
      </c>
      <c r="J57" s="246">
        <f>AVERAGE(J17:J26)</f>
        <v>1172</v>
      </c>
      <c r="K57" s="246">
        <f>AVERAGE(K17:K26)</f>
        <v>17083.099999999999</v>
      </c>
      <c r="L57" s="246"/>
      <c r="M57" s="246"/>
      <c r="N57" s="85">
        <f>AVERAGE(N17:N26)</f>
        <v>8.6430678466076702E-3</v>
      </c>
      <c r="O57" s="246">
        <f>AVERAGE(O17:O26)</f>
        <v>11.2</v>
      </c>
      <c r="P57" s="246">
        <f>AVERAGE(P17:P26)</f>
        <v>164.90022713864309</v>
      </c>
      <c r="Q57" s="246">
        <f>AVERAGE(Q17:Q26)</f>
        <v>43352.279772861359</v>
      </c>
      <c r="R57" s="246"/>
      <c r="S57" s="246"/>
      <c r="T57" s="738">
        <f>AVERAGE(T17:T26)</f>
        <v>8.6362779284820321E-3</v>
      </c>
      <c r="U57" s="1675"/>
      <c r="V57" s="1675"/>
      <c r="W57" s="1675"/>
      <c r="X57" s="1675"/>
      <c r="Y57" s="1675"/>
      <c r="Z57" s="1675"/>
      <c r="AA57" s="1675"/>
    </row>
    <row r="58" spans="1:27">
      <c r="A58" s="1675" t="s">
        <v>58</v>
      </c>
      <c r="B58" s="246">
        <f>MIN(B17:B26)</f>
        <v>9913</v>
      </c>
      <c r="C58" s="246"/>
      <c r="D58" s="246"/>
      <c r="E58" s="246"/>
      <c r="F58" s="246">
        <f>MIN(F17:F26)</f>
        <v>1</v>
      </c>
      <c r="G58" s="246"/>
      <c r="H58" s="246"/>
      <c r="I58" s="246">
        <f>MIN(I17:I26)</f>
        <v>1</v>
      </c>
      <c r="J58" s="246">
        <f>MIN(J17:J26)</f>
        <v>1172</v>
      </c>
      <c r="K58" s="246">
        <f>MIN(K17:K26)</f>
        <v>1666</v>
      </c>
      <c r="L58" s="246"/>
      <c r="M58" s="246"/>
      <c r="N58" s="85">
        <f>MIN(N17:N26)</f>
        <v>0</v>
      </c>
      <c r="O58" s="246">
        <f>MIN(O17:O26)</f>
        <v>1</v>
      </c>
      <c r="P58" s="246">
        <f>MIN(P17:P26)</f>
        <v>0</v>
      </c>
      <c r="Q58" s="246">
        <f>MIN(Q17:Q26)</f>
        <v>9908</v>
      </c>
      <c r="R58" s="246"/>
      <c r="S58" s="246"/>
      <c r="T58" s="738">
        <f>MIN(T17:T26)</f>
        <v>0</v>
      </c>
      <c r="U58" s="1675"/>
      <c r="V58" s="1675"/>
      <c r="W58" s="1675"/>
      <c r="X58" s="1675"/>
      <c r="Y58" s="1675"/>
      <c r="Z58" s="1675"/>
      <c r="AA58" s="1675"/>
    </row>
    <row r="59" spans="1:27">
      <c r="A59" s="412" t="s">
        <v>59</v>
      </c>
      <c r="B59" s="735">
        <f>MAX(B17:B26)</f>
        <v>88025</v>
      </c>
      <c r="C59" s="735"/>
      <c r="D59" s="735"/>
      <c r="E59" s="735"/>
      <c r="F59" s="735">
        <f>MAX(F17:F26)</f>
        <v>35</v>
      </c>
      <c r="G59" s="735"/>
      <c r="H59" s="735"/>
      <c r="I59" s="735">
        <f>MAX(I17:I26)</f>
        <v>18</v>
      </c>
      <c r="J59" s="735">
        <f>MAX(J17:J26)</f>
        <v>1172</v>
      </c>
      <c r="K59" s="735">
        <f>MAX(K17:K26)</f>
        <v>41951</v>
      </c>
      <c r="L59" s="735"/>
      <c r="M59" s="735"/>
      <c r="N59" s="736">
        <f>MAX(N17:N26)</f>
        <v>8.6430678466076702E-2</v>
      </c>
      <c r="O59" s="735">
        <f>MAX(O17:O26)</f>
        <v>35</v>
      </c>
      <c r="P59" s="735">
        <f>MAX(P17:P26)</f>
        <v>1649.0022713864309</v>
      </c>
      <c r="Q59" s="735">
        <f>MAX(Q17:Q26)</f>
        <v>88007</v>
      </c>
      <c r="R59" s="735"/>
      <c r="S59" s="735"/>
      <c r="T59" s="737">
        <f>MAX(T17:T26)</f>
        <v>8.6362779284820321E-2</v>
      </c>
      <c r="U59" s="1675"/>
      <c r="V59" s="1675"/>
      <c r="W59" s="1675"/>
      <c r="X59" s="1675"/>
      <c r="Y59" s="1675"/>
      <c r="Z59" s="1675"/>
      <c r="AA59" s="1675"/>
    </row>
    <row r="60" spans="1:27">
      <c r="A60" s="1675" t="s">
        <v>246</v>
      </c>
      <c r="B60" s="246">
        <f>AVERAGE(B27:B36)</f>
        <v>96698.859800000006</v>
      </c>
      <c r="C60" s="246"/>
      <c r="D60" s="246"/>
      <c r="E60" s="246"/>
      <c r="F60" s="246">
        <f>AVERAGE(F27:F36)</f>
        <v>306</v>
      </c>
      <c r="G60" s="246"/>
      <c r="H60" s="246"/>
      <c r="I60" s="246">
        <f>AVERAGE(I27:I36)</f>
        <v>301</v>
      </c>
      <c r="J60" s="246">
        <f>AVERAGE(J27:J36)</f>
        <v>19053</v>
      </c>
      <c r="K60" s="246">
        <f>AVERAGE(K27:K36)</f>
        <v>65222.400000000001</v>
      </c>
      <c r="L60" s="246"/>
      <c r="M60" s="246"/>
      <c r="N60" s="85">
        <f>AVERAGE(N27:N36)</f>
        <v>0.26008952192479606</v>
      </c>
      <c r="O60" s="246">
        <f>AVERAGE(O27:O36)</f>
        <v>306</v>
      </c>
      <c r="P60" s="246">
        <f>AVERAGE(P27:P36)</f>
        <v>22134.172513827776</v>
      </c>
      <c r="Q60" s="246">
        <f>AVERAGE(Q27:Q36)</f>
        <v>74258.687286172222</v>
      </c>
      <c r="R60" s="246"/>
      <c r="S60" s="246"/>
      <c r="T60" s="738">
        <f>AVERAGE(T27:T36)</f>
        <v>0.25963012095727922</v>
      </c>
      <c r="U60" s="1675"/>
      <c r="V60" s="1675"/>
      <c r="W60" s="1675"/>
      <c r="X60" s="1675"/>
      <c r="Y60" s="1675"/>
      <c r="Z60" s="1675"/>
      <c r="AA60" s="1675"/>
    </row>
    <row r="61" spans="1:27">
      <c r="A61" s="1675" t="s">
        <v>58</v>
      </c>
      <c r="B61" s="246">
        <f>MIN(B27:B36)</f>
        <v>26604</v>
      </c>
      <c r="C61" s="246"/>
      <c r="D61" s="246"/>
      <c r="E61" s="246"/>
      <c r="F61" s="246">
        <f>MIN(F27:F36)</f>
        <v>19</v>
      </c>
      <c r="G61" s="246"/>
      <c r="H61" s="246"/>
      <c r="I61" s="246">
        <f>MIN(I27:I36)</f>
        <v>17</v>
      </c>
      <c r="J61" s="246">
        <f>MIN(J27:J36)</f>
        <v>2607</v>
      </c>
      <c r="K61" s="246">
        <f>MIN(K27:K36)</f>
        <v>10586</v>
      </c>
      <c r="L61" s="246"/>
      <c r="M61" s="246"/>
      <c r="N61" s="85">
        <f>MIN(N27:N36)</f>
        <v>0.10478295819935692</v>
      </c>
      <c r="O61" s="246">
        <f>MIN(O27:O36)</f>
        <v>19</v>
      </c>
      <c r="P61" s="246">
        <f>MIN(P27:P36)</f>
        <v>2781.5684083601286</v>
      </c>
      <c r="Q61" s="246">
        <f>MIN(Q27:Q36)</f>
        <v>13917.143286380087</v>
      </c>
      <c r="R61" s="246"/>
      <c r="S61" s="246"/>
      <c r="T61" s="738">
        <f>MIN(T27:T36)</f>
        <v>0.10455451843181959</v>
      </c>
      <c r="U61" s="1675"/>
      <c r="V61" s="1675"/>
      <c r="W61" s="1675"/>
      <c r="X61" s="1675"/>
      <c r="Y61" s="1675"/>
      <c r="Z61" s="1675"/>
      <c r="AA61" s="1675"/>
    </row>
    <row r="62" spans="1:27">
      <c r="A62" s="412" t="s">
        <v>59</v>
      </c>
      <c r="B62" s="735">
        <f>MAX(B27:B36)</f>
        <v>214465</v>
      </c>
      <c r="C62" s="735"/>
      <c r="D62" s="735"/>
      <c r="E62" s="735"/>
      <c r="F62" s="735">
        <f>MAX(F27:F36)</f>
        <v>1414</v>
      </c>
      <c r="G62" s="735"/>
      <c r="H62" s="735"/>
      <c r="I62" s="735">
        <f>MAX(I27:I36)</f>
        <v>1406</v>
      </c>
      <c r="J62" s="735">
        <f>MAX(J27:J36)</f>
        <v>33167</v>
      </c>
      <c r="K62" s="735">
        <f>MAX(K27:K36)</f>
        <v>165334</v>
      </c>
      <c r="L62" s="735"/>
      <c r="M62" s="735"/>
      <c r="N62" s="736">
        <f>MAX(N27:N36)</f>
        <v>0.72437316114250005</v>
      </c>
      <c r="O62" s="735">
        <f>MAX(O27:O36)</f>
        <v>1414</v>
      </c>
      <c r="P62" s="735">
        <f>MAX(P27:P36)</f>
        <v>38801.095765150152</v>
      </c>
      <c r="Q62" s="735">
        <f>MAX(Q27:Q36)</f>
        <v>182322.91918378306</v>
      </c>
      <c r="R62" s="735"/>
      <c r="S62" s="735"/>
      <c r="T62" s="737">
        <f>MAX(T27:T36)</f>
        <v>0.72345617323954914</v>
      </c>
      <c r="U62" s="1675"/>
      <c r="V62" s="1675"/>
      <c r="W62" s="1675"/>
      <c r="X62" s="1675"/>
      <c r="Y62" s="1675"/>
      <c r="Z62" s="1675"/>
      <c r="AA62" s="1675"/>
    </row>
    <row r="63" spans="1:27">
      <c r="A63" s="1675" t="s">
        <v>247</v>
      </c>
      <c r="B63" s="246">
        <f>AVERAGE(B37:B46)</f>
        <v>316951.40874782612</v>
      </c>
      <c r="C63" s="246"/>
      <c r="D63" s="246"/>
      <c r="E63" s="246"/>
      <c r="F63" s="246">
        <f>AVERAGE(F37:F46)</f>
        <v>1123.9000000000001</v>
      </c>
      <c r="G63" s="246"/>
      <c r="H63" s="246"/>
      <c r="I63" s="246">
        <f>AVERAGE(I37:I46)</f>
        <v>969.9</v>
      </c>
      <c r="J63" s="246">
        <f>AVERAGE(J37:J46)</f>
        <v>39895.800000000003</v>
      </c>
      <c r="K63" s="246">
        <f>AVERAGE(K37:K46)</f>
        <v>199906.5</v>
      </c>
      <c r="L63" s="246"/>
      <c r="M63" s="246"/>
      <c r="N63" s="85">
        <f>AVERAGE(N37:N46)</f>
        <v>0.17882076092769608</v>
      </c>
      <c r="O63" s="246">
        <f>AVERAGE(O37:O46)</f>
        <v>1123.9000000000001</v>
      </c>
      <c r="P63" s="246">
        <f>AVERAGE(P37:P46)</f>
        <v>53366.834825869431</v>
      </c>
      <c r="Q63" s="246">
        <f>AVERAGE(Q37:Q46)</f>
        <v>262460.67392195662</v>
      </c>
      <c r="R63" s="246"/>
      <c r="S63" s="246"/>
      <c r="T63" s="738">
        <f>AVERAGE(T37:T46)</f>
        <v>0.17805840370598447</v>
      </c>
      <c r="U63" s="1675"/>
      <c r="V63" s="1675"/>
      <c r="W63" s="1675"/>
      <c r="X63" s="1675"/>
      <c r="Y63" s="1675"/>
      <c r="Z63" s="1675"/>
      <c r="AA63" s="1675"/>
    </row>
    <row r="64" spans="1:27">
      <c r="A64" s="1675" t="s">
        <v>58</v>
      </c>
      <c r="B64" s="246">
        <f>MIN(B37:B46)</f>
        <v>63221.794000000002</v>
      </c>
      <c r="C64" s="246"/>
      <c r="D64" s="246"/>
      <c r="E64" s="246"/>
      <c r="F64" s="246">
        <f>MIN(F37:F46)</f>
        <v>297</v>
      </c>
      <c r="G64" s="246"/>
      <c r="H64" s="246"/>
      <c r="I64" s="246">
        <f>MIN(I37:I46)</f>
        <v>81</v>
      </c>
      <c r="J64" s="246">
        <f>MIN(J37:J46)</f>
        <v>8878</v>
      </c>
      <c r="K64" s="246">
        <f>MIN(K37:K46)</f>
        <v>42299</v>
      </c>
      <c r="L64" s="246"/>
      <c r="M64" s="246"/>
      <c r="N64" s="85">
        <f>MIN(N37:N46)</f>
        <v>8.3305986312567498E-2</v>
      </c>
      <c r="O64" s="246">
        <f>MIN(O37:O46)</f>
        <v>297</v>
      </c>
      <c r="P64" s="246">
        <f>MIN(P37:P46)</f>
        <v>9504.7490148450797</v>
      </c>
      <c r="Q64" s="246">
        <f>MIN(Q37:Q46)</f>
        <v>53382.04498515492</v>
      </c>
      <c r="R64" s="246"/>
      <c r="S64" s="246"/>
      <c r="T64" s="738">
        <f>MIN(T37:T46)</f>
        <v>8.3188678911810698E-2</v>
      </c>
      <c r="U64" s="1675"/>
      <c r="V64" s="1675"/>
      <c r="W64" s="1675"/>
      <c r="X64" s="1675"/>
      <c r="Y64" s="1675"/>
      <c r="Z64" s="1675"/>
      <c r="AA64" s="1675"/>
    </row>
    <row r="65" spans="1:20">
      <c r="A65" s="412" t="s">
        <v>59</v>
      </c>
      <c r="B65" s="735">
        <f>MAX(B37:B46)</f>
        <v>651145.55000000005</v>
      </c>
      <c r="C65" s="735"/>
      <c r="D65" s="735"/>
      <c r="E65" s="735"/>
      <c r="F65" s="735">
        <f>MAX(F37:F46)</f>
        <v>2523</v>
      </c>
      <c r="G65" s="735"/>
      <c r="H65" s="735"/>
      <c r="I65" s="735">
        <f>MAX(I37:I46)</f>
        <v>2786</v>
      </c>
      <c r="J65" s="735">
        <f>MAX(J37:J46)</f>
        <v>99888</v>
      </c>
      <c r="K65" s="735">
        <f>MAX(K37:K46)</f>
        <v>490804</v>
      </c>
      <c r="L65" s="735"/>
      <c r="M65" s="735"/>
      <c r="N65" s="736">
        <f>MAX(N37:N46)</f>
        <v>0.36058833310658622</v>
      </c>
      <c r="O65" s="735">
        <f>MAX(O37:O46)</f>
        <v>2523</v>
      </c>
      <c r="P65" s="735">
        <f>MAX(P37:P46)</f>
        <v>110308.15460710513</v>
      </c>
      <c r="Q65" s="735">
        <f>MAX(Q37:Q46)</f>
        <v>538938.2995371531</v>
      </c>
      <c r="R65" s="735"/>
      <c r="S65" s="735"/>
      <c r="T65" s="737">
        <f>MAX(T37:T46)</f>
        <v>0.35877442218242411</v>
      </c>
    </row>
    <row r="66" spans="1:20">
      <c r="A66" s="412"/>
      <c r="B66" s="735"/>
      <c r="C66" s="735"/>
      <c r="D66" s="735"/>
      <c r="E66" s="735"/>
      <c r="F66" s="735"/>
      <c r="G66" s="735"/>
      <c r="H66" s="735"/>
      <c r="I66" s="735"/>
      <c r="J66" s="735"/>
      <c r="K66" s="735"/>
      <c r="L66" s="735"/>
      <c r="M66" s="735"/>
      <c r="N66" s="736"/>
      <c r="O66" s="735"/>
      <c r="P66" s="735"/>
      <c r="Q66" s="735"/>
      <c r="R66" s="735"/>
      <c r="S66" s="735"/>
      <c r="T66" s="737"/>
    </row>
    <row r="67" spans="1:20">
      <c r="A67" s="1675" t="s">
        <v>334</v>
      </c>
      <c r="B67" s="739">
        <f>AVERAGE(B38:B47)</f>
        <v>312233.92874782614</v>
      </c>
      <c r="C67" s="739"/>
      <c r="D67" s="739"/>
      <c r="E67" s="739"/>
      <c r="F67" s="739">
        <f>AVERAGE(F38:F47)</f>
        <v>1012.8</v>
      </c>
      <c r="G67" s="739"/>
      <c r="H67" s="739"/>
      <c r="I67" s="739">
        <f>AVERAGE(I38:I47)</f>
        <v>793.3</v>
      </c>
      <c r="J67" s="739">
        <f>AVERAGE(J38:J47)</f>
        <v>40652.800000000003</v>
      </c>
      <c r="K67" s="739">
        <f>AVERAGE(K38:K47)</f>
        <v>193340.79999999999</v>
      </c>
      <c r="L67" s="739"/>
      <c r="M67" s="739"/>
      <c r="N67" s="739">
        <f>AVERAGE(N38:N47)</f>
        <v>0.18398656513418629</v>
      </c>
      <c r="O67" s="739">
        <f>AVERAGE(O38:O47)</f>
        <v>1012.8</v>
      </c>
      <c r="P67" s="739">
        <f>AVERAGE(P38:P47)</f>
        <v>54641.554157799786</v>
      </c>
      <c r="Q67" s="739">
        <f>AVERAGE(Q38:Q47)</f>
        <v>256579.57459002631</v>
      </c>
      <c r="R67" s="739"/>
      <c r="S67" s="739"/>
      <c r="T67" s="739">
        <f>AVERAGE(T38:T47)</f>
        <v>0.18324109549505677</v>
      </c>
    </row>
    <row r="68" spans="1:20">
      <c r="A68" s="1675">
        <v>2021</v>
      </c>
      <c r="B68" s="1675">
        <f>B48/B67</f>
        <v>0.48784576554786252</v>
      </c>
      <c r="C68" s="1675"/>
      <c r="D68" s="1675"/>
      <c r="E68" s="1675"/>
      <c r="F68" s="1675">
        <f>F48/F67</f>
        <v>0.93996840442338081</v>
      </c>
      <c r="G68" s="1675"/>
      <c r="H68" s="1675"/>
      <c r="I68" s="1675">
        <f>I48/I67</f>
        <v>0.81305937224253122</v>
      </c>
      <c r="J68" s="1675">
        <f>J48/J67</f>
        <v>0.75827495277078083</v>
      </c>
      <c r="K68" s="1675">
        <f>K48/K67</f>
        <v>0.39440718151574838</v>
      </c>
      <c r="L68" s="1675"/>
      <c r="M68" s="1675"/>
      <c r="N68" s="1675">
        <f>N48/N67</f>
        <v>1.5646551869953336</v>
      </c>
      <c r="O68" s="1675">
        <f>O48/O67</f>
        <v>0.93996840442338081</v>
      </c>
      <c r="P68" s="1675">
        <f>P48/P67</f>
        <v>0.79748316411748676</v>
      </c>
      <c r="Q68" s="1675">
        <f>Q48/Q67</f>
        <v>0.42012027134341878</v>
      </c>
      <c r="R68" s="1675"/>
      <c r="S68" s="1675"/>
      <c r="T68" s="1675">
        <f>T48/T67</f>
        <v>1.5612018376199324</v>
      </c>
    </row>
    <row r="69" spans="1:20">
      <c r="A69" s="412"/>
      <c r="B69" s="412"/>
      <c r="C69" s="412"/>
      <c r="D69" s="412"/>
      <c r="E69" s="412"/>
      <c r="F69" s="412"/>
      <c r="G69" s="412"/>
      <c r="H69" s="412"/>
      <c r="I69" s="412"/>
      <c r="J69" s="412"/>
      <c r="K69" s="412"/>
      <c r="L69" s="412"/>
      <c r="M69" s="412"/>
      <c r="N69" s="412"/>
      <c r="O69" s="412"/>
      <c r="P69" s="412"/>
      <c r="Q69" s="412"/>
      <c r="R69" s="412"/>
      <c r="S69" s="412"/>
      <c r="T69" s="412"/>
    </row>
    <row r="70" spans="1:20">
      <c r="A70" s="412"/>
      <c r="B70" s="740"/>
      <c r="C70" s="735"/>
      <c r="D70" s="735"/>
      <c r="E70" s="735"/>
      <c r="F70" s="740"/>
      <c r="G70" s="735"/>
      <c r="H70" s="735"/>
      <c r="I70" s="735"/>
      <c r="J70" s="735"/>
      <c r="K70" s="735"/>
      <c r="L70" s="735"/>
      <c r="M70" s="735"/>
      <c r="N70" s="412"/>
      <c r="O70" s="761"/>
      <c r="P70" s="761"/>
      <c r="Q70" s="761"/>
      <c r="R70" s="735"/>
      <c r="S70" s="735"/>
      <c r="T70" s="731"/>
    </row>
    <row r="71" spans="1:20">
      <c r="A71" s="1675" t="s">
        <v>758</v>
      </c>
      <c r="B71" s="246">
        <v>198700</v>
      </c>
      <c r="C71" s="246"/>
      <c r="D71" s="246"/>
      <c r="E71" s="246"/>
      <c r="F71" s="246">
        <v>200</v>
      </c>
      <c r="G71" s="246"/>
      <c r="H71" s="246"/>
      <c r="I71" s="246"/>
      <c r="J71" s="246"/>
      <c r="K71" s="246"/>
      <c r="L71" s="246"/>
      <c r="M71" s="246"/>
      <c r="N71" s="739" t="s">
        <v>759</v>
      </c>
      <c r="O71" s="739">
        <v>700</v>
      </c>
      <c r="P71" s="739">
        <v>27300</v>
      </c>
      <c r="Q71" s="739">
        <v>127300</v>
      </c>
      <c r="R71" s="1675"/>
      <c r="S71" s="1675"/>
      <c r="T71" s="1675"/>
    </row>
    <row r="72" spans="1:20">
      <c r="A72" s="1675" t="s">
        <v>66</v>
      </c>
      <c r="B72" s="739">
        <f>AVERAGE(B39:B48)</f>
        <v>308729.60874782607</v>
      </c>
      <c r="C72" s="739"/>
      <c r="D72" s="739"/>
      <c r="E72" s="739"/>
      <c r="F72" s="739">
        <f>AVERAGE(F39:F48)</f>
        <v>951.9</v>
      </c>
      <c r="G72" s="739"/>
      <c r="H72" s="739"/>
      <c r="I72" s="739"/>
      <c r="J72" s="739"/>
      <c r="K72" s="739"/>
      <c r="L72" s="739"/>
      <c r="M72" s="739"/>
      <c r="N72" s="739" t="s">
        <v>760</v>
      </c>
      <c r="O72" s="739">
        <f>O48/O71</f>
        <v>1.36</v>
      </c>
      <c r="P72" s="739">
        <f>P48/P71</f>
        <v>1.5961802015406297</v>
      </c>
      <c r="Q72" s="739">
        <f>Q48/Q71</f>
        <v>0.84677360956748471</v>
      </c>
      <c r="R72" s="739" t="s">
        <v>251</v>
      </c>
      <c r="S72" s="739"/>
      <c r="T72" s="739"/>
    </row>
    <row r="73" spans="1:20">
      <c r="A73" s="412" t="s">
        <v>67</v>
      </c>
      <c r="B73" s="739">
        <f>B71/B72</f>
        <v>0.64360525965068827</v>
      </c>
      <c r="C73" s="739" t="s">
        <v>68</v>
      </c>
      <c r="D73" s="739"/>
      <c r="E73" s="739"/>
      <c r="F73" s="739">
        <f>F71/F72</f>
        <v>0.21010610358230908</v>
      </c>
      <c r="G73" s="739" t="s">
        <v>68</v>
      </c>
      <c r="H73" s="739"/>
      <c r="I73" s="739"/>
      <c r="J73" s="739"/>
      <c r="K73" s="739"/>
      <c r="L73" s="739"/>
      <c r="M73" s="739"/>
      <c r="N73" s="1675"/>
      <c r="O73" s="412"/>
      <c r="P73" s="740"/>
      <c r="Q73" s="740"/>
      <c r="R73" s="739"/>
      <c r="S73" s="739"/>
      <c r="T73" s="739"/>
    </row>
    <row r="74" spans="1:20">
      <c r="A74" s="1675" t="s">
        <v>67</v>
      </c>
      <c r="B74" s="739">
        <f>B71/B48</f>
        <v>1.3044734181536481</v>
      </c>
      <c r="C74" s="739" t="s">
        <v>69</v>
      </c>
      <c r="D74" s="739"/>
      <c r="E74" s="739"/>
      <c r="F74" s="739">
        <f>F71/F48</f>
        <v>0.21008403361344538</v>
      </c>
      <c r="G74" s="739" t="s">
        <v>69</v>
      </c>
      <c r="H74" s="739"/>
      <c r="I74" s="739"/>
      <c r="J74" s="739"/>
      <c r="K74" s="739"/>
      <c r="L74" s="739"/>
      <c r="M74" s="739"/>
      <c r="N74" s="1675"/>
      <c r="O74" s="1675" t="s">
        <v>758</v>
      </c>
      <c r="P74" s="246">
        <v>19200</v>
      </c>
      <c r="Q74" s="246">
        <v>175700</v>
      </c>
      <c r="R74" s="739"/>
      <c r="S74" s="739"/>
      <c r="T74" s="739"/>
    </row>
    <row r="75" spans="1:20">
      <c r="A75" s="1675"/>
      <c r="B75" s="739"/>
      <c r="C75" s="739"/>
      <c r="D75" s="739"/>
      <c r="E75" s="739"/>
      <c r="F75" s="739"/>
      <c r="G75" s="739"/>
      <c r="H75" s="739"/>
      <c r="I75" s="739"/>
      <c r="J75" s="739"/>
      <c r="K75" s="739"/>
      <c r="L75" s="739"/>
      <c r="M75" s="739"/>
      <c r="N75" s="1675"/>
      <c r="O75" s="1675" t="s">
        <v>66</v>
      </c>
      <c r="P75" s="739">
        <f>AVERAGE(P39:P48)</f>
        <v>56338.743247130653</v>
      </c>
      <c r="Q75" s="739">
        <f>AVERAGE(Q39:Q48)</f>
        <v>251438.96550069546</v>
      </c>
      <c r="R75" s="739"/>
      <c r="S75" s="739"/>
      <c r="T75" s="739"/>
    </row>
    <row r="76" spans="1:20">
      <c r="A76" s="1675"/>
      <c r="B76" s="1675"/>
      <c r="C76" s="1675"/>
      <c r="D76" s="1675"/>
      <c r="E76" s="1675"/>
      <c r="F76" s="1675"/>
      <c r="G76" s="1675"/>
      <c r="H76" s="1675"/>
      <c r="I76" s="1675"/>
      <c r="J76" s="1675"/>
      <c r="K76" s="1675"/>
      <c r="L76" s="1675"/>
      <c r="M76" s="1675"/>
      <c r="N76" s="1675"/>
      <c r="O76" s="1675" t="s">
        <v>67</v>
      </c>
      <c r="P76" s="1675">
        <f>P74/P75</f>
        <v>0.34079567440436048</v>
      </c>
      <c r="Q76" s="1675">
        <f>Q74/Q75</f>
        <v>0.69877793066052851</v>
      </c>
      <c r="R76" s="1675" t="s">
        <v>68</v>
      </c>
      <c r="S76" s="1675"/>
      <c r="T76" s="1675"/>
    </row>
    <row r="79" spans="1:20">
      <c r="A79" s="2085"/>
      <c r="B79" s="2085"/>
      <c r="C79" s="2085"/>
      <c r="D79" s="2085"/>
      <c r="E79" s="2085"/>
      <c r="F79" s="2085"/>
      <c r="G79" s="2085"/>
      <c r="H79" s="2085"/>
      <c r="I79" s="2085"/>
      <c r="J79" s="2085"/>
      <c r="K79" s="2085"/>
      <c r="L79" s="1675"/>
      <c r="M79" s="1675"/>
      <c r="N79" s="1675"/>
      <c r="O79" s="1675"/>
      <c r="P79" s="1675"/>
      <c r="Q79" s="1675"/>
      <c r="R79" s="1675"/>
      <c r="S79" s="1675"/>
      <c r="T79" s="1675"/>
    </row>
    <row r="80" spans="1:20">
      <c r="A80" s="2085" t="s">
        <v>761</v>
      </c>
      <c r="B80" s="2085"/>
      <c r="C80" s="2085"/>
      <c r="D80" s="2085"/>
      <c r="E80" s="2085"/>
      <c r="F80" s="2085"/>
      <c r="G80" s="2085"/>
      <c r="H80" s="2085"/>
      <c r="I80" s="2085"/>
      <c r="J80" s="2085"/>
      <c r="K80" s="2085"/>
      <c r="L80" s="1675"/>
      <c r="M80" s="1675"/>
      <c r="N80" s="1675"/>
      <c r="O80" s="1675"/>
      <c r="P80" s="1675"/>
      <c r="Q80" s="1675"/>
      <c r="R80" s="1675"/>
      <c r="S80" s="1675"/>
      <c r="T80" s="1675"/>
    </row>
    <row r="81" spans="1:11">
      <c r="A81" s="2085" t="s">
        <v>762</v>
      </c>
      <c r="B81" s="2085"/>
      <c r="C81" s="2085"/>
      <c r="D81" s="2085"/>
      <c r="E81" s="2085"/>
      <c r="F81" s="2085"/>
      <c r="G81" s="2085"/>
      <c r="H81" s="2085"/>
      <c r="I81" s="2085"/>
      <c r="J81" s="2085"/>
      <c r="K81" s="2085"/>
    </row>
    <row r="82" spans="1:11">
      <c r="A82" s="2085" t="s">
        <v>763</v>
      </c>
      <c r="B82" s="2085"/>
      <c r="C82" s="2085"/>
      <c r="D82" s="2085"/>
      <c r="E82" s="2085"/>
      <c r="F82" s="2085"/>
      <c r="G82" s="2085"/>
      <c r="H82" s="2085"/>
      <c r="I82" s="2085"/>
      <c r="J82" s="2085"/>
      <c r="K82" s="2085"/>
    </row>
    <row r="83" spans="1:11">
      <c r="A83" s="2085" t="s">
        <v>764</v>
      </c>
      <c r="B83" s="2085"/>
      <c r="C83" s="2085"/>
      <c r="D83" s="2085"/>
      <c r="E83" s="2085"/>
      <c r="F83" s="2085"/>
      <c r="G83" s="2085"/>
      <c r="H83" s="2085"/>
      <c r="I83" s="2085"/>
      <c r="J83" s="2085"/>
      <c r="K83" s="2085"/>
    </row>
    <row r="84" spans="1:11">
      <c r="A84" s="1675" t="s">
        <v>765</v>
      </c>
      <c r="B84" s="1675"/>
      <c r="C84" s="1675"/>
      <c r="D84" s="1675"/>
      <c r="E84" s="1675"/>
      <c r="F84" s="1675"/>
      <c r="G84" s="1675"/>
      <c r="H84" s="1675"/>
      <c r="I84" s="1675"/>
      <c r="J84" s="1675"/>
      <c r="K84" s="1675"/>
    </row>
    <row r="85" spans="1:11">
      <c r="A85" s="1675" t="s">
        <v>766</v>
      </c>
      <c r="B85" s="1675"/>
      <c r="C85" s="1675"/>
      <c r="D85" s="1675"/>
      <c r="E85" s="1675"/>
      <c r="F85" s="1675"/>
      <c r="G85" s="1675"/>
      <c r="H85" s="1675"/>
      <c r="I85" s="1675"/>
      <c r="J85" s="1675"/>
      <c r="K85" s="1675"/>
    </row>
  </sheetData>
  <mergeCells count="8">
    <mergeCell ref="O5:Q5"/>
    <mergeCell ref="A79:K79"/>
    <mergeCell ref="A80:K80"/>
    <mergeCell ref="A83:K83"/>
    <mergeCell ref="A81:K81"/>
    <mergeCell ref="A82:K82"/>
    <mergeCell ref="A1:K1"/>
    <mergeCell ref="F3:I3"/>
  </mergeCells>
  <pageMargins left="0.75" right="0.75" top="1" bottom="1" header="0.5" footer="0.5"/>
  <pageSetup scale="84"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40F46-0677-49FF-9577-0268D468D945}">
  <sheetPr>
    <tabColor rgb="FF66FF33"/>
  </sheetPr>
  <dimension ref="A1:M60"/>
  <sheetViews>
    <sheetView showGridLines="0" topLeftCell="A25" zoomScaleNormal="100" workbookViewId="0">
      <selection activeCell="A2" sqref="A2"/>
    </sheetView>
  </sheetViews>
  <sheetFormatPr defaultColWidth="9.33203125" defaultRowHeight="12.75"/>
  <cols>
    <col min="1" max="1" width="8.83203125" style="74" customWidth="1"/>
    <col min="2" max="5" width="11.83203125" style="74" customWidth="1"/>
    <col min="6" max="6" width="9.83203125" style="74" customWidth="1"/>
    <col min="7" max="8" width="11.83203125" style="74" customWidth="1"/>
    <col min="9" max="9" width="13.33203125" style="74" customWidth="1"/>
    <col min="10" max="11" width="11.83203125" style="74" customWidth="1"/>
    <col min="12" max="12" width="1.6640625" style="74" customWidth="1"/>
    <col min="13" max="16384" width="9.33203125" style="74"/>
  </cols>
  <sheetData>
    <row r="1" spans="1:13" ht="15.75">
      <c r="A1" s="84" t="s">
        <v>141</v>
      </c>
      <c r="B1" s="1675"/>
      <c r="C1" s="1675"/>
      <c r="D1" s="1675"/>
      <c r="E1" s="1675"/>
      <c r="F1" s="1675"/>
      <c r="G1" s="1675"/>
      <c r="H1" s="1675"/>
      <c r="I1" s="1675"/>
      <c r="J1" s="1675"/>
      <c r="K1" s="1675"/>
      <c r="L1" s="1675"/>
      <c r="M1" s="1675"/>
    </row>
    <row r="2" spans="1:13" ht="15.75">
      <c r="A2" s="84" t="s">
        <v>767</v>
      </c>
      <c r="B2" s="1675"/>
      <c r="C2" s="1675"/>
      <c r="D2" s="1675"/>
      <c r="E2" s="1675"/>
      <c r="F2" s="1675"/>
      <c r="G2" s="1675"/>
      <c r="H2" s="1675"/>
      <c r="I2" s="1675"/>
      <c r="J2" s="1675"/>
      <c r="K2" s="1675"/>
      <c r="L2" s="1675"/>
      <c r="M2" s="1675"/>
    </row>
    <row r="4" spans="1:13">
      <c r="A4" s="922"/>
      <c r="B4" s="845"/>
      <c r="C4" s="848"/>
      <c r="D4" s="848"/>
      <c r="E4" s="849"/>
      <c r="F4" s="1873" t="s">
        <v>732</v>
      </c>
      <c r="G4" s="1873"/>
      <c r="H4" s="1873"/>
      <c r="I4" s="1815"/>
      <c r="J4" s="848"/>
      <c r="K4" s="849"/>
      <c r="L4" s="1675"/>
      <c r="M4" s="1645"/>
    </row>
    <row r="5" spans="1:13" ht="14.25" customHeight="1">
      <c r="A5" s="1874" t="s">
        <v>28</v>
      </c>
      <c r="B5" s="1875" t="s">
        <v>768</v>
      </c>
      <c r="C5" s="1798" t="s">
        <v>769</v>
      </c>
      <c r="D5" s="1798" t="s">
        <v>770</v>
      </c>
      <c r="E5" s="1871" t="s">
        <v>771</v>
      </c>
      <c r="F5" s="1877" t="s">
        <v>772</v>
      </c>
      <c r="G5" s="1795" t="s">
        <v>769</v>
      </c>
      <c r="H5" s="1795" t="s">
        <v>771</v>
      </c>
      <c r="I5" s="1878" t="s">
        <v>773</v>
      </c>
      <c r="J5" s="1851" t="s">
        <v>742</v>
      </c>
      <c r="K5" s="1879"/>
      <c r="L5" s="1675"/>
      <c r="M5" s="1675"/>
    </row>
    <row r="6" spans="1:13" ht="12.75" customHeight="1">
      <c r="A6" s="1874"/>
      <c r="B6" s="1875"/>
      <c r="C6" s="1798"/>
      <c r="D6" s="1798"/>
      <c r="E6" s="1871"/>
      <c r="F6" s="1875"/>
      <c r="G6" s="1798"/>
      <c r="H6" s="1798"/>
      <c r="I6" s="1871"/>
      <c r="J6" s="1851"/>
      <c r="K6" s="1879"/>
      <c r="L6" s="1675"/>
      <c r="M6" s="1675"/>
    </row>
    <row r="7" spans="1:13" ht="16.5" customHeight="1">
      <c r="A7" s="1874"/>
      <c r="B7" s="1876"/>
      <c r="C7" s="1868"/>
      <c r="D7" s="1868"/>
      <c r="E7" s="1872"/>
      <c r="F7" s="1876"/>
      <c r="G7" s="1868"/>
      <c r="H7" s="1868"/>
      <c r="I7" s="1872"/>
      <c r="J7" s="924" t="s">
        <v>774</v>
      </c>
      <c r="K7" s="924" t="s">
        <v>775</v>
      </c>
      <c r="L7" s="1675"/>
      <c r="M7" s="1675"/>
    </row>
    <row r="8" spans="1:13" ht="12.75" customHeight="1">
      <c r="A8" s="925">
        <v>1980</v>
      </c>
      <c r="B8" s="926">
        <f>IF([1]T15SOKManip!B7="","",[1]T15SOKManip!B7)</f>
        <v>58886</v>
      </c>
      <c r="C8" s="927">
        <f>IF([1]T15SOKManip!C7="","",[1]T15SOKManip!C7)</f>
        <v>4</v>
      </c>
      <c r="D8" s="927">
        <f>IF([1]T15SOKManip!D7="","",[1]T15SOKManip!D7)</f>
        <v>58882</v>
      </c>
      <c r="E8" s="928">
        <f>IF([1]T15SOKManip!E7="","",[1]T15SOKManip!E7)</f>
        <v>636</v>
      </c>
      <c r="F8" s="926">
        <f>IF([1]T15SOKManip!F7="","",[1]T15SOKManip!F7)</f>
        <v>107</v>
      </c>
      <c r="G8" s="927">
        <f>IF([1]T15SOKManip!G7="","",[1]T15SOKManip!G7)</f>
        <v>7.2792068697514834E-3</v>
      </c>
      <c r="H8" s="927">
        <f>IF([1]T15SOKManip!H7="","",[1]T15SOKManip!H7)</f>
        <v>1.1573938922904858</v>
      </c>
      <c r="I8" s="928">
        <f>IF([1]T15SOKManip!I7="","",[1]T15SOKManip!I7)</f>
        <v>96</v>
      </c>
      <c r="J8" s="314" t="str">
        <f>IF([1]T15SOKManip!J7="","",[1]T15SOKManip!J7)</f>
        <v/>
      </c>
      <c r="K8" s="424">
        <f>IF([1]T15SOKManip!K7="","",[1]T15SOKManip!K7)</f>
        <v>26573</v>
      </c>
      <c r="L8" s="1675"/>
      <c r="M8" s="1675"/>
    </row>
    <row r="9" spans="1:13" ht="12.75" customHeight="1">
      <c r="A9" s="1677">
        <v>1981</v>
      </c>
      <c r="B9" s="929">
        <f>IF([1]T15SOKManip!B8="","",[1]T15SOKManip!B8)</f>
        <v>56037</v>
      </c>
      <c r="C9" s="1336">
        <f>IF([1]T15SOKManip!C8="","",[1]T15SOKManip!C8)</f>
        <v>0</v>
      </c>
      <c r="D9" s="1336">
        <f>IF([1]T15SOKManip!D8="","",[1]T15SOKManip!D8)</f>
        <v>56037</v>
      </c>
      <c r="E9" s="930">
        <f>IF([1]T15SOKManip!E8="","",[1]T15SOKManip!E8)</f>
        <v>1507</v>
      </c>
      <c r="F9" s="929">
        <f>IF([1]T15SOKManip!F8="","",[1]T15SOKManip!F8)</f>
        <v>236</v>
      </c>
      <c r="G9" s="1336">
        <f>IF([1]T15SOKManip!G8="","",[1]T15SOKManip!G8)</f>
        <v>0</v>
      </c>
      <c r="H9" s="1336">
        <f>IF([1]T15SOKManip!H8="","",[1]T15SOKManip!H8)</f>
        <v>6.3571732652192416</v>
      </c>
      <c r="I9" s="930">
        <f>IF([1]T15SOKManip!I8="","",[1]T15SOKManip!I8)</f>
        <v>218</v>
      </c>
      <c r="J9" s="314" t="str">
        <f>IF([1]T15SOKManip!J8="","",[1]T15SOKManip!J8)</f>
        <v/>
      </c>
      <c r="K9" s="424">
        <f>IF([1]T15SOKManip!K8="","",[1]T15SOKManip!K8)</f>
        <v>28234</v>
      </c>
      <c r="L9" s="1675"/>
      <c r="M9" s="1675"/>
    </row>
    <row r="10" spans="1:13" ht="12.75" customHeight="1">
      <c r="A10" s="1677">
        <v>1982</v>
      </c>
      <c r="B10" s="929">
        <f>IF([1]T15SOKManip!B9="","",[1]T15SOKManip!B9)</f>
        <v>50319</v>
      </c>
      <c r="C10" s="1336">
        <f>IF([1]T15SOKManip!C9="","",[1]T15SOKManip!C9)</f>
        <v>100</v>
      </c>
      <c r="D10" s="1336">
        <f>IF([1]T15SOKManip!D9="","",[1]T15SOKManip!D9)</f>
        <v>50219</v>
      </c>
      <c r="E10" s="930">
        <f>IF([1]T15SOKManip!E9="","",[1]T15SOKManip!E9)</f>
        <v>775</v>
      </c>
      <c r="F10" s="929">
        <f>IF([1]T15SOKManip!F9="","",[1]T15SOKManip!F9)</f>
        <v>257</v>
      </c>
      <c r="G10" s="1336">
        <f>IF([1]T15SOKManip!G9="","",[1]T15SOKManip!G9)</f>
        <v>0.51062388074149356</v>
      </c>
      <c r="H10" s="1336">
        <f>IF([1]T15SOKManip!H9="","",[1]T15SOKManip!H9)</f>
        <v>3.9573350757465753</v>
      </c>
      <c r="I10" s="930">
        <f>IF([1]T15SOKManip!I9="","",[1]T15SOKManip!I9)</f>
        <v>211</v>
      </c>
      <c r="J10" s="314" t="str">
        <f>IF([1]T15SOKManip!J9="","",[1]T15SOKManip!J9)</f>
        <v/>
      </c>
      <c r="K10" s="424">
        <f>IF([1]T15SOKManip!K9="","",[1]T15SOKManip!K9)</f>
        <v>19005</v>
      </c>
      <c r="L10" s="1675"/>
      <c r="M10" s="1675"/>
    </row>
    <row r="11" spans="1:13" ht="12.75" customHeight="1">
      <c r="A11" s="1677">
        <v>1983</v>
      </c>
      <c r="B11" s="929">
        <f>IF([1]T15SOKManip!B10="","",[1]T15SOKManip!B10)</f>
        <v>100610</v>
      </c>
      <c r="C11" s="1336">
        <f>IF([1]T15SOKManip!C10="","",[1]T15SOKManip!C10)</f>
        <v>83</v>
      </c>
      <c r="D11" s="1336">
        <f>IF([1]T15SOKManip!D10="","",[1]T15SOKManip!D10)</f>
        <v>100527</v>
      </c>
      <c r="E11" s="930">
        <f>IF([1]T15SOKManip!E10="","",[1]T15SOKManip!E10)</f>
        <v>3349</v>
      </c>
      <c r="F11" s="929">
        <f>IF([1]T15SOKManip!F10="","",[1]T15SOKManip!F10)</f>
        <v>241</v>
      </c>
      <c r="G11" s="1336">
        <f>IF([1]T15SOKManip!G10="","",[1]T15SOKManip!G10)</f>
        <v>0.19870544422769992</v>
      </c>
      <c r="H11" s="1336">
        <f>IF([1]T15SOKManip!H10="","",[1]T15SOKManip!H10)</f>
        <v>8.0176449725128567</v>
      </c>
      <c r="I11" s="930">
        <f>IF([1]T15SOKManip!I10="","",[1]T15SOKManip!I10)</f>
        <v>216</v>
      </c>
      <c r="J11" s="314" t="str">
        <f>IF([1]T15SOKManip!J10="","",[1]T15SOKManip!J10)</f>
        <v/>
      </c>
      <c r="K11" s="424">
        <f>IF([1]T15SOKManip!K10="","",[1]T15SOKManip!K10)</f>
        <v>27925</v>
      </c>
      <c r="L11" s="1675"/>
      <c r="M11" s="1675"/>
    </row>
    <row r="12" spans="1:13" ht="12.75" customHeight="1">
      <c r="A12" s="1677">
        <v>1984</v>
      </c>
      <c r="B12" s="929">
        <f>IF([1]T15SOKManip!B11="","",[1]T15SOKManip!B11)</f>
        <v>161890</v>
      </c>
      <c r="C12" s="1336">
        <f>IF([1]T15SOKManip!C11="","",[1]T15SOKManip!C11)</f>
        <v>9345</v>
      </c>
      <c r="D12" s="1336">
        <f>IF([1]T15SOKManip!D11="","",[1]T15SOKManip!D11)</f>
        <v>152545</v>
      </c>
      <c r="E12" s="930">
        <f>IF([1]T15SOKManip!E11="","",[1]T15SOKManip!E11)</f>
        <v>24616</v>
      </c>
      <c r="F12" s="929">
        <f>IF([1]T15SOKManip!F11="","",[1]T15SOKManip!F11)</f>
        <v>149</v>
      </c>
      <c r="G12" s="1336">
        <f>IF([1]T15SOKManip!G11="","",[1]T15SOKManip!G11)</f>
        <v>8.617366026733178</v>
      </c>
      <c r="H12" s="1336">
        <f>IF([1]T15SOKManip!H11="","",[1]T15SOKManip!H11)</f>
        <v>22.699313227829201</v>
      </c>
      <c r="I12" s="930">
        <f>IF([1]T15SOKManip!I11="","",[1]T15SOKManip!I11)</f>
        <v>105</v>
      </c>
      <c r="J12" s="314" t="str">
        <f>IF([1]T15SOKManip!J11="","",[1]T15SOKManip!J11)</f>
        <v/>
      </c>
      <c r="K12" s="424">
        <f>IF([1]T15SOKManip!K11="","",[1]T15SOKManip!K11)</f>
        <v>81054</v>
      </c>
      <c r="L12" s="1675"/>
      <c r="M12" s="1675"/>
    </row>
    <row r="13" spans="1:13" ht="12.75" customHeight="1">
      <c r="A13" s="1677">
        <v>1985</v>
      </c>
      <c r="B13" s="929">
        <f>IF([1]T15SOKManip!B12="","",[1]T15SOKManip!B12)</f>
        <v>200758</v>
      </c>
      <c r="C13" s="1336">
        <f>IF([1]T15SOKManip!C12="","",[1]T15SOKManip!C12)</f>
        <v>32213</v>
      </c>
      <c r="D13" s="1336">
        <f>IF([1]T15SOKManip!D12="","",[1]T15SOKManip!D12)</f>
        <v>166340</v>
      </c>
      <c r="E13" s="930">
        <f>IF([1]T15SOKManip!E12="","",[1]T15SOKManip!E12)</f>
        <v>49969</v>
      </c>
      <c r="F13" s="929">
        <f>IF([1]T15SOKManip!F12="","",[1]T15SOKManip!F12)</f>
        <v>59</v>
      </c>
      <c r="G13" s="1336">
        <f>IF([1]T15SOKManip!G12="","",[1]T15SOKManip!G12)</f>
        <v>9.5082900418297118</v>
      </c>
      <c r="H13" s="1336">
        <f>IF([1]T15SOKManip!H12="","",[1]T15SOKManip!H12)</f>
        <v>14.749316893806503</v>
      </c>
      <c r="I13" s="930">
        <f>IF([1]T15SOKManip!I12="","",[1]T15SOKManip!I12)</f>
        <v>35</v>
      </c>
      <c r="J13" s="314" t="str">
        <f>IF([1]T15SOKManip!J12="","",[1]T15SOKManip!J12)</f>
        <v/>
      </c>
      <c r="K13" s="424">
        <f>IF([1]T15SOKManip!K12="","",[1]T15SOKManip!K12)</f>
        <v>52989</v>
      </c>
      <c r="L13" s="1675"/>
      <c r="M13" s="1675"/>
    </row>
    <row r="14" spans="1:13" ht="12.75" customHeight="1">
      <c r="A14" s="1677">
        <v>1986</v>
      </c>
      <c r="B14" s="929">
        <f>IF([1]T15SOKManip!B13="","",[1]T15SOKManip!B13)</f>
        <v>59963</v>
      </c>
      <c r="C14" s="1336">
        <f>IF([1]T15SOKManip!C13="","",[1]T15SOKManip!C13)</f>
        <v>1840</v>
      </c>
      <c r="D14" s="1336">
        <f>IF([1]T15SOKManip!D13="","",[1]T15SOKManip!D13)</f>
        <v>58123</v>
      </c>
      <c r="E14" s="930">
        <f>IF([1]T15SOKManip!E13="","",[1]T15SOKManip!E13)</f>
        <v>6672</v>
      </c>
      <c r="F14" s="929">
        <f>IF([1]T15SOKManip!F13="","",[1]T15SOKManip!F13)</f>
        <v>24</v>
      </c>
      <c r="G14" s="1336">
        <f>IF([1]T15SOKManip!G13="","",[1]T15SOKManip!G13)</f>
        <v>0.73883713459685185</v>
      </c>
      <c r="H14" s="1336">
        <f>IF([1]T15SOKManip!H13="","",[1]T15SOKManip!H13)</f>
        <v>2.6790876967555413</v>
      </c>
      <c r="I14" s="930">
        <f>IF([1]T15SOKManip!I13="","",[1]T15SOKManip!I13)</f>
        <v>20</v>
      </c>
      <c r="J14" s="314" t="str">
        <f>IF([1]T15SOKManip!J13="","",[1]T15SOKManip!J13)</f>
        <v/>
      </c>
      <c r="K14" s="424">
        <f>IF([1]T15SOKManip!K13="","",[1]T15SOKManip!K13)</f>
        <v>34788</v>
      </c>
      <c r="L14" s="1675"/>
      <c r="M14" s="1675"/>
    </row>
    <row r="15" spans="1:13" ht="12.75" customHeight="1">
      <c r="A15" s="1677">
        <v>1987</v>
      </c>
      <c r="B15" s="929">
        <f>IF([1]T15SOKManip!B14="","",[1]T15SOKManip!B14)</f>
        <v>145546</v>
      </c>
      <c r="C15" s="1336">
        <f>IF([1]T15SOKManip!C14="","",[1]T15SOKManip!C14)</f>
        <v>28553</v>
      </c>
      <c r="D15" s="1336">
        <f>IF([1]T15SOKManip!D14="","",[1]T15SOKManip!D14)</f>
        <v>116993</v>
      </c>
      <c r="E15" s="930">
        <f>IF([1]T15SOKManip!E14="","",[1]T15SOKManip!E14)</f>
        <v>39560</v>
      </c>
      <c r="F15" s="929">
        <f>IF([1]T15SOKManip!F14="","",[1]T15SOKManip!F14)</f>
        <v>55</v>
      </c>
      <c r="G15" s="1336">
        <f>IF([1]T15SOKManip!G14="","",[1]T15SOKManip!G14)</f>
        <v>10.809035845756208</v>
      </c>
      <c r="H15" s="1336">
        <f>IF([1]T15SOKManip!H14="","",[1]T15SOKManip!H14)</f>
        <v>14.975850455577893</v>
      </c>
      <c r="I15" s="930">
        <f>IF([1]T15SOKManip!I14="","",[1]T15SOKManip!I14)</f>
        <v>29</v>
      </c>
      <c r="J15" s="314" t="str">
        <f>IF([1]T15SOKManip!J14="","",[1]T15SOKManip!J14)</f>
        <v/>
      </c>
      <c r="K15" s="424">
        <f>IF([1]T15SOKManip!K14="","",[1]T15SOKManip!K14)</f>
        <v>40120</v>
      </c>
      <c r="L15" s="1675"/>
      <c r="M15" s="1675"/>
    </row>
    <row r="16" spans="1:13" ht="12.75" customHeight="1">
      <c r="A16" s="1677">
        <v>1988</v>
      </c>
      <c r="B16" s="929">
        <f>IF([1]T15SOKManip!B15="","",[1]T15SOKManip!B15)</f>
        <v>99780</v>
      </c>
      <c r="C16" s="1336">
        <f>IF([1]T15SOKManip!C15="","",[1]T15SOKManip!C15)</f>
        <v>17632</v>
      </c>
      <c r="D16" s="1336">
        <f>IF([1]T15SOKManip!D15="","",[1]T15SOKManip!D15)</f>
        <v>79714</v>
      </c>
      <c r="E16" s="930">
        <f>IF([1]T15SOKManip!E15="","",[1]T15SOKManip!E15)</f>
        <v>30990</v>
      </c>
      <c r="F16" s="929">
        <f>IF([1]T15SOKManip!F15="","",[1]T15SOKManip!F15)</f>
        <v>45</v>
      </c>
      <c r="G16" s="1336">
        <f>IF([1]T15SOKManip!G15="","",[1]T15SOKManip!G15)</f>
        <v>7.9271277219594189</v>
      </c>
      <c r="H16" s="1336">
        <f>IF([1]T15SOKManip!H15="","",[1]T15SOKManip!H15)</f>
        <v>13.932718245435709</v>
      </c>
      <c r="I16" s="930">
        <f>IF([1]T15SOKManip!I15="","",[1]T15SOKManip!I15)</f>
        <v>23</v>
      </c>
      <c r="J16" s="314" t="str">
        <f>IF([1]T15SOKManip!J15="","",[1]T15SOKManip!J15)</f>
        <v/>
      </c>
      <c r="K16" s="424">
        <f>IF([1]T15SOKManip!K15="","",[1]T15SOKManip!K15)</f>
        <v>33978</v>
      </c>
      <c r="L16" s="1675"/>
      <c r="M16" s="1675"/>
    </row>
    <row r="17" spans="1:11" ht="12.75" customHeight="1">
      <c r="A17" s="1677">
        <v>1989</v>
      </c>
      <c r="B17" s="929">
        <f>IF([1]T15SOKManip!B16="","",[1]T15SOKManip!B16)</f>
        <v>47478</v>
      </c>
      <c r="C17" s="1336">
        <f>IF([1]T15SOKManip!C16="","",[1]T15SOKManip!C16)</f>
        <v>36</v>
      </c>
      <c r="D17" s="1336">
        <f>IF([1]T15SOKManip!D16="","",[1]T15SOKManip!D16)</f>
        <v>41884</v>
      </c>
      <c r="E17" s="930">
        <f>IF([1]T15SOKManip!E16="","",[1]T15SOKManip!E16)</f>
        <v>2138</v>
      </c>
      <c r="F17" s="929">
        <f>IF([1]T15SOKManip!F16="","",[1]T15SOKManip!F16)</f>
        <v>4</v>
      </c>
      <c r="G17" s="1336">
        <f>IF([1]T15SOKManip!G16="","",[1]T15SOKManip!G16)</f>
        <v>3.1785272823591738E-3</v>
      </c>
      <c r="H17" s="1336">
        <f>IF([1]T15SOKManip!H16="","",[1]T15SOKManip!H16)</f>
        <v>0.18876920360233093</v>
      </c>
      <c r="I17" s="930">
        <f>IF([1]T15SOKManip!I16="","",[1]T15SOKManip!I16)</f>
        <v>4</v>
      </c>
      <c r="J17" s="314" t="str">
        <f>IF([1]T15SOKManip!J16="","",[1]T15SOKManip!J16)</f>
        <v/>
      </c>
      <c r="K17" s="424">
        <f>IF([1]T15SOKManip!K16="","",[1]T15SOKManip!K16)</f>
        <v>15976</v>
      </c>
    </row>
    <row r="18" spans="1:11" ht="12.75" customHeight="1">
      <c r="A18" s="1677">
        <v>1990</v>
      </c>
      <c r="B18" s="929">
        <f>IF([1]T15SOKManip!B17="","",[1]T15SOKManip!B17)</f>
        <v>49754</v>
      </c>
      <c r="C18" s="1336">
        <f>IF([1]T15SOKManip!C17="","",[1]T15SOKManip!C17)</f>
        <v>173</v>
      </c>
      <c r="D18" s="1336">
        <f>IF([1]T15SOKManip!D17="","",[1]T15SOKManip!D17)</f>
        <v>49581</v>
      </c>
      <c r="E18" s="930">
        <f>IF([1]T15SOKManip!E17="","",[1]T15SOKManip!E17)</f>
        <v>2716</v>
      </c>
      <c r="F18" s="929">
        <f>IF([1]T15SOKManip!F17="","",[1]T15SOKManip!F17)</f>
        <v>1</v>
      </c>
      <c r="G18" s="1336">
        <f>IF([1]T15SOKManip!G17="","",[1]T15SOKManip!G17)</f>
        <v>3.7339204005870669E-3</v>
      </c>
      <c r="H18" s="1336">
        <f>IF([1]T15SOKManip!H17="","",[1]T15SOKManip!H17)</f>
        <v>5.8620391953725287E-2</v>
      </c>
      <c r="I18" s="930">
        <f>IF([1]T15SOKManip!I17="","",[1]T15SOKManip!I17)</f>
        <v>1</v>
      </c>
      <c r="J18" s="314" t="str">
        <f>IF([1]T15SOKManip!J17="","",[1]T15SOKManip!J17)</f>
        <v/>
      </c>
      <c r="K18" s="424">
        <f>IF([1]T15SOKManip!K17="","",[1]T15SOKManip!K17)</f>
        <v>7609</v>
      </c>
    </row>
    <row r="19" spans="1:11" ht="12.75" customHeight="1">
      <c r="A19" s="1677">
        <v>1991</v>
      </c>
      <c r="B19" s="929">
        <f>IF([1]T15SOKManip!B18="","",[1]T15SOKManip!B18)</f>
        <v>76484</v>
      </c>
      <c r="C19" s="1336">
        <f>IF([1]T15SOKManip!C18="","",[1]T15SOKManip!C18)</f>
        <v>3</v>
      </c>
      <c r="D19" s="1336">
        <f>IF([1]T15SOKManip!D18="","",[1]T15SOKManip!D18)</f>
        <v>76481</v>
      </c>
      <c r="E19" s="930">
        <f>IF([1]T15SOKManip!E18="","",[1]T15SOKManip!E18)</f>
        <v>3271</v>
      </c>
      <c r="F19" s="929">
        <f>IF([1]T15SOKManip!F18="","",[1]T15SOKManip!F18)</f>
        <v>10</v>
      </c>
      <c r="G19" s="1336">
        <f>IF([1]T15SOKManip!G18="","",[1]T15SOKManip!G18)</f>
        <v>3.7892609537710164E-4</v>
      </c>
      <c r="H19" s="1336">
        <f>IF([1]T15SOKManip!H18="","",[1]T15SOKManip!H18)</f>
        <v>0.41315575265949983</v>
      </c>
      <c r="I19" s="930">
        <f>IF([1]T15SOKManip!I18="","",[1]T15SOKManip!I18)</f>
        <v>9</v>
      </c>
      <c r="J19" s="314" t="str">
        <f>IF([1]T15SOKManip!J18="","",[1]T15SOKManip!J18)</f>
        <v/>
      </c>
      <c r="K19" s="424">
        <f>IF([1]T15SOKManip!K18="","",[1]T15SOKManip!K18)</f>
        <v>27490</v>
      </c>
    </row>
    <row r="20" spans="1:11" ht="12.75" customHeight="1">
      <c r="A20" s="1677">
        <v>1992</v>
      </c>
      <c r="B20" s="929">
        <f>IF([1]T15SOKManip!B19="","",[1]T15SOKManip!B19)</f>
        <v>85000</v>
      </c>
      <c r="C20" s="1336">
        <f>IF([1]T15SOKManip!C19="","",[1]T15SOKManip!C19)</f>
        <v>8</v>
      </c>
      <c r="D20" s="1336">
        <f>IF([1]T15SOKManip!D19="","",[1]T15SOKManip!D19)</f>
        <v>84992</v>
      </c>
      <c r="E20" s="930">
        <f>IF([1]T15SOKManip!E19="","",[1]T15SOKManip!E19)</f>
        <v>2185</v>
      </c>
      <c r="F20" s="929">
        <f>IF([1]T15SOKManip!F19="","",[1]T15SOKManip!F19)</f>
        <v>35</v>
      </c>
      <c r="G20" s="1336">
        <f>IF([1]T15SOKManip!G19="","",[1]T15SOKManip!G19)</f>
        <v>1.483826293401919E-3</v>
      </c>
      <c r="H20" s="1336">
        <f>IF([1]T15SOKManip!H19="","",[1]T15SOKManip!H19)</f>
        <v>0.40527005638539915</v>
      </c>
      <c r="I20" s="930">
        <f>IF([1]T15SOKManip!I19="","",[1]T15SOKManip!I19)</f>
        <v>15</v>
      </c>
      <c r="J20" s="314" t="str">
        <f>IF([1]T15SOKManip!J19="","",[1]T15SOKManip!J19)</f>
        <v/>
      </c>
      <c r="K20" s="424">
        <f>IF([1]T15SOKManip!K19="","",[1]T15SOKManip!K19)</f>
        <v>41951</v>
      </c>
    </row>
    <row r="21" spans="1:11" ht="12.75" customHeight="1">
      <c r="A21" s="1677">
        <v>1993</v>
      </c>
      <c r="B21" s="929">
        <f>IF([1]T15SOKManip!B20="","",[1]T15SOKManip!B20)</f>
        <v>88025</v>
      </c>
      <c r="C21" s="1336">
        <f>IF([1]T15SOKManip!C20="","",[1]T15SOKManip!C20)</f>
        <v>64</v>
      </c>
      <c r="D21" s="1336">
        <f>IF([1]T15SOKManip!D20="","",[1]T15SOKManip!D20)</f>
        <v>80178</v>
      </c>
      <c r="E21" s="930">
        <f>IF([1]T15SOKManip!E20="","",[1]T15SOKManip!E20)</f>
        <v>5020</v>
      </c>
      <c r="F21" s="929">
        <f>IF([1]T15SOKManip!F20="","",[1]T15SOKManip!F20)</f>
        <v>18</v>
      </c>
      <c r="G21" s="1336">
        <f>IF([1]T15SOKManip!G20="","",[1]T15SOKManip!G20)</f>
        <v>1.3117758406578171E-2</v>
      </c>
      <c r="H21" s="1336">
        <f>IF([1]T15SOKManip!H20="","",[1]T15SOKManip!H20)</f>
        <v>1.0289241750159752</v>
      </c>
      <c r="I21" s="930">
        <f>IF([1]T15SOKManip!I20="","",[1]T15SOKManip!I20)</f>
        <v>17</v>
      </c>
      <c r="J21" s="314" t="str">
        <f>IF([1]T15SOKManip!J20="","",[1]T15SOKManip!J20)</f>
        <v/>
      </c>
      <c r="K21" s="424">
        <f>IF([1]T15SOKManip!K20="","",[1]T15SOKManip!K20)</f>
        <v>27849</v>
      </c>
    </row>
    <row r="22" spans="1:11" ht="12.75" customHeight="1">
      <c r="A22" s="1677">
        <v>1994</v>
      </c>
      <c r="B22" s="929">
        <f>IF([1]T15SOKManip!B21="","",[1]T15SOKManip!B21)</f>
        <v>12873</v>
      </c>
      <c r="C22" s="1336">
        <f>IF([1]T15SOKManip!C21="","",[1]T15SOKManip!C21)</f>
        <v>1</v>
      </c>
      <c r="D22" s="1336">
        <f>IF([1]T15SOKManip!D21="","",[1]T15SOKManip!D21)</f>
        <v>12678</v>
      </c>
      <c r="E22" s="930">
        <f>IF([1]T15SOKManip!E21="","",[1]T15SOKManip!E21)</f>
        <v>472</v>
      </c>
      <c r="F22" s="929">
        <f>IF([1]T15SOKManip!F21="","",[1]T15SOKManip!F21)</f>
        <v>5</v>
      </c>
      <c r="G22" s="1336">
        <f>IF([1]T15SOKManip!G21="","",[1]T15SOKManip!G21)</f>
        <v>4.032258064516129E-4</v>
      </c>
      <c r="H22" s="1336">
        <f>IF([1]T15SOKManip!H21="","",[1]T15SOKManip!H21)</f>
        <v>0.19032258064516128</v>
      </c>
      <c r="I22" s="930">
        <f>IF([1]T15SOKManip!I21="","",[1]T15SOKManip!I21)</f>
        <v>5</v>
      </c>
      <c r="J22" s="314" t="str">
        <f>IF([1]T15SOKManip!J21="","",[1]T15SOKManip!J21)</f>
        <v/>
      </c>
      <c r="K22" s="424">
        <f>IF([1]T15SOKManip!K21="","",[1]T15SOKManip!K21)</f>
        <v>1666</v>
      </c>
    </row>
    <row r="23" spans="1:11" ht="12.75" customHeight="1">
      <c r="A23" s="1677">
        <v>1995</v>
      </c>
      <c r="B23" s="929">
        <f>IF([1]T15SOKManip!B22="","",[1]T15SOKManip!B22)</f>
        <v>9913</v>
      </c>
      <c r="C23" s="1336">
        <f>IF([1]T15SOKManip!C22="","",[1]T15SOKManip!C22)</f>
        <v>1</v>
      </c>
      <c r="D23" s="1336">
        <f>IF([1]T15SOKManip!D22="","",[1]T15SOKManip!D22)</f>
        <v>8774</v>
      </c>
      <c r="E23" s="930">
        <f>IF([1]T15SOKManip!E22="","",[1]T15SOKManip!E22)</f>
        <v>445</v>
      </c>
      <c r="F23" s="929">
        <f>IF([1]T15SOKManip!F22="","",[1]T15SOKManip!F22)</f>
        <v>5</v>
      </c>
      <c r="G23" s="1336">
        <f>IF([1]T15SOKManip!G22="","",[1]T15SOKManip!G22)</f>
        <v>5.2815041723882966E-4</v>
      </c>
      <c r="H23" s="1336">
        <f>IF([1]T15SOKManip!H22="","",[1]T15SOKManip!H22)</f>
        <v>0.23502693567127919</v>
      </c>
      <c r="I23" s="930">
        <f>IF([1]T15SOKManip!I22="","",[1]T15SOKManip!I22)</f>
        <v>5</v>
      </c>
      <c r="J23" s="314" t="str">
        <f>IF([1]T15SOKManip!J22="","",[1]T15SOKManip!J22)</f>
        <v/>
      </c>
      <c r="K23" s="424">
        <f>IF([1]T15SOKManip!K22="","",[1]T15SOKManip!K22)</f>
        <v>4892</v>
      </c>
    </row>
    <row r="24" spans="1:11" ht="12.75" customHeight="1">
      <c r="A24" s="1677">
        <v>1996</v>
      </c>
      <c r="B24" s="929">
        <f>IF([1]T15SOKManip!B23="","",[1]T15SOKManip!B23)</f>
        <v>30942</v>
      </c>
      <c r="C24" s="1336">
        <f>IF([1]T15SOKManip!C23="","",[1]T15SOKManip!C23)</f>
        <v>25</v>
      </c>
      <c r="D24" s="1336">
        <f>IF([1]T15SOKManip!D23="","",[1]T15SOKManip!D23)</f>
        <v>30232</v>
      </c>
      <c r="E24" s="930">
        <f>IF([1]T15SOKManip!E23="","",[1]T15SOKManip!E23)</f>
        <v>1414</v>
      </c>
      <c r="F24" s="929">
        <f>IF([1]T15SOKManip!F23="","",[1]T15SOKManip!F23)</f>
        <v>3</v>
      </c>
      <c r="G24" s="1336">
        <f>IF([1]T15SOKManip!G23="","",[1]T15SOKManip!G23)</f>
        <v>2.542114361251398E-3</v>
      </c>
      <c r="H24" s="1336">
        <f>IF([1]T15SOKManip!H23="","",[1]T15SOKManip!H23)</f>
        <v>0.14378198827237906</v>
      </c>
      <c r="I24" s="930">
        <f>IF([1]T15SOKManip!I23="","",[1]T15SOKManip!I23)</f>
        <v>3</v>
      </c>
      <c r="J24" s="314" t="str">
        <f>IF([1]T15SOKManip!J23="","",[1]T15SOKManip!J23)</f>
        <v/>
      </c>
      <c r="K24" s="424">
        <f>IF([1]T15SOKManip!K23="","",[1]T15SOKManip!K23)</f>
        <v>17701</v>
      </c>
    </row>
    <row r="25" spans="1:11" ht="12.75" customHeight="1">
      <c r="A25" s="1677">
        <v>1997</v>
      </c>
      <c r="B25" s="929">
        <f>IF([1]T15SOKManip!B24="","",[1]T15SOKManip!B24)</f>
        <v>49978.7</v>
      </c>
      <c r="C25" s="1336">
        <f>IF([1]T15SOKManip!C24="","",[1]T15SOKManip!C24)</f>
        <v>11.7</v>
      </c>
      <c r="D25" s="1336">
        <f>IF([1]T15SOKManip!D24="","",[1]T15SOKManip!D24)</f>
        <v>47008</v>
      </c>
      <c r="E25" s="930">
        <f>IF([1]T15SOKManip!E24="","",[1]T15SOKManip!E24)</f>
        <v>2046</v>
      </c>
      <c r="F25" s="929">
        <f>IF([1]T15SOKManip!F24="","",[1]T15SOKManip!F24)</f>
        <v>16</v>
      </c>
      <c r="G25" s="1336">
        <f>IF([1]T15SOKManip!G24="","",[1]T15SOKManip!G24)</f>
        <v>4.1505811648337885E-3</v>
      </c>
      <c r="H25" s="1336">
        <f>IF([1]T15SOKManip!H24="","",[1]T15SOKManip!H24)</f>
        <v>0.72581957805554975</v>
      </c>
      <c r="I25" s="930">
        <f>IF([1]T15SOKManip!I24="","",[1]T15SOKManip!I24)</f>
        <v>17</v>
      </c>
      <c r="J25" s="314" t="str">
        <f>IF([1]T15SOKManip!J24="","",[1]T15SOKManip!J24)</f>
        <v/>
      </c>
      <c r="K25" s="424">
        <f>IF([1]T15SOKManip!K24="","",[1]T15SOKManip!K24)</f>
        <v>24621</v>
      </c>
    </row>
    <row r="26" spans="1:11" ht="12.75" customHeight="1">
      <c r="A26" s="1677">
        <v>1998</v>
      </c>
      <c r="B26" s="929">
        <f>IF([1]T15SOKManip!B25="","",[1]T15SOKManip!B25)</f>
        <v>13220.2</v>
      </c>
      <c r="C26" s="1336">
        <f>IF([1]T15SOKManip!C25="","",[1]T15SOKManip!C25)</f>
        <v>2.2000000000000002</v>
      </c>
      <c r="D26" s="1336">
        <f>IF([1]T15SOKManip!D25="","",[1]T15SOKManip!D25)</f>
        <v>13218</v>
      </c>
      <c r="E26" s="930">
        <f>IF([1]T15SOKManip!E25="","",[1]T15SOKManip!E25)</f>
        <v>425</v>
      </c>
      <c r="F26" s="929">
        <f>IF([1]T15SOKManip!F25="","",[1]T15SOKManip!F25)</f>
        <v>4</v>
      </c>
      <c r="G26" s="1336">
        <f>IF([1]T15SOKManip!G25="","",[1]T15SOKManip!G25)</f>
        <v>6.126995915336056E-4</v>
      </c>
      <c r="H26" s="1336">
        <f>IF([1]T15SOKManip!H25="","",[1]T15SOKManip!H25)</f>
        <v>0.11836242109171927</v>
      </c>
      <c r="I26" s="930">
        <f>IF([1]T15SOKManip!I25="","",[1]T15SOKManip!I25)</f>
        <v>3</v>
      </c>
      <c r="J26" s="314" t="str">
        <f>IF([1]T15SOKManip!J25="","",[1]T15SOKManip!J25)</f>
        <v/>
      </c>
      <c r="K26" s="424">
        <f>IF([1]T15SOKManip!K25="","",[1]T15SOKManip!K25)</f>
        <v>4664</v>
      </c>
    </row>
    <row r="27" spans="1:11" ht="12.75" customHeight="1">
      <c r="A27" s="1677">
        <v>1999</v>
      </c>
      <c r="B27" s="929">
        <f>IF([1]T15SOKManip!B26="","",[1]T15SOKManip!B26)</f>
        <v>19093.900000000001</v>
      </c>
      <c r="C27" s="1336">
        <f>IF([1]T15SOKManip!C26="","",[1]T15SOKManip!C26)</f>
        <v>0.9</v>
      </c>
      <c r="D27" s="1336">
        <f>IF([1]T15SOKManip!D26="","",[1]T15SOKManip!D26)</f>
        <v>17877</v>
      </c>
      <c r="E27" s="930">
        <f>IF([1]T15SOKManip!E26="","",[1]T15SOKManip!E26)</f>
        <v>704</v>
      </c>
      <c r="F27" s="929">
        <f>IF([1]T15SOKManip!F26="","",[1]T15SOKManip!F26)</f>
        <v>15</v>
      </c>
      <c r="G27" s="1336">
        <f>IF([1]T15SOKManip!G26="","",[1]T15SOKManip!G26)</f>
        <v>8.8096144434172605E-4</v>
      </c>
      <c r="H27" s="1336">
        <f>IF([1]T15SOKManip!H26="","",[1]T15SOKManip!H26)</f>
        <v>0.68910761868508341</v>
      </c>
      <c r="I27" s="930">
        <f>IF([1]T15SOKManip!I26="","",[1]T15SOKManip!I26)</f>
        <v>18</v>
      </c>
      <c r="J27" s="314">
        <f>IF([1]T15SOKManip!J26="","",[1]T15SOKManip!J26)</f>
        <v>1172</v>
      </c>
      <c r="K27" s="424">
        <f>IF([1]T15SOKManip!K26="","",[1]T15SOKManip!K26)</f>
        <v>12388</v>
      </c>
    </row>
    <row r="28" spans="1:11" ht="12.75" customHeight="1">
      <c r="A28" s="1677">
        <v>2000</v>
      </c>
      <c r="B28" s="929">
        <f>IF([1]T15SOKManip!B27="","",[1]T15SOKManip!B27)</f>
        <v>93763.8</v>
      </c>
      <c r="C28" s="1336">
        <f>IF([1]T15SOKManip!C27="","",[1]T15SOKManip!C27)</f>
        <v>365.8</v>
      </c>
      <c r="D28" s="1336">
        <f>IF([1]T15SOKManip!D27="","",[1]T15SOKManip!D27)</f>
        <v>93398</v>
      </c>
      <c r="E28" s="930">
        <f>IF([1]T15SOKManip!E27="","",[1]T15SOKManip!E27)</f>
        <v>2910</v>
      </c>
      <c r="F28" s="929">
        <f>IF([1]T15SOKManip!F27="","",[1]T15SOKManip!F27)</f>
        <v>365</v>
      </c>
      <c r="G28" s="1336">
        <f>IF([1]T15SOKManip!G27="","",[1]T15SOKManip!G27)</f>
        <v>1.6041145623235176</v>
      </c>
      <c r="H28" s="1336">
        <f>IF([1]T15SOKManip!H27="","",[1]T15SOKManip!H27)</f>
        <v>12.760998841884735</v>
      </c>
      <c r="I28" s="930">
        <f>IF([1]T15SOKManip!I27="","",[1]T15SOKManip!I27)</f>
        <v>337</v>
      </c>
      <c r="J28" s="314">
        <f>IF([1]T15SOKManip!J27="","",[1]T15SOKManip!J27)</f>
        <v>20979</v>
      </c>
      <c r="K28" s="424">
        <f>IF([1]T15SOKManip!K27="","",[1]T15SOKManip!K27)</f>
        <v>59944</v>
      </c>
    </row>
    <row r="29" spans="1:11" ht="12.75" customHeight="1">
      <c r="A29" s="1677">
        <v>2001</v>
      </c>
      <c r="B29" s="929">
        <f>IF([1]T15SOKManip!B28="","",[1]T15SOKManip!B28)</f>
        <v>117878.878</v>
      </c>
      <c r="C29" s="1336">
        <f>IF([1]T15SOKManip!C28="","",[1]T15SOKManip!C28)</f>
        <v>1690.8780000000002</v>
      </c>
      <c r="D29" s="1336">
        <f>IF([1]T15SOKManip!D28="","",[1]T15SOKManip!D28)</f>
        <v>114934</v>
      </c>
      <c r="E29" s="930">
        <f>IF([1]T15SOKManip!E28="","",[1]T15SOKManip!E28)</f>
        <v>7300</v>
      </c>
      <c r="F29" s="929">
        <f>IF([1]T15SOKManip!F28="","",[1]T15SOKManip!F28)</f>
        <v>41</v>
      </c>
      <c r="G29" s="1336">
        <f>IF([1]T15SOKManip!G28="","",[1]T15SOKManip!G28)</f>
        <v>0.69878691866872389</v>
      </c>
      <c r="H29" s="1336">
        <f>IF([1]T15SOKManip!H28="","",[1]T15SOKManip!H28)</f>
        <v>3.0168613621335685</v>
      </c>
      <c r="I29" s="930">
        <f>IF([1]T15SOKManip!I28="","",[1]T15SOKManip!I28)</f>
        <v>45</v>
      </c>
      <c r="J29" s="314">
        <f>IF([1]T15SOKManip!J28="","",[1]T15SOKManip!J28)</f>
        <v>32633</v>
      </c>
      <c r="K29" s="424">
        <f>IF([1]T15SOKManip!K28="","",[1]T15SOKManip!K28)</f>
        <v>74486</v>
      </c>
    </row>
    <row r="30" spans="1:11" ht="12.75" customHeight="1">
      <c r="A30" s="1677">
        <v>2002</v>
      </c>
      <c r="B30" s="929">
        <f>IF([1]T15SOKManip!B29="","",[1]T15SOKManip!B29)</f>
        <v>50556.7</v>
      </c>
      <c r="C30" s="1336">
        <f>IF([1]T15SOKManip!C29="","",[1]T15SOKManip!C29)</f>
        <v>23.7</v>
      </c>
      <c r="D30" s="1336">
        <f>IF([1]T15SOKManip!D29="","",[1]T15SOKManip!D29)</f>
        <v>49610</v>
      </c>
      <c r="E30" s="930">
        <f>IF([1]T15SOKManip!E29="","",[1]T15SOKManip!E29)</f>
        <v>2564</v>
      </c>
      <c r="F30" s="929">
        <f>IF([1]T15SOKManip!F29="","",[1]T15SOKManip!F29)</f>
        <v>64</v>
      </c>
      <c r="G30" s="1336">
        <f>IF([1]T15SOKManip!G29="","",[1]T15SOKManip!G29)</f>
        <v>3.6063284278984448E-2</v>
      </c>
      <c r="H30" s="1336">
        <f>IF([1]T15SOKManip!H29="","",[1]T15SOKManip!H29)</f>
        <v>3.9015299954141822</v>
      </c>
      <c r="I30" s="930">
        <f>IF([1]T15SOKManip!I29="","",[1]T15SOKManip!I29)</f>
        <v>73</v>
      </c>
      <c r="J30" s="314">
        <f>IF([1]T15SOKManip!J29="","",[1]T15SOKManip!J29)</f>
        <v>27821</v>
      </c>
      <c r="K30" s="424">
        <f>IF([1]T15SOKManip!K29="","",[1]T15SOKManip!K29)</f>
        <v>10586</v>
      </c>
    </row>
    <row r="31" spans="1:11" ht="12.75" customHeight="1">
      <c r="A31" s="1677">
        <v>2003</v>
      </c>
      <c r="B31" s="929">
        <f>IF([1]T15SOKManip!B30="","",[1]T15SOKManip!B30)</f>
        <v>39291</v>
      </c>
      <c r="C31" s="1336">
        <f>IF([1]T15SOKManip!C30="","",[1]T15SOKManip!C30)</f>
        <v>0</v>
      </c>
      <c r="D31" s="1336">
        <f>IF([1]T15SOKManip!D30="","",[1]T15SOKManip!D30)</f>
        <v>39291</v>
      </c>
      <c r="E31" s="930">
        <f>IF([1]T15SOKManip!E30="","",[1]T15SOKManip!E30)</f>
        <v>1090</v>
      </c>
      <c r="F31" s="929">
        <f>IF([1]T15SOKManip!F30="","",[1]T15SOKManip!F30)</f>
        <v>40</v>
      </c>
      <c r="G31" s="1336">
        <f>IF([1]T15SOKManip!G30="","",[1]T15SOKManip!G30)</f>
        <v>0</v>
      </c>
      <c r="H31" s="1336">
        <f>IF([1]T15SOKManip!H30="","",[1]T15SOKManip!H30)</f>
        <v>1.1020932393288516</v>
      </c>
      <c r="I31" s="930">
        <f>IF([1]T15SOKManip!I30="","",[1]T15SOKManip!I30)</f>
        <v>37</v>
      </c>
      <c r="J31" s="314">
        <f>IF([1]T15SOKManip!J30="","",[1]T15SOKManip!J30)</f>
        <v>5074</v>
      </c>
      <c r="K31" s="424">
        <f>IF([1]T15SOKManip!K30="","",[1]T15SOKManip!K30)</f>
        <v>28977</v>
      </c>
    </row>
    <row r="32" spans="1:11" ht="12.75" customHeight="1">
      <c r="A32" s="1677">
        <v>2004</v>
      </c>
      <c r="B32" s="929">
        <f>IF([1]T15SOKManip!B31="","",[1]T15SOKManip!B31)</f>
        <v>130231</v>
      </c>
      <c r="C32" s="1336">
        <f>IF([1]T15SOKManip!C31="","",[1]T15SOKManip!C31)</f>
        <v>682</v>
      </c>
      <c r="D32" s="1336">
        <f>IF([1]T15SOKManip!D31="","",[1]T15SOKManip!D31)</f>
        <v>123291</v>
      </c>
      <c r="E32" s="930">
        <f>IF([1]T15SOKManip!E31="","",[1]T15SOKManip!E31)</f>
        <v>4317</v>
      </c>
      <c r="F32" s="929">
        <f>IF([1]T15SOKManip!F31="","",[1]T15SOKManip!F31)</f>
        <v>118</v>
      </c>
      <c r="G32" s="1336">
        <f>IF([1]T15SOKManip!G31="","",[1]T15SOKManip!G31)</f>
        <v>0.61533670813305441</v>
      </c>
      <c r="H32" s="1336">
        <f>IF([1]T15SOKManip!H31="","",[1]T15SOKManip!H31)</f>
        <v>3.8950272272879709</v>
      </c>
      <c r="I32" s="930">
        <f>IF([1]T15SOKManip!I31="","",[1]T15SOKManip!I31)</f>
        <v>113</v>
      </c>
      <c r="J32" s="314">
        <f>IF([1]T15SOKManip!J31="","",[1]T15SOKManip!J31)</f>
        <v>33167</v>
      </c>
      <c r="K32" s="424">
        <f>IF([1]T15SOKManip!K31="","",[1]T15SOKManip!K31)</f>
        <v>78053</v>
      </c>
    </row>
    <row r="33" spans="1:11" ht="12.75" customHeight="1">
      <c r="A33" s="1677">
        <v>2005</v>
      </c>
      <c r="B33" s="929">
        <f>IF([1]T15SOKManip!B32="","",[1]T15SOKManip!B32)</f>
        <v>77399.399999999994</v>
      </c>
      <c r="C33" s="1336">
        <f>IF([1]T15SOKManip!C32="","",[1]T15SOKManip!C32)</f>
        <v>4.4000000000000004</v>
      </c>
      <c r="D33" s="1336">
        <f>IF([1]T15SOKManip!D32="","",[1]T15SOKManip!D32)</f>
        <v>72971</v>
      </c>
      <c r="E33" s="930">
        <f>IF([1]T15SOKManip!E32="","",[1]T15SOKManip!E32)</f>
        <v>2766</v>
      </c>
      <c r="F33" s="929">
        <f>IF([1]T15SOKManip!F32="","",[1]T15SOKManip!F32)</f>
        <v>19</v>
      </c>
      <c r="G33" s="1336">
        <f>IF([1]T15SOKManip!G32="","",[1]T15SOKManip!G32)</f>
        <v>1.0612496482600598E-3</v>
      </c>
      <c r="H33" s="1336">
        <f>IF([1]T15SOKManip!H32="","",[1]T15SOKManip!H32)</f>
        <v>0.66714011979257393</v>
      </c>
      <c r="I33" s="930">
        <f>IF([1]T15SOKManip!I32="","",[1]T15SOKManip!I32)</f>
        <v>18</v>
      </c>
      <c r="J33" s="314">
        <f>IF([1]T15SOKManip!J32="","",[1]T15SOKManip!J32)</f>
        <v>14218</v>
      </c>
      <c r="K33" s="424">
        <f>IF([1]T15SOKManip!K32="","",[1]T15SOKManip!K32)</f>
        <v>55559</v>
      </c>
    </row>
    <row r="34" spans="1:11" ht="12.75" customHeight="1">
      <c r="A34" s="1677">
        <v>2006</v>
      </c>
      <c r="B34" s="929">
        <f>IF([1]T15SOKManip!B33="","",[1]T15SOKManip!B33)</f>
        <v>37067.32</v>
      </c>
      <c r="C34" s="1336">
        <f>IF([1]T15SOKManip!C33="","",[1]T15SOKManip!C33)</f>
        <v>1.32</v>
      </c>
      <c r="D34" s="1336">
        <f>IF([1]T15SOKManip!D33="","",[1]T15SOKManip!D33)</f>
        <v>37066</v>
      </c>
      <c r="E34" s="930">
        <f>IF([1]T15SOKManip!E33="","",[1]T15SOKManip!E33)</f>
        <v>1596</v>
      </c>
      <c r="F34" s="929">
        <f>IF([1]T15SOKManip!F33="","",[1]T15SOKManip!F33)</f>
        <v>51</v>
      </c>
      <c r="G34" s="1336">
        <f>IF([1]T15SOKManip!G33="","",[1]T15SOKManip!G33)</f>
        <v>1.800716193940772E-3</v>
      </c>
      <c r="H34" s="1336">
        <f>IF([1]T15SOKManip!H33="","",[1]T15SOKManip!H33)</f>
        <v>2.1772295799465695</v>
      </c>
      <c r="I34" s="930">
        <f>IF([1]T15SOKManip!I33="","",[1]T15SOKManip!I33)</f>
        <v>17</v>
      </c>
      <c r="J34" s="314">
        <f>IF([1]T15SOKManip!J33="","",[1]T15SOKManip!J33)</f>
        <v>9657</v>
      </c>
      <c r="K34" s="424">
        <f>IF([1]T15SOKManip!K33="","",[1]T15SOKManip!K33)</f>
        <v>22075</v>
      </c>
    </row>
    <row r="35" spans="1:11" ht="12.75" customHeight="1">
      <c r="A35" s="1677">
        <v>2007</v>
      </c>
      <c r="B35" s="929">
        <f>IF([1]T15SOKManip!B34="","",[1]T15SOKManip!B34)</f>
        <v>26604</v>
      </c>
      <c r="C35" s="1336">
        <f>IF([1]T15SOKManip!C34="","",[1]T15SOKManip!C34)</f>
        <v>0</v>
      </c>
      <c r="D35" s="1336">
        <f>IF([1]T15SOKManip!D34="","",[1]T15SOKManip!D34)</f>
        <v>24376</v>
      </c>
      <c r="E35" s="930">
        <f>IF([1]T15SOKManip!E34="","",[1]T15SOKManip!E34)</f>
        <v>1414</v>
      </c>
      <c r="F35" s="929">
        <f>IF([1]T15SOKManip!F34="","",[1]T15SOKManip!F34)</f>
        <v>58</v>
      </c>
      <c r="G35" s="1336">
        <f>IF([1]T15SOKManip!G34="","",[1]T15SOKManip!G34)</f>
        <v>0</v>
      </c>
      <c r="H35" s="1336">
        <f>IF([1]T15SOKManip!H34="","",[1]T15SOKManip!H34)</f>
        <v>3.0873362445414845</v>
      </c>
      <c r="I35" s="930">
        <f>IF([1]T15SOKManip!I34="","",[1]T15SOKManip!I34)</f>
        <v>55</v>
      </c>
      <c r="J35" s="314">
        <f>IF([1]T15SOKManip!J34="","",[1]T15SOKManip!J34)</f>
        <v>2607</v>
      </c>
      <c r="K35" s="424">
        <f>IF([1]T15SOKManip!K34="","",[1]T15SOKManip!K34)</f>
        <v>22273</v>
      </c>
    </row>
    <row r="36" spans="1:11" ht="12.75" customHeight="1">
      <c r="A36" s="1677">
        <v>2008</v>
      </c>
      <c r="B36" s="929">
        <f>IF([1]T15SOKManip!B35="","",[1]T15SOKManip!B35)</f>
        <v>214465</v>
      </c>
      <c r="C36" s="1336">
        <f>IF([1]T15SOKManip!C35="","",[1]T15SOKManip!C35)</f>
        <v>974</v>
      </c>
      <c r="D36" s="1336">
        <f>IF([1]T15SOKManip!D35="","",[1]T15SOKManip!D35)</f>
        <v>213607</v>
      </c>
      <c r="E36" s="930">
        <f>IF([1]T15SOKManip!E35="","",[1]T15SOKManip!E35)</f>
        <v>9017</v>
      </c>
      <c r="F36" s="929">
        <f>IF([1]T15SOKManip!F35="","",[1]T15SOKManip!F35)</f>
        <v>890</v>
      </c>
      <c r="G36" s="1336">
        <f>IF([1]T15SOKManip!G35="","",[1]T15SOKManip!G35)</f>
        <v>4.4525434383565088</v>
      </c>
      <c r="H36" s="1336">
        <f>IF([1]T15SOKManip!H35="","",[1]T15SOKManip!H35)</f>
        <v>41.220312303553023</v>
      </c>
      <c r="I36" s="930">
        <f>IF([1]T15SOKManip!I35="","",[1]T15SOKManip!I35)</f>
        <v>909</v>
      </c>
      <c r="J36" s="314">
        <f>IF([1]T15SOKManip!J35="","",[1]T15SOKManip!J35)</f>
        <v>28340</v>
      </c>
      <c r="K36" s="424">
        <f>IF([1]T15SOKManip!K35="","",[1]T15SOKManip!K35)</f>
        <v>165334</v>
      </c>
    </row>
    <row r="37" spans="1:11" ht="12.75" customHeight="1">
      <c r="A37" s="1677">
        <v>2009</v>
      </c>
      <c r="B37" s="929">
        <f>IF([1]T15SOKManip!B36="","",[1]T15SOKManip!B36)</f>
        <v>179731.5</v>
      </c>
      <c r="C37" s="1336">
        <f>IF([1]T15SOKManip!C36="","",[1]T15SOKManip!C36)</f>
        <v>1187.5</v>
      </c>
      <c r="D37" s="1336">
        <f>IF([1]T15SOKManip!D36="","",[1]T15SOKManip!D36)</f>
        <v>177823</v>
      </c>
      <c r="E37" s="930">
        <f>IF([1]T15SOKManip!E36="","",[1]T15SOKManip!E36)</f>
        <v>9731</v>
      </c>
      <c r="F37" s="929">
        <f>IF([1]T15SOKManip!F36="","",[1]T15SOKManip!F36)</f>
        <v>1414</v>
      </c>
      <c r="G37" s="1336">
        <f>IF([1]T15SOKManip!G36="","",[1]T15SOKManip!G36)</f>
        <v>9.8900301506347059</v>
      </c>
      <c r="H37" s="1336">
        <f>IF([1]T15SOKManip!H36="","",[1]T15SOKManip!H36)</f>
        <v>81.044112333327419</v>
      </c>
      <c r="I37" s="930">
        <f>IF([1]T15SOKManip!I36="","",[1]T15SOKManip!I36)</f>
        <v>1406</v>
      </c>
      <c r="J37" s="314">
        <f>IF([1]T15SOKManip!J36="","",[1]T15SOKManip!J36)</f>
        <v>16034</v>
      </c>
      <c r="K37" s="424">
        <f>IF([1]T15SOKManip!K36="","",[1]T15SOKManip!K36)</f>
        <v>134937</v>
      </c>
    </row>
    <row r="38" spans="1:11" ht="12.75" customHeight="1">
      <c r="A38" s="1677">
        <v>2010</v>
      </c>
      <c r="B38" s="929">
        <f>IF([1]T15SOKManip!B37="","",[1]T15SOKManip!B37)</f>
        <v>392192.8</v>
      </c>
      <c r="C38" s="1336">
        <f>IF([1]T15SOKManip!C37="","",[1]T15SOKManip!C37)</f>
        <v>467.8</v>
      </c>
      <c r="D38" s="1336">
        <f>IF([1]T15SOKManip!D37="","",[1]T15SOKManip!D37)</f>
        <v>386525</v>
      </c>
      <c r="E38" s="930">
        <f>IF([1]T15SOKManip!E37="","",[1]T15SOKManip!E37)</f>
        <v>26125</v>
      </c>
      <c r="F38" s="929">
        <f>IF([1]T15SOKManip!F37="","",[1]T15SOKManip!F37)</f>
        <v>1861</v>
      </c>
      <c r="G38" s="1336">
        <f>IF([1]T15SOKManip!G37="","",[1]T15SOKManip!G37)</f>
        <v>3.0785407161847247</v>
      </c>
      <c r="H38" s="1336">
        <f>IF([1]T15SOKManip!H37="","",[1]T15SOKManip!H37)</f>
        <v>171.92577214691306</v>
      </c>
      <c r="I38" s="930">
        <f>IF([1]T15SOKManip!I37="","",[1]T15SOKManip!I37)</f>
        <v>2406</v>
      </c>
      <c r="J38" s="314">
        <f>IF([1]T15SOKManip!J37="","",[1]T15SOKManip!J37)</f>
        <v>35821</v>
      </c>
      <c r="K38" s="424">
        <f>IF([1]T15SOKManip!K37="","",[1]T15SOKManip!K37)</f>
        <v>291764</v>
      </c>
    </row>
    <row r="39" spans="1:11" ht="12.75" customHeight="1">
      <c r="A39" s="1677">
        <v>2011</v>
      </c>
      <c r="B39" s="929">
        <f>IF([1]T15SOKManip!B38="","",[1]T15SOKManip!B38)</f>
        <v>187365.2</v>
      </c>
      <c r="C39" s="1336">
        <f>IF([1]T15SOKManip!C38="","",[1]T15SOKManip!C38)</f>
        <v>1873.2</v>
      </c>
      <c r="D39" s="1336">
        <f>IF([1]T15SOKManip!D38="","",[1]T15SOKManip!D38)</f>
        <v>185796</v>
      </c>
      <c r="E39" s="930">
        <f>IF([1]T15SOKManip!E38="","",[1]T15SOKManip!E38)</f>
        <v>12853</v>
      </c>
      <c r="F39" s="929">
        <f>IF([1]T15SOKManip!F38="","",[1]T15SOKManip!F38)</f>
        <v>1561</v>
      </c>
      <c r="G39" s="1336">
        <f>IF([1]T15SOKManip!G38="","",[1]T15SOKManip!G38)</f>
        <v>17.993338705345153</v>
      </c>
      <c r="H39" s="1336">
        <f>IF([1]T15SOKManip!H38="","",[1]T15SOKManip!H38)</f>
        <v>123.46166046327207</v>
      </c>
      <c r="I39" s="930">
        <f>IF([1]T15SOKManip!I38="","",[1]T15SOKManip!I38)</f>
        <v>1502</v>
      </c>
      <c r="J39" s="314">
        <f>IF([1]T15SOKManip!J38="","",[1]T15SOKManip!J38)</f>
        <v>18634</v>
      </c>
      <c r="K39" s="424">
        <f>IF([1]T15SOKManip!K38="","",[1]T15SOKManip!K38)</f>
        <v>111508</v>
      </c>
    </row>
    <row r="40" spans="1:11" ht="12.75" customHeight="1">
      <c r="A40" s="1677">
        <v>2012</v>
      </c>
      <c r="B40" s="929">
        <f>IF([1]T15SOKManip!B39="","",[1]T15SOKManip!B39)</f>
        <v>521158.8</v>
      </c>
      <c r="C40" s="1336">
        <f>IF([1]T15SOKManip!C39="","",[1]T15SOKManip!C39)</f>
        <v>5490.8</v>
      </c>
      <c r="D40" s="1336">
        <f>IF([1]T15SOKManip!D39="","",[1]T15SOKManip!D39)</f>
        <v>515673</v>
      </c>
      <c r="E40" s="930">
        <f>IF([1]T15SOKManip!E39="","",[1]T15SOKManip!E39)</f>
        <v>45352</v>
      </c>
      <c r="F40" s="929">
        <f>IF([1]T15SOKManip!F39="","",[1]T15SOKManip!F39)</f>
        <v>512</v>
      </c>
      <c r="G40" s="1336">
        <f>IF([1]T15SOKManip!G39="","",[1]T15SOKManip!G39)</f>
        <v>5.5961262398244411</v>
      </c>
      <c r="H40" s="1336">
        <f>IF([1]T15SOKManip!H39="","",[1]T15SOKManip!H39)</f>
        <v>46.221956222866986</v>
      </c>
      <c r="I40" s="930">
        <f>IF([1]T15SOKManip!I39="","",[1]T15SOKManip!I39)</f>
        <v>470</v>
      </c>
      <c r="J40" s="314">
        <f>IF([1]T15SOKManip!J39="","",[1]T15SOKManip!J39)</f>
        <v>43411</v>
      </c>
      <c r="K40" s="424">
        <f>IF([1]T15SOKManip!K39="","",[1]T15SOKManip!K39)</f>
        <v>326107</v>
      </c>
    </row>
    <row r="41" spans="1:11" ht="12.75" customHeight="1">
      <c r="A41" s="1677">
        <v>2013</v>
      </c>
      <c r="B41" s="929">
        <f>IF([1]T15SOKManip!B40="","",[1]T15SOKManip!B40)</f>
        <v>186191.45</v>
      </c>
      <c r="C41" s="1336">
        <f>IF([1]T15SOKManip!C40="","",[1]T15SOKManip!C40)</f>
        <v>718.45</v>
      </c>
      <c r="D41" s="1336">
        <f>IF([1]T15SOKManip!D40="","",[1]T15SOKManip!D40)</f>
        <v>185505</v>
      </c>
      <c r="E41" s="930">
        <f>IF([1]T15SOKManip!E40="","",[1]T15SOKManip!E40)</f>
        <v>8046</v>
      </c>
      <c r="F41" s="929">
        <f>IF([1]T15SOKManip!F40="","",[1]T15SOKManip!F40)</f>
        <v>1011</v>
      </c>
      <c r="G41" s="1336">
        <f>IF([1]T15SOKManip!G40="","",[1]T15SOKManip!G40)</f>
        <v>4.3935535814441575</v>
      </c>
      <c r="H41" s="1336">
        <f>IF([1]T15SOKManip!H40="","",[1]T15SOKManip!H40)</f>
        <v>49.203886305657576</v>
      </c>
      <c r="I41" s="930">
        <f>IF([1]T15SOKManip!I40="","",[1]T15SOKManip!I40)</f>
        <v>757</v>
      </c>
      <c r="J41" s="314">
        <f>IF([1]T15SOKManip!J40="","",[1]T15SOKManip!J40)</f>
        <v>29229</v>
      </c>
      <c r="K41" s="424">
        <f>IF([1]T15SOKManip!K40="","",[1]T15SOKManip!K40)</f>
        <v>129993</v>
      </c>
    </row>
    <row r="42" spans="1:11" ht="12.75" customHeight="1">
      <c r="A42" s="1677">
        <v>2014</v>
      </c>
      <c r="B42" s="929">
        <f>IF([1]T15SOKManip!B41="","",[1]T15SOKManip!B41)</f>
        <v>651145.55000000005</v>
      </c>
      <c r="C42" s="1336">
        <f>IF([1]T15SOKManip!C41="","",[1]T15SOKManip!C41)</f>
        <v>1737.55</v>
      </c>
      <c r="D42" s="1336">
        <f>IF([1]T15SOKManip!D41="","",[1]T15SOKManip!D41)</f>
        <v>614179</v>
      </c>
      <c r="E42" s="930">
        <f>IF([1]T15SOKManip!E41="","",[1]T15SOKManip!E41)</f>
        <v>30702</v>
      </c>
      <c r="F42" s="929">
        <f>IF([1]T15SOKManip!F41="","",[1]T15SOKManip!F41)</f>
        <v>2523</v>
      </c>
      <c r="G42" s="1336">
        <f>IF([1]T15SOKManip!G41="","",[1]T15SOKManip!G41)</f>
        <v>7.838359888597429</v>
      </c>
      <c r="H42" s="1336">
        <f>IF([1]T15SOKManip!H41="","",[1]T15SOKManip!H41)</f>
        <v>138.50152530846205</v>
      </c>
      <c r="I42" s="930">
        <f>IF([1]T15SOKManip!I41="","",[1]T15SOKManip!I41)</f>
        <v>2786</v>
      </c>
      <c r="J42" s="314">
        <f>IF([1]T15SOKManip!J41="","",[1]T15SOKManip!J41)</f>
        <v>99888</v>
      </c>
      <c r="K42" s="424">
        <f>IF([1]T15SOKManip!K41="","",[1]T15SOKManip!K41)</f>
        <v>490804</v>
      </c>
    </row>
    <row r="43" spans="1:11" ht="12.75" customHeight="1">
      <c r="A43" s="1677">
        <v>2015</v>
      </c>
      <c r="B43" s="929">
        <f>IF([1]T15SOKManip!B42="","",[1]T15SOKManip!B42)</f>
        <v>512454.8</v>
      </c>
      <c r="C43" s="1336">
        <f>IF([1]T15SOKManip!C42="","",[1]T15SOKManip!C42)</f>
        <v>1546.8</v>
      </c>
      <c r="D43" s="1336">
        <f>IF([1]T15SOKManip!D42="","",[1]T15SOKManip!D42)</f>
        <v>510706</v>
      </c>
      <c r="E43" s="930">
        <f>IF([1]T15SOKManip!E42="","",[1]T15SOKManip!E42)</f>
        <v>30095</v>
      </c>
      <c r="F43" s="929">
        <f>IF([1]T15SOKManip!F42="","",[1]T15SOKManip!F42)</f>
        <v>1749</v>
      </c>
      <c r="G43" s="1336">
        <f>IF([1]T15SOKManip!G42="","",[1]T15SOKManip!G42)</f>
        <v>5.2611904684923543</v>
      </c>
      <c r="H43" s="1336">
        <f>IF([1]T15SOKManip!H42="","",[1]T15SOKManip!H42)</f>
        <v>102.3632836496492</v>
      </c>
      <c r="I43" s="930">
        <f>IF([1]T15SOKManip!I42="","",[1]T15SOKManip!I42)</f>
        <v>440</v>
      </c>
      <c r="J43" s="314">
        <f>IF([1]T15SOKManip!J42="","",[1]T15SOKManip!J42)</f>
        <v>51533</v>
      </c>
      <c r="K43" s="424">
        <f>IF([1]T15SOKManip!K42="","",[1]T15SOKManip!K42)</f>
        <v>187055</v>
      </c>
    </row>
    <row r="44" spans="1:11" ht="12.75" customHeight="1">
      <c r="A44" s="1677">
        <v>2016</v>
      </c>
      <c r="B44" s="929">
        <f>IF([1]T15SOKManip!B43="","",[1]T15SOKManip!B43)</f>
        <v>356605.8</v>
      </c>
      <c r="C44" s="1336">
        <f>IF([1]T15SOKManip!C43="","",[1]T15SOKManip!C43)</f>
        <v>1196.8</v>
      </c>
      <c r="D44" s="1336">
        <f>IF([1]T15SOKManip!D43="","",[1]T15SOKManip!D43)</f>
        <v>342498</v>
      </c>
      <c r="E44" s="930">
        <f>IF([1]T15SOKManip!E43="","",[1]T15SOKManip!E43)</f>
        <v>16683</v>
      </c>
      <c r="F44" s="929">
        <f>IF([1]T15SOKManip!F43="","",[1]T15SOKManip!F43)</f>
        <v>946</v>
      </c>
      <c r="G44" s="1336">
        <f>IF([1]T15SOKManip!G43="","",[1]T15SOKManip!G43)</f>
        <v>3.172755183978083</v>
      </c>
      <c r="H44" s="1336">
        <f>IF([1]T15SOKManip!H43="","",[1]T15SOKManip!H43)</f>
        <v>44.227168060082185</v>
      </c>
      <c r="I44" s="930">
        <f>IF([1]T15SOKManip!I43="","",[1]T15SOKManip!I43)</f>
        <v>816</v>
      </c>
      <c r="J44" s="314">
        <f>IF([1]T15SOKManip!J43="","",[1]T15SOKManip!J43)</f>
        <v>73748</v>
      </c>
      <c r="K44" s="424">
        <f>IF([1]T15SOKManip!K43="","",[1]T15SOKManip!K43)</f>
        <v>216036</v>
      </c>
    </row>
    <row r="45" spans="1:11" ht="12.75" customHeight="1">
      <c r="A45" s="1677">
        <v>2017</v>
      </c>
      <c r="B45" s="929">
        <f>IF([1]T15SOKManip!B44="","",[1]T15SOKManip!B44)</f>
        <v>88263</v>
      </c>
      <c r="C45" s="1336">
        <f>IF([1]T15SOKManip!C44="","",[1]T15SOKManip!C44)</f>
        <v>429</v>
      </c>
      <c r="D45" s="1336">
        <f>IF([1]T15SOKManip!D44="","",[1]T15SOKManip!D44)</f>
        <v>87693</v>
      </c>
      <c r="E45" s="930">
        <f>IF([1]T15SOKManip!E44="","",[1]T15SOKManip!E44)</f>
        <v>4480</v>
      </c>
      <c r="F45" s="929">
        <f>IF([1]T15SOKManip!F44="","",[1]T15SOKManip!F44)</f>
        <v>444</v>
      </c>
      <c r="G45" s="1336">
        <f>IF([1]T15SOKManip!G44="","",[1]T15SOKManip!G44)</f>
        <v>2.1343825358548041</v>
      </c>
      <c r="H45" s="1336">
        <f>IF([1]T15SOKManip!H44="","",[1]T15SOKManip!H44)</f>
        <v>22.289122985150403</v>
      </c>
      <c r="I45" s="930">
        <f>IF([1]T15SOKManip!I44="","",[1]T15SOKManip!I44)</f>
        <v>228</v>
      </c>
      <c r="J45" s="314">
        <f>IF([1]T15SOKManip!J44="","",[1]T15SOKManip!J44)</f>
        <v>23854</v>
      </c>
      <c r="K45" s="424">
        <f>IF([1]T15SOKManip!K44="","",[1]T15SOKManip!K44)</f>
        <v>42299</v>
      </c>
    </row>
    <row r="46" spans="1:11" ht="12.75" customHeight="1">
      <c r="A46" s="1677">
        <v>2018</v>
      </c>
      <c r="B46" s="929">
        <f>IF([1]T15SOKManip!B45="","",[1]T15SOKManip!B45)</f>
        <v>210914.89347826087</v>
      </c>
      <c r="C46" s="1336">
        <f>IF([1]T15SOKManip!C45="","",[1]T15SOKManip!C45)</f>
        <v>112.35</v>
      </c>
      <c r="D46" s="1336">
        <f>IF([1]T15SOKManip!D45="","",[1]T15SOKManip!D45)</f>
        <v>193816</v>
      </c>
      <c r="E46" s="930">
        <f>IF([1]T15SOKManip!E45="","",[1]T15SOKManip!E45)</f>
        <v>7724</v>
      </c>
      <c r="F46" s="929">
        <f>IF([1]T15SOKManip!F45="","",[1]T15SOKManip!F45)</f>
        <v>297</v>
      </c>
      <c r="G46" s="1336">
        <f>IF([1]T15SOKManip!G45="","",[1]T15SOKManip!G45)</f>
        <v>0.15797242403426479</v>
      </c>
      <c r="H46" s="1336">
        <f>IF([1]T15SOKManip!H45="","",[1]T15SOKManip!H45)</f>
        <v>10.860516272725064</v>
      </c>
      <c r="I46" s="930">
        <f>IF([1]T15SOKManip!I45="","",[1]T15SOKManip!I45)</f>
        <v>213</v>
      </c>
      <c r="J46" s="314">
        <f>IF([1]T15SOKManip!J45="","",[1]T15SOKManip!J45)</f>
        <v>13962</v>
      </c>
      <c r="K46" s="424">
        <f>IF([1]T15SOKManip!K45="","",[1]T15SOKManip!K45)</f>
        <v>153637</v>
      </c>
    </row>
    <row r="47" spans="1:11" ht="12.75" customHeight="1">
      <c r="A47" s="1677">
        <v>2019</v>
      </c>
      <c r="B47" s="929">
        <f>IF([1]T15SOKManip!B46="","",[1]T15SOKManip!B46)</f>
        <v>63221.794000000002</v>
      </c>
      <c r="C47" s="1336">
        <f>IF([1]T15SOKManip!C46="","",[1]T15SOKManip!C46)</f>
        <v>41.45</v>
      </c>
      <c r="D47" s="1336">
        <f>IF([1]T15SOKManip!D46="","",[1]T15SOKManip!D46)</f>
        <v>63046</v>
      </c>
      <c r="E47" s="930">
        <f>IF([1]T15SOKManip!E46="","",[1]T15SOKManip!E46)</f>
        <v>1118</v>
      </c>
      <c r="F47" s="929">
        <f>IF([1]T15SOKManip!F46="","",[1]T15SOKManip!F46)</f>
        <v>335</v>
      </c>
      <c r="G47" s="1336">
        <f>IF([1]T15SOKManip!G46="","",[1]T15SOKManip!G46)</f>
        <v>0.22430032975395284</v>
      </c>
      <c r="H47" s="1336">
        <f>IF([1]T15SOKManip!H46="","",[1]T15SOKManip!H46)</f>
        <v>6.0498858544009471</v>
      </c>
      <c r="I47" s="930">
        <f>IF([1]T15SOKManip!I46="","",[1]T15SOKManip!I46)</f>
        <v>81</v>
      </c>
      <c r="J47" s="314">
        <f>IF([1]T15SOKManip!J46="","",[1]T15SOKManip!J46)</f>
        <v>8878</v>
      </c>
      <c r="K47" s="424">
        <f>IF([1]T15SOKManip!K46="","",[1]T15SOKManip!K46)</f>
        <v>49862</v>
      </c>
    </row>
    <row r="48" spans="1:11" ht="12.75" customHeight="1">
      <c r="A48" s="1677">
        <v>2020</v>
      </c>
      <c r="B48" s="929">
        <f>IF([1]T15SOKManip!B47="","",[1]T15SOKManip!B47)</f>
        <v>345018</v>
      </c>
      <c r="C48" s="1336">
        <f>IF([1]T15SOKManip!C47="","",[1]T15SOKManip!C47)</f>
        <v>3357</v>
      </c>
      <c r="D48" s="1336">
        <f>IF([1]T15SOKManip!D47="","",[1]T15SOKManip!D47)</f>
        <v>341739</v>
      </c>
      <c r="E48" s="930">
        <f>IF([1]T15SOKManip!E47="","",[1]T15SOKManip!E47)</f>
        <v>15258</v>
      </c>
      <c r="F48" s="929">
        <f>IF([1]T15SOKManip!F47="","",[1]T15SOKManip!F47)</f>
        <v>750</v>
      </c>
      <c r="G48" s="1336">
        <f>IF([1]T15SOKManip!G47="","",[1]T15SOKManip!G47)</f>
        <v>7.1179773347909583</v>
      </c>
      <c r="H48" s="1336">
        <f>IF([1]T15SOKManip!H47="","",[1]T15SOKManip!H47)</f>
        <v>32.462853095676479</v>
      </c>
      <c r="I48" s="930">
        <f>IF([1]T15SOKManip!I47="","",[1]T15SOKManip!I47)</f>
        <v>640</v>
      </c>
      <c r="J48" s="314">
        <f>IF([1]T15SOKManip!J47="","",[1]T15SOKManip!J47)</f>
        <v>43391</v>
      </c>
      <c r="K48" s="424">
        <f>IF([1]T15SOKManip!K47="","",[1]T15SOKManip!K47)</f>
        <v>226107</v>
      </c>
    </row>
    <row r="49" spans="1:13" ht="12.75" customHeight="1">
      <c r="A49" s="1677">
        <v>2021</v>
      </c>
      <c r="B49" s="929">
        <f>IF([1]T15SOKManip!B48="","",[1]T15SOKManip!B48)</f>
        <v>152322</v>
      </c>
      <c r="C49" s="1336">
        <f>IF([1]T15SOKManip!C48="","",[1]T15SOKManip!C48)</f>
        <v>563</v>
      </c>
      <c r="D49" s="1336">
        <f>IF([1]T15SOKManip!D48="","",[1]T15SOKManip!D48)</f>
        <v>151765</v>
      </c>
      <c r="E49" s="930">
        <f>IF([1]T15SOKManip!E48="","",[1]T15SOKManip!E48)</f>
        <v>9528</v>
      </c>
      <c r="F49" s="929">
        <f>IF([1]T15SOKManip!F48="","",[1]T15SOKManip!F48)</f>
        <v>952</v>
      </c>
      <c r="G49" s="1336">
        <f>IF([1]T15SOKManip!G48="","",[1]T15SOKManip!G48)</f>
        <v>4</v>
      </c>
      <c r="H49" s="1336">
        <f>IF([1]T15SOKManip!H48="","",[1]T15SOKManip!H48)</f>
        <v>60</v>
      </c>
      <c r="I49" s="930">
        <f>IF([1]T15SOKManip!I48="","",[1]T15SOKManip!I48)</f>
        <v>645</v>
      </c>
      <c r="J49" s="314">
        <f>IF([1]T15SOKManip!J48="","",[1]T15SOKManip!J48)</f>
        <v>30826</v>
      </c>
      <c r="K49" s="424">
        <f>IF([1]T15SOKManip!K48="","",[1]T15SOKManip!K48)</f>
        <v>76255</v>
      </c>
      <c r="L49" s="1675"/>
      <c r="M49" s="84"/>
    </row>
    <row r="50" spans="1:13" ht="12.75" customHeight="1">
      <c r="A50" s="1677">
        <v>2022</v>
      </c>
      <c r="B50" s="929">
        <f>IF([1]T15SOKManip!B49="","",[1]T15SOKManip!B49)</f>
        <v>664935</v>
      </c>
      <c r="C50" s="1336">
        <f>IF([1]T15SOKManip!C49="","",[1]T15SOKManip!C49)</f>
        <v>1448</v>
      </c>
      <c r="D50" s="1336">
        <f>IF([1]T15SOKManip!D49="","",[1]T15SOKManip!D49)</f>
        <v>663253</v>
      </c>
      <c r="E50" s="930">
        <f>IF([1]T15SOKManip!E49="","",[1]T15SOKManip!E49)</f>
        <v>28520</v>
      </c>
      <c r="F50" s="929">
        <f>IF([1]T15SOKManip!F49="","",[1]T15SOKManip!F49)</f>
        <v>2329</v>
      </c>
      <c r="G50" s="1336">
        <f>IF([1]T15SOKManip!G49="","",[1]T15SOKManip!G49)</f>
        <v>5</v>
      </c>
      <c r="H50" s="1336">
        <f>IF([1]T15SOKManip!H49="","",[1]T15SOKManip!H49)</f>
        <v>99</v>
      </c>
      <c r="I50" s="930">
        <f>IF([1]T15SOKManip!I49="","",[1]T15SOKManip!I49)</f>
        <v>2087</v>
      </c>
      <c r="J50" s="314">
        <f>IF([1]T15SOKManip!J49="","",[1]T15SOKManip!J49)</f>
        <v>135837</v>
      </c>
      <c r="K50" s="424">
        <f>IF([1]T15SOKManip!K49="","",[1]T15SOKManip!K49)</f>
        <v>478413</v>
      </c>
      <c r="L50" s="1675"/>
      <c r="M50" s="84"/>
    </row>
    <row r="51" spans="1:13" ht="11.45" customHeight="1">
      <c r="A51" s="1677">
        <v>2023</v>
      </c>
      <c r="B51" s="929">
        <f>IF([1]T15SOKManip!B50="","",[1]T15SOKManip!B50)</f>
        <v>329040</v>
      </c>
      <c r="C51" s="1336">
        <f>IF([1]T15SOKManip!C50="","",[1]T15SOKManip!C50)</f>
        <v>1434</v>
      </c>
      <c r="D51" s="1336">
        <f>IF([1]T15SOKManip!D50="","",[1]T15SOKManip!D50)</f>
        <v>327600</v>
      </c>
      <c r="E51" s="930">
        <f>IF([1]T15SOKManip!E50="","",[1]T15SOKManip!E50)</f>
        <v>22061</v>
      </c>
      <c r="F51" s="929">
        <f>IF([1]T15SOKManip!F50="","",[1]T15SOKManip!F50)</f>
        <v>1999</v>
      </c>
      <c r="G51" s="1336">
        <f>IF([1]T15SOKManip!G50="","",[1]T15SOKManip!G50)</f>
        <v>9</v>
      </c>
      <c r="H51" s="1336">
        <f>IF([1]T15SOKManip!H50="","",[1]T15SOKManip!H50)</f>
        <v>134</v>
      </c>
      <c r="I51" s="930">
        <f>IF([1]T15SOKManip!I50="","",[1]T15SOKManip!I50)</f>
        <v>1564</v>
      </c>
      <c r="J51" s="314">
        <f>IF([1]T15SOKManip!J50="","",[1]T15SOKManip!J50)</f>
        <v>84473</v>
      </c>
      <c r="K51" s="424">
        <f>IF([1]T15SOKManip!K50="","",[1]T15SOKManip!K50)</f>
        <v>136941</v>
      </c>
      <c r="L51" s="1675"/>
      <c r="M51" s="84"/>
    </row>
    <row r="52" spans="1:13" ht="14.1" customHeight="1">
      <c r="A52" s="1415">
        <v>2024</v>
      </c>
      <c r="B52" s="1414">
        <f>IF([1]T15SOKManip!B51="","",[1]T15SOKManip!B51)</f>
        <v>761682</v>
      </c>
      <c r="C52" s="857">
        <f>IF([1]T15SOKManip!C51="","",[1]T15SOKManip!C51)</f>
        <v>4838.95</v>
      </c>
      <c r="D52" s="857">
        <f>IF([1]T15SOKManip!D51="","",[1]T15SOKManip!D51)</f>
        <v>755909</v>
      </c>
      <c r="E52" s="1416">
        <f>IF([1]T15SOKManip!E51="","",[1]T15SOKManip!E51)</f>
        <v>37162</v>
      </c>
      <c r="F52" s="1414">
        <f>IF([1]T15SOKManip!F51="","",[1]T15SOKManip!F51)</f>
        <v>1179</v>
      </c>
      <c r="G52" s="857">
        <f>IF([1]T15SOKManip!G51="","",[1]T15SOKManip!G51)</f>
        <v>22</v>
      </c>
      <c r="H52" s="857">
        <f>IF([1]T15SOKManip!H51="","",[1]T15SOKManip!H51)</f>
        <v>168</v>
      </c>
      <c r="I52" s="1416">
        <f>IF([1]T15SOKManip!I51="","",[1]T15SOKManip!I51)</f>
        <v>2947</v>
      </c>
      <c r="J52" s="856">
        <f>IF([1]T15SOKManip!J51="","",[1]T15SOKManip!J51)</f>
        <v>190117</v>
      </c>
      <c r="K52" s="858">
        <f>IF([1]T15SOKManip!K51="","",[1]T15SOKManip!K51)</f>
        <v>491039</v>
      </c>
      <c r="L52" s="1675"/>
      <c r="M52" s="1675"/>
    </row>
    <row r="53" spans="1:13" ht="15" customHeight="1">
      <c r="A53" s="1415">
        <v>2025</v>
      </c>
      <c r="B53" s="1414">
        <f>IF([1]T15SOKManip!B52="","",[1]T15SOKManip!B52)</f>
        <v>167636</v>
      </c>
      <c r="C53" s="857">
        <f>IF([1]T15SOKManip!C52="","",[1]T15SOKManip!C52)</f>
        <v>929</v>
      </c>
      <c r="D53" s="857">
        <f>IF([1]T15SOKManip!D52="","",[1]T15SOKManip!D52)</f>
        <v>166711</v>
      </c>
      <c r="E53" s="1416">
        <f>IF([1]T15SOKManip!E52="","",[1]T15SOKManip!E52)</f>
        <v>7870</v>
      </c>
      <c r="F53" s="1414">
        <f>IF([1]T15SOKManip!F52="","",[1]T15SOKManip!F52)</f>
        <v>1268</v>
      </c>
      <c r="G53" s="857">
        <f>IF([1]T15SOKManip!G52="","",[1]T15SOKManip!G52)</f>
        <v>7</v>
      </c>
      <c r="H53" s="857">
        <f>IF([1]T15SOKManip!H52="","",[1]T15SOKManip!H52)</f>
        <v>60</v>
      </c>
      <c r="I53" s="1416">
        <f>IF([1]T15SOKManip!I52="","",[1]T15SOKManip!I52)</f>
        <v>1106</v>
      </c>
      <c r="J53" s="856">
        <f>IF([1]T15SOKManip!J52="","",[1]T15SOKManip!J52)</f>
        <v>50828</v>
      </c>
      <c r="K53" s="858">
        <f>IF([1]T15SOKManip!K52="","",[1]T15SOKManip!K52)</f>
        <v>72708</v>
      </c>
      <c r="L53" s="1675"/>
      <c r="M53" s="1675"/>
    </row>
    <row r="54" spans="1:13" ht="30" customHeight="1">
      <c r="A54" s="1757" t="s">
        <v>776</v>
      </c>
      <c r="B54" s="1757"/>
      <c r="C54" s="1757"/>
      <c r="D54" s="1757"/>
      <c r="E54" s="1757"/>
      <c r="F54" s="1757"/>
      <c r="G54" s="1757"/>
      <c r="H54" s="1757"/>
      <c r="I54" s="1757"/>
      <c r="J54" s="1757"/>
      <c r="K54" s="1757"/>
      <c r="L54" s="1675"/>
      <c r="M54" s="1675"/>
    </row>
    <row r="55" spans="1:13" ht="21" customHeight="1">
      <c r="A55" s="1632" t="s">
        <v>777</v>
      </c>
      <c r="B55" s="441"/>
      <c r="C55" s="441"/>
      <c r="D55" s="441"/>
      <c r="E55" s="441"/>
      <c r="F55" s="441"/>
      <c r="G55" s="441"/>
      <c r="H55" s="441"/>
      <c r="I55" s="441"/>
      <c r="J55" s="441"/>
      <c r="K55" s="441"/>
      <c r="L55" s="1675"/>
      <c r="M55" s="1675"/>
    </row>
    <row r="56" spans="1:13" ht="21.75" customHeight="1">
      <c r="A56" s="1632" t="s">
        <v>778</v>
      </c>
      <c r="B56" s="441"/>
      <c r="C56" s="441"/>
      <c r="D56" s="441"/>
      <c r="E56" s="441"/>
      <c r="F56" s="441"/>
      <c r="G56" s="441"/>
      <c r="H56" s="441"/>
      <c r="I56" s="441"/>
      <c r="J56" s="441"/>
      <c r="K56" s="441"/>
      <c r="L56" s="1675"/>
      <c r="M56" s="1675"/>
    </row>
    <row r="57" spans="1:13" ht="35.25" customHeight="1">
      <c r="A57" s="1757" t="s">
        <v>779</v>
      </c>
      <c r="B57" s="1757"/>
      <c r="C57" s="1757"/>
      <c r="D57" s="1757"/>
      <c r="E57" s="1757"/>
      <c r="F57" s="1757"/>
      <c r="G57" s="1757"/>
      <c r="H57" s="1757"/>
      <c r="I57" s="1757"/>
      <c r="J57" s="1757"/>
      <c r="K57" s="1757"/>
      <c r="L57" s="1675"/>
      <c r="M57" s="1675"/>
    </row>
    <row r="58" spans="1:13" ht="15.75">
      <c r="A58" s="1757" t="s">
        <v>780</v>
      </c>
      <c r="B58" s="1757"/>
      <c r="C58" s="1757"/>
      <c r="D58" s="1757"/>
      <c r="E58" s="1757"/>
      <c r="F58" s="1757"/>
      <c r="G58" s="1757"/>
      <c r="H58" s="1757"/>
      <c r="I58" s="1757"/>
      <c r="J58" s="1757"/>
      <c r="K58" s="1757"/>
      <c r="L58" s="1675"/>
      <c r="M58" s="1675"/>
    </row>
    <row r="59" spans="1:13" ht="48.75" customHeight="1">
      <c r="A59" s="1632" t="s">
        <v>781</v>
      </c>
      <c r="B59" s="441"/>
      <c r="C59" s="441"/>
      <c r="D59" s="441"/>
      <c r="E59" s="441"/>
      <c r="F59" s="441"/>
      <c r="G59" s="441"/>
      <c r="H59" s="441"/>
      <c r="I59" s="441"/>
      <c r="J59" s="441"/>
      <c r="K59" s="441"/>
      <c r="L59" s="1675"/>
      <c r="M59" s="1675"/>
    </row>
    <row r="60" spans="1:13" ht="15.75">
      <c r="A60" s="84" t="s">
        <v>87</v>
      </c>
      <c r="B60" s="1675"/>
      <c r="C60" s="1675"/>
      <c r="D60" s="1675"/>
      <c r="E60" s="1675"/>
      <c r="F60" s="1675"/>
      <c r="G60" s="1675"/>
      <c r="H60" s="1675"/>
      <c r="I60" s="1675"/>
      <c r="J60" s="1675"/>
      <c r="K60" s="1675"/>
      <c r="L60" s="1675"/>
      <c r="M60" s="1675"/>
    </row>
  </sheetData>
  <mergeCells count="14">
    <mergeCell ref="A58:K58"/>
    <mergeCell ref="A57:K57"/>
    <mergeCell ref="F4:I4"/>
    <mergeCell ref="A5:A7"/>
    <mergeCell ref="B5:B7"/>
    <mergeCell ref="C5:C7"/>
    <mergeCell ref="D5:D7"/>
    <mergeCell ref="E5:E7"/>
    <mergeCell ref="F5:F7"/>
    <mergeCell ref="G5:G7"/>
    <mergeCell ref="H5:H7"/>
    <mergeCell ref="I5:I7"/>
    <mergeCell ref="J5:K6"/>
    <mergeCell ref="A54:K54"/>
  </mergeCells>
  <pageMargins left="0.75" right="0.75" top="1" bottom="1" header="0.5" footer="0.5"/>
  <pageSetup scale="84"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66FF33"/>
    <pageSetUpPr fitToPage="1"/>
  </sheetPr>
  <dimension ref="A1:Z76"/>
  <sheetViews>
    <sheetView showGridLines="0" zoomScaleNormal="100" workbookViewId="0">
      <pane xSplit="1" ySplit="6" topLeftCell="B7" activePane="bottomRight" state="frozen"/>
      <selection pane="bottomRight" activeCell="G73" sqref="G73"/>
      <selection pane="bottomLeft" activeCell="J33" sqref="J33"/>
      <selection pane="topRight" activeCell="J33" sqref="J33"/>
    </sheetView>
  </sheetViews>
  <sheetFormatPr defaultColWidth="8.6640625" defaultRowHeight="12.75"/>
  <cols>
    <col min="1" max="1" width="10.83203125" style="74" customWidth="1"/>
    <col min="2" max="2" width="11.83203125" style="74" customWidth="1"/>
    <col min="3" max="3" width="1.6640625" style="74" customWidth="1"/>
    <col min="4" max="5" width="11.83203125" style="74" customWidth="1"/>
    <col min="6" max="6" width="1.83203125" style="74" customWidth="1"/>
    <col min="7" max="8" width="11.83203125" style="74" customWidth="1"/>
    <col min="9" max="9" width="1.6640625" style="74" customWidth="1"/>
    <col min="10" max="10" width="10.6640625" style="74" customWidth="1"/>
    <col min="11" max="11" width="1.6640625" style="74" customWidth="1"/>
    <col min="12" max="12" width="10.33203125" style="74" customWidth="1"/>
    <col min="13" max="13" width="1.6640625" style="74" customWidth="1"/>
    <col min="14" max="14" width="9.83203125" style="74" customWidth="1"/>
    <col min="15" max="16" width="11.83203125" style="74" customWidth="1"/>
    <col min="17" max="17" width="11.33203125" style="74" customWidth="1"/>
    <col min="18" max="18" width="10.83203125" style="74" bestFit="1" customWidth="1"/>
    <col min="19" max="19" width="11.1640625" style="74" customWidth="1"/>
    <col min="20" max="20" width="10.6640625" style="74" customWidth="1"/>
    <col min="21" max="22" width="8.6640625" style="74"/>
    <col min="23" max="23" width="13" style="74" bestFit="1" customWidth="1"/>
    <col min="24" max="16384" width="8.6640625" style="74"/>
  </cols>
  <sheetData>
    <row r="1" spans="1:26" ht="15.75">
      <c r="A1" s="84" t="s">
        <v>141</v>
      </c>
      <c r="B1" s="1675"/>
      <c r="C1" s="1675"/>
      <c r="D1" s="1675"/>
      <c r="E1" s="1675"/>
      <c r="F1" s="1675"/>
      <c r="G1" s="1675"/>
      <c r="H1" s="1675"/>
      <c r="I1" s="1675"/>
      <c r="J1" s="1675"/>
      <c r="K1" s="1675"/>
      <c r="L1" s="1675"/>
      <c r="M1" s="1675"/>
      <c r="N1" s="82"/>
      <c r="O1" s="82"/>
      <c r="P1" s="82"/>
      <c r="Q1" s="1675"/>
      <c r="R1" s="1675"/>
      <c r="S1" s="1675"/>
      <c r="T1" s="1675"/>
      <c r="U1" s="1675"/>
      <c r="V1" s="1675"/>
      <c r="W1" s="1675"/>
      <c r="X1" s="1675"/>
      <c r="Y1" s="1675"/>
      <c r="Z1" s="1675"/>
    </row>
    <row r="2" spans="1:26" ht="15.75">
      <c r="A2" s="84" t="s">
        <v>782</v>
      </c>
      <c r="B2" s="1675"/>
      <c r="C2" s="1675"/>
      <c r="D2" s="1675"/>
      <c r="E2" s="1675"/>
      <c r="F2" s="1675"/>
      <c r="G2" s="1675"/>
      <c r="H2" s="1675"/>
      <c r="I2" s="1675"/>
      <c r="J2" s="1675"/>
      <c r="K2" s="1675"/>
      <c r="L2" s="1675"/>
      <c r="M2" s="1675"/>
      <c r="N2" s="1675"/>
      <c r="O2" s="1675"/>
      <c r="P2" s="1675"/>
      <c r="Q2" s="1675"/>
      <c r="R2" s="1675"/>
      <c r="S2" s="1675"/>
      <c r="T2" s="1675"/>
      <c r="U2" s="1675"/>
      <c r="V2" s="1675"/>
      <c r="W2" s="1675"/>
      <c r="X2" s="1675"/>
      <c r="Y2" s="1675"/>
      <c r="Z2" s="1675"/>
    </row>
    <row r="4" spans="1:26" ht="17.25" customHeight="1" thickBot="1">
      <c r="A4" s="931"/>
      <c r="B4" s="1882" t="s">
        <v>783</v>
      </c>
      <c r="C4" s="1882"/>
      <c r="D4" s="1882"/>
      <c r="E4" s="1882"/>
      <c r="F4" s="1681"/>
      <c r="G4" s="1882" t="s">
        <v>546</v>
      </c>
      <c r="H4" s="1882"/>
      <c r="I4" s="1681"/>
      <c r="J4" s="1883" t="s">
        <v>784</v>
      </c>
      <c r="K4" s="932"/>
      <c r="L4" s="1883" t="s">
        <v>785</v>
      </c>
      <c r="M4" s="1681"/>
      <c r="N4" s="1880" t="s">
        <v>786</v>
      </c>
      <c r="O4" s="1683"/>
      <c r="P4" s="1683"/>
      <c r="Q4" s="1675"/>
      <c r="R4" s="1645"/>
      <c r="S4" s="1675"/>
      <c r="T4" s="1675"/>
      <c r="U4" s="1675"/>
      <c r="V4" s="1675"/>
      <c r="W4" s="1675"/>
      <c r="X4" s="1675"/>
      <c r="Y4" s="1675"/>
      <c r="Z4" s="1675"/>
    </row>
    <row r="5" spans="1:26" ht="30" customHeight="1">
      <c r="A5" s="939" t="s">
        <v>28</v>
      </c>
      <c r="B5" s="1682" t="s">
        <v>787</v>
      </c>
      <c r="C5" s="1682"/>
      <c r="D5" s="1682" t="s">
        <v>788</v>
      </c>
      <c r="E5" s="1682" t="s">
        <v>789</v>
      </c>
      <c r="F5" s="1682"/>
      <c r="G5" s="1682" t="s">
        <v>120</v>
      </c>
      <c r="H5" s="1682" t="s">
        <v>121</v>
      </c>
      <c r="I5" s="1682"/>
      <c r="J5" s="1884"/>
      <c r="K5" s="940"/>
      <c r="L5" s="1884"/>
      <c r="M5" s="1682"/>
      <c r="N5" s="1881"/>
      <c r="O5" s="1683"/>
      <c r="P5" s="1683"/>
      <c r="Q5" s="1675"/>
      <c r="R5" s="1675" t="s">
        <v>195</v>
      </c>
      <c r="S5" s="458" t="s">
        <v>790</v>
      </c>
      <c r="T5" s="458" t="s">
        <v>791</v>
      </c>
      <c r="U5" s="1675" t="s">
        <v>47</v>
      </c>
      <c r="V5" s="1675"/>
      <c r="W5" s="1675"/>
      <c r="X5" s="1675"/>
      <c r="Y5" s="1675" t="s">
        <v>792</v>
      </c>
      <c r="Z5" s="1675" t="s">
        <v>793</v>
      </c>
    </row>
    <row r="6" spans="1:26" ht="5.85" customHeight="1">
      <c r="A6" s="914"/>
      <c r="B6" s="76"/>
      <c r="C6" s="76"/>
      <c r="D6" s="76"/>
      <c r="E6" s="76"/>
      <c r="F6" s="76"/>
      <c r="G6" s="76"/>
      <c r="H6" s="76"/>
      <c r="I6" s="76"/>
      <c r="J6" s="76"/>
      <c r="K6" s="76"/>
      <c r="L6" s="76"/>
      <c r="M6" s="76"/>
      <c r="N6" s="933"/>
      <c r="O6" s="76"/>
      <c r="P6" s="76"/>
      <c r="Q6" s="1675"/>
      <c r="R6" s="1675"/>
      <c r="S6" s="1675"/>
      <c r="T6" s="1675"/>
      <c r="U6" s="1675"/>
      <c r="V6" s="1675"/>
      <c r="W6" s="1675"/>
      <c r="X6" s="1675"/>
      <c r="Y6" s="1675"/>
      <c r="Z6" s="1675"/>
    </row>
    <row r="7" spans="1:26" ht="12.75" customHeight="1">
      <c r="A7" s="914">
        <v>1980</v>
      </c>
      <c r="B7" s="1337">
        <v>21.9</v>
      </c>
      <c r="C7" s="1337"/>
      <c r="D7" s="1338" t="s">
        <v>97</v>
      </c>
      <c r="E7" s="1337">
        <v>1.3</v>
      </c>
      <c r="F7" s="1337"/>
      <c r="G7" s="1337">
        <v>24.3</v>
      </c>
      <c r="H7" s="1337">
        <v>15.5</v>
      </c>
      <c r="I7" s="1337"/>
      <c r="J7" s="1337">
        <v>1160.8</v>
      </c>
      <c r="K7" s="1337"/>
      <c r="L7" s="1337">
        <v>0.2</v>
      </c>
      <c r="M7" s="1337"/>
      <c r="N7" s="934">
        <f>T7</f>
        <v>1223.8</v>
      </c>
      <c r="O7" s="77"/>
      <c r="P7" s="77"/>
      <c r="Q7" s="1675"/>
      <c r="R7" s="82">
        <f>SUM(B7:H7)</f>
        <v>63</v>
      </c>
      <c r="S7" s="524">
        <f>R7/T7</f>
        <v>5.1478999836574606E-2</v>
      </c>
      <c r="T7" s="82">
        <f>R7+J7</f>
        <v>1223.8</v>
      </c>
      <c r="U7" s="1675">
        <f>RANK(T7, $T$7:$T$60)</f>
        <v>43</v>
      </c>
      <c r="V7" s="1675"/>
      <c r="W7" s="786">
        <f>T7*1000</f>
        <v>1223800</v>
      </c>
      <c r="X7" s="1675"/>
      <c r="Y7" s="82">
        <f>SUM(B7,D7,E7)</f>
        <v>23.2</v>
      </c>
      <c r="Z7" s="1675">
        <f>RANK(Y7,$Y$7:$Y$60)</f>
        <v>24</v>
      </c>
    </row>
    <row r="8" spans="1:26" ht="12.75" customHeight="1">
      <c r="A8" s="914">
        <v>1981</v>
      </c>
      <c r="B8" s="1337">
        <v>15.5</v>
      </c>
      <c r="C8" s="1337"/>
      <c r="D8" s="1338" t="s">
        <v>97</v>
      </c>
      <c r="E8" s="1337">
        <v>6.3</v>
      </c>
      <c r="F8" s="1337"/>
      <c r="G8" s="1337">
        <v>28.7</v>
      </c>
      <c r="H8" s="1337">
        <v>20.399999999999999</v>
      </c>
      <c r="I8" s="1337"/>
      <c r="J8" s="1337">
        <v>1089</v>
      </c>
      <c r="K8" s="1337"/>
      <c r="L8" s="1337">
        <v>0</v>
      </c>
      <c r="M8" s="1337"/>
      <c r="N8" s="934">
        <f t="shared" ref="N8:N55" si="0">T8</f>
        <v>1159.9000000000001</v>
      </c>
      <c r="O8" s="77"/>
      <c r="P8" s="77"/>
      <c r="Q8" s="1675"/>
      <c r="R8" s="82">
        <f t="shared" ref="R8:R11" si="1">SUM(B8:H8)</f>
        <v>70.900000000000006</v>
      </c>
      <c r="S8" s="524">
        <f t="shared" ref="S8:S55" si="2">R8/T8</f>
        <v>6.1125959134408138E-2</v>
      </c>
      <c r="T8" s="82">
        <f t="shared" ref="T8:T11" si="3">R8+J8</f>
        <v>1159.9000000000001</v>
      </c>
      <c r="U8" s="1675">
        <f>RANK(T8, $T$7:$T$60)</f>
        <v>44</v>
      </c>
      <c r="V8" s="1675"/>
      <c r="W8" s="786">
        <f t="shared" ref="W8:W11" si="4">T8*1000</f>
        <v>1159900</v>
      </c>
      <c r="X8" s="1675"/>
      <c r="Y8" s="82">
        <f t="shared" ref="Y8:Y11" si="5">SUM(B8,D8,E8)</f>
        <v>21.8</v>
      </c>
      <c r="Z8" s="1675">
        <f t="shared" ref="Z8:Z56" si="6">RANK(Y8,$Y$7:$Y$60)</f>
        <v>25</v>
      </c>
    </row>
    <row r="9" spans="1:26" ht="12.75" customHeight="1">
      <c r="A9" s="914">
        <v>1982</v>
      </c>
      <c r="B9" s="1337">
        <v>72.5</v>
      </c>
      <c r="C9" s="1337"/>
      <c r="D9" s="1338" t="s">
        <v>97</v>
      </c>
      <c r="E9" s="1337">
        <v>2.5</v>
      </c>
      <c r="F9" s="1337"/>
      <c r="G9" s="1337">
        <v>33.9</v>
      </c>
      <c r="H9" s="1337">
        <v>21.7</v>
      </c>
      <c r="I9" s="1337"/>
      <c r="J9" s="1337">
        <v>1002.8</v>
      </c>
      <c r="K9" s="1337"/>
      <c r="L9" s="1337">
        <v>1.5</v>
      </c>
      <c r="M9" s="1337"/>
      <c r="N9" s="934">
        <f t="shared" si="0"/>
        <v>1133.3999999999999</v>
      </c>
      <c r="O9" s="77"/>
      <c r="P9" s="77"/>
      <c r="Q9" s="1675"/>
      <c r="R9" s="82">
        <f t="shared" si="1"/>
        <v>130.6</v>
      </c>
      <c r="S9" s="524">
        <f t="shared" si="2"/>
        <v>0.11522851596964885</v>
      </c>
      <c r="T9" s="82">
        <f t="shared" si="3"/>
        <v>1133.3999999999999</v>
      </c>
      <c r="U9" s="1675">
        <f>RANK(T9, $T$7:$T$60)</f>
        <v>45</v>
      </c>
      <c r="V9" s="1675"/>
      <c r="W9" s="786">
        <f t="shared" si="4"/>
        <v>1133399.9999999998</v>
      </c>
      <c r="X9" s="1675"/>
      <c r="Y9" s="82">
        <f t="shared" si="5"/>
        <v>75</v>
      </c>
      <c r="Z9" s="1675">
        <f t="shared" si="6"/>
        <v>9</v>
      </c>
    </row>
    <row r="10" spans="1:26" ht="12.75" customHeight="1">
      <c r="A10" s="914">
        <v>1983</v>
      </c>
      <c r="B10" s="1337">
        <v>84.9</v>
      </c>
      <c r="C10" s="1337"/>
      <c r="D10" s="1338" t="s">
        <v>97</v>
      </c>
      <c r="E10" s="1337">
        <v>0.1</v>
      </c>
      <c r="F10" s="1337"/>
      <c r="G10" s="1337">
        <v>28.7</v>
      </c>
      <c r="H10" s="1337">
        <v>36.9</v>
      </c>
      <c r="I10" s="1337"/>
      <c r="J10" s="1337">
        <v>1932</v>
      </c>
      <c r="K10" s="1337"/>
      <c r="L10" s="1337">
        <v>0.3</v>
      </c>
      <c r="M10" s="1337"/>
      <c r="N10" s="934">
        <f t="shared" si="0"/>
        <v>2082.6</v>
      </c>
      <c r="O10" s="77"/>
      <c r="P10" s="77"/>
      <c r="Q10" s="1675"/>
      <c r="R10" s="82">
        <f t="shared" si="1"/>
        <v>150.6</v>
      </c>
      <c r="S10" s="524">
        <f t="shared" si="2"/>
        <v>7.2313454335926244E-2</v>
      </c>
      <c r="T10" s="82">
        <f t="shared" si="3"/>
        <v>2082.6</v>
      </c>
      <c r="U10" s="1675">
        <f>RANK(T10, $T$7:$T$60)</f>
        <v>31</v>
      </c>
      <c r="V10" s="1675"/>
      <c r="W10" s="786">
        <f t="shared" si="4"/>
        <v>2082600</v>
      </c>
      <c r="X10" s="1675"/>
      <c r="Y10" s="82">
        <f t="shared" si="5"/>
        <v>85</v>
      </c>
      <c r="Z10" s="1675">
        <f t="shared" si="6"/>
        <v>7</v>
      </c>
    </row>
    <row r="11" spans="1:26" ht="12.75" customHeight="1">
      <c r="A11" s="914">
        <v>1984</v>
      </c>
      <c r="B11" s="1337">
        <v>14.4</v>
      </c>
      <c r="C11" s="1337"/>
      <c r="D11" s="1338" t="s">
        <v>97</v>
      </c>
      <c r="E11" s="1337">
        <v>3.7</v>
      </c>
      <c r="F11" s="1337"/>
      <c r="G11" s="1337">
        <v>22.3</v>
      </c>
      <c r="H11" s="1337">
        <v>19.899999999999999</v>
      </c>
      <c r="I11" s="1337"/>
      <c r="J11" s="1337">
        <v>1275.8</v>
      </c>
      <c r="K11" s="1339" t="s">
        <v>794</v>
      </c>
      <c r="L11" s="1337">
        <v>3.1</v>
      </c>
      <c r="M11" s="1337"/>
      <c r="N11" s="934">
        <f t="shared" si="0"/>
        <v>1336.1</v>
      </c>
      <c r="O11" s="77"/>
      <c r="P11" s="77"/>
      <c r="Q11" s="1675"/>
      <c r="R11" s="82">
        <f t="shared" si="1"/>
        <v>60.300000000000004</v>
      </c>
      <c r="S11" s="524">
        <f t="shared" si="2"/>
        <v>4.5131352443679371E-2</v>
      </c>
      <c r="T11" s="82">
        <f t="shared" si="3"/>
        <v>1336.1</v>
      </c>
      <c r="U11" s="1675">
        <f>RANK(T11, $T$7:$T$60)</f>
        <v>41</v>
      </c>
      <c r="V11" s="1675"/>
      <c r="W11" s="786">
        <f t="shared" si="4"/>
        <v>1336100</v>
      </c>
      <c r="X11" s="1675"/>
      <c r="Y11" s="82">
        <f t="shared" si="5"/>
        <v>18.100000000000001</v>
      </c>
      <c r="Z11" s="1675">
        <f t="shared" si="6"/>
        <v>27</v>
      </c>
    </row>
    <row r="12" spans="1:26" ht="5.85" customHeight="1">
      <c r="A12" s="914"/>
      <c r="B12" s="1337"/>
      <c r="C12" s="1337"/>
      <c r="D12" s="108"/>
      <c r="E12" s="1337"/>
      <c r="F12" s="1337"/>
      <c r="G12" s="1337"/>
      <c r="H12" s="1337"/>
      <c r="I12" s="1337"/>
      <c r="J12" s="1337"/>
      <c r="K12" s="1337"/>
      <c r="L12" s="1337"/>
      <c r="M12" s="1337"/>
      <c r="N12" s="934"/>
      <c r="O12" s="77"/>
      <c r="P12" s="77"/>
      <c r="Q12" s="1675"/>
      <c r="R12" s="1675"/>
      <c r="S12" s="1675"/>
      <c r="T12" s="1675"/>
      <c r="U12" s="1675"/>
      <c r="V12" s="1675"/>
      <c r="W12" s="1675"/>
      <c r="X12" s="1675"/>
      <c r="Y12" s="1675"/>
      <c r="Z12" s="1675"/>
    </row>
    <row r="13" spans="1:26" ht="12.75" customHeight="1">
      <c r="A13" s="914">
        <v>1985</v>
      </c>
      <c r="B13" s="1337">
        <v>33.700000000000003</v>
      </c>
      <c r="C13" s="1337"/>
      <c r="D13" s="1338" t="s">
        <v>97</v>
      </c>
      <c r="E13" s="1337">
        <v>1.7</v>
      </c>
      <c r="F13" s="1337"/>
      <c r="G13" s="1337">
        <v>13.7</v>
      </c>
      <c r="H13" s="1337">
        <v>16.399999999999999</v>
      </c>
      <c r="I13" s="1337"/>
      <c r="J13" s="1337">
        <v>1389.5</v>
      </c>
      <c r="K13" s="1337"/>
      <c r="L13" s="1337">
        <v>0</v>
      </c>
      <c r="M13" s="1337"/>
      <c r="N13" s="934">
        <f t="shared" si="0"/>
        <v>1455</v>
      </c>
      <c r="O13" s="77"/>
      <c r="P13" s="77"/>
      <c r="Q13" s="1675"/>
      <c r="R13" s="82">
        <f t="shared" ref="R13:R17" si="7">SUM(B13:H13)</f>
        <v>65.5</v>
      </c>
      <c r="S13" s="524">
        <f t="shared" si="2"/>
        <v>4.5017182130584192E-2</v>
      </c>
      <c r="T13" s="82">
        <f t="shared" ref="T13:T17" si="8">R13+J13</f>
        <v>1455</v>
      </c>
      <c r="U13" s="1675">
        <f>RANK(T13, $T$7:$T$60)</f>
        <v>39</v>
      </c>
      <c r="V13" s="1675"/>
      <c r="W13" s="786">
        <f t="shared" ref="W13:W17" si="9">T13*1000</f>
        <v>1455000</v>
      </c>
      <c r="X13" s="1675"/>
      <c r="Y13" s="82">
        <f t="shared" ref="Y13:Y17" si="10">SUM(B13,D13,E13)</f>
        <v>35.400000000000006</v>
      </c>
      <c r="Z13" s="1675">
        <f t="shared" si="6"/>
        <v>18</v>
      </c>
    </row>
    <row r="14" spans="1:26" ht="12.75" customHeight="1">
      <c r="A14" s="914">
        <v>1986</v>
      </c>
      <c r="B14" s="1337">
        <v>80.5</v>
      </c>
      <c r="C14" s="1337"/>
      <c r="D14" s="1325">
        <v>7.6</v>
      </c>
      <c r="E14" s="1337">
        <v>0.1</v>
      </c>
      <c r="F14" s="1337"/>
      <c r="G14" s="1337">
        <v>18.899999999999999</v>
      </c>
      <c r="H14" s="1337">
        <v>5.9</v>
      </c>
      <c r="I14" s="1337"/>
      <c r="J14" s="1337">
        <v>1361.9</v>
      </c>
      <c r="K14" s="1337"/>
      <c r="L14" s="1337">
        <v>0.7</v>
      </c>
      <c r="M14" s="1337"/>
      <c r="N14" s="934">
        <f t="shared" si="0"/>
        <v>1474.9</v>
      </c>
      <c r="O14" s="77"/>
      <c r="P14" s="77"/>
      <c r="Q14" s="1675"/>
      <c r="R14" s="82">
        <f t="shared" si="7"/>
        <v>113</v>
      </c>
      <c r="S14" s="524">
        <f t="shared" si="2"/>
        <v>7.6615363753474802E-2</v>
      </c>
      <c r="T14" s="82">
        <f t="shared" si="8"/>
        <v>1474.9</v>
      </c>
      <c r="U14" s="1675">
        <f>RANK(T14, $T$7:$T$60)</f>
        <v>38</v>
      </c>
      <c r="V14" s="1675"/>
      <c r="W14" s="786">
        <f t="shared" si="9"/>
        <v>1474900</v>
      </c>
      <c r="X14" s="1675"/>
      <c r="Y14" s="82">
        <f t="shared" si="10"/>
        <v>88.199999999999989</v>
      </c>
      <c r="Z14" s="1675">
        <f t="shared" si="6"/>
        <v>6</v>
      </c>
    </row>
    <row r="15" spans="1:26" ht="12.75" customHeight="1">
      <c r="A15" s="914">
        <v>1987</v>
      </c>
      <c r="B15" s="1337">
        <v>103.2</v>
      </c>
      <c r="C15" s="1337"/>
      <c r="D15" s="1325">
        <v>4.0999999999999996</v>
      </c>
      <c r="E15" s="1337">
        <v>1.4</v>
      </c>
      <c r="F15" s="1337"/>
      <c r="G15" s="1337">
        <v>14.3</v>
      </c>
      <c r="H15" s="1337">
        <v>5.0999999999999996</v>
      </c>
      <c r="I15" s="1337"/>
      <c r="J15" s="1337">
        <v>1289.7</v>
      </c>
      <c r="K15" s="1337"/>
      <c r="L15" s="1337">
        <v>12.3</v>
      </c>
      <c r="M15" s="1337"/>
      <c r="N15" s="934">
        <f t="shared" si="0"/>
        <v>1417.8</v>
      </c>
      <c r="O15" s="77"/>
      <c r="P15" s="77"/>
      <c r="Q15" s="1675"/>
      <c r="R15" s="82">
        <f t="shared" si="7"/>
        <v>128.1</v>
      </c>
      <c r="S15" s="524">
        <f t="shared" si="2"/>
        <v>9.0351248413034282E-2</v>
      </c>
      <c r="T15" s="82">
        <f t="shared" si="8"/>
        <v>1417.8</v>
      </c>
      <c r="U15" s="1675">
        <f>RANK(T15, $T$7:$T$60)</f>
        <v>40</v>
      </c>
      <c r="V15" s="1675"/>
      <c r="W15" s="786">
        <f t="shared" si="9"/>
        <v>1417800</v>
      </c>
      <c r="X15" s="1675"/>
      <c r="Y15" s="82">
        <f t="shared" si="10"/>
        <v>108.7</v>
      </c>
      <c r="Z15" s="1675">
        <f t="shared" si="6"/>
        <v>4</v>
      </c>
    </row>
    <row r="16" spans="1:26" ht="12.75" customHeight="1">
      <c r="A16" s="914">
        <v>1988</v>
      </c>
      <c r="B16" s="1337">
        <v>97.4</v>
      </c>
      <c r="C16" s="1337"/>
      <c r="D16" s="1325">
        <v>8.9</v>
      </c>
      <c r="E16" s="1337">
        <v>2.1</v>
      </c>
      <c r="F16" s="1337"/>
      <c r="G16" s="1337">
        <v>27.5</v>
      </c>
      <c r="H16" s="1337">
        <v>11.5</v>
      </c>
      <c r="I16" s="1337"/>
      <c r="J16" s="1337">
        <v>2008.6</v>
      </c>
      <c r="K16" s="1337"/>
      <c r="L16" s="1337">
        <v>19.2</v>
      </c>
      <c r="M16" s="1337"/>
      <c r="N16" s="934">
        <f t="shared" si="0"/>
        <v>2156</v>
      </c>
      <c r="O16" s="77"/>
      <c r="P16" s="77"/>
      <c r="Q16" s="1675"/>
      <c r="R16" s="82">
        <f t="shared" si="7"/>
        <v>147.4</v>
      </c>
      <c r="S16" s="524">
        <f t="shared" si="2"/>
        <v>6.8367346938775511E-2</v>
      </c>
      <c r="T16" s="82">
        <f t="shared" si="8"/>
        <v>2156</v>
      </c>
      <c r="U16" s="1675">
        <f>RANK(T16, $T$7:$T$60)</f>
        <v>29</v>
      </c>
      <c r="V16" s="1675"/>
      <c r="W16" s="786">
        <f t="shared" si="9"/>
        <v>2156000</v>
      </c>
      <c r="X16" s="1675"/>
      <c r="Y16" s="82">
        <f t="shared" si="10"/>
        <v>108.4</v>
      </c>
      <c r="Z16" s="1675">
        <f t="shared" si="6"/>
        <v>5</v>
      </c>
    </row>
    <row r="17" spans="1:26" ht="12.75" customHeight="1">
      <c r="A17" s="914">
        <v>1989</v>
      </c>
      <c r="B17" s="1337">
        <v>36.200000000000003</v>
      </c>
      <c r="C17" s="1337"/>
      <c r="D17" s="1325">
        <v>15.4</v>
      </c>
      <c r="E17" s="1337">
        <v>0</v>
      </c>
      <c r="F17" s="1337"/>
      <c r="G17" s="1337">
        <v>64.400000000000006</v>
      </c>
      <c r="H17" s="1337">
        <v>18.3</v>
      </c>
      <c r="I17" s="1337"/>
      <c r="J17" s="1337">
        <v>2971</v>
      </c>
      <c r="K17" s="1337"/>
      <c r="L17" s="1337">
        <v>0.1</v>
      </c>
      <c r="M17" s="1337"/>
      <c r="N17" s="934">
        <f t="shared" si="0"/>
        <v>3105.3</v>
      </c>
      <c r="O17" s="77"/>
      <c r="P17" s="77">
        <f>AVERAGE(N7:N17)</f>
        <v>1654.48</v>
      </c>
      <c r="Q17" s="1675"/>
      <c r="R17" s="82">
        <f t="shared" si="7"/>
        <v>134.30000000000001</v>
      </c>
      <c r="S17" s="524">
        <f t="shared" si="2"/>
        <v>4.3248639422922106E-2</v>
      </c>
      <c r="T17" s="82">
        <f t="shared" si="8"/>
        <v>3105.3</v>
      </c>
      <c r="U17" s="1675">
        <f>RANK(T17, $T$7:$T$60)</f>
        <v>18</v>
      </c>
      <c r="V17" s="1675"/>
      <c r="W17" s="786">
        <f t="shared" si="9"/>
        <v>3105300</v>
      </c>
      <c r="X17" s="1675"/>
      <c r="Y17" s="82">
        <f t="shared" si="10"/>
        <v>51.6</v>
      </c>
      <c r="Z17" s="1675">
        <f t="shared" si="6"/>
        <v>12</v>
      </c>
    </row>
    <row r="18" spans="1:26" ht="5.85" customHeight="1">
      <c r="A18" s="914"/>
      <c r="B18" s="1337"/>
      <c r="C18" s="1337"/>
      <c r="D18" s="1325"/>
      <c r="E18" s="1337"/>
      <c r="F18" s="1337"/>
      <c r="G18" s="1337"/>
      <c r="H18" s="1337"/>
      <c r="I18" s="1337"/>
      <c r="J18" s="1337"/>
      <c r="K18" s="1337"/>
      <c r="L18" s="1337"/>
      <c r="M18" s="1337"/>
      <c r="N18" s="934"/>
      <c r="O18" s="77"/>
      <c r="P18" s="77"/>
      <c r="Q18" s="1675"/>
      <c r="R18" s="1675"/>
      <c r="S18" s="1675"/>
      <c r="T18" s="1675"/>
      <c r="U18" s="1675"/>
      <c r="V18" s="1675"/>
      <c r="W18" s="1675"/>
      <c r="X18" s="1675"/>
      <c r="Y18" s="1675"/>
      <c r="Z18" s="1675"/>
    </row>
    <row r="19" spans="1:26" ht="12.75" customHeight="1">
      <c r="A19" s="914">
        <v>1990</v>
      </c>
      <c r="B19" s="1337">
        <v>161.80000000000001</v>
      </c>
      <c r="C19" s="1337"/>
      <c r="D19" s="1325">
        <v>6</v>
      </c>
      <c r="E19" s="1337">
        <v>0</v>
      </c>
      <c r="F19" s="1337"/>
      <c r="G19" s="1337">
        <v>113.8</v>
      </c>
      <c r="H19" s="1337">
        <v>23.1</v>
      </c>
      <c r="I19" s="1337"/>
      <c r="J19" s="1337">
        <v>3706.9</v>
      </c>
      <c r="K19" s="1337"/>
      <c r="L19" s="1337">
        <v>0.2</v>
      </c>
      <c r="M19" s="1337"/>
      <c r="N19" s="934">
        <f t="shared" si="0"/>
        <v>4011.6000000000004</v>
      </c>
      <c r="O19" s="77"/>
      <c r="P19" s="77"/>
      <c r="Q19" s="1675"/>
      <c r="R19" s="82">
        <f t="shared" ref="R19:R23" si="11">SUM(B19:H19)</f>
        <v>304.70000000000005</v>
      </c>
      <c r="S19" s="524">
        <f t="shared" si="2"/>
        <v>7.5954731279290061E-2</v>
      </c>
      <c r="T19" s="82">
        <f t="shared" ref="T19:T23" si="12">R19+J19</f>
        <v>4011.6000000000004</v>
      </c>
      <c r="U19" s="1675">
        <f>RANK(T19, $T$7:$T$60)</f>
        <v>11</v>
      </c>
      <c r="V19" s="1675"/>
      <c r="W19" s="786">
        <f t="shared" ref="W19:W23" si="13">T19*1000</f>
        <v>4011600.0000000005</v>
      </c>
      <c r="X19" s="1675"/>
      <c r="Y19" s="82">
        <f t="shared" ref="Y19:Y23" si="14">SUM(B19,D19,E19)</f>
        <v>167.8</v>
      </c>
      <c r="Z19" s="1675">
        <f t="shared" si="6"/>
        <v>1</v>
      </c>
    </row>
    <row r="20" spans="1:26" ht="12.75" customHeight="1">
      <c r="A20" s="914">
        <v>1991</v>
      </c>
      <c r="B20" s="1337">
        <v>38.799999999999997</v>
      </c>
      <c r="C20" s="1337"/>
      <c r="D20" s="1325">
        <v>4.9000000000000004</v>
      </c>
      <c r="E20" s="1337">
        <v>0</v>
      </c>
      <c r="F20" s="1337"/>
      <c r="G20" s="1337">
        <v>100.6</v>
      </c>
      <c r="H20" s="1337">
        <v>27.9</v>
      </c>
      <c r="I20" s="1337"/>
      <c r="J20" s="1337">
        <v>2191.1</v>
      </c>
      <c r="K20" s="1337"/>
      <c r="L20" s="1337" t="s">
        <v>795</v>
      </c>
      <c r="M20" s="1337"/>
      <c r="N20" s="934">
        <f t="shared" si="0"/>
        <v>2363.2999999999997</v>
      </c>
      <c r="O20" s="77"/>
      <c r="P20" s="77"/>
      <c r="Q20" s="1675"/>
      <c r="R20" s="82">
        <f t="shared" si="11"/>
        <v>172.2</v>
      </c>
      <c r="S20" s="524">
        <f t="shared" si="2"/>
        <v>7.2864215292176196E-2</v>
      </c>
      <c r="T20" s="82">
        <f t="shared" si="12"/>
        <v>2363.2999999999997</v>
      </c>
      <c r="U20" s="1675">
        <f>RANK(T20, $T$7:$T$60)</f>
        <v>26</v>
      </c>
      <c r="V20" s="1675"/>
      <c r="W20" s="786">
        <f t="shared" si="13"/>
        <v>2363299.9999999995</v>
      </c>
      <c r="X20" s="1675"/>
      <c r="Y20" s="82">
        <f t="shared" si="14"/>
        <v>43.699999999999996</v>
      </c>
      <c r="Z20" s="1675">
        <f t="shared" si="6"/>
        <v>15</v>
      </c>
    </row>
    <row r="21" spans="1:26" ht="12.75" customHeight="1">
      <c r="A21" s="914">
        <v>1992</v>
      </c>
      <c r="B21" s="1337">
        <v>130.19999999999999</v>
      </c>
      <c r="C21" s="1337"/>
      <c r="D21" s="1325">
        <v>11.1</v>
      </c>
      <c r="E21" s="1337">
        <v>0</v>
      </c>
      <c r="F21" s="1337"/>
      <c r="G21" s="1337">
        <v>88.3</v>
      </c>
      <c r="H21" s="1337">
        <v>16.3</v>
      </c>
      <c r="I21" s="1337"/>
      <c r="J21" s="1337">
        <v>2824.3</v>
      </c>
      <c r="K21" s="1337"/>
      <c r="L21" s="1337">
        <v>0.3</v>
      </c>
      <c r="M21" s="1337"/>
      <c r="N21" s="934">
        <f t="shared" si="0"/>
        <v>3070.2000000000003</v>
      </c>
      <c r="O21" s="77"/>
      <c r="P21" s="77"/>
      <c r="Q21" s="1675"/>
      <c r="R21" s="82">
        <f t="shared" si="11"/>
        <v>245.89999999999998</v>
      </c>
      <c r="S21" s="524">
        <f t="shared" si="2"/>
        <v>8.0092502117125902E-2</v>
      </c>
      <c r="T21" s="82">
        <f t="shared" si="12"/>
        <v>3070.2000000000003</v>
      </c>
      <c r="U21" s="1675">
        <f>RANK(T21, $T$7:$T$60)</f>
        <v>19</v>
      </c>
      <c r="V21" s="1675"/>
      <c r="W21" s="786">
        <f t="shared" si="13"/>
        <v>3070200.0000000005</v>
      </c>
      <c r="X21" s="1675"/>
      <c r="Y21" s="82">
        <f t="shared" si="14"/>
        <v>141.29999999999998</v>
      </c>
      <c r="Z21" s="1675">
        <f t="shared" si="6"/>
        <v>3</v>
      </c>
    </row>
    <row r="22" spans="1:26" ht="12.75" customHeight="1">
      <c r="A22" s="914">
        <v>1993</v>
      </c>
      <c r="B22" s="1337">
        <v>139.19999999999999</v>
      </c>
      <c r="C22" s="1337"/>
      <c r="D22" s="1325">
        <v>5.3</v>
      </c>
      <c r="E22" s="1337">
        <v>0.2</v>
      </c>
      <c r="F22" s="1337"/>
      <c r="G22" s="1337">
        <v>111.4</v>
      </c>
      <c r="H22" s="1337">
        <v>20.8</v>
      </c>
      <c r="I22" s="1337"/>
      <c r="J22" s="1337">
        <v>2394.4</v>
      </c>
      <c r="K22" s="1337"/>
      <c r="L22" s="1337">
        <v>1</v>
      </c>
      <c r="M22" s="1337"/>
      <c r="N22" s="934">
        <f t="shared" si="0"/>
        <v>2671.3</v>
      </c>
      <c r="O22" s="77"/>
      <c r="P22" s="77"/>
      <c r="Q22" s="1675"/>
      <c r="R22" s="82">
        <f t="shared" si="11"/>
        <v>276.90000000000003</v>
      </c>
      <c r="S22" s="524">
        <f t="shared" si="2"/>
        <v>0.10365739527570846</v>
      </c>
      <c r="T22" s="82">
        <f t="shared" si="12"/>
        <v>2671.3</v>
      </c>
      <c r="U22" s="1675">
        <f>RANK(T22, $T$7:$T$60)</f>
        <v>24</v>
      </c>
      <c r="V22" s="1675"/>
      <c r="W22" s="786">
        <f t="shared" si="13"/>
        <v>2671300</v>
      </c>
      <c r="X22" s="1675"/>
      <c r="Y22" s="82">
        <f t="shared" si="14"/>
        <v>144.69999999999999</v>
      </c>
      <c r="Z22" s="1675">
        <f t="shared" si="6"/>
        <v>2</v>
      </c>
    </row>
    <row r="23" spans="1:26" ht="12.75" customHeight="1">
      <c r="A23" s="914">
        <v>1994</v>
      </c>
      <c r="B23" s="1337">
        <v>46.9</v>
      </c>
      <c r="C23" s="1337"/>
      <c r="D23" s="1325">
        <v>10.8</v>
      </c>
      <c r="E23" s="1337">
        <v>0</v>
      </c>
      <c r="F23" s="1337"/>
      <c r="G23" s="1337">
        <v>103.8</v>
      </c>
      <c r="H23" s="1337">
        <v>33.200000000000003</v>
      </c>
      <c r="I23" s="1337"/>
      <c r="J23" s="1337">
        <v>1801.5</v>
      </c>
      <c r="K23" s="1337"/>
      <c r="L23" s="1337">
        <v>15.3</v>
      </c>
      <c r="M23" s="1337"/>
      <c r="N23" s="934">
        <f t="shared" si="0"/>
        <v>1996.2</v>
      </c>
      <c r="O23" s="77"/>
      <c r="P23" s="77"/>
      <c r="Q23" s="1675"/>
      <c r="R23" s="82">
        <f t="shared" si="11"/>
        <v>194.7</v>
      </c>
      <c r="S23" s="524">
        <f t="shared" si="2"/>
        <v>9.7535317102494731E-2</v>
      </c>
      <c r="T23" s="82">
        <f t="shared" si="12"/>
        <v>1996.2</v>
      </c>
      <c r="U23" s="1675">
        <f>RANK(T23, $T$7:$T$60)</f>
        <v>32</v>
      </c>
      <c r="V23" s="1675"/>
      <c r="W23" s="786">
        <f t="shared" si="13"/>
        <v>1996200</v>
      </c>
      <c r="X23" s="1675"/>
      <c r="Y23" s="82">
        <f t="shared" si="14"/>
        <v>57.7</v>
      </c>
      <c r="Z23" s="1675">
        <f t="shared" si="6"/>
        <v>11</v>
      </c>
    </row>
    <row r="24" spans="1:26" ht="5.85" customHeight="1">
      <c r="A24" s="914"/>
      <c r="B24" s="1337"/>
      <c r="C24" s="1337"/>
      <c r="D24" s="1325"/>
      <c r="E24" s="1337"/>
      <c r="F24" s="1337"/>
      <c r="G24" s="1337"/>
      <c r="H24" s="1337"/>
      <c r="I24" s="1337"/>
      <c r="J24" s="1337"/>
      <c r="K24" s="1337"/>
      <c r="L24" s="1337"/>
      <c r="M24" s="1337"/>
      <c r="N24" s="934"/>
      <c r="O24" s="77"/>
      <c r="P24" s="77"/>
      <c r="Q24" s="1675"/>
      <c r="R24" s="1675"/>
      <c r="S24" s="1675"/>
      <c r="T24" s="1675"/>
      <c r="U24" s="1675"/>
      <c r="V24" s="1675"/>
      <c r="W24" s="1675"/>
      <c r="X24" s="1675"/>
      <c r="Y24" s="1675"/>
      <c r="Z24" s="1675"/>
    </row>
    <row r="25" spans="1:26" ht="12.75" customHeight="1">
      <c r="A25" s="914">
        <v>1995</v>
      </c>
      <c r="B25" s="1340" t="s">
        <v>796</v>
      </c>
      <c r="C25" s="1341">
        <v>4</v>
      </c>
      <c r="D25" s="1325">
        <v>6.7</v>
      </c>
      <c r="E25" s="1337">
        <v>0</v>
      </c>
      <c r="F25" s="1337"/>
      <c r="G25" s="1337">
        <v>101.4</v>
      </c>
      <c r="H25" s="1337">
        <v>37.4</v>
      </c>
      <c r="I25" s="1337"/>
      <c r="J25" s="1337">
        <v>1959.6</v>
      </c>
      <c r="K25" s="1337"/>
      <c r="L25" s="1337">
        <v>49.6</v>
      </c>
      <c r="M25" s="1337"/>
      <c r="N25" s="934">
        <f t="shared" si="0"/>
        <v>2109.1</v>
      </c>
      <c r="O25" s="77"/>
      <c r="P25" s="77"/>
      <c r="Q25" s="1675"/>
      <c r="R25" s="82">
        <f t="shared" ref="R25:R29" si="15">SUM(B25:H25)</f>
        <v>149.5</v>
      </c>
      <c r="S25" s="524">
        <f t="shared" si="2"/>
        <v>7.0883315158124321E-2</v>
      </c>
      <c r="T25" s="82">
        <f t="shared" ref="T25:T29" si="16">R25+J25</f>
        <v>2109.1</v>
      </c>
      <c r="U25" s="1675">
        <f>RANK(T25, $T$7:$T$60)</f>
        <v>30</v>
      </c>
      <c r="V25" s="1675"/>
      <c r="W25" s="786">
        <f t="shared" ref="W25:W29" si="17">T25*1000</f>
        <v>2109100</v>
      </c>
      <c r="X25" s="1675"/>
      <c r="Y25" s="82">
        <f t="shared" ref="Y25:Y29" si="18">SUM(B25,D25,E25)</f>
        <v>6.7</v>
      </c>
      <c r="Z25" s="1675">
        <f t="shared" si="6"/>
        <v>31</v>
      </c>
    </row>
    <row r="26" spans="1:26" ht="12.75" customHeight="1">
      <c r="A26" s="914">
        <v>1996</v>
      </c>
      <c r="B26" s="1337">
        <v>60.1</v>
      </c>
      <c r="C26" s="1337"/>
      <c r="D26" s="1325">
        <v>1</v>
      </c>
      <c r="E26" s="1337">
        <v>0</v>
      </c>
      <c r="F26" s="1337"/>
      <c r="G26" s="1337">
        <v>129.80000000000001</v>
      </c>
      <c r="H26" s="1337">
        <v>66.400000000000006</v>
      </c>
      <c r="I26" s="1337"/>
      <c r="J26" s="1337">
        <v>2648.6</v>
      </c>
      <c r="K26" s="1337"/>
      <c r="L26" s="1337">
        <v>282.8</v>
      </c>
      <c r="M26" s="1337"/>
      <c r="N26" s="934">
        <f t="shared" si="0"/>
        <v>2905.9</v>
      </c>
      <c r="O26" s="77"/>
      <c r="P26" s="77"/>
      <c r="Q26" s="1675"/>
      <c r="R26" s="82">
        <f t="shared" si="15"/>
        <v>257.3</v>
      </c>
      <c r="S26" s="524">
        <f t="shared" si="2"/>
        <v>8.8543996696376345E-2</v>
      </c>
      <c r="T26" s="82">
        <f t="shared" si="16"/>
        <v>2905.9</v>
      </c>
      <c r="U26" s="1675">
        <f>RANK(T26, $T$7:$T$60)</f>
        <v>21</v>
      </c>
      <c r="V26" s="1675"/>
      <c r="W26" s="786">
        <f t="shared" si="17"/>
        <v>2905900</v>
      </c>
      <c r="X26" s="1675"/>
      <c r="Y26" s="82">
        <f t="shared" si="18"/>
        <v>61.1</v>
      </c>
      <c r="Z26" s="1675">
        <f t="shared" si="6"/>
        <v>10</v>
      </c>
    </row>
    <row r="27" spans="1:26" ht="12.75" customHeight="1">
      <c r="A27" s="914">
        <v>1997</v>
      </c>
      <c r="B27" s="1337">
        <v>20.3</v>
      </c>
      <c r="C27" s="1337"/>
      <c r="D27" s="1325">
        <v>4.5999999999999996</v>
      </c>
      <c r="E27" s="1337">
        <v>0</v>
      </c>
      <c r="F27" s="1337"/>
      <c r="G27" s="1337">
        <v>98.9</v>
      </c>
      <c r="H27" s="1337">
        <v>53</v>
      </c>
      <c r="I27" s="1337"/>
      <c r="J27" s="1337">
        <v>2571.3000000000002</v>
      </c>
      <c r="K27" s="1337"/>
      <c r="L27" s="1337">
        <v>10.199999999999999</v>
      </c>
      <c r="M27" s="1337"/>
      <c r="N27" s="934">
        <f t="shared" si="0"/>
        <v>2748.1000000000004</v>
      </c>
      <c r="O27" s="77"/>
      <c r="P27" s="77"/>
      <c r="Q27" s="1675"/>
      <c r="R27" s="82">
        <f t="shared" si="15"/>
        <v>176.8</v>
      </c>
      <c r="S27" s="524">
        <f t="shared" si="2"/>
        <v>6.4335358975292009E-2</v>
      </c>
      <c r="T27" s="82">
        <f t="shared" si="16"/>
        <v>2748.1000000000004</v>
      </c>
      <c r="U27" s="1675">
        <f>RANK(T27, $T$7:$T$60)</f>
        <v>22</v>
      </c>
      <c r="V27" s="1675"/>
      <c r="W27" s="786">
        <f t="shared" si="17"/>
        <v>2748100.0000000005</v>
      </c>
      <c r="X27" s="1675"/>
      <c r="Y27" s="82">
        <f t="shared" si="18"/>
        <v>24.9</v>
      </c>
      <c r="Z27" s="1675">
        <f t="shared" si="6"/>
        <v>22</v>
      </c>
    </row>
    <row r="28" spans="1:26" ht="12.75" customHeight="1">
      <c r="A28" s="914">
        <v>1998</v>
      </c>
      <c r="B28" s="1337">
        <v>24.4</v>
      </c>
      <c r="C28" s="1337"/>
      <c r="D28" s="1325">
        <v>0</v>
      </c>
      <c r="E28" s="1337">
        <v>0.1</v>
      </c>
      <c r="F28" s="1337"/>
      <c r="G28" s="1337">
        <v>83.4</v>
      </c>
      <c r="H28" s="1337">
        <v>47.9</v>
      </c>
      <c r="I28" s="1337"/>
      <c r="J28" s="1337">
        <v>2149.1</v>
      </c>
      <c r="K28" s="1337"/>
      <c r="L28" s="1337">
        <v>24.1</v>
      </c>
      <c r="M28" s="1337"/>
      <c r="N28" s="934">
        <f t="shared" si="0"/>
        <v>2304.9</v>
      </c>
      <c r="O28" s="77"/>
      <c r="P28" s="77"/>
      <c r="Q28" s="1675"/>
      <c r="R28" s="82">
        <f t="shared" si="15"/>
        <v>155.80000000000001</v>
      </c>
      <c r="S28" s="524">
        <f t="shared" si="2"/>
        <v>6.7595123432686893E-2</v>
      </c>
      <c r="T28" s="82">
        <f t="shared" si="16"/>
        <v>2304.9</v>
      </c>
      <c r="U28" s="1675">
        <f>RANK(T28, $T$7:$T$60)</f>
        <v>27</v>
      </c>
      <c r="V28" s="1675"/>
      <c r="W28" s="786">
        <f t="shared" si="17"/>
        <v>2304900</v>
      </c>
      <c r="X28" s="1675"/>
      <c r="Y28" s="82">
        <f t="shared" si="18"/>
        <v>24.5</v>
      </c>
      <c r="Z28" s="1675">
        <f t="shared" si="6"/>
        <v>23</v>
      </c>
    </row>
    <row r="29" spans="1:26" ht="12.75" customHeight="1">
      <c r="A29" s="914">
        <v>1999</v>
      </c>
      <c r="B29" s="1337">
        <v>39.700000000000003</v>
      </c>
      <c r="C29" s="1337"/>
      <c r="D29" s="1325">
        <v>0</v>
      </c>
      <c r="E29" s="1337">
        <v>0</v>
      </c>
      <c r="F29" s="1337"/>
      <c r="G29" s="1337">
        <v>79.3</v>
      </c>
      <c r="H29" s="1337">
        <v>42.8</v>
      </c>
      <c r="I29" s="1337"/>
      <c r="J29" s="1337">
        <v>1718.7</v>
      </c>
      <c r="K29" s="1337"/>
      <c r="L29" s="1337">
        <v>13.8</v>
      </c>
      <c r="M29" s="1337"/>
      <c r="N29" s="934">
        <f t="shared" si="0"/>
        <v>1880.5</v>
      </c>
      <c r="O29" s="77"/>
      <c r="P29" s="77">
        <f>AVERAGE(N19:N29)</f>
        <v>2606.1100000000006</v>
      </c>
      <c r="Q29" s="1675"/>
      <c r="R29" s="82">
        <f t="shared" si="15"/>
        <v>161.80000000000001</v>
      </c>
      <c r="S29" s="524">
        <f t="shared" si="2"/>
        <v>8.604094655676682E-2</v>
      </c>
      <c r="T29" s="82">
        <f t="shared" si="16"/>
        <v>1880.5</v>
      </c>
      <c r="U29" s="1675">
        <f>RANK(T29, $T$7:$T$60)</f>
        <v>35</v>
      </c>
      <c r="V29" s="1675"/>
      <c r="W29" s="786">
        <f t="shared" si="17"/>
        <v>1880500</v>
      </c>
      <c r="X29" s="1675"/>
      <c r="Y29" s="82">
        <f t="shared" si="18"/>
        <v>39.700000000000003</v>
      </c>
      <c r="Z29" s="1675">
        <f t="shared" si="6"/>
        <v>16</v>
      </c>
    </row>
    <row r="30" spans="1:26" ht="5.85" customHeight="1">
      <c r="A30" s="914"/>
      <c r="B30" s="1337"/>
      <c r="C30" s="1337"/>
      <c r="D30" s="1325"/>
      <c r="E30" s="1337"/>
      <c r="F30" s="1337"/>
      <c r="G30" s="1337"/>
      <c r="H30" s="1337"/>
      <c r="I30" s="1337"/>
      <c r="J30" s="1337"/>
      <c r="K30" s="1337"/>
      <c r="L30" s="1337"/>
      <c r="M30" s="1337"/>
      <c r="N30" s="934"/>
      <c r="O30" s="77"/>
      <c r="P30" s="77"/>
      <c r="Q30" s="1675"/>
      <c r="R30" s="1675"/>
      <c r="S30" s="1675"/>
      <c r="T30" s="1675"/>
      <c r="U30" s="1675"/>
      <c r="V30" s="1675"/>
      <c r="W30" s="1675"/>
      <c r="X30" s="1675"/>
      <c r="Y30" s="1675"/>
      <c r="Z30" s="1675"/>
    </row>
    <row r="31" spans="1:26" ht="12.75" customHeight="1">
      <c r="A31" s="914">
        <v>2000</v>
      </c>
      <c r="B31" s="1337">
        <v>30.4</v>
      </c>
      <c r="C31" s="1337"/>
      <c r="D31" s="1325">
        <v>0</v>
      </c>
      <c r="E31" s="1337">
        <v>0.1</v>
      </c>
      <c r="F31" s="1337"/>
      <c r="G31" s="1337">
        <v>58</v>
      </c>
      <c r="H31" s="1337">
        <v>64.400000000000006</v>
      </c>
      <c r="I31" s="1337"/>
      <c r="J31" s="1337">
        <v>1556.6</v>
      </c>
      <c r="K31" s="1337"/>
      <c r="L31" s="1337">
        <v>0.1</v>
      </c>
      <c r="M31" s="1337"/>
      <c r="N31" s="934">
        <f t="shared" si="0"/>
        <v>1709.5</v>
      </c>
      <c r="O31" s="77"/>
      <c r="P31" s="77"/>
      <c r="Q31" s="1675"/>
      <c r="R31" s="82">
        <f t="shared" ref="R31:R35" si="19">SUM(B31:H31)</f>
        <v>152.9</v>
      </c>
      <c r="S31" s="524">
        <f t="shared" si="2"/>
        <v>8.9441357121965492E-2</v>
      </c>
      <c r="T31" s="82">
        <f t="shared" ref="T31:T35" si="20">R31+J31</f>
        <v>1709.5</v>
      </c>
      <c r="U31" s="1675">
        <f>RANK(T31, $T$7:$T$60)</f>
        <v>37</v>
      </c>
      <c r="V31" s="1675"/>
      <c r="W31" s="786">
        <f t="shared" ref="W31:W35" si="21">T31*1000</f>
        <v>1709500</v>
      </c>
      <c r="X31" s="1675"/>
      <c r="Y31" s="82">
        <f t="shared" ref="Y31:Y35" si="22">SUM(B31,D31,E31)</f>
        <v>30.5</v>
      </c>
      <c r="Z31" s="1675">
        <f t="shared" si="6"/>
        <v>19</v>
      </c>
    </row>
    <row r="32" spans="1:26" ht="12.75" customHeight="1">
      <c r="A32" s="914">
        <v>2001</v>
      </c>
      <c r="B32" s="1337">
        <v>17</v>
      </c>
      <c r="C32" s="1337"/>
      <c r="D32" s="1338" t="s">
        <v>97</v>
      </c>
      <c r="E32" s="1337">
        <v>9.1999999999999993</v>
      </c>
      <c r="F32" s="1337"/>
      <c r="G32" s="1337">
        <v>98.6</v>
      </c>
      <c r="H32" s="1337">
        <v>58.7</v>
      </c>
      <c r="I32" s="1337"/>
      <c r="J32" s="1337">
        <v>2724.9</v>
      </c>
      <c r="K32" s="1337"/>
      <c r="L32" s="1337">
        <v>5.6</v>
      </c>
      <c r="M32" s="1337"/>
      <c r="N32" s="934">
        <f t="shared" si="0"/>
        <v>2908.4</v>
      </c>
      <c r="O32" s="77"/>
      <c r="P32" s="77"/>
      <c r="Q32" s="1675"/>
      <c r="R32" s="82">
        <f t="shared" si="19"/>
        <v>183.5</v>
      </c>
      <c r="S32" s="524">
        <f t="shared" si="2"/>
        <v>6.3093109613533219E-2</v>
      </c>
      <c r="T32" s="82">
        <f t="shared" si="20"/>
        <v>2908.4</v>
      </c>
      <c r="U32" s="1675">
        <f>RANK(T32, $T$7:$T$60)</f>
        <v>20</v>
      </c>
      <c r="V32" s="1675"/>
      <c r="W32" s="786">
        <f t="shared" si="21"/>
        <v>2908400</v>
      </c>
      <c r="X32" s="1675"/>
      <c r="Y32" s="82">
        <f t="shared" si="22"/>
        <v>26.2</v>
      </c>
      <c r="Z32" s="1675">
        <f t="shared" si="6"/>
        <v>21</v>
      </c>
    </row>
    <row r="33" spans="1:26" ht="12.75" customHeight="1">
      <c r="A33" s="914">
        <v>2002</v>
      </c>
      <c r="B33" s="1337">
        <v>37.1</v>
      </c>
      <c r="C33" s="1337"/>
      <c r="D33" s="1338" t="s">
        <v>97</v>
      </c>
      <c r="E33" s="1337">
        <v>0</v>
      </c>
      <c r="F33" s="1337"/>
      <c r="G33" s="1337">
        <v>148.19999999999999</v>
      </c>
      <c r="H33" s="1337">
        <v>26.8</v>
      </c>
      <c r="I33" s="1337"/>
      <c r="J33" s="1337">
        <v>3218.1</v>
      </c>
      <c r="K33" s="1337"/>
      <c r="L33" s="1337">
        <v>14.5</v>
      </c>
      <c r="M33" s="1337"/>
      <c r="N33" s="934">
        <f t="shared" si="0"/>
        <v>3430.2</v>
      </c>
      <c r="O33" s="77"/>
      <c r="P33" s="77"/>
      <c r="Q33" s="1675"/>
      <c r="R33" s="82">
        <f t="shared" si="19"/>
        <v>212.1</v>
      </c>
      <c r="S33" s="524">
        <f t="shared" si="2"/>
        <v>6.1833129263599788E-2</v>
      </c>
      <c r="T33" s="82">
        <f t="shared" si="20"/>
        <v>3430.2</v>
      </c>
      <c r="U33" s="1675">
        <f>RANK(T33, $T$7:$T$60)</f>
        <v>15</v>
      </c>
      <c r="V33" s="1675"/>
      <c r="W33" s="786">
        <f t="shared" si="21"/>
        <v>3430200</v>
      </c>
      <c r="X33" s="1675"/>
      <c r="Y33" s="82">
        <f t="shared" si="22"/>
        <v>37.1</v>
      </c>
      <c r="Z33" s="1675">
        <f t="shared" si="6"/>
        <v>17</v>
      </c>
    </row>
    <row r="34" spans="1:26" ht="12.75" customHeight="1">
      <c r="A34" s="914">
        <v>2003</v>
      </c>
      <c r="B34" s="1337">
        <v>79.2</v>
      </c>
      <c r="C34" s="1337"/>
      <c r="D34" s="1338" t="s">
        <v>97</v>
      </c>
      <c r="E34" s="1337">
        <v>0</v>
      </c>
      <c r="F34" s="1337"/>
      <c r="G34" s="1337">
        <v>115.9</v>
      </c>
      <c r="H34" s="1337">
        <v>46.5</v>
      </c>
      <c r="I34" s="1337"/>
      <c r="J34" s="1337">
        <v>4558.6000000000004</v>
      </c>
      <c r="K34" s="1339" t="s">
        <v>794</v>
      </c>
      <c r="L34" s="1337">
        <v>105.8</v>
      </c>
      <c r="M34" s="1337"/>
      <c r="N34" s="934">
        <f t="shared" si="0"/>
        <v>4800.2000000000007</v>
      </c>
      <c r="O34" s="77"/>
      <c r="P34" s="77"/>
      <c r="Q34" s="1675"/>
      <c r="R34" s="82">
        <f t="shared" si="19"/>
        <v>241.60000000000002</v>
      </c>
      <c r="S34" s="524">
        <f t="shared" si="2"/>
        <v>5.0331236198491724E-2</v>
      </c>
      <c r="T34" s="82">
        <f t="shared" si="20"/>
        <v>4800.2000000000007</v>
      </c>
      <c r="U34" s="1675">
        <f>RANK(T34, $T$7:$T$60)</f>
        <v>9</v>
      </c>
      <c r="V34" s="1675"/>
      <c r="W34" s="786">
        <f t="shared" si="21"/>
        <v>4800200.0000000009</v>
      </c>
      <c r="X34" s="1675"/>
      <c r="Y34" s="82">
        <f t="shared" si="22"/>
        <v>79.2</v>
      </c>
      <c r="Z34" s="1675">
        <f t="shared" si="6"/>
        <v>8</v>
      </c>
    </row>
    <row r="35" spans="1:26" ht="12.75" customHeight="1">
      <c r="A35" s="914">
        <v>2004</v>
      </c>
      <c r="B35" s="1337">
        <v>48.4</v>
      </c>
      <c r="C35" s="1337"/>
      <c r="D35" s="1338" t="s">
        <v>97</v>
      </c>
      <c r="E35" s="1337">
        <v>0</v>
      </c>
      <c r="F35" s="1337"/>
      <c r="G35" s="1337">
        <v>123</v>
      </c>
      <c r="H35" s="1337">
        <v>36.5</v>
      </c>
      <c r="I35" s="1337"/>
      <c r="J35" s="1337">
        <v>5472.4</v>
      </c>
      <c r="K35" s="1337"/>
      <c r="L35" s="1340" t="s">
        <v>797</v>
      </c>
      <c r="M35" s="1341">
        <v>5</v>
      </c>
      <c r="N35" s="934">
        <f t="shared" si="0"/>
        <v>5680.2999999999993</v>
      </c>
      <c r="O35" s="77"/>
      <c r="P35" s="77"/>
      <c r="Q35" s="1675"/>
      <c r="R35" s="82">
        <f t="shared" si="19"/>
        <v>207.9</v>
      </c>
      <c r="S35" s="524">
        <f t="shared" si="2"/>
        <v>3.6600179567980569E-2</v>
      </c>
      <c r="T35" s="82">
        <f t="shared" si="20"/>
        <v>5680.2999999999993</v>
      </c>
      <c r="U35" s="1675">
        <f>RANK(T35, $T$7:$T$60)</f>
        <v>7</v>
      </c>
      <c r="V35" s="1675"/>
      <c r="W35" s="786">
        <f t="shared" si="21"/>
        <v>5680299.9999999991</v>
      </c>
      <c r="X35" s="1675"/>
      <c r="Y35" s="82">
        <f t="shared" si="22"/>
        <v>48.4</v>
      </c>
      <c r="Z35" s="1675">
        <f t="shared" si="6"/>
        <v>14</v>
      </c>
    </row>
    <row r="36" spans="1:26" ht="5.85" customHeight="1">
      <c r="A36" s="914"/>
      <c r="B36" s="1337"/>
      <c r="C36" s="1337"/>
      <c r="D36" s="108"/>
      <c r="E36" s="1337"/>
      <c r="F36" s="1337"/>
      <c r="G36" s="1337"/>
      <c r="H36" s="1337"/>
      <c r="I36" s="1337"/>
      <c r="J36" s="1337"/>
      <c r="K36" s="1337"/>
      <c r="L36" s="1337"/>
      <c r="M36" s="1337"/>
      <c r="N36" s="934"/>
      <c r="O36" s="77"/>
      <c r="P36" s="77"/>
      <c r="Q36" s="1675"/>
      <c r="R36" s="1675"/>
      <c r="S36" s="1675"/>
      <c r="T36" s="1675"/>
      <c r="U36" s="1675"/>
      <c r="V36" s="1675"/>
      <c r="W36" s="1675"/>
      <c r="X36" s="1675"/>
      <c r="Y36" s="1675"/>
      <c r="Z36" s="1675"/>
    </row>
    <row r="37" spans="1:26" ht="12.75" customHeight="1">
      <c r="A37" s="914">
        <v>2005</v>
      </c>
      <c r="B37" s="1337">
        <v>48.8</v>
      </c>
      <c r="C37" s="1337"/>
      <c r="D37" s="1325">
        <v>0</v>
      </c>
      <c r="E37" s="1337">
        <v>0</v>
      </c>
      <c r="F37" s="1337"/>
      <c r="G37" s="1337">
        <v>164.9</v>
      </c>
      <c r="H37" s="1337">
        <v>42.8</v>
      </c>
      <c r="I37" s="1337"/>
      <c r="J37" s="1337">
        <v>6067</v>
      </c>
      <c r="K37" s="1337"/>
      <c r="L37" s="1340" t="s">
        <v>797</v>
      </c>
      <c r="M37" s="1341">
        <v>5</v>
      </c>
      <c r="N37" s="934">
        <f t="shared" si="0"/>
        <v>6323.5</v>
      </c>
      <c r="O37" s="77"/>
      <c r="P37" s="77"/>
      <c r="Q37" s="1675"/>
      <c r="R37" s="82">
        <f t="shared" ref="R37:R41" si="23">SUM(B37:H37)</f>
        <v>256.5</v>
      </c>
      <c r="S37" s="524">
        <f t="shared" si="2"/>
        <v>4.0562979362694714E-2</v>
      </c>
      <c r="T37" s="82">
        <f t="shared" ref="T37:T41" si="24">R37+J37</f>
        <v>6323.5</v>
      </c>
      <c r="U37" s="1675">
        <f>RANK(T37, $T$7:$T$60)</f>
        <v>4</v>
      </c>
      <c r="V37" s="1675"/>
      <c r="W37" s="786">
        <f t="shared" ref="W37:W41" si="25">T37*1000</f>
        <v>6323500</v>
      </c>
      <c r="X37" s="1675"/>
      <c r="Y37" s="82">
        <f t="shared" ref="Y37:Y41" si="26">SUM(B37,D37,E37)</f>
        <v>48.8</v>
      </c>
      <c r="Z37" s="1675">
        <f t="shared" si="6"/>
        <v>13</v>
      </c>
    </row>
    <row r="38" spans="1:26" ht="12.75" customHeight="1">
      <c r="A38" s="1634">
        <v>2006</v>
      </c>
      <c r="B38" s="1342">
        <v>21.1</v>
      </c>
      <c r="C38" s="1342"/>
      <c r="D38" s="1338" t="s">
        <v>97</v>
      </c>
      <c r="E38" s="1342">
        <v>0</v>
      </c>
      <c r="F38" s="1342"/>
      <c r="G38" s="1342">
        <v>169.4</v>
      </c>
      <c r="H38" s="1342">
        <v>31.8</v>
      </c>
      <c r="I38" s="1342"/>
      <c r="J38" s="1337">
        <v>4611.6000000000004</v>
      </c>
      <c r="K38" s="1342"/>
      <c r="L38" s="1342" t="s">
        <v>56</v>
      </c>
      <c r="M38" s="1342"/>
      <c r="N38" s="934">
        <f t="shared" si="0"/>
        <v>4833.9000000000005</v>
      </c>
      <c r="O38" s="80"/>
      <c r="P38" s="80"/>
      <c r="Q38" s="1675"/>
      <c r="R38" s="82">
        <f t="shared" si="23"/>
        <v>222.3</v>
      </c>
      <c r="S38" s="524">
        <f t="shared" si="2"/>
        <v>4.59877117855148E-2</v>
      </c>
      <c r="T38" s="82">
        <f t="shared" si="24"/>
        <v>4833.9000000000005</v>
      </c>
      <c r="U38" s="1675">
        <f>RANK(T38, $T$7:$T$60)</f>
        <v>8</v>
      </c>
      <c r="V38" s="1675"/>
      <c r="W38" s="786">
        <f t="shared" si="25"/>
        <v>4833900.0000000009</v>
      </c>
      <c r="X38" s="1675"/>
      <c r="Y38" s="82">
        <f t="shared" si="26"/>
        <v>21.1</v>
      </c>
      <c r="Z38" s="1675">
        <f t="shared" si="6"/>
        <v>26</v>
      </c>
    </row>
    <row r="39" spans="1:26" ht="12.75" customHeight="1">
      <c r="A39" s="1634">
        <v>2007</v>
      </c>
      <c r="B39" s="1342">
        <v>14.1</v>
      </c>
      <c r="C39" s="1342"/>
      <c r="D39" s="1338" t="s">
        <v>97</v>
      </c>
      <c r="E39" s="1342">
        <v>0</v>
      </c>
      <c r="F39" s="1342"/>
      <c r="G39" s="1342">
        <v>118.2</v>
      </c>
      <c r="H39" s="1342">
        <v>32.4</v>
      </c>
      <c r="I39" s="1342"/>
      <c r="J39" s="1337">
        <v>3592</v>
      </c>
      <c r="K39" s="1342"/>
      <c r="L39" s="1342" t="s">
        <v>56</v>
      </c>
      <c r="M39" s="1342"/>
      <c r="N39" s="934">
        <f t="shared" si="0"/>
        <v>3756.7</v>
      </c>
      <c r="O39" s="80"/>
      <c r="P39" s="80"/>
      <c r="Q39" s="1675"/>
      <c r="R39" s="82">
        <f t="shared" si="23"/>
        <v>164.70000000000002</v>
      </c>
      <c r="S39" s="524">
        <f t="shared" si="2"/>
        <v>4.3841669550403285E-2</v>
      </c>
      <c r="T39" s="82">
        <f t="shared" si="24"/>
        <v>3756.7</v>
      </c>
      <c r="U39" s="1675">
        <f>RANK(T39, $T$7:$T$60)</f>
        <v>13</v>
      </c>
      <c r="V39" s="1675"/>
      <c r="W39" s="786">
        <f t="shared" si="25"/>
        <v>3756700</v>
      </c>
      <c r="X39" s="1675"/>
      <c r="Y39" s="82">
        <f t="shared" si="26"/>
        <v>14.1</v>
      </c>
      <c r="Z39" s="1675">
        <f t="shared" si="6"/>
        <v>29</v>
      </c>
    </row>
    <row r="40" spans="1:26" ht="12.75" customHeight="1">
      <c r="A40" s="1634">
        <v>2008</v>
      </c>
      <c r="B40" s="1342">
        <v>12.5</v>
      </c>
      <c r="C40" s="1342"/>
      <c r="D40" s="1338" t="s">
        <v>97</v>
      </c>
      <c r="E40" s="1342">
        <v>0</v>
      </c>
      <c r="F40" s="1342"/>
      <c r="G40" s="1342">
        <v>104.4</v>
      </c>
      <c r="H40" s="1342">
        <v>7.4</v>
      </c>
      <c r="I40" s="1342"/>
      <c r="J40" s="1337">
        <v>2144.8000000000002</v>
      </c>
      <c r="K40" s="1339" t="s">
        <v>794</v>
      </c>
      <c r="L40" s="1342" t="s">
        <v>56</v>
      </c>
      <c r="M40" s="1342"/>
      <c r="N40" s="934">
        <f t="shared" si="0"/>
        <v>2269.1000000000004</v>
      </c>
      <c r="O40" s="80"/>
      <c r="P40" s="80"/>
      <c r="Q40" s="1675"/>
      <c r="R40" s="82">
        <f t="shared" si="23"/>
        <v>124.30000000000001</v>
      </c>
      <c r="S40" s="524">
        <f t="shared" si="2"/>
        <v>5.4779427967035388E-2</v>
      </c>
      <c r="T40" s="82">
        <f t="shared" si="24"/>
        <v>2269.1000000000004</v>
      </c>
      <c r="U40" s="1675">
        <f>RANK(T40, $T$7:$T$60)</f>
        <v>28</v>
      </c>
      <c r="V40" s="1675"/>
      <c r="W40" s="786">
        <f t="shared" si="25"/>
        <v>2269100.0000000005</v>
      </c>
      <c r="X40" s="1675"/>
      <c r="Y40" s="82">
        <f t="shared" si="26"/>
        <v>12.5</v>
      </c>
      <c r="Z40" s="1675">
        <f t="shared" si="6"/>
        <v>30</v>
      </c>
    </row>
    <row r="41" spans="1:26" ht="12.75" customHeight="1">
      <c r="A41" s="1634">
        <v>2009</v>
      </c>
      <c r="B41" s="1342">
        <v>1.4</v>
      </c>
      <c r="C41" s="1342"/>
      <c r="D41" s="1338" t="s">
        <v>97</v>
      </c>
      <c r="E41" s="1342">
        <v>0</v>
      </c>
      <c r="F41" s="1342"/>
      <c r="G41" s="1342">
        <v>81.099999999999994</v>
      </c>
      <c r="H41" s="1342">
        <v>2.7</v>
      </c>
      <c r="I41" s="1342"/>
      <c r="J41" s="1337">
        <v>1641.4</v>
      </c>
      <c r="K41" s="1342"/>
      <c r="L41" s="1342" t="s">
        <v>56</v>
      </c>
      <c r="M41" s="1342"/>
      <c r="N41" s="934">
        <f t="shared" si="0"/>
        <v>1726.6000000000001</v>
      </c>
      <c r="O41" s="80"/>
      <c r="P41" s="77">
        <f>AVERAGE(N31:N41)</f>
        <v>3743.8399999999992</v>
      </c>
      <c r="Q41" s="1675"/>
      <c r="R41" s="82">
        <f t="shared" si="23"/>
        <v>85.2</v>
      </c>
      <c r="S41" s="524">
        <f t="shared" si="2"/>
        <v>4.9345534576624578E-2</v>
      </c>
      <c r="T41" s="82">
        <f t="shared" si="24"/>
        <v>1726.6000000000001</v>
      </c>
      <c r="U41" s="1675">
        <f>RANK(T41, $T$7:$T$60)</f>
        <v>36</v>
      </c>
      <c r="V41" s="1675"/>
      <c r="W41" s="786">
        <f t="shared" si="25"/>
        <v>1726600.0000000002</v>
      </c>
      <c r="X41" s="1675"/>
      <c r="Y41" s="82">
        <f t="shared" si="26"/>
        <v>1.4</v>
      </c>
      <c r="Z41" s="1675">
        <f t="shared" si="6"/>
        <v>43</v>
      </c>
    </row>
    <row r="42" spans="1:26" ht="5.85" customHeight="1">
      <c r="A42" s="1634"/>
      <c r="B42" s="1342"/>
      <c r="C42" s="1342"/>
      <c r="D42" s="1625"/>
      <c r="E42" s="1342"/>
      <c r="F42" s="1342"/>
      <c r="G42" s="1342"/>
      <c r="H42" s="1342"/>
      <c r="I42" s="1342"/>
      <c r="J42" s="1337"/>
      <c r="K42" s="1342"/>
      <c r="L42" s="1343"/>
      <c r="M42" s="1343"/>
      <c r="N42" s="934"/>
      <c r="O42" s="80"/>
      <c r="P42" s="80"/>
      <c r="Q42" s="1675"/>
      <c r="R42" s="87"/>
      <c r="S42" s="1675"/>
      <c r="T42" s="106"/>
      <c r="U42" s="1675"/>
      <c r="V42" s="1675"/>
      <c r="W42" s="1675"/>
      <c r="X42" s="1675"/>
      <c r="Y42" s="1675"/>
      <c r="Z42" s="1675"/>
    </row>
    <row r="43" spans="1:26" ht="12.75" customHeight="1">
      <c r="A43" s="1634">
        <v>2010</v>
      </c>
      <c r="B43" s="1342">
        <v>2.5</v>
      </c>
      <c r="C43" s="1342"/>
      <c r="D43" s="1338" t="s">
        <v>97</v>
      </c>
      <c r="E43" s="1342">
        <v>0</v>
      </c>
      <c r="F43" s="1342"/>
      <c r="G43" s="1342">
        <v>62.4</v>
      </c>
      <c r="H43" s="1342">
        <v>12.8</v>
      </c>
      <c r="I43" s="1342"/>
      <c r="J43" s="1337">
        <v>1241.8</v>
      </c>
      <c r="K43" s="1342"/>
      <c r="L43" s="1342" t="s">
        <v>56</v>
      </c>
      <c r="M43" s="1342"/>
      <c r="N43" s="934">
        <f t="shared" si="0"/>
        <v>1319.5</v>
      </c>
      <c r="O43" s="80"/>
      <c r="P43" s="80"/>
      <c r="Q43" s="1675"/>
      <c r="R43" s="82">
        <f t="shared" ref="R43:R47" si="27">SUM(B43:H43)</f>
        <v>77.7</v>
      </c>
      <c r="S43" s="524">
        <f t="shared" si="2"/>
        <v>5.8885941644562338E-2</v>
      </c>
      <c r="T43" s="82">
        <f t="shared" ref="T43:T47" si="28">R43+J43</f>
        <v>1319.5</v>
      </c>
      <c r="U43" s="1675">
        <f>RANK(T43, $T$7:$T$60)</f>
        <v>42</v>
      </c>
      <c r="V43" s="1675"/>
      <c r="W43" s="786">
        <f t="shared" ref="W43:W47" si="29">T43*1000</f>
        <v>1319500</v>
      </c>
      <c r="X43" s="1675"/>
      <c r="Y43" s="82">
        <f t="shared" ref="Y43:Y47" si="30">SUM(B43,D43,E43)</f>
        <v>2.5</v>
      </c>
      <c r="Z43" s="1675">
        <f t="shared" si="6"/>
        <v>37</v>
      </c>
    </row>
    <row r="44" spans="1:26" ht="12.75" customHeight="1">
      <c r="A44" s="1634">
        <v>2011</v>
      </c>
      <c r="B44" s="1342">
        <v>8.9</v>
      </c>
      <c r="C44" s="1342"/>
      <c r="D44" s="1344">
        <v>0</v>
      </c>
      <c r="E44" s="1342">
        <v>7.8</v>
      </c>
      <c r="F44" s="1342"/>
      <c r="G44" s="1342">
        <v>71.3</v>
      </c>
      <c r="H44" s="1342">
        <v>13</v>
      </c>
      <c r="I44" s="1342"/>
      <c r="J44" s="1337">
        <v>948.1</v>
      </c>
      <c r="K44" s="1342"/>
      <c r="L44" s="1342" t="s">
        <v>56</v>
      </c>
      <c r="M44" s="1342"/>
      <c r="N44" s="934">
        <f t="shared" si="0"/>
        <v>1049.0999999999999</v>
      </c>
      <c r="O44" s="80"/>
      <c r="P44" s="80"/>
      <c r="Q44" s="1675"/>
      <c r="R44" s="82">
        <f t="shared" si="27"/>
        <v>101</v>
      </c>
      <c r="S44" s="524">
        <f t="shared" si="2"/>
        <v>9.6272995901248701E-2</v>
      </c>
      <c r="T44" s="82">
        <f t="shared" si="28"/>
        <v>1049.0999999999999</v>
      </c>
      <c r="U44" s="1675">
        <f>RANK(T44, $T$7:$T$60)</f>
        <v>46</v>
      </c>
      <c r="V44" s="1675"/>
      <c r="W44" s="786">
        <f t="shared" si="29"/>
        <v>1049100</v>
      </c>
      <c r="X44" s="1675"/>
      <c r="Y44" s="82">
        <f t="shared" si="30"/>
        <v>16.7</v>
      </c>
      <c r="Z44" s="1675">
        <f t="shared" si="6"/>
        <v>28</v>
      </c>
    </row>
    <row r="45" spans="1:26" ht="12.75" customHeight="1">
      <c r="A45" s="1634">
        <v>2012</v>
      </c>
      <c r="B45" s="1342">
        <v>0.8</v>
      </c>
      <c r="C45" s="1342"/>
      <c r="D45" s="1338" t="s">
        <v>97</v>
      </c>
      <c r="E45" s="1342">
        <v>28.4</v>
      </c>
      <c r="F45" s="1342"/>
      <c r="G45" s="1342">
        <v>129.69999999999999</v>
      </c>
      <c r="H45" s="1342">
        <v>15.9</v>
      </c>
      <c r="I45" s="1342"/>
      <c r="J45" s="1337">
        <v>2432.4</v>
      </c>
      <c r="K45" s="1342"/>
      <c r="L45" s="1342" t="s">
        <v>56</v>
      </c>
      <c r="M45" s="1342"/>
      <c r="N45" s="934">
        <f t="shared" si="0"/>
        <v>2607.2000000000003</v>
      </c>
      <c r="O45" s="80"/>
      <c r="P45" s="80"/>
      <c r="Q45" s="1675"/>
      <c r="R45" s="82">
        <f t="shared" si="27"/>
        <v>174.79999999999998</v>
      </c>
      <c r="S45" s="524">
        <f t="shared" si="2"/>
        <v>6.7045105860693455E-2</v>
      </c>
      <c r="T45" s="82">
        <f t="shared" si="28"/>
        <v>2607.2000000000003</v>
      </c>
      <c r="U45" s="1675">
        <f>RANK(T45, $T$7:$T$60)</f>
        <v>25</v>
      </c>
      <c r="V45" s="1675"/>
      <c r="W45" s="786">
        <f t="shared" si="29"/>
        <v>2607200.0000000005</v>
      </c>
      <c r="X45" s="1675"/>
      <c r="Y45" s="82">
        <f t="shared" si="30"/>
        <v>29.2</v>
      </c>
      <c r="Z45" s="1675">
        <f t="shared" si="6"/>
        <v>20</v>
      </c>
    </row>
    <row r="46" spans="1:26" ht="12.75" customHeight="1">
      <c r="A46" s="1634">
        <v>2013</v>
      </c>
      <c r="B46" s="1342">
        <v>0.7</v>
      </c>
      <c r="C46" s="1342"/>
      <c r="D46" s="1338" t="s">
        <v>97</v>
      </c>
      <c r="E46" s="1342">
        <v>5.3</v>
      </c>
      <c r="F46" s="1342"/>
      <c r="G46" s="1342">
        <v>194.9</v>
      </c>
      <c r="H46" s="1342">
        <v>12.5</v>
      </c>
      <c r="I46" s="1342"/>
      <c r="J46" s="1337">
        <v>3751.4</v>
      </c>
      <c r="K46" s="1342"/>
      <c r="L46" s="1342" t="s">
        <v>56</v>
      </c>
      <c r="M46" s="1342"/>
      <c r="N46" s="934">
        <f t="shared" si="0"/>
        <v>3964.8</v>
      </c>
      <c r="O46" s="80"/>
      <c r="P46" s="80"/>
      <c r="Q46" s="1675"/>
      <c r="R46" s="82">
        <f t="shared" si="27"/>
        <v>213.4</v>
      </c>
      <c r="S46" s="524">
        <f t="shared" si="2"/>
        <v>5.382364810330912E-2</v>
      </c>
      <c r="T46" s="82">
        <f t="shared" si="28"/>
        <v>3964.8</v>
      </c>
      <c r="U46" s="1675">
        <f>RANK(T46, $T$7:$T$60)</f>
        <v>12</v>
      </c>
      <c r="V46" s="1675"/>
      <c r="W46" s="786">
        <f t="shared" si="29"/>
        <v>3964800</v>
      </c>
      <c r="X46" s="1675"/>
      <c r="Y46" s="82">
        <f t="shared" si="30"/>
        <v>6</v>
      </c>
      <c r="Z46" s="1675">
        <f t="shared" si="6"/>
        <v>33</v>
      </c>
    </row>
    <row r="47" spans="1:26" ht="12.75" customHeight="1">
      <c r="A47" s="1634">
        <v>2014</v>
      </c>
      <c r="B47" s="1342">
        <v>4.8</v>
      </c>
      <c r="C47" s="1342"/>
      <c r="D47" s="1338" t="s">
        <v>97</v>
      </c>
      <c r="E47" s="1342">
        <v>1.2</v>
      </c>
      <c r="F47" s="1342"/>
      <c r="G47" s="1342">
        <v>103.8</v>
      </c>
      <c r="H47" s="1342">
        <v>12.5</v>
      </c>
      <c r="I47" s="1342"/>
      <c r="J47" s="1337">
        <v>2603.3000000000002</v>
      </c>
      <c r="K47" s="1342"/>
      <c r="L47" s="1342" t="s">
        <v>56</v>
      </c>
      <c r="M47" s="1342"/>
      <c r="N47" s="934">
        <f t="shared" si="0"/>
        <v>2725.6000000000004</v>
      </c>
      <c r="O47" s="80"/>
      <c r="P47" s="80"/>
      <c r="Q47" s="1675"/>
      <c r="R47" s="82">
        <f t="shared" si="27"/>
        <v>122.3</v>
      </c>
      <c r="S47" s="524">
        <f t="shared" si="2"/>
        <v>4.487085412386263E-2</v>
      </c>
      <c r="T47" s="82">
        <f t="shared" si="28"/>
        <v>2725.6000000000004</v>
      </c>
      <c r="U47" s="1675">
        <f>RANK(T47, $T$7:$T$60)</f>
        <v>23</v>
      </c>
      <c r="V47" s="1675"/>
      <c r="W47" s="786">
        <f t="shared" si="29"/>
        <v>2725600.0000000005</v>
      </c>
      <c r="X47" s="1675"/>
      <c r="Y47" s="82">
        <f t="shared" si="30"/>
        <v>6</v>
      </c>
      <c r="Z47" s="1675">
        <f t="shared" si="6"/>
        <v>33</v>
      </c>
    </row>
    <row r="48" spans="1:26" ht="5.85" customHeight="1">
      <c r="A48" s="1634"/>
      <c r="B48" s="1342"/>
      <c r="C48" s="1342"/>
      <c r="D48" s="108"/>
      <c r="E48" s="1342"/>
      <c r="F48" s="1342"/>
      <c r="G48" s="1342"/>
      <c r="H48" s="1342"/>
      <c r="I48" s="1342"/>
      <c r="J48" s="1337"/>
      <c r="K48" s="1342"/>
      <c r="L48" s="1342"/>
      <c r="M48" s="1342"/>
      <c r="N48" s="934"/>
      <c r="O48" s="80"/>
      <c r="P48" s="80"/>
      <c r="Q48" s="1675"/>
      <c r="R48" s="87"/>
      <c r="S48" s="1675"/>
      <c r="T48" s="87"/>
      <c r="U48" s="1675"/>
      <c r="V48" s="1675"/>
      <c r="W48" s="1675"/>
      <c r="X48" s="1675"/>
      <c r="Y48" s="1675"/>
      <c r="Z48" s="1675"/>
    </row>
    <row r="49" spans="1:26" ht="12.75" customHeight="1">
      <c r="A49" s="1634">
        <v>2015</v>
      </c>
      <c r="B49" s="1342">
        <v>0.6</v>
      </c>
      <c r="C49" s="1342"/>
      <c r="D49" s="1338" t="s">
        <v>97</v>
      </c>
      <c r="E49" s="1342">
        <v>0.5</v>
      </c>
      <c r="F49" s="1342"/>
      <c r="G49" s="1342">
        <v>47.3</v>
      </c>
      <c r="H49" s="1342">
        <v>18.2</v>
      </c>
      <c r="I49" s="1342"/>
      <c r="J49" s="1337">
        <v>1815</v>
      </c>
      <c r="K49" s="1342"/>
      <c r="L49" s="1342" t="s">
        <v>56</v>
      </c>
      <c r="M49" s="1342"/>
      <c r="N49" s="934">
        <f t="shared" si="0"/>
        <v>1881.6</v>
      </c>
      <c r="O49" s="80"/>
      <c r="P49" s="80"/>
      <c r="Q49" s="1675"/>
      <c r="R49" s="82">
        <f t="shared" ref="R49:R53" si="31">SUM(B49:H49)</f>
        <v>66.599999999999994</v>
      </c>
      <c r="S49" s="524">
        <f t="shared" si="2"/>
        <v>3.5395408163265307E-2</v>
      </c>
      <c r="T49" s="82">
        <f t="shared" ref="T49:T53" si="32">R49+J49</f>
        <v>1881.6</v>
      </c>
      <c r="U49" s="1675">
        <f>RANK(T49, $T$7:$T$60)</f>
        <v>34</v>
      </c>
      <c r="V49" s="1675"/>
      <c r="W49" s="786">
        <f t="shared" ref="W49:W53" si="33">T49*1000</f>
        <v>1881600</v>
      </c>
      <c r="X49" s="1675"/>
      <c r="Y49" s="82">
        <f t="shared" ref="Y49:Y53" si="34">SUM(B49,D49,E49)</f>
        <v>1.1000000000000001</v>
      </c>
      <c r="Z49" s="1675">
        <f t="shared" si="6"/>
        <v>44</v>
      </c>
    </row>
    <row r="50" spans="1:26" ht="12.75" customHeight="1">
      <c r="A50" s="1634">
        <v>2016</v>
      </c>
      <c r="B50" s="1342">
        <v>0.3</v>
      </c>
      <c r="C50" s="1342"/>
      <c r="D50" s="1338" t="s">
        <v>97</v>
      </c>
      <c r="E50" s="1342">
        <v>2.8</v>
      </c>
      <c r="F50" s="1342"/>
      <c r="G50" s="1342">
        <v>88</v>
      </c>
      <c r="H50" s="1342">
        <v>25.4</v>
      </c>
      <c r="I50" s="1342"/>
      <c r="J50" s="1337">
        <v>1770.3</v>
      </c>
      <c r="K50" s="1342"/>
      <c r="L50" s="1342" t="s">
        <v>56</v>
      </c>
      <c r="M50" s="1342"/>
      <c r="N50" s="934">
        <f t="shared" si="0"/>
        <v>1886.8</v>
      </c>
      <c r="O50" s="80"/>
      <c r="P50" s="80"/>
      <c r="Q50" s="1675"/>
      <c r="R50" s="82">
        <f t="shared" si="31"/>
        <v>116.5</v>
      </c>
      <c r="S50" s="524">
        <f t="shared" si="2"/>
        <v>6.1744753020987919E-2</v>
      </c>
      <c r="T50" s="82">
        <f t="shared" si="32"/>
        <v>1886.8</v>
      </c>
      <c r="U50" s="1675">
        <f>RANK(T50, $T$7:$T$60)</f>
        <v>33</v>
      </c>
      <c r="V50" s="1675"/>
      <c r="W50" s="786">
        <f t="shared" si="33"/>
        <v>1886800</v>
      </c>
      <c r="X50" s="1675"/>
      <c r="Y50" s="82">
        <f t="shared" si="34"/>
        <v>3.0999999999999996</v>
      </c>
      <c r="Z50" s="1675">
        <f t="shared" si="6"/>
        <v>35</v>
      </c>
    </row>
    <row r="51" spans="1:26" ht="12.75" customHeight="1">
      <c r="A51" s="1634">
        <v>2017</v>
      </c>
      <c r="B51" s="1342">
        <v>2.0070000000000001</v>
      </c>
      <c r="C51" s="1342"/>
      <c r="D51" s="1338" t="s">
        <v>97</v>
      </c>
      <c r="E51" s="1325">
        <v>0</v>
      </c>
      <c r="F51" s="1342"/>
      <c r="G51" s="1342">
        <v>169.79499999999999</v>
      </c>
      <c r="H51" s="1342">
        <v>29.431000000000001</v>
      </c>
      <c r="I51" s="1342"/>
      <c r="J51" s="1337">
        <v>3135.4</v>
      </c>
      <c r="K51" s="1342"/>
      <c r="L51" s="1342" t="s">
        <v>56</v>
      </c>
      <c r="M51" s="1342"/>
      <c r="N51" s="934">
        <f t="shared" si="0"/>
        <v>3336.6330000000003</v>
      </c>
      <c r="O51" s="80"/>
      <c r="P51" s="80"/>
      <c r="Q51" s="1675"/>
      <c r="R51" s="82">
        <f t="shared" si="31"/>
        <v>201.233</v>
      </c>
      <c r="S51" s="524">
        <f t="shared" si="2"/>
        <v>6.0310198934075153E-2</v>
      </c>
      <c r="T51" s="82">
        <f t="shared" si="32"/>
        <v>3336.6330000000003</v>
      </c>
      <c r="U51" s="1675">
        <f>RANK(T51, $T$7:$T$60)</f>
        <v>16</v>
      </c>
      <c r="V51" s="1675"/>
      <c r="W51" s="786">
        <f t="shared" si="33"/>
        <v>3336633.0000000005</v>
      </c>
      <c r="X51" s="1675"/>
      <c r="Y51" s="82">
        <f t="shared" si="34"/>
        <v>2.0070000000000001</v>
      </c>
      <c r="Z51" s="1675">
        <f t="shared" si="6"/>
        <v>41</v>
      </c>
    </row>
    <row r="52" spans="1:26" ht="12.75" customHeight="1">
      <c r="A52" s="1634">
        <v>2018</v>
      </c>
      <c r="B52" s="1342">
        <v>2.1120000000000001</v>
      </c>
      <c r="C52" s="1342"/>
      <c r="D52" s="1338" t="s">
        <v>97</v>
      </c>
      <c r="E52" s="1325">
        <v>0</v>
      </c>
      <c r="F52" s="1342"/>
      <c r="G52" s="1342">
        <v>250.04900000000001</v>
      </c>
      <c r="H52" s="1342">
        <v>30.452000000000002</v>
      </c>
      <c r="I52" s="1342"/>
      <c r="J52" s="1337">
        <v>6059.933</v>
      </c>
      <c r="K52" s="1342"/>
      <c r="L52" s="1342" t="s">
        <v>56</v>
      </c>
      <c r="M52" s="1342"/>
      <c r="N52" s="934">
        <f t="shared" si="0"/>
        <v>6342.5460000000003</v>
      </c>
      <c r="O52" s="80"/>
      <c r="P52" s="80"/>
      <c r="Q52" s="84"/>
      <c r="R52" s="82">
        <f t="shared" si="31"/>
        <v>282.613</v>
      </c>
      <c r="S52" s="524">
        <f t="shared" si="2"/>
        <v>4.4558289368338833E-2</v>
      </c>
      <c r="T52" s="82">
        <f t="shared" si="32"/>
        <v>6342.5460000000003</v>
      </c>
      <c r="U52" s="1675">
        <f>RANK(T52, $T$7:$T$60)</f>
        <v>3</v>
      </c>
      <c r="V52" s="1675"/>
      <c r="W52" s="786">
        <f t="shared" si="33"/>
        <v>6342546</v>
      </c>
      <c r="X52" s="1675"/>
      <c r="Y52" s="82">
        <f t="shared" si="34"/>
        <v>2.1120000000000001</v>
      </c>
      <c r="Z52" s="1675">
        <f t="shared" si="6"/>
        <v>39</v>
      </c>
    </row>
    <row r="53" spans="1:26" ht="12.75" customHeight="1">
      <c r="A53" s="1634">
        <v>2019</v>
      </c>
      <c r="B53" s="1342">
        <v>2.3149999999999999</v>
      </c>
      <c r="C53" s="1342"/>
      <c r="D53" s="1338" t="s">
        <v>97</v>
      </c>
      <c r="E53" s="1325">
        <v>0</v>
      </c>
      <c r="F53" s="1342"/>
      <c r="G53" s="1342">
        <v>186.28</v>
      </c>
      <c r="H53" s="1342">
        <v>41.9</v>
      </c>
      <c r="I53" s="1342"/>
      <c r="J53" s="1337">
        <v>7459.1450000000004</v>
      </c>
      <c r="K53" s="1342"/>
      <c r="L53" s="1342" t="s">
        <v>56</v>
      </c>
      <c r="M53" s="1342"/>
      <c r="N53" s="934">
        <f t="shared" si="0"/>
        <v>7689.64</v>
      </c>
      <c r="O53" s="80"/>
      <c r="P53" s="77">
        <f>AVERAGE(N43:N53)</f>
        <v>3280.3419000000004</v>
      </c>
      <c r="Q53" s="1675"/>
      <c r="R53" s="82">
        <f t="shared" si="31"/>
        <v>230.495</v>
      </c>
      <c r="S53" s="524">
        <f t="shared" si="2"/>
        <v>2.9974745241649805E-2</v>
      </c>
      <c r="T53" s="82">
        <f t="shared" si="32"/>
        <v>7689.64</v>
      </c>
      <c r="U53" s="1675">
        <f>RANK(T53, $T$7:$T$60)</f>
        <v>1</v>
      </c>
      <c r="V53" s="1675"/>
      <c r="W53" s="786">
        <f t="shared" si="33"/>
        <v>7689640</v>
      </c>
      <c r="X53" s="1675"/>
      <c r="Y53" s="82">
        <f t="shared" si="34"/>
        <v>2.3149999999999999</v>
      </c>
      <c r="Z53" s="1675">
        <f t="shared" si="6"/>
        <v>38</v>
      </c>
    </row>
    <row r="54" spans="1:26" ht="5.85" customHeight="1">
      <c r="A54" s="1634"/>
      <c r="B54" s="1342"/>
      <c r="C54" s="1342"/>
      <c r="D54" s="1338"/>
      <c r="E54" s="1325"/>
      <c r="F54" s="1342"/>
      <c r="G54" s="1342"/>
      <c r="H54" s="1342"/>
      <c r="I54" s="1342"/>
      <c r="J54" s="1337"/>
      <c r="K54" s="1342"/>
      <c r="L54" s="1342"/>
      <c r="M54" s="1342"/>
      <c r="N54" s="934"/>
      <c r="O54" s="80"/>
      <c r="P54" s="80"/>
      <c r="Q54" s="1675"/>
      <c r="R54" s="87"/>
      <c r="S54" s="455"/>
      <c r="T54" s="87"/>
      <c r="U54" s="1675"/>
      <c r="V54" s="1675"/>
      <c r="W54" s="1675"/>
      <c r="X54" s="1675"/>
      <c r="Y54" s="1675"/>
      <c r="Z54" s="1675"/>
    </row>
    <row r="55" spans="1:26" ht="12.75" customHeight="1">
      <c r="A55" s="1634">
        <v>2020</v>
      </c>
      <c r="B55" s="1342">
        <v>0</v>
      </c>
      <c r="C55" s="1342"/>
      <c r="D55" s="1338" t="s">
        <v>97</v>
      </c>
      <c r="E55" s="1325">
        <v>3.1E-2</v>
      </c>
      <c r="F55" s="1342"/>
      <c r="G55" s="1342">
        <v>138.24700000000001</v>
      </c>
      <c r="H55" s="1342">
        <v>30.428000000000001</v>
      </c>
      <c r="I55" s="1342"/>
      <c r="J55" s="1337">
        <v>5796.1559999999999</v>
      </c>
      <c r="K55" s="1342"/>
      <c r="L55" s="1342" t="s">
        <v>56</v>
      </c>
      <c r="M55" s="1342"/>
      <c r="N55" s="934">
        <f t="shared" si="0"/>
        <v>5964.8620000000001</v>
      </c>
      <c r="O55" s="80"/>
      <c r="P55" s="80"/>
      <c r="Q55" s="1675"/>
      <c r="R55" s="82">
        <f t="shared" ref="R55" si="35">SUM(B55:H55)</f>
        <v>168.70600000000002</v>
      </c>
      <c r="S55" s="534">
        <f t="shared" si="2"/>
        <v>2.8283303117490399E-2</v>
      </c>
      <c r="T55" s="82">
        <f t="shared" ref="T55" si="36">R55+J55</f>
        <v>5964.8620000000001</v>
      </c>
      <c r="U55" s="1675">
        <f>RANK(T55, $T$7:$T$60)</f>
        <v>5</v>
      </c>
      <c r="V55" s="1675"/>
      <c r="W55" s="786">
        <f t="shared" ref="W55" si="37">T55*1000</f>
        <v>5964862</v>
      </c>
      <c r="X55" s="1675"/>
      <c r="Y55" s="82">
        <f t="shared" ref="Y55:Y56" si="38">SUM(B55,D55,E55)</f>
        <v>3.1E-2</v>
      </c>
      <c r="Z55" s="1675">
        <f t="shared" si="6"/>
        <v>46</v>
      </c>
    </row>
    <row r="56" spans="1:26" ht="12.75" customHeight="1">
      <c r="A56" s="1634">
        <v>2021</v>
      </c>
      <c r="B56" s="1342">
        <v>2.0329999999999999</v>
      </c>
      <c r="C56" s="1342"/>
      <c r="D56" s="1338" t="s">
        <v>97</v>
      </c>
      <c r="E56" s="1325">
        <v>0</v>
      </c>
      <c r="F56" s="1342"/>
      <c r="G56" s="1342">
        <v>204.715</v>
      </c>
      <c r="H56" s="1342">
        <v>30.193000000000001</v>
      </c>
      <c r="I56" s="1342"/>
      <c r="J56" s="1337">
        <v>5589.759</v>
      </c>
      <c r="K56" s="1342"/>
      <c r="L56" s="1342" t="s">
        <v>56</v>
      </c>
      <c r="M56" s="1342"/>
      <c r="N56" s="934">
        <v>5826.7309999999998</v>
      </c>
      <c r="O56" s="80"/>
      <c r="P56" s="80"/>
      <c r="Q56" s="1675"/>
      <c r="R56" s="82">
        <v>236.53900000000002</v>
      </c>
      <c r="S56" s="534">
        <v>4.0598506976471167E-2</v>
      </c>
      <c r="T56" s="82">
        <v>5826.2979999999998</v>
      </c>
      <c r="U56" s="1675">
        <v>5</v>
      </c>
      <c r="V56" s="1675"/>
      <c r="W56" s="786">
        <v>5826298</v>
      </c>
      <c r="X56" s="1675"/>
      <c r="Y56" s="82">
        <f t="shared" si="38"/>
        <v>2.0329999999999999</v>
      </c>
      <c r="Z56" s="1675">
        <f t="shared" si="6"/>
        <v>40</v>
      </c>
    </row>
    <row r="57" spans="1:26" ht="12.75" customHeight="1">
      <c r="A57" s="1634">
        <v>2022</v>
      </c>
      <c r="B57" s="1342">
        <v>1.5640000000000001</v>
      </c>
      <c r="C57" s="1342"/>
      <c r="D57" s="1345" t="s">
        <v>97</v>
      </c>
      <c r="E57" s="1325">
        <v>0</v>
      </c>
      <c r="F57" s="1342"/>
      <c r="G57" s="1342">
        <f>160240/1000</f>
        <v>160.24</v>
      </c>
      <c r="H57" s="1342">
        <f>24294/1000</f>
        <v>24.294</v>
      </c>
      <c r="I57" s="1342"/>
      <c r="J57" s="1337">
        <f>6174903/1000</f>
        <v>6174.9030000000002</v>
      </c>
      <c r="K57" s="1342"/>
      <c r="L57" s="1342" t="s">
        <v>56</v>
      </c>
      <c r="M57" s="1342"/>
      <c r="N57" s="934">
        <f>T57</f>
        <v>6361.0010000000002</v>
      </c>
      <c r="O57" s="1631"/>
      <c r="P57" s="1631"/>
      <c r="Q57" s="1675"/>
      <c r="R57" s="82">
        <f>SUM(B57:H57)</f>
        <v>186.09800000000001</v>
      </c>
      <c r="S57" s="534">
        <f t="shared" ref="S57" si="39">R57/T57</f>
        <v>2.9256087210173368E-2</v>
      </c>
      <c r="T57" s="82">
        <f>R57+J57</f>
        <v>6361.0010000000002</v>
      </c>
      <c r="U57" s="1675">
        <f>RANK(T57, $T$7:$T$60)</f>
        <v>2</v>
      </c>
      <c r="V57" s="1675"/>
      <c r="W57" s="786">
        <f t="shared" ref="W57" si="40">T57*1000</f>
        <v>6361001</v>
      </c>
      <c r="X57" s="1675"/>
      <c r="Y57" s="82">
        <f t="shared" ref="Y57" si="41">SUM(B57,D57,E57)</f>
        <v>1.5640000000000001</v>
      </c>
      <c r="Z57" s="1675">
        <f t="shared" ref="Z57" si="42">RANK(Y57,$Y$7:$Y$60)</f>
        <v>42</v>
      </c>
    </row>
    <row r="58" spans="1:26" ht="12.75" customHeight="1">
      <c r="A58" s="1634">
        <v>2023</v>
      </c>
      <c r="B58" s="1342">
        <v>3.0990000000000002</v>
      </c>
      <c r="C58" s="1342"/>
      <c r="D58" s="1345" t="s">
        <v>97</v>
      </c>
      <c r="E58" s="1325">
        <v>0</v>
      </c>
      <c r="F58" s="1342"/>
      <c r="G58" s="1342">
        <f>176058/1000</f>
        <v>176.05799999999999</v>
      </c>
      <c r="H58" s="1342">
        <f>17215/1000</f>
        <v>17.215</v>
      </c>
      <c r="I58" s="1342"/>
      <c r="J58" s="1337">
        <f>4345373/1000</f>
        <v>4345.3729999999996</v>
      </c>
      <c r="K58" s="1342"/>
      <c r="L58" s="1342" t="s">
        <v>56</v>
      </c>
      <c r="M58" s="1342"/>
      <c r="N58" s="934">
        <f>T58</f>
        <v>4541.7449999999999</v>
      </c>
      <c r="O58" s="1631"/>
      <c r="P58" s="1631"/>
      <c r="Q58" s="1675"/>
      <c r="R58" s="82">
        <f>SUM(B58:H58)</f>
        <v>196.37199999999999</v>
      </c>
      <c r="S58" s="534">
        <f>R58/T58</f>
        <v>4.3237125818380379E-2</v>
      </c>
      <c r="T58" s="82">
        <f>R58+J58</f>
        <v>4541.7449999999999</v>
      </c>
      <c r="U58" s="1675">
        <f>RANK(T58, $T$7:$T$60)</f>
        <v>10</v>
      </c>
      <c r="V58" s="1675"/>
      <c r="W58" s="786">
        <f>T58*1000</f>
        <v>4541745</v>
      </c>
      <c r="X58" s="1675"/>
      <c r="Y58" s="82">
        <f>SUM(B58,D58,E58)</f>
        <v>3.0990000000000002</v>
      </c>
      <c r="Z58" s="1675">
        <f>RANK(Y58,$Y$7:$Y$60)</f>
        <v>36</v>
      </c>
    </row>
    <row r="59" spans="1:26" ht="12.75" customHeight="1">
      <c r="A59" s="1634">
        <v>2024</v>
      </c>
      <c r="B59" s="1342">
        <v>0</v>
      </c>
      <c r="C59" s="1342"/>
      <c r="D59" s="1345" t="s">
        <v>97</v>
      </c>
      <c r="E59" s="1325">
        <f>6140/1000</f>
        <v>6.14</v>
      </c>
      <c r="F59" s="1342"/>
      <c r="G59" s="1342">
        <f>140357/1000</f>
        <v>140.357</v>
      </c>
      <c r="H59" s="1342">
        <f>13533/1000</f>
        <v>13.532999999999999</v>
      </c>
      <c r="I59" s="1342"/>
      <c r="J59" s="1337">
        <f>3036949/1000</f>
        <v>3036.9490000000001</v>
      </c>
      <c r="K59" s="1342"/>
      <c r="L59" s="1342" t="s">
        <v>56</v>
      </c>
      <c r="M59" s="1342"/>
      <c r="N59" s="934">
        <f>T59</f>
        <v>3196.9790000000003</v>
      </c>
      <c r="O59" s="1631"/>
      <c r="P59" s="1631"/>
      <c r="Q59" s="1675"/>
      <c r="R59" s="82">
        <f>SUM(B59:H59)</f>
        <v>160.02999999999997</v>
      </c>
      <c r="S59" s="534">
        <f>R59/T59</f>
        <v>5.0056631588759247E-2</v>
      </c>
      <c r="T59" s="82">
        <f>R59+J59</f>
        <v>3196.9790000000003</v>
      </c>
      <c r="U59" s="1675">
        <f>RANK(T59, $T$7:$T$60)</f>
        <v>17</v>
      </c>
      <c r="V59" s="1675"/>
      <c r="W59" s="786">
        <f>T59*1000</f>
        <v>3196979.0000000005</v>
      </c>
      <c r="X59" s="1675"/>
      <c r="Y59" s="82">
        <f>SUM(B59,D59,E59)</f>
        <v>6.14</v>
      </c>
      <c r="Z59" s="1675">
        <f>RANK(Y59,$Y$7:$Y$60)</f>
        <v>32</v>
      </c>
    </row>
    <row r="60" spans="1:26" ht="16.5" thickBot="1">
      <c r="A60" s="1700">
        <v>2025</v>
      </c>
      <c r="B60" s="935">
        <v>0.81299999999999994</v>
      </c>
      <c r="C60" s="935"/>
      <c r="D60" s="936" t="s">
        <v>97</v>
      </c>
      <c r="E60" s="920">
        <v>0</v>
      </c>
      <c r="F60" s="935"/>
      <c r="G60" s="935">
        <f>133979/1000</f>
        <v>133.97900000000001</v>
      </c>
      <c r="H60" s="935">
        <f>16336/1000</f>
        <v>16.335999999999999</v>
      </c>
      <c r="I60" s="935"/>
      <c r="J60" s="937">
        <f>3485663/1000</f>
        <v>3485.663</v>
      </c>
      <c r="K60" s="935"/>
      <c r="L60" s="935" t="s">
        <v>56</v>
      </c>
      <c r="M60" s="935"/>
      <c r="N60" s="938">
        <f>T60</f>
        <v>3636.7910000000002</v>
      </c>
      <c r="O60" s="1631"/>
      <c r="P60" s="1631"/>
      <c r="Q60" s="1675"/>
      <c r="R60" s="525">
        <f>SUM(B60:H60)</f>
        <v>151.12799999999999</v>
      </c>
      <c r="S60" s="526">
        <f>R60/T60</f>
        <v>4.1555316211462245E-2</v>
      </c>
      <c r="T60" s="525">
        <f>R60+J60</f>
        <v>3636.7910000000002</v>
      </c>
      <c r="U60" s="413">
        <f>RANK(T60, $T$7:$T$60)</f>
        <v>14</v>
      </c>
      <c r="V60" s="1675"/>
      <c r="W60" s="786">
        <f>T60*1000</f>
        <v>3636791</v>
      </c>
      <c r="X60" s="1675"/>
      <c r="Y60" s="82">
        <f>SUM(B60,D60,E60)</f>
        <v>0.81299999999999994</v>
      </c>
      <c r="Z60" s="1675">
        <f>RANK(Y60,$Y$7:$Y$60)</f>
        <v>45</v>
      </c>
    </row>
    <row r="61" spans="1:26" ht="15.75">
      <c r="A61" s="1757" t="s">
        <v>798</v>
      </c>
      <c r="B61" s="1757"/>
      <c r="C61" s="1757"/>
      <c r="D61" s="1757"/>
      <c r="E61" s="1757"/>
      <c r="F61" s="1757"/>
      <c r="G61" s="1757"/>
      <c r="H61" s="1757"/>
      <c r="I61" s="1757"/>
      <c r="J61" s="1757"/>
      <c r="K61" s="1757"/>
      <c r="L61" s="1757"/>
      <c r="M61" s="1757"/>
      <c r="N61" s="1757"/>
      <c r="O61" s="1631"/>
      <c r="P61" s="1631"/>
      <c r="Q61" s="1675" t="s">
        <v>799</v>
      </c>
      <c r="R61" s="87">
        <f>AVERAGE(R51:R56)</f>
        <v>223.91720000000001</v>
      </c>
      <c r="S61" s="1675"/>
      <c r="T61" s="87">
        <f>AVERAGE(T52:T56)</f>
        <v>6455.8365000000003</v>
      </c>
      <c r="U61" s="1675"/>
      <c r="V61" s="1675"/>
      <c r="W61" s="1675"/>
      <c r="X61" s="1675"/>
      <c r="Y61" s="1675"/>
      <c r="Z61" s="1675"/>
    </row>
    <row r="62" spans="1:26" s="434" customFormat="1" ht="21" customHeight="1">
      <c r="A62" s="1757"/>
      <c r="B62" s="1757"/>
      <c r="C62" s="1757"/>
      <c r="D62" s="1757"/>
      <c r="E62" s="1757"/>
      <c r="F62" s="1757"/>
      <c r="G62" s="1757"/>
      <c r="H62" s="1757"/>
      <c r="I62" s="1757"/>
      <c r="J62" s="1757"/>
      <c r="K62" s="1757"/>
      <c r="L62" s="1757"/>
      <c r="M62" s="1757"/>
      <c r="N62" s="1757"/>
      <c r="O62" s="1631"/>
      <c r="P62" s="1631"/>
      <c r="Q62" s="1675"/>
      <c r="R62" s="1675"/>
      <c r="S62" s="1675"/>
      <c r="T62" s="1675"/>
      <c r="U62" s="1675"/>
      <c r="V62" s="1675"/>
      <c r="W62" s="1675"/>
    </row>
    <row r="63" spans="1:26" ht="34.35" customHeight="1">
      <c r="A63" s="1757" t="s">
        <v>800</v>
      </c>
      <c r="B63" s="1757"/>
      <c r="C63" s="1757"/>
      <c r="D63" s="1757"/>
      <c r="E63" s="1757"/>
      <c r="F63" s="1757"/>
      <c r="G63" s="1757"/>
      <c r="H63" s="1757"/>
      <c r="I63" s="1757"/>
      <c r="J63" s="1757"/>
      <c r="K63" s="1757"/>
      <c r="L63" s="1757"/>
      <c r="M63" s="1757"/>
      <c r="N63" s="1757"/>
      <c r="O63" s="1631"/>
      <c r="P63" s="1631"/>
      <c r="Q63" s="434"/>
      <c r="R63" s="435"/>
      <c r="S63" s="434"/>
      <c r="T63" s="435"/>
      <c r="U63" s="434"/>
      <c r="V63" s="434"/>
      <c r="W63" s="434"/>
      <c r="X63" s="1675"/>
      <c r="Y63" s="1675"/>
      <c r="Z63" s="1675"/>
    </row>
    <row r="64" spans="1:26" ht="83.25" customHeight="1">
      <c r="A64" s="1757" t="s">
        <v>801</v>
      </c>
      <c r="B64" s="1757"/>
      <c r="C64" s="1757"/>
      <c r="D64" s="1757"/>
      <c r="E64" s="1757"/>
      <c r="F64" s="1757"/>
      <c r="G64" s="1757"/>
      <c r="H64" s="1757"/>
      <c r="I64" s="1757"/>
      <c r="J64" s="1757"/>
      <c r="K64" s="1757"/>
      <c r="L64" s="1757"/>
      <c r="M64" s="1757"/>
      <c r="N64" s="1757"/>
      <c r="O64" s="441"/>
      <c r="P64" s="441"/>
      <c r="Q64" s="1675"/>
      <c r="R64" s="1675"/>
      <c r="S64" s="1675"/>
      <c r="T64" s="523"/>
      <c r="U64" s="523"/>
      <c r="V64" s="523"/>
      <c r="W64" s="523"/>
      <c r="X64" s="1675"/>
      <c r="Y64" s="1675"/>
      <c r="Z64" s="1675"/>
    </row>
    <row r="65" spans="1:16" ht="19.5" customHeight="1">
      <c r="A65" s="1758" t="s">
        <v>802</v>
      </c>
      <c r="B65" s="1758"/>
      <c r="C65" s="1758"/>
      <c r="D65" s="1758"/>
      <c r="E65" s="1758"/>
      <c r="F65" s="1758"/>
      <c r="G65" s="1758"/>
      <c r="H65" s="1758"/>
      <c r="I65" s="1758"/>
      <c r="J65" s="1758"/>
      <c r="K65" s="1758"/>
      <c r="L65" s="1758"/>
      <c r="M65" s="1758"/>
      <c r="N65" s="1758"/>
      <c r="O65" s="441"/>
      <c r="P65" s="441"/>
    </row>
    <row r="66" spans="1:16" ht="19.5" customHeight="1">
      <c r="A66" s="1758" t="s">
        <v>803</v>
      </c>
      <c r="B66" s="1758"/>
      <c r="C66" s="1758"/>
      <c r="D66" s="1758"/>
      <c r="E66" s="1758"/>
      <c r="F66" s="1758"/>
      <c r="G66" s="1758"/>
      <c r="H66" s="1758"/>
      <c r="I66" s="1758"/>
      <c r="J66" s="1758"/>
      <c r="K66" s="1758"/>
      <c r="L66" s="1758"/>
      <c r="M66" s="1758"/>
      <c r="N66" s="1758"/>
      <c r="O66" s="1675"/>
      <c r="P66" s="1675"/>
    </row>
    <row r="67" spans="1:16" ht="15.75">
      <c r="A67" s="84"/>
      <c r="B67" s="1675"/>
      <c r="C67" s="1675"/>
      <c r="D67" s="1675"/>
      <c r="E67" s="1675"/>
      <c r="F67" s="1675"/>
      <c r="G67" s="1675"/>
      <c r="H67" s="1675"/>
      <c r="I67" s="1675"/>
      <c r="J67" s="1675"/>
      <c r="K67" s="1675"/>
      <c r="L67" s="1675"/>
      <c r="M67" s="1675"/>
      <c r="N67" s="1675"/>
      <c r="O67" s="1675"/>
      <c r="P67" s="1675"/>
    </row>
    <row r="68" spans="1:16" ht="15.75">
      <c r="A68" s="84"/>
      <c r="B68" s="1675"/>
      <c r="C68" s="1675"/>
      <c r="D68" s="1675"/>
      <c r="E68" s="1675"/>
      <c r="F68" s="1675"/>
      <c r="G68" s="1675"/>
      <c r="H68" s="1675"/>
      <c r="I68" s="1675"/>
      <c r="J68" s="1675"/>
      <c r="K68" s="1675"/>
      <c r="L68" s="1675"/>
      <c r="M68" s="1675"/>
      <c r="N68" s="1675"/>
      <c r="O68" s="1675"/>
      <c r="P68" s="1675"/>
    </row>
    <row r="72" spans="1:16">
      <c r="A72" s="1675"/>
      <c r="B72" s="1675"/>
      <c r="C72" s="1675"/>
      <c r="D72" s="1675"/>
      <c r="E72" s="1675"/>
      <c r="F72" s="1675"/>
      <c r="G72" s="1675"/>
      <c r="H72" s="1675"/>
      <c r="I72" s="1675"/>
      <c r="J72" s="1675"/>
      <c r="K72" s="1675"/>
      <c r="L72" s="85"/>
      <c r="M72" s="85"/>
      <c r="N72" s="1675"/>
      <c r="O72" s="1675"/>
      <c r="P72" s="1675"/>
    </row>
    <row r="73" spans="1:16">
      <c r="A73" s="1675"/>
      <c r="B73" s="1675"/>
      <c r="C73" s="1675"/>
      <c r="D73" s="1675"/>
      <c r="E73" s="1675"/>
      <c r="F73" s="1675"/>
      <c r="G73" s="1675"/>
      <c r="H73" s="1675"/>
      <c r="I73" s="1675"/>
      <c r="J73" s="1675"/>
      <c r="K73" s="1675"/>
      <c r="L73" s="85"/>
      <c r="M73" s="85"/>
      <c r="N73" s="1675"/>
      <c r="O73" s="1675"/>
      <c r="P73" s="1675"/>
    </row>
    <row r="74" spans="1:16">
      <c r="A74" s="1675"/>
      <c r="B74" s="1675"/>
      <c r="C74" s="1675"/>
      <c r="D74" s="1675"/>
      <c r="E74" s="1675"/>
      <c r="F74" s="1675"/>
      <c r="G74" s="1675"/>
      <c r="H74" s="1675"/>
      <c r="I74" s="1675"/>
      <c r="J74" s="1675"/>
      <c r="K74" s="1675"/>
      <c r="L74" s="85"/>
      <c r="M74" s="85"/>
      <c r="N74" s="1675"/>
      <c r="O74" s="1675"/>
      <c r="P74" s="1675"/>
    </row>
    <row r="76" spans="1:16">
      <c r="A76" s="1675"/>
      <c r="B76" s="1675"/>
      <c r="C76" s="1675"/>
      <c r="D76" s="1675"/>
      <c r="E76" s="1675"/>
      <c r="F76" s="1675"/>
      <c r="G76" s="1675"/>
      <c r="H76" s="1675"/>
      <c r="I76" s="1675"/>
      <c r="J76" s="1675"/>
      <c r="K76" s="1675"/>
      <c r="L76" s="85"/>
      <c r="M76" s="85"/>
      <c r="N76" s="1675"/>
      <c r="O76" s="1675"/>
      <c r="P76" s="1675"/>
    </row>
  </sheetData>
  <mergeCells count="10">
    <mergeCell ref="A65:N65"/>
    <mergeCell ref="A66:N66"/>
    <mergeCell ref="N4:N5"/>
    <mergeCell ref="B4:E4"/>
    <mergeCell ref="G4:H4"/>
    <mergeCell ref="L4:L5"/>
    <mergeCell ref="A61:N62"/>
    <mergeCell ref="A63:N63"/>
    <mergeCell ref="A64:N64"/>
    <mergeCell ref="J4:J5"/>
  </mergeCells>
  <pageMargins left="0.7" right="0.7" top="0.75" bottom="0.75" header="0.3" footer="0.3"/>
  <pageSetup scale="92" fitToHeight="0" orientation="portrait" r:id="rId1"/>
  <ignoredErrors>
    <ignoredError sqref="L35 L37 B25" numberStoredAsText="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66FF33"/>
    <pageSetUpPr fitToPage="1"/>
  </sheetPr>
  <dimension ref="A1:P71"/>
  <sheetViews>
    <sheetView showGridLines="0" topLeftCell="A49" zoomScale="115" zoomScaleNormal="115" workbookViewId="0">
      <selection activeCell="B55" sqref="B55"/>
    </sheetView>
  </sheetViews>
  <sheetFormatPr defaultColWidth="8" defaultRowHeight="12.75"/>
  <cols>
    <col min="1" max="1" width="13.33203125" style="111" customWidth="1"/>
    <col min="2" max="4" width="16.1640625" style="74" customWidth="1"/>
    <col min="5" max="5" width="16.1640625" style="113" customWidth="1"/>
    <col min="6" max="6" width="22.1640625" style="74" customWidth="1"/>
    <col min="7" max="7" width="1.33203125" style="74" customWidth="1"/>
    <col min="8" max="8" width="8.6640625" style="74" customWidth="1"/>
    <col min="9" max="16384" width="8" style="74"/>
  </cols>
  <sheetData>
    <row r="1" spans="1:8" ht="30.75" customHeight="1">
      <c r="A1" s="1886" t="s">
        <v>804</v>
      </c>
      <c r="B1" s="1886"/>
      <c r="C1" s="1886"/>
      <c r="D1" s="1886"/>
      <c r="E1" s="1886"/>
      <c r="F1" s="1886"/>
      <c r="G1" s="1675"/>
      <c r="H1" s="1675"/>
    </row>
    <row r="2" spans="1:8" ht="12.75" customHeight="1">
      <c r="A2" s="1887" t="s">
        <v>28</v>
      </c>
      <c r="B2" s="1883" t="s">
        <v>805</v>
      </c>
      <c r="C2" s="1883" t="s">
        <v>806</v>
      </c>
      <c r="D2" s="1883" t="s">
        <v>807</v>
      </c>
      <c r="E2" s="1890" t="s">
        <v>808</v>
      </c>
      <c r="F2" s="1891"/>
      <c r="G2" s="108"/>
      <c r="H2" s="108"/>
    </row>
    <row r="3" spans="1:8" ht="14.25">
      <c r="A3" s="1888"/>
      <c r="B3" s="1889"/>
      <c r="C3" s="1889"/>
      <c r="D3" s="1889"/>
      <c r="E3" s="1340" t="s">
        <v>809</v>
      </c>
      <c r="F3" s="943" t="s">
        <v>810</v>
      </c>
      <c r="G3" s="108"/>
      <c r="H3" s="108"/>
    </row>
    <row r="4" spans="1:8" ht="25.5">
      <c r="A4" s="944" t="s">
        <v>811</v>
      </c>
      <c r="B4" s="76"/>
      <c r="C4" s="108">
        <v>8</v>
      </c>
      <c r="D4" s="108" t="s">
        <v>812</v>
      </c>
      <c r="E4" s="1346" t="s">
        <v>813</v>
      </c>
      <c r="F4" s="945">
        <v>2100</v>
      </c>
      <c r="G4" s="112"/>
      <c r="H4" s="112"/>
    </row>
    <row r="5" spans="1:8">
      <c r="A5" s="944" t="s">
        <v>814</v>
      </c>
      <c r="B5" s="109" t="s">
        <v>815</v>
      </c>
      <c r="C5" s="1347" t="s">
        <v>816</v>
      </c>
      <c r="D5" s="76"/>
      <c r="E5" s="1346" t="s">
        <v>817</v>
      </c>
      <c r="F5" s="946" t="s">
        <v>818</v>
      </c>
      <c r="G5" s="78"/>
      <c r="H5" s="78"/>
    </row>
    <row r="6" spans="1:8" ht="25.5">
      <c r="A6" s="944" t="s">
        <v>819</v>
      </c>
      <c r="B6" s="109"/>
      <c r="C6" s="108">
        <v>8</v>
      </c>
      <c r="D6" s="108" t="s">
        <v>812</v>
      </c>
      <c r="E6" s="1346" t="s">
        <v>820</v>
      </c>
      <c r="F6" s="945">
        <v>2300</v>
      </c>
      <c r="G6" s="112"/>
      <c r="H6" s="112"/>
    </row>
    <row r="7" spans="1:8">
      <c r="A7" s="944" t="s">
        <v>814</v>
      </c>
      <c r="B7" s="109" t="s">
        <v>821</v>
      </c>
      <c r="C7" s="1348" t="s">
        <v>822</v>
      </c>
      <c r="D7" s="108"/>
      <c r="E7" s="1346" t="s">
        <v>823</v>
      </c>
      <c r="F7" s="946" t="s">
        <v>824</v>
      </c>
      <c r="G7" s="78"/>
      <c r="H7" s="78"/>
    </row>
    <row r="8" spans="1:8" ht="25.5">
      <c r="A8" s="944" t="s">
        <v>825</v>
      </c>
      <c r="B8" s="109"/>
      <c r="C8" s="108">
        <v>12</v>
      </c>
      <c r="D8" s="108"/>
      <c r="E8" s="1346" t="s">
        <v>826</v>
      </c>
      <c r="F8" s="945">
        <v>1500</v>
      </c>
      <c r="G8" s="112"/>
      <c r="H8" s="112"/>
    </row>
    <row r="9" spans="1:8">
      <c r="A9" s="944" t="s">
        <v>814</v>
      </c>
      <c r="B9" s="109" t="s">
        <v>827</v>
      </c>
      <c r="C9" s="1348" t="s">
        <v>828</v>
      </c>
      <c r="D9" s="108" t="s">
        <v>829</v>
      </c>
      <c r="E9" s="1346" t="s">
        <v>830</v>
      </c>
      <c r="F9" s="946" t="s">
        <v>831</v>
      </c>
      <c r="G9" s="78"/>
      <c r="H9" s="78"/>
    </row>
    <row r="10" spans="1:8" ht="25.5">
      <c r="A10" s="944" t="s">
        <v>832</v>
      </c>
      <c r="B10" s="109"/>
      <c r="C10" s="108">
        <v>13</v>
      </c>
      <c r="D10" s="76"/>
      <c r="E10" s="1346" t="s">
        <v>813</v>
      </c>
      <c r="F10" s="945">
        <v>1300</v>
      </c>
      <c r="G10" s="112"/>
      <c r="H10" s="112"/>
    </row>
    <row r="11" spans="1:8">
      <c r="A11" s="944" t="s">
        <v>814</v>
      </c>
      <c r="B11" s="109" t="s">
        <v>827</v>
      </c>
      <c r="C11" s="1348" t="s">
        <v>833</v>
      </c>
      <c r="D11" s="108" t="s">
        <v>829</v>
      </c>
      <c r="E11" s="1346" t="s">
        <v>834</v>
      </c>
      <c r="F11" s="946" t="s">
        <v>835</v>
      </c>
      <c r="G11" s="78"/>
      <c r="H11" s="78"/>
    </row>
    <row r="12" spans="1:8" ht="25.5">
      <c r="A12" s="944" t="s">
        <v>836</v>
      </c>
      <c r="B12" s="109"/>
      <c r="C12" s="108">
        <v>7</v>
      </c>
      <c r="D12" s="76"/>
      <c r="E12" s="1346" t="s">
        <v>837</v>
      </c>
      <c r="F12" s="945">
        <v>1600</v>
      </c>
      <c r="G12" s="112"/>
      <c r="H12" s="112"/>
    </row>
    <row r="13" spans="1:8">
      <c r="A13" s="944" t="s">
        <v>814</v>
      </c>
      <c r="B13" s="109" t="s">
        <v>838</v>
      </c>
      <c r="C13" s="108" t="s">
        <v>839</v>
      </c>
      <c r="D13" s="108" t="s">
        <v>829</v>
      </c>
      <c r="E13" s="1346" t="s">
        <v>840</v>
      </c>
      <c r="F13" s="946" t="s">
        <v>841</v>
      </c>
      <c r="G13" s="78"/>
      <c r="H13" s="78"/>
    </row>
    <row r="14" spans="1:8" ht="25.5">
      <c r="A14" s="944" t="s">
        <v>842</v>
      </c>
      <c r="B14" s="109"/>
      <c r="C14" s="108">
        <v>16</v>
      </c>
      <c r="D14" s="108" t="s">
        <v>843</v>
      </c>
      <c r="E14" s="110" t="s">
        <v>844</v>
      </c>
      <c r="F14" s="945">
        <v>2287</v>
      </c>
      <c r="G14" s="112"/>
      <c r="H14" s="112"/>
    </row>
    <row r="15" spans="1:8">
      <c r="A15" s="944" t="s">
        <v>814</v>
      </c>
      <c r="B15" s="109" t="s">
        <v>845</v>
      </c>
      <c r="C15" s="1348" t="s">
        <v>846</v>
      </c>
      <c r="D15" s="108" t="s">
        <v>829</v>
      </c>
      <c r="E15" s="1346" t="s">
        <v>847</v>
      </c>
      <c r="F15" s="946" t="s">
        <v>848</v>
      </c>
      <c r="G15" s="78"/>
      <c r="H15" s="78"/>
    </row>
    <row r="16" spans="1:8" ht="7.5" customHeight="1">
      <c r="A16" s="944"/>
      <c r="B16" s="109"/>
      <c r="C16" s="1348"/>
      <c r="D16" s="108"/>
      <c r="E16" s="1346"/>
      <c r="F16" s="946"/>
      <c r="G16" s="78"/>
      <c r="H16" s="78"/>
    </row>
    <row r="17" spans="1:11">
      <c r="A17" s="944" t="s">
        <v>849</v>
      </c>
      <c r="B17" s="109" t="s">
        <v>850</v>
      </c>
      <c r="C17" s="108">
        <v>7</v>
      </c>
      <c r="D17" s="108" t="s">
        <v>851</v>
      </c>
      <c r="E17" s="1349">
        <v>94</v>
      </c>
      <c r="F17" s="946">
        <v>473</v>
      </c>
      <c r="G17" s="78"/>
      <c r="H17" s="78"/>
      <c r="I17" s="1675"/>
      <c r="J17" s="1675"/>
      <c r="K17" s="1675"/>
    </row>
    <row r="18" spans="1:11">
      <c r="A18" s="944"/>
      <c r="B18" s="109" t="s">
        <v>852</v>
      </c>
      <c r="C18" s="108">
        <v>5</v>
      </c>
      <c r="D18" s="108" t="s">
        <v>851</v>
      </c>
      <c r="E18" s="112">
        <v>1489</v>
      </c>
      <c r="F18" s="946">
        <v>58</v>
      </c>
      <c r="G18" s="78"/>
      <c r="H18" s="78"/>
      <c r="I18" s="1675"/>
      <c r="J18" s="1675"/>
      <c r="K18" s="1675" t="s">
        <v>153</v>
      </c>
    </row>
    <row r="19" spans="1:11">
      <c r="A19" s="944"/>
      <c r="B19" s="109" t="s">
        <v>853</v>
      </c>
      <c r="C19" s="108">
        <v>2</v>
      </c>
      <c r="D19" s="108" t="s">
        <v>854</v>
      </c>
      <c r="E19" s="112">
        <v>3606</v>
      </c>
      <c r="F19" s="946">
        <v>12</v>
      </c>
      <c r="G19" s="78"/>
      <c r="H19" s="78"/>
      <c r="I19" s="1675"/>
      <c r="J19" s="1675"/>
      <c r="K19" s="1675"/>
    </row>
    <row r="20" spans="1:11">
      <c r="A20" s="944" t="s">
        <v>855</v>
      </c>
      <c r="B20" s="109" t="s">
        <v>856</v>
      </c>
      <c r="C20" s="108">
        <v>10</v>
      </c>
      <c r="D20" s="108" t="s">
        <v>851</v>
      </c>
      <c r="E20" s="112">
        <v>39</v>
      </c>
      <c r="F20" s="946">
        <v>288</v>
      </c>
      <c r="G20" s="78"/>
      <c r="H20" s="78"/>
      <c r="I20" s="1675"/>
      <c r="J20" s="1675"/>
      <c r="K20" s="1675"/>
    </row>
    <row r="21" spans="1:11">
      <c r="A21" s="944"/>
      <c r="B21" s="109" t="s">
        <v>857</v>
      </c>
      <c r="C21" s="108">
        <v>5</v>
      </c>
      <c r="D21" s="108" t="s">
        <v>812</v>
      </c>
      <c r="E21" s="112">
        <v>994</v>
      </c>
      <c r="F21" s="946">
        <v>88</v>
      </c>
      <c r="G21" s="78"/>
      <c r="H21" s="78"/>
      <c r="I21" s="1675"/>
      <c r="J21" s="1675"/>
      <c r="K21" s="1675"/>
    </row>
    <row r="22" spans="1:11">
      <c r="A22" s="944"/>
      <c r="B22" s="109" t="s">
        <v>858</v>
      </c>
      <c r="C22" s="108">
        <v>6</v>
      </c>
      <c r="D22" s="108" t="s">
        <v>812</v>
      </c>
      <c r="E22" s="112">
        <v>3356</v>
      </c>
      <c r="F22" s="945">
        <v>1563</v>
      </c>
      <c r="G22" s="112"/>
      <c r="H22" s="112"/>
      <c r="I22" s="1675"/>
      <c r="J22" s="1675"/>
      <c r="K22" s="1675"/>
    </row>
    <row r="23" spans="1:11">
      <c r="A23" s="944" t="s">
        <v>859</v>
      </c>
      <c r="B23" s="109" t="s">
        <v>860</v>
      </c>
      <c r="C23" s="108">
        <v>9</v>
      </c>
      <c r="D23" s="108" t="s">
        <v>851</v>
      </c>
      <c r="E23" s="112">
        <v>186</v>
      </c>
      <c r="F23" s="945">
        <v>1424</v>
      </c>
      <c r="G23" s="112"/>
      <c r="H23" s="112"/>
      <c r="I23" s="1675"/>
      <c r="J23" s="1675"/>
      <c r="K23" s="1675"/>
    </row>
    <row r="24" spans="1:11">
      <c r="A24" s="944"/>
      <c r="B24" s="1350" t="s">
        <v>861</v>
      </c>
      <c r="C24" s="108">
        <v>1</v>
      </c>
      <c r="D24" s="108" t="s">
        <v>812</v>
      </c>
      <c r="E24" s="112">
        <v>434</v>
      </c>
      <c r="F24" s="946">
        <v>19</v>
      </c>
      <c r="G24" s="78"/>
      <c r="H24" s="78"/>
      <c r="I24" s="1675"/>
      <c r="J24" s="1675"/>
      <c r="K24" s="1675"/>
    </row>
    <row r="25" spans="1:11">
      <c r="A25" s="944"/>
      <c r="B25" s="109" t="s">
        <v>862</v>
      </c>
      <c r="C25" s="108">
        <v>2</v>
      </c>
      <c r="D25" s="108" t="s">
        <v>854</v>
      </c>
      <c r="E25" s="112">
        <v>2255</v>
      </c>
      <c r="F25" s="946">
        <v>15</v>
      </c>
      <c r="G25" s="78"/>
      <c r="H25" s="78"/>
      <c r="I25" s="1675"/>
      <c r="J25" s="1675"/>
      <c r="K25" s="1675"/>
    </row>
    <row r="26" spans="1:11">
      <c r="A26" s="944"/>
      <c r="B26" s="109" t="s">
        <v>863</v>
      </c>
      <c r="C26" s="108">
        <v>1</v>
      </c>
      <c r="D26" s="108" t="s">
        <v>812</v>
      </c>
      <c r="E26" s="112">
        <v>30</v>
      </c>
      <c r="F26" s="946">
        <v>13</v>
      </c>
      <c r="G26" s="78"/>
      <c r="H26" s="78"/>
      <c r="I26" s="1675"/>
      <c r="J26" s="1675"/>
      <c r="K26" s="1675"/>
    </row>
    <row r="27" spans="1:11">
      <c r="A27" s="944" t="s">
        <v>864</v>
      </c>
      <c r="B27" s="109" t="s">
        <v>865</v>
      </c>
      <c r="C27" s="108">
        <v>11</v>
      </c>
      <c r="D27" s="108" t="s">
        <v>851</v>
      </c>
      <c r="E27" s="112">
        <v>14</v>
      </c>
      <c r="F27" s="946">
        <v>869</v>
      </c>
      <c r="G27" s="78"/>
      <c r="H27" s="78"/>
      <c r="I27" s="1675"/>
      <c r="J27" s="1675"/>
      <c r="K27" s="1675"/>
    </row>
    <row r="28" spans="1:11">
      <c r="A28" s="944"/>
      <c r="B28" s="109" t="s">
        <v>866</v>
      </c>
      <c r="C28" s="108">
        <v>3</v>
      </c>
      <c r="D28" s="108" t="s">
        <v>854</v>
      </c>
      <c r="E28" s="112">
        <v>5658</v>
      </c>
      <c r="F28" s="946">
        <v>17</v>
      </c>
      <c r="G28" s="78"/>
      <c r="H28" s="78"/>
      <c r="I28" s="1675"/>
      <c r="J28" s="1675"/>
      <c r="K28" s="1675"/>
    </row>
    <row r="29" spans="1:11">
      <c r="A29" s="944" t="s">
        <v>867</v>
      </c>
      <c r="B29" s="109" t="s">
        <v>868</v>
      </c>
      <c r="C29" s="108">
        <v>8</v>
      </c>
      <c r="D29" s="108" t="s">
        <v>851</v>
      </c>
      <c r="E29" s="112">
        <v>18</v>
      </c>
      <c r="F29" s="945">
        <v>1697</v>
      </c>
      <c r="G29" s="112"/>
      <c r="H29" s="112"/>
      <c r="I29" s="1675"/>
      <c r="J29" s="1675"/>
      <c r="K29" s="1675"/>
    </row>
    <row r="30" spans="1:11">
      <c r="A30" s="944"/>
      <c r="B30" s="109" t="s">
        <v>869</v>
      </c>
      <c r="C30" s="108">
        <v>3</v>
      </c>
      <c r="D30" s="108" t="s">
        <v>854</v>
      </c>
      <c r="E30" s="112">
        <v>4150</v>
      </c>
      <c r="F30" s="946">
        <v>21</v>
      </c>
      <c r="G30" s="78"/>
      <c r="H30" s="78"/>
      <c r="I30" s="1675"/>
      <c r="J30" s="1675"/>
      <c r="K30" s="1675"/>
    </row>
    <row r="31" spans="1:11" ht="25.5">
      <c r="A31" s="944" t="s">
        <v>870</v>
      </c>
      <c r="B31" s="109"/>
      <c r="C31" s="108">
        <f>ROUND(AVERAGE(SUM(C17:C19),SUM(C20:C22),SUM(C23:C26),SUM(C27:C28),SUM(C29:C30)),0)</f>
        <v>15</v>
      </c>
      <c r="D31" s="108"/>
      <c r="E31" s="112">
        <f>ROUND(AVERAGE(SUM(E17:E19),SUM(E20:E22),SUM(E23:E26),SUM(E27:E28),SUM(E29:E30)),0)</f>
        <v>4465</v>
      </c>
      <c r="F31" s="947">
        <f>ROUND(AVERAGE(SUM(F17:F19),SUM(F20:F22),SUM(F23:F26),SUM(F27:F28),SUM(F29:F30)),0)</f>
        <v>1311</v>
      </c>
      <c r="G31" s="114"/>
      <c r="H31" s="114"/>
      <c r="I31" s="1675"/>
      <c r="J31" s="1675"/>
      <c r="K31" s="76"/>
    </row>
    <row r="32" spans="1:11">
      <c r="A32" s="944" t="s">
        <v>871</v>
      </c>
      <c r="B32" s="109" t="s">
        <v>872</v>
      </c>
      <c r="C32" s="108">
        <v>5</v>
      </c>
      <c r="D32" s="108" t="s">
        <v>851</v>
      </c>
      <c r="E32" s="112">
        <v>75</v>
      </c>
      <c r="F32" s="946">
        <v>518</v>
      </c>
      <c r="G32" s="78"/>
      <c r="H32" s="78"/>
      <c r="I32" s="1675"/>
      <c r="J32" s="1675"/>
      <c r="K32" s="76"/>
    </row>
    <row r="33" spans="1:16">
      <c r="A33" s="944"/>
      <c r="B33" s="109" t="s">
        <v>873</v>
      </c>
      <c r="C33" s="108">
        <v>2</v>
      </c>
      <c r="D33" s="108" t="s">
        <v>854</v>
      </c>
      <c r="E33" s="112">
        <v>8966</v>
      </c>
      <c r="F33" s="946">
        <v>28</v>
      </c>
      <c r="G33" s="78"/>
      <c r="H33" s="78"/>
      <c r="I33" s="1675"/>
      <c r="J33" s="1675"/>
      <c r="K33" s="76"/>
      <c r="L33" s="1675"/>
      <c r="M33" s="1675"/>
      <c r="N33" s="1675"/>
      <c r="O33" s="1675"/>
      <c r="P33" s="1675"/>
    </row>
    <row r="34" spans="1:16">
      <c r="A34" s="944" t="s">
        <v>874</v>
      </c>
      <c r="B34" s="109" t="s">
        <v>875</v>
      </c>
      <c r="C34" s="108">
        <v>4</v>
      </c>
      <c r="D34" s="108" t="s">
        <v>851</v>
      </c>
      <c r="E34" s="112">
        <v>88</v>
      </c>
      <c r="F34" s="946">
        <v>50</v>
      </c>
      <c r="G34" s="78"/>
      <c r="H34" s="78"/>
      <c r="I34" s="1675"/>
      <c r="J34" s="1675"/>
      <c r="K34" s="76"/>
      <c r="L34" s="1675"/>
      <c r="M34" s="1675"/>
      <c r="N34" s="1675"/>
      <c r="O34" s="1675"/>
      <c r="P34" s="1675"/>
    </row>
    <row r="35" spans="1:16">
      <c r="A35" s="944"/>
      <c r="B35" s="109" t="s">
        <v>876</v>
      </c>
      <c r="C35" s="108">
        <v>2</v>
      </c>
      <c r="D35" s="108" t="s">
        <v>854</v>
      </c>
      <c r="E35" s="112">
        <v>2021</v>
      </c>
      <c r="F35" s="946">
        <v>7</v>
      </c>
      <c r="G35" s="78"/>
      <c r="H35" s="78"/>
      <c r="I35" s="1675"/>
      <c r="J35" s="1675"/>
      <c r="K35" s="76"/>
      <c r="L35" s="1675"/>
      <c r="M35" s="1675"/>
      <c r="N35" s="1675"/>
      <c r="O35" s="1675"/>
      <c r="P35" s="1675"/>
    </row>
    <row r="36" spans="1:16" ht="25.5">
      <c r="A36" s="944"/>
      <c r="B36" s="109" t="s">
        <v>877</v>
      </c>
      <c r="C36" s="108">
        <v>2</v>
      </c>
      <c r="D36" s="108" t="s">
        <v>812</v>
      </c>
      <c r="E36" s="112">
        <v>2430</v>
      </c>
      <c r="F36" s="946">
        <v>118</v>
      </c>
      <c r="G36" s="78"/>
      <c r="H36" s="78"/>
      <c r="I36" s="1675"/>
      <c r="J36" s="1675"/>
      <c r="K36" s="76"/>
      <c r="L36" s="1675"/>
      <c r="M36" s="1675"/>
      <c r="N36" s="1675"/>
      <c r="O36" s="1675"/>
      <c r="P36" s="1675"/>
    </row>
    <row r="37" spans="1:16">
      <c r="A37" s="944" t="s">
        <v>878</v>
      </c>
      <c r="B37" s="109" t="s">
        <v>879</v>
      </c>
      <c r="C37" s="108">
        <v>3</v>
      </c>
      <c r="D37" s="108" t="s">
        <v>851</v>
      </c>
      <c r="E37" s="112">
        <v>7</v>
      </c>
      <c r="F37" s="946">
        <v>40</v>
      </c>
      <c r="G37" s="78"/>
      <c r="H37" s="78"/>
      <c r="I37" s="1675"/>
      <c r="J37" s="1675"/>
      <c r="K37" s="76"/>
      <c r="L37" s="1675"/>
      <c r="M37" s="1675"/>
      <c r="N37" s="1675"/>
      <c r="O37" s="1675"/>
      <c r="P37" s="1675"/>
    </row>
    <row r="38" spans="1:16">
      <c r="A38" s="944"/>
      <c r="B38" s="109" t="s">
        <v>880</v>
      </c>
      <c r="C38" s="108">
        <v>2</v>
      </c>
      <c r="D38" s="108" t="s">
        <v>854</v>
      </c>
      <c r="E38" s="112">
        <v>6111</v>
      </c>
      <c r="F38" s="946">
        <v>14</v>
      </c>
      <c r="G38" s="78"/>
      <c r="H38" s="78"/>
      <c r="I38" s="1675"/>
      <c r="J38" s="1675"/>
      <c r="K38" s="76"/>
      <c r="L38" s="1675"/>
      <c r="M38" s="1675"/>
      <c r="N38" s="1675"/>
      <c r="O38" s="1675"/>
      <c r="P38" s="1675"/>
    </row>
    <row r="39" spans="1:16" ht="12.75" customHeight="1">
      <c r="A39" s="944" t="s">
        <v>881</v>
      </c>
      <c r="B39" s="109" t="s">
        <v>882</v>
      </c>
      <c r="C39" s="108">
        <v>3</v>
      </c>
      <c r="D39" s="108" t="s">
        <v>851</v>
      </c>
      <c r="E39" s="112">
        <v>0</v>
      </c>
      <c r="F39" s="946">
        <v>15</v>
      </c>
      <c r="G39" s="78"/>
      <c r="H39" s="78"/>
      <c r="I39" s="1675"/>
      <c r="J39" s="1675"/>
      <c r="K39" s="456"/>
      <c r="L39" s="1675"/>
      <c r="M39" s="1675"/>
      <c r="N39" s="1675"/>
      <c r="O39" s="1675"/>
      <c r="P39" s="1675"/>
    </row>
    <row r="40" spans="1:16" ht="12.75" customHeight="1">
      <c r="A40" s="944"/>
      <c r="B40" s="109" t="s">
        <v>883</v>
      </c>
      <c r="C40" s="108">
        <v>2</v>
      </c>
      <c r="D40" s="108" t="s">
        <v>854</v>
      </c>
      <c r="E40" s="112" t="s">
        <v>884</v>
      </c>
      <c r="F40" s="946">
        <v>30</v>
      </c>
      <c r="G40" s="78"/>
      <c r="H40" s="78"/>
      <c r="I40" s="1675"/>
      <c r="J40" s="1675"/>
      <c r="K40" s="456"/>
      <c r="L40" s="1675"/>
      <c r="M40" s="1675"/>
      <c r="N40" s="1675"/>
      <c r="O40" s="1675"/>
      <c r="P40" s="111"/>
    </row>
    <row r="41" spans="1:16" ht="12.75" customHeight="1">
      <c r="A41" s="944"/>
      <c r="B41" s="109" t="s">
        <v>885</v>
      </c>
      <c r="C41" s="108">
        <v>2</v>
      </c>
      <c r="D41" s="108" t="s">
        <v>812</v>
      </c>
      <c r="E41" s="112" t="s">
        <v>886</v>
      </c>
      <c r="F41" s="946">
        <v>244</v>
      </c>
      <c r="G41" s="78"/>
      <c r="H41" s="78"/>
      <c r="I41" s="1675"/>
      <c r="J41" s="1675"/>
      <c r="K41" s="456"/>
      <c r="L41" s="111"/>
      <c r="M41" s="1675"/>
      <c r="N41" s="1675"/>
      <c r="O41" s="1675"/>
      <c r="P41" s="1675"/>
    </row>
    <row r="42" spans="1:16" ht="12.75" customHeight="1">
      <c r="A42" s="944" t="s">
        <v>887</v>
      </c>
      <c r="B42" s="109" t="s">
        <v>888</v>
      </c>
      <c r="C42" s="108">
        <v>2</v>
      </c>
      <c r="D42" s="108" t="s">
        <v>854</v>
      </c>
      <c r="E42" s="112" t="s">
        <v>889</v>
      </c>
      <c r="F42" s="946" t="s">
        <v>97</v>
      </c>
      <c r="G42" s="78"/>
      <c r="H42" s="78"/>
      <c r="I42" s="1675"/>
      <c r="J42" s="1675"/>
      <c r="K42" s="456"/>
      <c r="L42" s="1675"/>
      <c r="M42" s="1675"/>
      <c r="N42" s="111"/>
      <c r="O42" s="1675"/>
      <c r="P42" s="1675"/>
    </row>
    <row r="43" spans="1:16" ht="12.75" customHeight="1">
      <c r="A43" s="944"/>
      <c r="B43" s="109" t="s">
        <v>890</v>
      </c>
      <c r="C43" s="108">
        <v>3</v>
      </c>
      <c r="D43" s="108" t="s">
        <v>812</v>
      </c>
      <c r="E43" s="112" t="s">
        <v>891</v>
      </c>
      <c r="F43" s="946" t="s">
        <v>97</v>
      </c>
      <c r="G43" s="78"/>
      <c r="H43" s="78"/>
      <c r="I43" s="1675"/>
      <c r="J43" s="1675"/>
      <c r="K43" s="456"/>
      <c r="L43" s="1675"/>
      <c r="M43" s="1675"/>
      <c r="N43" s="1675"/>
      <c r="O43" s="1675"/>
      <c r="P43" s="1675"/>
    </row>
    <row r="44" spans="1:16" ht="25.5">
      <c r="A44" s="944" t="s">
        <v>892</v>
      </c>
      <c r="B44" s="109"/>
      <c r="C44" s="108">
        <f>ROUND(AVERAGE(SUM(C32:C33),SUM(C34:C36),SUM(C37:C38),SUM(C39:C41),SUM(C42:C43)),0)</f>
        <v>6</v>
      </c>
      <c r="D44" s="108"/>
      <c r="E44" s="112">
        <v>3940</v>
      </c>
      <c r="F44" s="948">
        <v>213</v>
      </c>
      <c r="G44" s="237"/>
      <c r="H44" s="237"/>
      <c r="I44" s="1675"/>
      <c r="J44" s="1675"/>
      <c r="K44" s="419"/>
      <c r="L44" s="1675"/>
      <c r="M44" s="1675"/>
      <c r="N44" s="1675"/>
      <c r="O44" s="1675"/>
      <c r="P44" s="1675"/>
    </row>
    <row r="45" spans="1:16" ht="12.75" customHeight="1">
      <c r="A45" s="944" t="s">
        <v>893</v>
      </c>
      <c r="B45" s="109" t="s">
        <v>894</v>
      </c>
      <c r="C45" s="108">
        <v>5</v>
      </c>
      <c r="D45" s="108" t="s">
        <v>854</v>
      </c>
      <c r="E45" s="112" t="s">
        <v>895</v>
      </c>
      <c r="F45" s="946" t="s">
        <v>97</v>
      </c>
      <c r="G45" s="78"/>
      <c r="H45" s="78"/>
      <c r="I45" s="1675"/>
      <c r="J45" s="1675"/>
      <c r="K45" s="113"/>
      <c r="L45" s="1675"/>
      <c r="M45" s="1675"/>
      <c r="N45" s="1675"/>
      <c r="O45" s="1675"/>
      <c r="P45" s="1675"/>
    </row>
    <row r="46" spans="1:16" ht="12.75" customHeight="1">
      <c r="A46" s="944"/>
      <c r="B46" s="109" t="s">
        <v>896</v>
      </c>
      <c r="C46" s="108">
        <v>3</v>
      </c>
      <c r="D46" s="108" t="s">
        <v>812</v>
      </c>
      <c r="E46" s="112" t="s">
        <v>897</v>
      </c>
      <c r="F46" s="946" t="s">
        <v>97</v>
      </c>
      <c r="G46" s="78"/>
      <c r="H46" s="78"/>
      <c r="I46" s="1675"/>
      <c r="J46" s="1675"/>
      <c r="K46" s="419"/>
      <c r="L46" s="1675"/>
      <c r="M46" s="1675"/>
      <c r="N46" s="1675"/>
      <c r="O46" s="1675"/>
      <c r="P46" s="1675"/>
    </row>
    <row r="47" spans="1:16">
      <c r="A47" s="949" t="s">
        <v>898</v>
      </c>
      <c r="B47" s="1351" t="s">
        <v>899</v>
      </c>
      <c r="C47" s="1664">
        <v>3</v>
      </c>
      <c r="D47" s="1664" t="s">
        <v>854</v>
      </c>
      <c r="E47" s="112" t="s">
        <v>900</v>
      </c>
      <c r="F47" s="946" t="s">
        <v>97</v>
      </c>
      <c r="G47" s="78"/>
      <c r="H47" s="78"/>
      <c r="I47" s="1675"/>
      <c r="J47" s="111"/>
      <c r="K47" s="419"/>
      <c r="L47" s="1675"/>
      <c r="M47" s="1675"/>
      <c r="N47" s="1675"/>
      <c r="O47" s="1675"/>
      <c r="P47" s="1675"/>
    </row>
    <row r="48" spans="1:16">
      <c r="A48" s="950"/>
      <c r="B48" s="1352" t="s">
        <v>901</v>
      </c>
      <c r="C48" s="1664">
        <v>3</v>
      </c>
      <c r="D48" s="1664" t="s">
        <v>812</v>
      </c>
      <c r="E48" s="112" t="s">
        <v>902</v>
      </c>
      <c r="F48" s="946" t="s">
        <v>97</v>
      </c>
      <c r="G48" s="78"/>
      <c r="H48" s="78"/>
      <c r="I48" s="1675"/>
      <c r="J48" s="246"/>
      <c r="K48" s="1675"/>
      <c r="L48" s="1675"/>
      <c r="M48" s="1675"/>
      <c r="N48" s="1675"/>
      <c r="O48" s="1675"/>
      <c r="P48" s="1675"/>
    </row>
    <row r="49" spans="1:9">
      <c r="A49" s="949" t="s">
        <v>903</v>
      </c>
      <c r="B49" s="1352" t="s">
        <v>904</v>
      </c>
      <c r="C49" s="1664">
        <v>0</v>
      </c>
      <c r="D49" s="108" t="s">
        <v>97</v>
      </c>
      <c r="E49" s="78" t="s">
        <v>97</v>
      </c>
      <c r="F49" s="946" t="s">
        <v>97</v>
      </c>
      <c r="G49" s="78"/>
      <c r="H49" s="78"/>
      <c r="I49" s="246"/>
    </row>
    <row r="50" spans="1:9">
      <c r="A50" s="949" t="s">
        <v>905</v>
      </c>
      <c r="B50" s="1352" t="s">
        <v>904</v>
      </c>
      <c r="C50" s="1664">
        <v>0</v>
      </c>
      <c r="D50" s="108" t="s">
        <v>97</v>
      </c>
      <c r="E50" s="78" t="s">
        <v>97</v>
      </c>
      <c r="F50" s="946" t="s">
        <v>97</v>
      </c>
      <c r="G50" s="78"/>
      <c r="H50" s="78"/>
      <c r="I50" s="1675"/>
    </row>
    <row r="51" spans="1:9">
      <c r="A51" s="949" t="s">
        <v>906</v>
      </c>
      <c r="B51" s="1352" t="s">
        <v>904</v>
      </c>
      <c r="C51" s="1664">
        <v>0</v>
      </c>
      <c r="D51" s="108" t="s">
        <v>97</v>
      </c>
      <c r="E51" s="78" t="s">
        <v>97</v>
      </c>
      <c r="F51" s="946" t="s">
        <v>97</v>
      </c>
      <c r="G51" s="78"/>
      <c r="H51" s="78"/>
      <c r="I51" s="1675"/>
    </row>
    <row r="52" spans="1:9" s="434" customFormat="1" ht="26.25" customHeight="1">
      <c r="A52" s="1097" t="s">
        <v>907</v>
      </c>
      <c r="B52" s="1353"/>
      <c r="C52" s="1625">
        <v>3</v>
      </c>
      <c r="D52" s="1625"/>
      <c r="E52" s="112">
        <v>2169</v>
      </c>
      <c r="F52" s="948" t="s">
        <v>97</v>
      </c>
      <c r="G52" s="76"/>
      <c r="H52" s="76"/>
      <c r="I52" s="495"/>
    </row>
    <row r="53" spans="1:9" s="434" customFormat="1" ht="12.75" customHeight="1">
      <c r="A53" s="951" t="s">
        <v>908</v>
      </c>
      <c r="B53" s="1352" t="s">
        <v>904</v>
      </c>
      <c r="C53" s="494">
        <v>0</v>
      </c>
      <c r="D53" s="108" t="s">
        <v>97</v>
      </c>
      <c r="E53" s="112" t="s">
        <v>97</v>
      </c>
      <c r="F53" s="946" t="s">
        <v>97</v>
      </c>
      <c r="G53" s="76"/>
      <c r="H53" s="76"/>
      <c r="I53" s="495"/>
    </row>
    <row r="54" spans="1:9" s="434" customFormat="1" ht="12.75" customHeight="1">
      <c r="A54" s="951" t="s">
        <v>909</v>
      </c>
      <c r="B54" s="1352" t="s">
        <v>904</v>
      </c>
      <c r="C54" s="494">
        <v>0</v>
      </c>
      <c r="D54" s="108" t="s">
        <v>97</v>
      </c>
      <c r="E54" s="112" t="s">
        <v>97</v>
      </c>
      <c r="F54" s="946" t="s">
        <v>97</v>
      </c>
      <c r="G54" s="76"/>
      <c r="H54" s="76"/>
      <c r="I54" s="495"/>
    </row>
    <row r="55" spans="1:9" s="434" customFormat="1" ht="12.75" customHeight="1">
      <c r="A55" s="951" t="s">
        <v>910</v>
      </c>
      <c r="B55" s="1352" t="s">
        <v>911</v>
      </c>
      <c r="C55" s="494">
        <v>1</v>
      </c>
      <c r="D55" s="108" t="s">
        <v>854</v>
      </c>
      <c r="E55" s="112">
        <v>28</v>
      </c>
      <c r="F55" s="946">
        <v>0</v>
      </c>
      <c r="G55" s="76"/>
      <c r="H55" s="76"/>
      <c r="I55" s="495"/>
    </row>
    <row r="56" spans="1:9" s="434" customFormat="1" ht="12.75" customHeight="1">
      <c r="A56" s="951" t="s">
        <v>912</v>
      </c>
      <c r="B56" s="1352" t="s">
        <v>904</v>
      </c>
      <c r="C56" s="494">
        <v>0</v>
      </c>
      <c r="D56" s="108" t="s">
        <v>97</v>
      </c>
      <c r="E56" s="112" t="s">
        <v>97</v>
      </c>
      <c r="F56" s="946" t="s">
        <v>97</v>
      </c>
      <c r="G56" s="76"/>
      <c r="H56" s="76"/>
      <c r="I56" s="495"/>
    </row>
    <row r="57" spans="1:9" s="434" customFormat="1" ht="12.75" customHeight="1">
      <c r="A57" s="951" t="s">
        <v>913</v>
      </c>
      <c r="B57" s="1352" t="s">
        <v>914</v>
      </c>
      <c r="C57" s="494">
        <v>1</v>
      </c>
      <c r="D57" s="108" t="s">
        <v>854</v>
      </c>
      <c r="E57" s="112">
        <v>51</v>
      </c>
      <c r="F57" s="946" t="s">
        <v>97</v>
      </c>
      <c r="G57" s="76"/>
      <c r="H57" s="76"/>
      <c r="I57" s="495"/>
    </row>
    <row r="58" spans="1:9" s="434" customFormat="1" ht="25.5" customHeight="1">
      <c r="A58" s="1097" t="s">
        <v>915</v>
      </c>
      <c r="B58" s="1353"/>
      <c r="C58" s="1625" t="s">
        <v>916</v>
      </c>
      <c r="D58" s="1625"/>
      <c r="E58" s="112">
        <v>16</v>
      </c>
      <c r="F58" s="948">
        <v>0</v>
      </c>
      <c r="G58" s="76"/>
      <c r="H58" s="76"/>
      <c r="I58" s="495"/>
    </row>
    <row r="59" spans="1:9" s="434" customFormat="1" ht="12.6" customHeight="1">
      <c r="A59" s="951" t="s">
        <v>917</v>
      </c>
      <c r="B59" s="1352" t="s">
        <v>904</v>
      </c>
      <c r="C59" s="494">
        <v>0</v>
      </c>
      <c r="D59" s="108" t="s">
        <v>97</v>
      </c>
      <c r="E59" s="112" t="s">
        <v>97</v>
      </c>
      <c r="F59" s="946" t="s">
        <v>97</v>
      </c>
      <c r="G59" s="76"/>
      <c r="H59" s="76"/>
      <c r="I59" s="495"/>
    </row>
    <row r="60" spans="1:9" ht="3.75" customHeight="1">
      <c r="A60" s="952"/>
      <c r="B60" s="953"/>
      <c r="C60" s="1667"/>
      <c r="D60" s="1667"/>
      <c r="E60" s="954"/>
      <c r="F60" s="955"/>
      <c r="G60" s="78"/>
      <c r="H60" s="78"/>
      <c r="I60" s="116"/>
    </row>
    <row r="61" spans="1:9" ht="17.25" customHeight="1">
      <c r="A61" s="1281" t="s">
        <v>918</v>
      </c>
      <c r="B61" s="441"/>
      <c r="C61" s="444"/>
      <c r="D61" s="441"/>
      <c r="E61" s="441"/>
      <c r="F61" s="441"/>
      <c r="G61" s="1675"/>
      <c r="H61" s="1675"/>
      <c r="I61" s="1675"/>
    </row>
    <row r="62" spans="1:9" ht="17.25" customHeight="1">
      <c r="A62" s="1281" t="s">
        <v>919</v>
      </c>
      <c r="B62" s="441"/>
      <c r="C62" s="444"/>
      <c r="D62" s="441"/>
      <c r="E62" s="441"/>
      <c r="F62" s="441"/>
      <c r="G62" s="1675"/>
      <c r="H62" s="1675"/>
      <c r="I62" s="1675"/>
    </row>
    <row r="63" spans="1:9" ht="27.6" customHeight="1">
      <c r="A63" s="1885" t="s">
        <v>920</v>
      </c>
      <c r="B63" s="1885"/>
      <c r="C63" s="1885"/>
      <c r="D63" s="1885"/>
      <c r="E63" s="1885"/>
      <c r="F63" s="1885"/>
      <c r="G63" s="1675"/>
      <c r="H63" s="1675"/>
      <c r="I63" s="1675"/>
    </row>
    <row r="64" spans="1:9" ht="15.75">
      <c r="A64" s="116"/>
      <c r="B64" s="1675"/>
      <c r="C64" s="1675"/>
      <c r="D64" s="113"/>
      <c r="E64" s="1675"/>
      <c r="F64" s="1675"/>
      <c r="G64" s="1675"/>
      <c r="H64" s="1675"/>
      <c r="I64" s="1675"/>
    </row>
    <row r="65" spans="1:5" ht="15.75">
      <c r="A65" s="116"/>
      <c r="B65" s="1675"/>
      <c r="C65" s="1675"/>
      <c r="D65" s="113"/>
      <c r="E65" s="1675"/>
    </row>
    <row r="66" spans="1:5" ht="15.75">
      <c r="A66" s="116"/>
      <c r="B66" s="1675"/>
      <c r="C66" s="1675"/>
      <c r="D66" s="113"/>
      <c r="E66" s="1675"/>
    </row>
    <row r="67" spans="1:5" ht="15.75">
      <c r="A67" s="116"/>
      <c r="B67" s="1675"/>
      <c r="C67" s="1675"/>
      <c r="D67" s="113"/>
      <c r="E67" s="1675"/>
    </row>
    <row r="68" spans="1:5" ht="15.75">
      <c r="A68" s="116"/>
      <c r="B68" s="1675"/>
      <c r="C68" s="1675"/>
      <c r="D68" s="113"/>
      <c r="E68" s="1675"/>
    </row>
    <row r="69" spans="1:5" ht="15.75">
      <c r="A69" s="116" t="s">
        <v>87</v>
      </c>
      <c r="B69" s="1675"/>
      <c r="C69" s="1675"/>
      <c r="D69" s="1675"/>
    </row>
    <row r="70" spans="1:5">
      <c r="A70" s="490" t="s">
        <v>921</v>
      </c>
      <c r="B70" s="1675"/>
      <c r="C70" s="1675"/>
      <c r="D70" s="1675"/>
    </row>
    <row r="71" spans="1:5" ht="14.25">
      <c r="A71" s="385" t="s">
        <v>922</v>
      </c>
      <c r="B71" s="1675"/>
      <c r="C71" s="1675"/>
      <c r="D71" s="1675"/>
    </row>
  </sheetData>
  <mergeCells count="7">
    <mergeCell ref="A63:F63"/>
    <mergeCell ref="A1:F1"/>
    <mergeCell ref="A2:A3"/>
    <mergeCell ref="B2:B3"/>
    <mergeCell ref="C2:C3"/>
    <mergeCell ref="D2:D3"/>
    <mergeCell ref="E2:F2"/>
  </mergeCells>
  <phoneticPr fontId="143" type="noConversion"/>
  <pageMargins left="0.7" right="0.7" top="0.75" bottom="0.75" header="0.3" footer="0.3"/>
  <pageSetup fitToHeight="0" orientation="portrait" r:id="rId1"/>
  <ignoredErrors>
    <ignoredError sqref="E4 E6 E8 E10 E14 E40:E43 E45:E48 A17 A20 A23 A27 A29 A32 A34 A37 A39 A42 A45 A47 A49:A51 A53:A57 A59"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66FF33"/>
  </sheetPr>
  <dimension ref="A1:I27"/>
  <sheetViews>
    <sheetView showGridLines="0" topLeftCell="A7" zoomScale="145" zoomScaleNormal="145" workbookViewId="0">
      <selection activeCell="D23" sqref="D23"/>
    </sheetView>
  </sheetViews>
  <sheetFormatPr defaultColWidth="9.1640625" defaultRowHeight="12.75"/>
  <cols>
    <col min="1" max="1" width="15.6640625" style="491" customWidth="1"/>
    <col min="2" max="2" width="19.6640625" style="491" customWidth="1"/>
    <col min="3" max="3" width="12.33203125" style="491" customWidth="1"/>
    <col min="4" max="7" width="16.1640625" style="491" customWidth="1"/>
    <col min="8" max="8" width="2.1640625" style="491" customWidth="1"/>
    <col min="9" max="16384" width="9.1640625" style="491"/>
  </cols>
  <sheetData>
    <row r="1" spans="1:9" ht="15.75">
      <c r="A1" s="116" t="s">
        <v>141</v>
      </c>
      <c r="B1" s="1675"/>
      <c r="C1" s="1675"/>
      <c r="D1" s="1675"/>
      <c r="E1" s="113"/>
      <c r="F1" s="113"/>
      <c r="G1" s="1675"/>
    </row>
    <row r="2" spans="1:9" ht="15.75">
      <c r="A2" s="116" t="s">
        <v>923</v>
      </c>
      <c r="B2" s="1675"/>
      <c r="C2" s="1675"/>
      <c r="D2" s="1675"/>
      <c r="E2" s="113"/>
      <c r="F2" s="113"/>
      <c r="G2" s="1675"/>
    </row>
    <row r="3" spans="1:9" ht="14.25" customHeight="1" thickBot="1">
      <c r="A3" s="1887" t="s">
        <v>28</v>
      </c>
      <c r="B3" s="1883" t="s">
        <v>924</v>
      </c>
      <c r="C3" s="1883" t="s">
        <v>806</v>
      </c>
      <c r="D3" s="1883" t="s">
        <v>925</v>
      </c>
      <c r="E3" s="1893" t="s">
        <v>926</v>
      </c>
      <c r="F3" s="1893"/>
      <c r="G3" s="1894"/>
    </row>
    <row r="4" spans="1:9" ht="30" customHeight="1">
      <c r="A4" s="1892"/>
      <c r="B4" s="1884"/>
      <c r="C4" s="1884"/>
      <c r="D4" s="1884"/>
      <c r="E4" s="959" t="s">
        <v>809</v>
      </c>
      <c r="F4" s="959" t="s">
        <v>927</v>
      </c>
      <c r="G4" s="960" t="s">
        <v>928</v>
      </c>
    </row>
    <row r="5" spans="1:9" ht="16.5" customHeight="1">
      <c r="A5" s="944" t="s">
        <v>929</v>
      </c>
      <c r="B5" s="1352" t="s">
        <v>930</v>
      </c>
      <c r="C5" s="108">
        <v>0</v>
      </c>
      <c r="D5" s="108" t="s">
        <v>97</v>
      </c>
      <c r="E5" s="78" t="s">
        <v>97</v>
      </c>
      <c r="F5" s="78" t="s">
        <v>97</v>
      </c>
      <c r="G5" s="946" t="s">
        <v>97</v>
      </c>
    </row>
    <row r="6" spans="1:9" ht="16.5" customHeight="1">
      <c r="A6" s="944" t="s">
        <v>849</v>
      </c>
      <c r="B6" s="109" t="s">
        <v>931</v>
      </c>
      <c r="C6" s="108">
        <v>6</v>
      </c>
      <c r="D6" s="108" t="s">
        <v>812</v>
      </c>
      <c r="E6" s="112">
        <v>2787</v>
      </c>
      <c r="F6" s="78" t="s">
        <v>97</v>
      </c>
      <c r="G6" s="945">
        <v>1369</v>
      </c>
      <c r="I6" s="496"/>
    </row>
    <row r="7" spans="1:9" ht="16.5" customHeight="1">
      <c r="A7" s="944" t="s">
        <v>855</v>
      </c>
      <c r="B7" s="109" t="s">
        <v>932</v>
      </c>
      <c r="C7" s="108">
        <v>13</v>
      </c>
      <c r="D7" s="108" t="s">
        <v>812</v>
      </c>
      <c r="E7" s="112">
        <v>4819</v>
      </c>
      <c r="F7" s="78" t="s">
        <v>97</v>
      </c>
      <c r="G7" s="946">
        <v>544</v>
      </c>
      <c r="I7" s="519"/>
    </row>
    <row r="8" spans="1:9" ht="16.5" customHeight="1">
      <c r="A8" s="944" t="s">
        <v>859</v>
      </c>
      <c r="B8" s="109" t="s">
        <v>933</v>
      </c>
      <c r="C8" s="108">
        <v>2</v>
      </c>
      <c r="D8" s="108" t="s">
        <v>812</v>
      </c>
      <c r="E8" s="112">
        <v>1122</v>
      </c>
      <c r="F8" s="78" t="s">
        <v>97</v>
      </c>
      <c r="G8" s="945">
        <v>414</v>
      </c>
    </row>
    <row r="9" spans="1:9" ht="16.5" customHeight="1">
      <c r="A9" s="944" t="s">
        <v>864</v>
      </c>
      <c r="B9" s="109" t="s">
        <v>934</v>
      </c>
      <c r="C9" s="108">
        <v>3</v>
      </c>
      <c r="D9" s="108" t="s">
        <v>812</v>
      </c>
      <c r="E9" s="112">
        <v>1368</v>
      </c>
      <c r="F9" s="1346" t="s">
        <v>935</v>
      </c>
      <c r="G9" s="946">
        <v>523</v>
      </c>
      <c r="I9" s="492"/>
    </row>
    <row r="10" spans="1:9" ht="16.5" customHeight="1">
      <c r="A10" s="944" t="s">
        <v>867</v>
      </c>
      <c r="B10" s="109" t="s">
        <v>936</v>
      </c>
      <c r="C10" s="108">
        <v>3</v>
      </c>
      <c r="D10" s="108" t="s">
        <v>812</v>
      </c>
      <c r="E10" s="112">
        <v>2371</v>
      </c>
      <c r="F10" s="1346" t="s">
        <v>937</v>
      </c>
      <c r="G10" s="945">
        <v>624</v>
      </c>
    </row>
    <row r="11" spans="1:9" ht="16.5" customHeight="1">
      <c r="A11" s="944" t="s">
        <v>871</v>
      </c>
      <c r="B11" s="109" t="s">
        <v>938</v>
      </c>
      <c r="C11" s="108">
        <v>2</v>
      </c>
      <c r="D11" s="108" t="s">
        <v>812</v>
      </c>
      <c r="E11" s="112">
        <v>4720</v>
      </c>
      <c r="F11" s="78" t="s">
        <v>97</v>
      </c>
      <c r="G11" s="946">
        <v>289</v>
      </c>
    </row>
    <row r="12" spans="1:9" ht="16.5" customHeight="1">
      <c r="A12" s="944" t="s">
        <v>874</v>
      </c>
      <c r="B12" s="109" t="s">
        <v>939</v>
      </c>
      <c r="C12" s="108">
        <v>2</v>
      </c>
      <c r="D12" s="108" t="s">
        <v>812</v>
      </c>
      <c r="E12" s="112">
        <v>5010</v>
      </c>
      <c r="F12" s="1346" t="s">
        <v>940</v>
      </c>
      <c r="G12" s="946">
        <v>504</v>
      </c>
    </row>
    <row r="13" spans="1:9" ht="16.5" customHeight="1">
      <c r="A13" s="944" t="s">
        <v>878</v>
      </c>
      <c r="B13" s="109" t="s">
        <v>941</v>
      </c>
      <c r="C13" s="108">
        <v>1</v>
      </c>
      <c r="D13" s="108" t="s">
        <v>812</v>
      </c>
      <c r="E13" s="112">
        <v>1692</v>
      </c>
      <c r="F13" s="1346" t="s">
        <v>942</v>
      </c>
      <c r="G13" s="946">
        <v>281</v>
      </c>
    </row>
    <row r="14" spans="1:9" ht="16.5" customHeight="1">
      <c r="A14" s="944" t="s">
        <v>881</v>
      </c>
      <c r="B14" s="109" t="s">
        <v>943</v>
      </c>
      <c r="C14" s="108">
        <v>2</v>
      </c>
      <c r="D14" s="108" t="s">
        <v>812</v>
      </c>
      <c r="E14" s="112">
        <v>1868</v>
      </c>
      <c r="F14" s="1346" t="s">
        <v>944</v>
      </c>
      <c r="G14" s="946">
        <v>328</v>
      </c>
    </row>
    <row r="15" spans="1:9" ht="16.5" customHeight="1">
      <c r="A15" s="944" t="s">
        <v>887</v>
      </c>
      <c r="B15" s="109" t="s">
        <v>945</v>
      </c>
      <c r="C15" s="108">
        <v>5</v>
      </c>
      <c r="D15" s="108" t="s">
        <v>812</v>
      </c>
      <c r="E15" s="112">
        <v>2743</v>
      </c>
      <c r="F15" s="1346" t="s">
        <v>946</v>
      </c>
      <c r="G15" s="946" t="s">
        <v>97</v>
      </c>
    </row>
    <row r="16" spans="1:9" ht="16.350000000000001" customHeight="1">
      <c r="A16" s="944" t="s">
        <v>893</v>
      </c>
      <c r="B16" s="109" t="s">
        <v>947</v>
      </c>
      <c r="C16" s="108">
        <v>3</v>
      </c>
      <c r="D16" s="108" t="s">
        <v>812</v>
      </c>
      <c r="E16" s="112">
        <v>3944</v>
      </c>
      <c r="F16" s="1346" t="s">
        <v>948</v>
      </c>
      <c r="G16" s="946" t="s">
        <v>97</v>
      </c>
    </row>
    <row r="17" spans="1:7" ht="16.5" customHeight="1">
      <c r="A17" s="949" t="s">
        <v>898</v>
      </c>
      <c r="B17" s="109" t="s">
        <v>949</v>
      </c>
      <c r="C17" s="1664">
        <v>2</v>
      </c>
      <c r="D17" s="108" t="s">
        <v>812</v>
      </c>
      <c r="E17" s="1336">
        <v>2990</v>
      </c>
      <c r="F17" s="1354" t="s">
        <v>950</v>
      </c>
      <c r="G17" s="946" t="s">
        <v>97</v>
      </c>
    </row>
    <row r="18" spans="1:7" ht="16.5" customHeight="1">
      <c r="A18" s="952" t="s">
        <v>951</v>
      </c>
      <c r="B18" s="956" t="s">
        <v>930</v>
      </c>
      <c r="C18" s="1667">
        <v>0</v>
      </c>
      <c r="D18" s="957" t="s">
        <v>97</v>
      </c>
      <c r="E18" s="958" t="s">
        <v>97</v>
      </c>
      <c r="F18" s="958" t="s">
        <v>97</v>
      </c>
      <c r="G18" s="955" t="s">
        <v>97</v>
      </c>
    </row>
    <row r="19" spans="1:7" ht="16.5" customHeight="1">
      <c r="A19" s="1281" t="s">
        <v>952</v>
      </c>
      <c r="B19" s="441"/>
      <c r="C19" s="444"/>
      <c r="D19" s="441"/>
      <c r="E19" s="441"/>
      <c r="F19" s="441"/>
      <c r="G19" s="441"/>
    </row>
    <row r="20" spans="1:7" ht="26.45" customHeight="1">
      <c r="A20" s="1885" t="s">
        <v>953</v>
      </c>
      <c r="B20" s="1885"/>
      <c r="C20" s="1885"/>
      <c r="D20" s="1885"/>
      <c r="E20" s="1885"/>
      <c r="F20" s="1885"/>
      <c r="G20" s="1885"/>
    </row>
    <row r="21" spans="1:7" ht="15.75">
      <c r="A21" s="116"/>
      <c r="B21" s="1675"/>
      <c r="C21" s="1675"/>
      <c r="D21" s="113"/>
      <c r="E21" s="1675"/>
      <c r="F21" s="1675"/>
      <c r="G21" s="1675"/>
    </row>
    <row r="22" spans="1:7" ht="15.75">
      <c r="A22" s="116" t="s">
        <v>87</v>
      </c>
      <c r="B22" s="1675"/>
      <c r="C22" s="1675"/>
      <c r="D22" s="1675"/>
      <c r="E22" s="113"/>
      <c r="F22" s="113"/>
      <c r="G22" s="1675"/>
    </row>
    <row r="23" spans="1:7">
      <c r="A23" s="490" t="s">
        <v>954</v>
      </c>
    </row>
    <row r="24" spans="1:7">
      <c r="A24" s="492"/>
    </row>
    <row r="25" spans="1:7">
      <c r="A25" s="492"/>
    </row>
    <row r="26" spans="1:7">
      <c r="A26" s="492"/>
    </row>
    <row r="27" spans="1:7">
      <c r="A27" s="492"/>
    </row>
  </sheetData>
  <mergeCells count="6">
    <mergeCell ref="A20:G20"/>
    <mergeCell ref="A3:A4"/>
    <mergeCell ref="B3:B4"/>
    <mergeCell ref="C3:C4"/>
    <mergeCell ref="D3:D4"/>
    <mergeCell ref="E3:G3"/>
  </mergeCells>
  <pageMargins left="0.7" right="0.7" top="0.75" bottom="0.75" header="0.3" footer="0.3"/>
  <pageSetup orientation="portrait" r:id="rId1"/>
  <ignoredErrors>
    <ignoredError sqref="F9:F10 F12:F17 A6:A17"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2:X88"/>
  <sheetViews>
    <sheetView showGridLines="0" zoomScale="70" zoomScaleNormal="70" workbookViewId="0">
      <selection activeCell="N41" sqref="N41"/>
    </sheetView>
  </sheetViews>
  <sheetFormatPr defaultRowHeight="12.75"/>
  <cols>
    <col min="1" max="1" width="11.6640625" customWidth="1"/>
    <col min="2" max="2" width="12.33203125" customWidth="1"/>
    <col min="3" max="3" width="6.33203125" customWidth="1"/>
    <col min="4" max="4" width="9.33203125" customWidth="1"/>
    <col min="5" max="5" width="5.33203125" customWidth="1"/>
    <col min="6" max="6" width="6.33203125" customWidth="1"/>
    <col min="7" max="7" width="5.6640625" customWidth="1"/>
    <col min="8" max="8" width="1.33203125" customWidth="1"/>
    <col min="9" max="9" width="17.33203125" customWidth="1"/>
    <col min="10" max="10" width="11.6640625" customWidth="1"/>
    <col min="11" max="11" width="3" customWidth="1"/>
    <col min="12" max="12" width="6" customWidth="1"/>
    <col min="13" max="18" width="11.6640625" customWidth="1"/>
    <col min="19" max="19" width="1.33203125" customWidth="1"/>
  </cols>
  <sheetData>
    <row r="2" spans="1:22" ht="23.1" customHeight="1" thickBot="1">
      <c r="A2" s="1467" t="s">
        <v>955</v>
      </c>
      <c r="B2" s="117"/>
      <c r="C2" s="117"/>
      <c r="D2" s="117"/>
      <c r="E2" s="117"/>
      <c r="F2" s="1356"/>
      <c r="G2" s="1357"/>
      <c r="H2" s="1357"/>
      <c r="I2" s="1356"/>
      <c r="J2" s="1356"/>
      <c r="K2" s="1356"/>
      <c r="L2" s="1356"/>
      <c r="M2" s="1356"/>
      <c r="N2" s="1356"/>
      <c r="O2" s="1356"/>
      <c r="P2" s="1356"/>
      <c r="Q2" s="1356"/>
      <c r="R2" s="1356"/>
      <c r="S2" s="117"/>
      <c r="T2" s="117"/>
    </row>
    <row r="3" spans="1:22" ht="44.1" customHeight="1" thickTop="1" thickBot="1">
      <c r="A3" s="1468" t="s">
        <v>924</v>
      </c>
      <c r="B3" s="1469"/>
      <c r="C3" s="1470" t="s">
        <v>956</v>
      </c>
      <c r="D3" s="1469"/>
      <c r="E3" s="1471" t="s">
        <v>957</v>
      </c>
      <c r="F3" s="1471" t="s">
        <v>958</v>
      </c>
      <c r="G3" s="1472" t="s">
        <v>959</v>
      </c>
      <c r="H3" s="1472"/>
      <c r="I3" s="1473" t="s">
        <v>960</v>
      </c>
      <c r="J3" s="1471" t="s">
        <v>961</v>
      </c>
      <c r="K3" s="1471"/>
      <c r="L3" s="1473" t="s">
        <v>962</v>
      </c>
      <c r="M3" s="1473" t="s">
        <v>809</v>
      </c>
      <c r="N3" s="1473" t="s">
        <v>963</v>
      </c>
      <c r="O3" s="1473" t="s">
        <v>927</v>
      </c>
      <c r="P3" s="1473" t="s">
        <v>964</v>
      </c>
      <c r="Q3" s="1473" t="s">
        <v>965</v>
      </c>
      <c r="R3" s="1474" t="s">
        <v>966</v>
      </c>
      <c r="S3" s="117"/>
      <c r="T3" s="49"/>
    </row>
    <row r="4" spans="1:22" ht="8.1" customHeight="1">
      <c r="A4" s="1475"/>
      <c r="B4" s="118"/>
      <c r="C4" s="1476"/>
      <c r="D4" s="118"/>
      <c r="E4" s="1476"/>
      <c r="F4" s="1476"/>
      <c r="G4" s="1477"/>
      <c r="H4" s="1477"/>
      <c r="I4" s="1476"/>
      <c r="J4" s="1476"/>
      <c r="K4" s="1476"/>
      <c r="L4" s="1476"/>
      <c r="M4" s="1476"/>
      <c r="N4" s="1476"/>
      <c r="O4" s="1476"/>
      <c r="P4" s="1476"/>
      <c r="Q4" s="1476"/>
      <c r="R4" s="1478"/>
      <c r="S4" s="117"/>
      <c r="T4" s="117"/>
    </row>
    <row r="5" spans="1:22">
      <c r="A5" s="1479"/>
      <c r="B5" s="117"/>
      <c r="C5" s="117"/>
      <c r="D5" s="117"/>
      <c r="E5" s="1355"/>
      <c r="F5" s="1356"/>
      <c r="G5" s="1357"/>
      <c r="H5" s="1357"/>
      <c r="I5" s="1356"/>
      <c r="J5" s="1356"/>
      <c r="K5" s="1358"/>
      <c r="L5" s="1687"/>
      <c r="M5" s="1480" t="s">
        <v>967</v>
      </c>
      <c r="N5" s="1480" t="s">
        <v>968</v>
      </c>
      <c r="O5" s="1687"/>
      <c r="P5" s="1687"/>
      <c r="Q5" s="1687"/>
      <c r="R5" s="1481"/>
      <c r="S5" s="117"/>
      <c r="T5" s="117"/>
      <c r="V5" t="s">
        <v>969</v>
      </c>
    </row>
    <row r="6" spans="1:22" ht="15.75">
      <c r="A6" s="1482" t="s">
        <v>970</v>
      </c>
      <c r="B6" s="1359" t="s">
        <v>971</v>
      </c>
      <c r="C6" s="1359"/>
      <c r="D6" s="1359"/>
      <c r="E6" s="1365" t="s">
        <v>48</v>
      </c>
      <c r="F6" s="1365" t="s">
        <v>48</v>
      </c>
      <c r="G6" s="1365" t="s">
        <v>48</v>
      </c>
      <c r="H6" s="1365"/>
      <c r="I6" s="1365" t="s">
        <v>48</v>
      </c>
      <c r="J6" s="1365" t="s">
        <v>48</v>
      </c>
      <c r="K6" s="1356"/>
      <c r="L6" s="1685" t="s">
        <v>97</v>
      </c>
      <c r="M6" s="1685" t="s">
        <v>97</v>
      </c>
      <c r="N6" s="1685" t="s">
        <v>97</v>
      </c>
      <c r="O6" s="1685" t="s">
        <v>97</v>
      </c>
      <c r="P6" s="1685" t="s">
        <v>97</v>
      </c>
      <c r="Q6" s="1685" t="s">
        <v>97</v>
      </c>
      <c r="R6" s="1483" t="s">
        <v>97</v>
      </c>
      <c r="S6" s="117"/>
      <c r="T6" s="117"/>
      <c r="V6" t="s">
        <v>972</v>
      </c>
    </row>
    <row r="7" spans="1:22" ht="9" customHeight="1" thickBot="1">
      <c r="A7" s="1479"/>
      <c r="B7" s="117"/>
      <c r="C7" s="117"/>
      <c r="D7" s="117"/>
      <c r="E7" s="1355"/>
      <c r="F7" s="1356"/>
      <c r="G7" s="1357"/>
      <c r="H7" s="1357"/>
      <c r="I7" s="1356"/>
      <c r="J7" s="1356"/>
      <c r="K7" s="1356"/>
      <c r="L7" s="493"/>
      <c r="M7" s="493"/>
      <c r="N7" s="493"/>
      <c r="O7" s="493"/>
      <c r="P7" s="493"/>
      <c r="Q7" s="493"/>
      <c r="R7" s="1484"/>
      <c r="S7" s="117"/>
      <c r="T7" s="117"/>
    </row>
    <row r="8" spans="1:22" ht="15.75">
      <c r="A8" s="1479"/>
      <c r="B8" s="117"/>
      <c r="C8" s="117"/>
      <c r="D8" s="117"/>
      <c r="E8" s="1355"/>
      <c r="F8" s="1356"/>
      <c r="G8" s="1357"/>
      <c r="H8" s="1357"/>
      <c r="I8" s="1356"/>
      <c r="J8" s="1356"/>
      <c r="K8" s="1361" t="s">
        <v>973</v>
      </c>
      <c r="L8" s="1362">
        <v>0</v>
      </c>
      <c r="M8" s="1362">
        <f t="shared" ref="M8:N8" si="0">SUM(M6:M6)</f>
        <v>0</v>
      </c>
      <c r="N8" s="1362">
        <f t="shared" si="0"/>
        <v>0</v>
      </c>
      <c r="O8" s="1363">
        <v>0</v>
      </c>
      <c r="P8" s="1363">
        <v>0</v>
      </c>
      <c r="Q8" s="1363">
        <v>0</v>
      </c>
      <c r="R8" s="1485">
        <v>0</v>
      </c>
      <c r="S8" s="117"/>
      <c r="T8" s="117"/>
      <c r="V8" t="s">
        <v>974</v>
      </c>
    </row>
    <row r="9" spans="1:22" ht="8.1" customHeight="1">
      <c r="A9" s="1479"/>
      <c r="B9" s="117"/>
      <c r="C9" s="117"/>
      <c r="D9" s="117"/>
      <c r="E9" s="1355"/>
      <c r="F9" s="1356"/>
      <c r="G9" s="1357"/>
      <c r="H9" s="1357"/>
      <c r="I9" s="1356"/>
      <c r="J9" s="1356"/>
      <c r="K9" s="1358"/>
      <c r="L9" s="1687"/>
      <c r="M9" s="1687"/>
      <c r="N9" s="1687"/>
      <c r="O9" s="1687"/>
      <c r="P9" s="1687"/>
      <c r="Q9" s="1687"/>
      <c r="R9" s="1481"/>
      <c r="S9" s="117"/>
      <c r="T9" s="117"/>
    </row>
    <row r="10" spans="1:22" ht="15.75">
      <c r="A10" s="1479"/>
      <c r="B10" s="117"/>
      <c r="C10" s="117"/>
      <c r="D10" s="117"/>
      <c r="E10" s="1355"/>
      <c r="F10" s="1356"/>
      <c r="G10" s="1357"/>
      <c r="H10" s="1357"/>
      <c r="I10" s="1356"/>
      <c r="J10" s="1356"/>
      <c r="K10" s="1358"/>
      <c r="L10" s="1687"/>
      <c r="M10" s="1364" t="s">
        <v>809</v>
      </c>
      <c r="N10" s="1364" t="s">
        <v>963</v>
      </c>
      <c r="O10" s="1687"/>
      <c r="P10" s="1687"/>
      <c r="Q10" s="1687"/>
      <c r="R10" s="1481"/>
      <c r="S10" s="117"/>
      <c r="T10" s="117"/>
      <c r="V10" t="s">
        <v>975</v>
      </c>
    </row>
    <row r="11" spans="1:22" ht="15.75">
      <c r="A11" s="1486" t="s">
        <v>976</v>
      </c>
      <c r="B11" s="1359" t="s">
        <v>971</v>
      </c>
      <c r="C11" s="117"/>
      <c r="D11" s="117"/>
      <c r="E11" s="1365" t="s">
        <v>48</v>
      </c>
      <c r="F11" s="1365" t="s">
        <v>48</v>
      </c>
      <c r="G11" s="1365" t="s">
        <v>48</v>
      </c>
      <c r="H11" s="1365"/>
      <c r="I11" s="1365" t="s">
        <v>48</v>
      </c>
      <c r="J11" s="1365" t="s">
        <v>48</v>
      </c>
      <c r="K11" s="1356"/>
      <c r="L11" s="1685" t="s">
        <v>97</v>
      </c>
      <c r="M11" s="1685" t="s">
        <v>97</v>
      </c>
      <c r="N11" s="1685" t="s">
        <v>97</v>
      </c>
      <c r="O11" s="1685" t="s">
        <v>97</v>
      </c>
      <c r="P11" s="1685" t="s">
        <v>97</v>
      </c>
      <c r="Q11" s="1685" t="s">
        <v>97</v>
      </c>
      <c r="R11" s="1483" t="s">
        <v>97</v>
      </c>
      <c r="S11" s="117"/>
      <c r="T11" s="117"/>
      <c r="V11" t="s">
        <v>977</v>
      </c>
    </row>
    <row r="12" spans="1:22" ht="9.6" customHeight="1" thickBot="1">
      <c r="A12" s="1479"/>
      <c r="B12" s="117"/>
      <c r="C12" s="117"/>
      <c r="D12" s="117"/>
      <c r="E12" s="1355"/>
      <c r="F12" s="1356"/>
      <c r="G12" s="1357"/>
      <c r="H12" s="1357"/>
      <c r="I12" s="1356"/>
      <c r="J12" s="1356"/>
      <c r="K12" s="1356"/>
      <c r="L12" s="1487"/>
      <c r="M12" s="1487"/>
      <c r="N12" s="1487"/>
      <c r="O12" s="1487"/>
      <c r="P12" s="1487"/>
      <c r="Q12" s="493"/>
      <c r="R12" s="1488"/>
      <c r="S12" s="117"/>
      <c r="T12" s="117"/>
    </row>
    <row r="13" spans="1:22" ht="15.75">
      <c r="A13" s="1479"/>
      <c r="B13" s="117"/>
      <c r="C13" s="117"/>
      <c r="D13" s="117"/>
      <c r="E13" s="1355"/>
      <c r="F13" s="1356"/>
      <c r="G13" s="1357"/>
      <c r="H13" s="1357"/>
      <c r="I13" s="1356"/>
      <c r="J13" s="1356"/>
      <c r="K13" s="1361" t="s">
        <v>978</v>
      </c>
      <c r="L13" s="1363">
        <v>0</v>
      </c>
      <c r="M13" s="1363">
        <v>0</v>
      </c>
      <c r="N13" s="1363">
        <v>0</v>
      </c>
      <c r="O13" s="1363">
        <v>0</v>
      </c>
      <c r="P13" s="1363">
        <v>0</v>
      </c>
      <c r="Q13" s="1363">
        <v>0</v>
      </c>
      <c r="R13" s="1489">
        <v>0</v>
      </c>
      <c r="S13" s="117"/>
      <c r="T13" s="117"/>
    </row>
    <row r="14" spans="1:22" ht="8.1" customHeight="1">
      <c r="A14" s="1479"/>
      <c r="B14" s="117"/>
      <c r="C14" s="117"/>
      <c r="D14" s="117"/>
      <c r="E14" s="1355"/>
      <c r="F14" s="1356"/>
      <c r="G14" s="1357"/>
      <c r="H14" s="1357"/>
      <c r="I14" s="1356"/>
      <c r="J14" s="1356"/>
      <c r="K14" s="1358"/>
      <c r="L14" s="1687"/>
      <c r="M14" s="1687"/>
      <c r="N14" s="1687"/>
      <c r="O14" s="1687"/>
      <c r="P14" s="1687"/>
      <c r="Q14" s="1687"/>
      <c r="R14" s="1481"/>
      <c r="S14" s="117"/>
      <c r="T14" s="117"/>
    </row>
    <row r="15" spans="1:22" ht="15" customHeight="1">
      <c r="A15" s="1490"/>
      <c r="B15" s="1491" t="s">
        <v>979</v>
      </c>
      <c r="C15" s="1491"/>
      <c r="D15" s="1491"/>
      <c r="E15" s="1573">
        <v>32</v>
      </c>
      <c r="F15" s="1574">
        <v>9</v>
      </c>
      <c r="G15" s="1575" t="s">
        <v>980</v>
      </c>
      <c r="H15" s="1576"/>
      <c r="I15" s="1577" t="s">
        <v>981</v>
      </c>
      <c r="J15" s="1574" t="s">
        <v>982</v>
      </c>
      <c r="K15" s="1492"/>
      <c r="L15" s="1493">
        <v>20</v>
      </c>
      <c r="M15" s="1493">
        <v>426</v>
      </c>
      <c r="N15" s="1493">
        <v>3</v>
      </c>
      <c r="O15" s="1493">
        <v>0</v>
      </c>
      <c r="P15" s="1493">
        <v>0</v>
      </c>
      <c r="Q15" s="1494" t="s">
        <v>982</v>
      </c>
      <c r="R15" s="1495" t="s">
        <v>982</v>
      </c>
      <c r="S15" s="117"/>
      <c r="T15" s="117"/>
    </row>
    <row r="16" spans="1:22" ht="15" customHeight="1">
      <c r="A16" s="1490"/>
      <c r="B16" s="1359" t="s">
        <v>983</v>
      </c>
      <c r="C16" s="1359"/>
      <c r="D16" s="1359"/>
      <c r="E16" s="1686">
        <v>33</v>
      </c>
      <c r="F16" s="1356">
        <v>9</v>
      </c>
      <c r="G16" s="1578" t="s">
        <v>980</v>
      </c>
      <c r="H16" s="1357"/>
      <c r="I16" s="1360" t="s">
        <v>981</v>
      </c>
      <c r="J16" s="1356" t="s">
        <v>982</v>
      </c>
      <c r="K16" s="1358"/>
      <c r="L16" s="1366">
        <v>32</v>
      </c>
      <c r="M16" s="1366">
        <v>697</v>
      </c>
      <c r="N16" s="1366">
        <v>3</v>
      </c>
      <c r="O16" s="1366">
        <v>1</v>
      </c>
      <c r="P16" s="1366">
        <v>0</v>
      </c>
      <c r="Q16" s="1685" t="s">
        <v>982</v>
      </c>
      <c r="R16" s="1483" t="s">
        <v>982</v>
      </c>
      <c r="S16" s="117"/>
      <c r="T16" s="117"/>
    </row>
    <row r="17" spans="1:22" ht="15" customHeight="1">
      <c r="A17" s="1490"/>
      <c r="B17" s="1359" t="s">
        <v>984</v>
      </c>
      <c r="C17" s="1359"/>
      <c r="D17" s="1359"/>
      <c r="E17" s="1686">
        <v>33</v>
      </c>
      <c r="F17" s="1356">
        <v>9</v>
      </c>
      <c r="G17" s="1578" t="s">
        <v>980</v>
      </c>
      <c r="H17" s="1357"/>
      <c r="I17" s="1360" t="s">
        <v>981</v>
      </c>
      <c r="J17" s="1356" t="s">
        <v>982</v>
      </c>
      <c r="K17" s="1358"/>
      <c r="L17" s="1366">
        <v>26</v>
      </c>
      <c r="M17" s="1366">
        <v>395</v>
      </c>
      <c r="N17" s="1366">
        <v>6</v>
      </c>
      <c r="O17" s="1366">
        <v>1</v>
      </c>
      <c r="P17" s="1366">
        <v>0</v>
      </c>
      <c r="Q17" s="1685" t="s">
        <v>982</v>
      </c>
      <c r="R17" s="1483" t="s">
        <v>982</v>
      </c>
      <c r="S17" s="117"/>
      <c r="T17" s="117"/>
      <c r="V17" t="s">
        <v>985</v>
      </c>
    </row>
    <row r="18" spans="1:22" ht="15" customHeight="1">
      <c r="A18" s="1490"/>
      <c r="B18" s="1491" t="s">
        <v>986</v>
      </c>
      <c r="C18" s="1491"/>
      <c r="D18" s="1491"/>
      <c r="E18" s="1573">
        <v>33</v>
      </c>
      <c r="F18" s="1574">
        <v>9</v>
      </c>
      <c r="G18" s="1575" t="s">
        <v>980</v>
      </c>
      <c r="H18" s="1576"/>
      <c r="I18" s="1577" t="s">
        <v>981</v>
      </c>
      <c r="J18" s="1574" t="s">
        <v>982</v>
      </c>
      <c r="K18" s="1492"/>
      <c r="L18" s="1493">
        <v>24</v>
      </c>
      <c r="M18" s="1493">
        <v>198</v>
      </c>
      <c r="N18" s="1493">
        <v>1</v>
      </c>
      <c r="O18" s="1493">
        <v>0</v>
      </c>
      <c r="P18" s="1493">
        <v>0</v>
      </c>
      <c r="Q18" s="1494" t="s">
        <v>982</v>
      </c>
      <c r="R18" s="1495" t="s">
        <v>982</v>
      </c>
      <c r="S18" s="117"/>
      <c r="T18" s="117"/>
      <c r="V18" t="s">
        <v>987</v>
      </c>
    </row>
    <row r="19" spans="1:22" ht="15" customHeight="1">
      <c r="A19" s="1486" t="s">
        <v>988</v>
      </c>
      <c r="B19" s="1359" t="s">
        <v>989</v>
      </c>
      <c r="C19" s="1359"/>
      <c r="D19" s="1359"/>
      <c r="E19" s="1686">
        <v>34</v>
      </c>
      <c r="F19" s="1356">
        <v>9</v>
      </c>
      <c r="G19" s="1578" t="s">
        <v>980</v>
      </c>
      <c r="H19" s="1357"/>
      <c r="I19" s="1360" t="s">
        <v>981</v>
      </c>
      <c r="J19" s="1356" t="s">
        <v>982</v>
      </c>
      <c r="K19" s="1358"/>
      <c r="L19" s="1366">
        <v>43</v>
      </c>
      <c r="M19" s="1366">
        <v>2026</v>
      </c>
      <c r="N19" s="1366">
        <v>26</v>
      </c>
      <c r="O19" s="1366">
        <v>2</v>
      </c>
      <c r="P19" s="1366">
        <v>0</v>
      </c>
      <c r="Q19" s="1685" t="s">
        <v>982</v>
      </c>
      <c r="R19" s="1483" t="s">
        <v>982</v>
      </c>
      <c r="S19" s="117"/>
      <c r="T19" s="117"/>
    </row>
    <row r="20" spans="1:22" ht="15" customHeight="1">
      <c r="A20" s="1486" t="s">
        <v>990</v>
      </c>
      <c r="B20" s="1359" t="s">
        <v>991</v>
      </c>
      <c r="C20" s="1359"/>
      <c r="D20" s="1359"/>
      <c r="E20" s="1686">
        <v>34</v>
      </c>
      <c r="F20" s="1356">
        <v>9</v>
      </c>
      <c r="G20" s="1578" t="s">
        <v>980</v>
      </c>
      <c r="H20" s="1357"/>
      <c r="I20" s="1360" t="s">
        <v>981</v>
      </c>
      <c r="J20" s="1356" t="s">
        <v>982</v>
      </c>
      <c r="K20" s="1358"/>
      <c r="L20" s="1366">
        <v>53</v>
      </c>
      <c r="M20" s="1366">
        <v>1900</v>
      </c>
      <c r="N20" s="1366">
        <v>45</v>
      </c>
      <c r="O20" s="1366">
        <v>0</v>
      </c>
      <c r="P20" s="1366">
        <v>0</v>
      </c>
      <c r="Q20" s="1685" t="s">
        <v>982</v>
      </c>
      <c r="R20" s="1483" t="s">
        <v>982</v>
      </c>
      <c r="S20" s="117"/>
      <c r="T20" s="117"/>
    </row>
    <row r="21" spans="1:22" ht="15" customHeight="1">
      <c r="A21" s="1490"/>
      <c r="B21" s="1491" t="s">
        <v>992</v>
      </c>
      <c r="C21" s="1491"/>
      <c r="D21" s="1491"/>
      <c r="E21" s="1573">
        <v>34</v>
      </c>
      <c r="F21" s="1574">
        <v>9</v>
      </c>
      <c r="G21" s="1575" t="s">
        <v>980</v>
      </c>
      <c r="H21" s="1576"/>
      <c r="I21" s="1577" t="s">
        <v>981</v>
      </c>
      <c r="J21" s="1574" t="s">
        <v>982</v>
      </c>
      <c r="K21" s="1492"/>
      <c r="L21" s="1493">
        <v>52</v>
      </c>
      <c r="M21" s="1493">
        <v>4250</v>
      </c>
      <c r="N21" s="1493">
        <v>114</v>
      </c>
      <c r="O21" s="1493">
        <v>0</v>
      </c>
      <c r="P21" s="1493">
        <v>0</v>
      </c>
      <c r="Q21" s="1494" t="s">
        <v>982</v>
      </c>
      <c r="R21" s="1495" t="s">
        <v>982</v>
      </c>
      <c r="S21" s="117"/>
      <c r="T21" s="117"/>
    </row>
    <row r="22" spans="1:22" ht="15" customHeight="1">
      <c r="A22" s="1490"/>
      <c r="B22" s="1359" t="s">
        <v>993</v>
      </c>
      <c r="C22" s="1359"/>
      <c r="D22" s="1359"/>
      <c r="E22" s="1686">
        <v>35</v>
      </c>
      <c r="F22" s="1356">
        <v>9</v>
      </c>
      <c r="G22" s="1578" t="s">
        <v>980</v>
      </c>
      <c r="H22" s="1357"/>
      <c r="I22" s="1360" t="s">
        <v>981</v>
      </c>
      <c r="J22" s="1356" t="s">
        <v>982</v>
      </c>
      <c r="K22" s="1358"/>
      <c r="L22" s="1366">
        <v>56</v>
      </c>
      <c r="M22" s="1366">
        <v>2974</v>
      </c>
      <c r="N22" s="1366">
        <v>190</v>
      </c>
      <c r="O22" s="1366">
        <v>0</v>
      </c>
      <c r="P22" s="1366">
        <v>0</v>
      </c>
      <c r="Q22" s="1685" t="s">
        <v>982</v>
      </c>
      <c r="R22" s="1483" t="s">
        <v>982</v>
      </c>
      <c r="S22" s="117"/>
      <c r="T22" s="117"/>
    </row>
    <row r="23" spans="1:22" ht="15" customHeight="1">
      <c r="A23" s="1490"/>
      <c r="B23" s="1359" t="s">
        <v>994</v>
      </c>
      <c r="C23" s="1359"/>
      <c r="D23" s="1359"/>
      <c r="E23" s="1686">
        <v>35</v>
      </c>
      <c r="F23" s="1356">
        <v>9</v>
      </c>
      <c r="G23" s="1578" t="s">
        <v>980</v>
      </c>
      <c r="H23" s="1357"/>
      <c r="I23" s="1360" t="s">
        <v>981</v>
      </c>
      <c r="J23" s="1356" t="s">
        <v>982</v>
      </c>
      <c r="K23" s="1358"/>
      <c r="L23" s="1366">
        <v>60</v>
      </c>
      <c r="M23" s="1366">
        <v>4066</v>
      </c>
      <c r="N23" s="1366">
        <v>134</v>
      </c>
      <c r="O23" s="1366">
        <v>0</v>
      </c>
      <c r="P23" s="1366">
        <v>0</v>
      </c>
      <c r="Q23" s="1685" t="s">
        <v>982</v>
      </c>
      <c r="R23" s="1483" t="s">
        <v>982</v>
      </c>
      <c r="S23" s="117"/>
      <c r="T23" s="117"/>
    </row>
    <row r="24" spans="1:22" ht="15" customHeight="1">
      <c r="A24" s="1490"/>
      <c r="B24" s="1359" t="s">
        <v>995</v>
      </c>
      <c r="C24" s="1359"/>
      <c r="D24" s="1359"/>
      <c r="E24" s="1686">
        <v>35</v>
      </c>
      <c r="F24" s="1356">
        <v>9</v>
      </c>
      <c r="G24" s="1578" t="s">
        <v>980</v>
      </c>
      <c r="H24" s="1357"/>
      <c r="I24" s="1360" t="s">
        <v>981</v>
      </c>
      <c r="J24" s="1356" t="s">
        <v>982</v>
      </c>
      <c r="K24" s="1358"/>
      <c r="L24" s="1366">
        <v>58</v>
      </c>
      <c r="M24" s="1366">
        <v>7607</v>
      </c>
      <c r="N24" s="1366">
        <v>382</v>
      </c>
      <c r="O24" s="1366">
        <v>0</v>
      </c>
      <c r="P24" s="1366">
        <v>0</v>
      </c>
      <c r="Q24" s="1685" t="s">
        <v>982</v>
      </c>
      <c r="R24" s="1483" t="s">
        <v>982</v>
      </c>
      <c r="S24" s="117"/>
      <c r="T24" s="117"/>
    </row>
    <row r="25" spans="1:22" ht="9" customHeight="1" thickBot="1">
      <c r="A25" s="1479"/>
      <c r="B25" s="117"/>
      <c r="C25" s="117"/>
      <c r="D25" s="117"/>
      <c r="E25" s="1355"/>
      <c r="F25" s="1356"/>
      <c r="G25" s="1357"/>
      <c r="H25" s="1357"/>
      <c r="I25" s="1356"/>
      <c r="J25" s="1356"/>
      <c r="K25" s="1358"/>
      <c r="L25" s="1496"/>
      <c r="M25" s="1496"/>
      <c r="N25" s="1496"/>
      <c r="O25" s="1496"/>
      <c r="P25" s="1496"/>
      <c r="Q25" s="1496"/>
      <c r="R25" s="1497"/>
      <c r="S25" s="117"/>
      <c r="T25" s="117"/>
    </row>
    <row r="26" spans="1:22" ht="15.75">
      <c r="A26" s="1479"/>
      <c r="B26" s="117"/>
      <c r="C26" s="117"/>
      <c r="D26" s="117"/>
      <c r="E26" s="1355"/>
      <c r="F26" s="1356"/>
      <c r="G26" s="1357"/>
      <c r="H26" s="1357"/>
      <c r="I26" s="1356"/>
      <c r="J26" s="1356"/>
      <c r="K26" s="1361" t="s">
        <v>996</v>
      </c>
      <c r="L26" s="1362">
        <f>AVERAGE(L15:L24)</f>
        <v>42.4</v>
      </c>
      <c r="M26" s="1362">
        <f>SUM(M15:M24)</f>
        <v>24539</v>
      </c>
      <c r="N26" s="1362">
        <f>SUM(N15:N24)</f>
        <v>904</v>
      </c>
      <c r="O26" s="1362">
        <f>SUM(O15:O24)</f>
        <v>4</v>
      </c>
      <c r="P26" s="1362">
        <f>SUM(P15:P24)</f>
        <v>0</v>
      </c>
      <c r="Q26" s="1363" t="s">
        <v>48</v>
      </c>
      <c r="R26" s="1485" t="s">
        <v>48</v>
      </c>
      <c r="S26" s="117"/>
      <c r="T26" s="117"/>
    </row>
    <row r="27" spans="1:22" ht="8.1" customHeight="1">
      <c r="A27" s="1479"/>
      <c r="B27" s="117"/>
      <c r="C27" s="117"/>
      <c r="D27" s="117"/>
      <c r="E27" s="1355"/>
      <c r="F27" s="1356"/>
      <c r="G27" s="1357"/>
      <c r="H27" s="1357"/>
      <c r="I27" s="1356"/>
      <c r="J27" s="1356"/>
      <c r="K27" s="1358"/>
      <c r="L27" s="1687"/>
      <c r="M27" s="1687"/>
      <c r="N27" s="1687"/>
      <c r="O27" s="1687"/>
      <c r="P27" s="1687"/>
      <c r="Q27" s="1687"/>
      <c r="R27" s="1481"/>
      <c r="S27" s="117"/>
      <c r="T27" s="117"/>
    </row>
    <row r="28" spans="1:22" ht="15.75">
      <c r="A28" s="1479"/>
      <c r="B28" s="1491" t="s">
        <v>997</v>
      </c>
      <c r="C28" s="1498"/>
      <c r="D28" s="1498"/>
      <c r="E28" s="1573">
        <v>37</v>
      </c>
      <c r="F28" s="1574">
        <v>10</v>
      </c>
      <c r="G28" s="1575" t="s">
        <v>980</v>
      </c>
      <c r="H28" s="1576"/>
      <c r="I28" s="1577" t="s">
        <v>998</v>
      </c>
      <c r="J28" s="1494" t="s">
        <v>982</v>
      </c>
      <c r="K28" s="1492"/>
      <c r="L28" s="1493">
        <v>57</v>
      </c>
      <c r="M28" s="1493">
        <v>7980</v>
      </c>
      <c r="N28" s="1493">
        <v>1562</v>
      </c>
      <c r="O28" s="1493">
        <v>0</v>
      </c>
      <c r="P28" s="1493">
        <v>0</v>
      </c>
      <c r="Q28" s="1494" t="s">
        <v>982</v>
      </c>
      <c r="R28" s="1495" t="s">
        <v>982</v>
      </c>
      <c r="S28" s="117"/>
      <c r="T28" s="117"/>
    </row>
    <row r="29" spans="1:22" ht="15.6" customHeight="1">
      <c r="A29" s="1479"/>
      <c r="B29" s="1359" t="s">
        <v>999</v>
      </c>
      <c r="C29" s="117"/>
      <c r="D29" s="117"/>
      <c r="E29" s="1686">
        <v>38</v>
      </c>
      <c r="F29" s="1356">
        <v>18</v>
      </c>
      <c r="G29" s="1578" t="s">
        <v>1000</v>
      </c>
      <c r="H29" s="1357"/>
      <c r="I29" s="1360" t="s">
        <v>1001</v>
      </c>
      <c r="J29" s="1356" t="s">
        <v>982</v>
      </c>
      <c r="K29" s="1358"/>
      <c r="L29" s="1366">
        <v>22</v>
      </c>
      <c r="M29" s="1366">
        <v>499</v>
      </c>
      <c r="N29" s="1366">
        <v>571</v>
      </c>
      <c r="O29" s="1366">
        <v>0</v>
      </c>
      <c r="P29" s="1366">
        <v>0</v>
      </c>
      <c r="Q29" s="1685" t="s">
        <v>982</v>
      </c>
      <c r="R29" s="1483" t="s">
        <v>982</v>
      </c>
      <c r="S29" s="117"/>
      <c r="T29" s="117"/>
    </row>
    <row r="30" spans="1:22" ht="15.6" customHeight="1">
      <c r="A30" s="1479"/>
      <c r="B30" s="1359" t="s">
        <v>1002</v>
      </c>
      <c r="C30" s="117"/>
      <c r="D30" s="117"/>
      <c r="E30" s="1686">
        <v>38</v>
      </c>
      <c r="F30" s="1356">
        <v>18</v>
      </c>
      <c r="G30" s="1578" t="s">
        <v>1000</v>
      </c>
      <c r="H30" s="1357"/>
      <c r="I30" s="1360" t="s">
        <v>1001</v>
      </c>
      <c r="J30" s="1356" t="s">
        <v>982</v>
      </c>
      <c r="K30" s="1358"/>
      <c r="L30" s="1366">
        <v>13</v>
      </c>
      <c r="M30" s="1366">
        <v>147</v>
      </c>
      <c r="N30" s="1366">
        <v>387</v>
      </c>
      <c r="O30" s="1366">
        <v>0</v>
      </c>
      <c r="P30" s="1366">
        <v>0</v>
      </c>
      <c r="Q30" s="1685" t="s">
        <v>982</v>
      </c>
      <c r="R30" s="1483" t="s">
        <v>982</v>
      </c>
      <c r="S30" s="117"/>
      <c r="T30" s="117"/>
    </row>
    <row r="31" spans="1:22" ht="15.6" customHeight="1">
      <c r="A31" s="1479"/>
      <c r="B31" s="1359" t="s">
        <v>1003</v>
      </c>
      <c r="C31" s="117"/>
      <c r="D31" s="117"/>
      <c r="E31" s="1686">
        <v>38</v>
      </c>
      <c r="F31" s="1356">
        <v>10</v>
      </c>
      <c r="G31" s="1578" t="s">
        <v>980</v>
      </c>
      <c r="H31" s="1579"/>
      <c r="I31" s="1360" t="s">
        <v>998</v>
      </c>
      <c r="J31" s="1685" t="s">
        <v>982</v>
      </c>
      <c r="K31" s="1358"/>
      <c r="L31" s="1366">
        <v>40</v>
      </c>
      <c r="M31" s="1366">
        <v>2913</v>
      </c>
      <c r="N31" s="1366">
        <v>462</v>
      </c>
      <c r="O31" s="1366">
        <v>0</v>
      </c>
      <c r="P31" s="1366">
        <v>0</v>
      </c>
      <c r="Q31" s="1685" t="s">
        <v>982</v>
      </c>
      <c r="R31" s="1483" t="s">
        <v>982</v>
      </c>
      <c r="S31" s="117"/>
      <c r="T31" s="117"/>
    </row>
    <row r="32" spans="1:22" ht="15.6" customHeight="1">
      <c r="A32" s="1479"/>
      <c r="B32" s="1359" t="s">
        <v>1004</v>
      </c>
      <c r="C32" s="117"/>
      <c r="D32" s="117"/>
      <c r="E32" s="1499">
        <v>38</v>
      </c>
      <c r="F32" s="1500">
        <v>18</v>
      </c>
      <c r="G32" s="1501" t="s">
        <v>1000</v>
      </c>
      <c r="H32" s="1502"/>
      <c r="I32" s="1503" t="s">
        <v>1001</v>
      </c>
      <c r="J32" s="1500" t="s">
        <v>982</v>
      </c>
      <c r="K32" s="1358"/>
      <c r="L32" s="1366">
        <v>11</v>
      </c>
      <c r="M32" s="1366">
        <v>213</v>
      </c>
      <c r="N32" s="1366">
        <v>744</v>
      </c>
      <c r="O32" s="1366">
        <v>0</v>
      </c>
      <c r="P32" s="1366">
        <v>0</v>
      </c>
      <c r="Q32" s="1685" t="s">
        <v>982</v>
      </c>
      <c r="R32" s="1483" t="s">
        <v>982</v>
      </c>
      <c r="S32" s="117"/>
      <c r="T32" s="117"/>
    </row>
    <row r="33" spans="1:20" ht="15.6" customHeight="1">
      <c r="A33" s="1479"/>
      <c r="B33" s="1504" t="s">
        <v>1005</v>
      </c>
      <c r="C33" s="1498"/>
      <c r="D33" s="1498"/>
      <c r="E33" s="1573">
        <v>38</v>
      </c>
      <c r="F33" s="1574">
        <v>14</v>
      </c>
      <c r="G33" s="1575" t="s">
        <v>1000</v>
      </c>
      <c r="H33" s="1576"/>
      <c r="I33" s="1577" t="s">
        <v>1001</v>
      </c>
      <c r="J33" s="1494" t="s">
        <v>982</v>
      </c>
      <c r="K33" s="1492"/>
      <c r="L33" s="1493">
        <v>17</v>
      </c>
      <c r="M33" s="1493">
        <v>206</v>
      </c>
      <c r="N33" s="1493">
        <v>447</v>
      </c>
      <c r="O33" s="1493">
        <v>0</v>
      </c>
      <c r="P33" s="1493">
        <v>0</v>
      </c>
      <c r="Q33" s="1494" t="s">
        <v>982</v>
      </c>
      <c r="R33" s="1495" t="s">
        <v>982</v>
      </c>
      <c r="S33" s="117"/>
      <c r="T33" s="117"/>
    </row>
    <row r="34" spans="1:20" ht="15.6" customHeight="1">
      <c r="A34" s="1479"/>
      <c r="B34" s="1359" t="s">
        <v>1006</v>
      </c>
      <c r="C34" s="117"/>
      <c r="D34" s="117"/>
      <c r="E34" s="1686">
        <v>39</v>
      </c>
      <c r="F34" s="1356">
        <v>18</v>
      </c>
      <c r="G34" s="1578" t="s">
        <v>1000</v>
      </c>
      <c r="H34" s="1357"/>
      <c r="I34" s="1360" t="s">
        <v>1001</v>
      </c>
      <c r="J34" s="1685" t="s">
        <v>982</v>
      </c>
      <c r="K34" s="1358"/>
      <c r="L34" s="1366">
        <v>15</v>
      </c>
      <c r="M34" s="1366">
        <v>181</v>
      </c>
      <c r="N34" s="1366">
        <v>309</v>
      </c>
      <c r="O34" s="1366">
        <v>0</v>
      </c>
      <c r="P34" s="1366">
        <v>0</v>
      </c>
      <c r="Q34" s="1685" t="s">
        <v>982</v>
      </c>
      <c r="R34" s="1483" t="s">
        <v>982</v>
      </c>
      <c r="S34" s="117"/>
      <c r="T34" s="117"/>
    </row>
    <row r="35" spans="1:20" ht="15.6" customHeight="1">
      <c r="A35" s="1479"/>
      <c r="B35" s="1359" t="s">
        <v>1007</v>
      </c>
      <c r="C35" s="117"/>
      <c r="D35" s="117"/>
      <c r="E35" s="1686">
        <v>39</v>
      </c>
      <c r="F35" s="1356">
        <v>18</v>
      </c>
      <c r="G35" s="1578" t="s">
        <v>1000</v>
      </c>
      <c r="H35" s="1357"/>
      <c r="I35" s="1360" t="s">
        <v>1001</v>
      </c>
      <c r="J35" s="1685" t="s">
        <v>982</v>
      </c>
      <c r="K35" s="1358"/>
      <c r="L35" s="1366">
        <v>9</v>
      </c>
      <c r="M35" s="1366">
        <v>86</v>
      </c>
      <c r="N35" s="1366">
        <v>127</v>
      </c>
      <c r="O35" s="1366">
        <v>0</v>
      </c>
      <c r="P35" s="1366">
        <v>0</v>
      </c>
      <c r="Q35" s="1685" t="s">
        <v>982</v>
      </c>
      <c r="R35" s="1483" t="s">
        <v>982</v>
      </c>
      <c r="S35" s="117"/>
      <c r="T35" s="117"/>
    </row>
    <row r="36" spans="1:20" ht="15.6" customHeight="1">
      <c r="A36" s="1512"/>
      <c r="B36" s="1359" t="s">
        <v>1008</v>
      </c>
      <c r="C36" s="117"/>
      <c r="D36" s="117"/>
      <c r="E36" s="1686">
        <v>39</v>
      </c>
      <c r="F36" s="1356">
        <v>10</v>
      </c>
      <c r="G36" s="1578" t="s">
        <v>980</v>
      </c>
      <c r="H36" s="1357"/>
      <c r="I36" s="1360" t="s">
        <v>998</v>
      </c>
      <c r="J36" s="1685" t="s">
        <v>982</v>
      </c>
      <c r="K36" s="1358"/>
      <c r="L36" s="1366">
        <v>28</v>
      </c>
      <c r="M36" s="1366">
        <v>1837</v>
      </c>
      <c r="N36" s="1366">
        <v>169</v>
      </c>
      <c r="O36" s="1366">
        <v>0</v>
      </c>
      <c r="P36" s="1366">
        <v>0</v>
      </c>
      <c r="Q36" s="1685" t="s">
        <v>982</v>
      </c>
      <c r="R36" s="1483" t="s">
        <v>982</v>
      </c>
      <c r="S36" s="117"/>
      <c r="T36" s="117"/>
    </row>
    <row r="37" spans="1:20" ht="15.6" customHeight="1">
      <c r="A37" s="1512"/>
      <c r="B37" s="119" t="s">
        <v>1009</v>
      </c>
      <c r="C37" s="117"/>
      <c r="D37" s="117"/>
      <c r="E37" s="1499">
        <v>39</v>
      </c>
      <c r="F37" s="1500">
        <v>18</v>
      </c>
      <c r="G37" s="1501" t="s">
        <v>1000</v>
      </c>
      <c r="H37" s="1502"/>
      <c r="I37" s="1503" t="s">
        <v>1001</v>
      </c>
      <c r="J37" s="1511" t="s">
        <v>982</v>
      </c>
      <c r="K37" s="1358"/>
      <c r="L37" s="1366">
        <v>11</v>
      </c>
      <c r="M37" s="1366">
        <v>123</v>
      </c>
      <c r="N37" s="1366">
        <v>313</v>
      </c>
      <c r="O37" s="1366">
        <v>0</v>
      </c>
      <c r="P37" s="1366">
        <v>0</v>
      </c>
      <c r="Q37" s="1685" t="s">
        <v>982</v>
      </c>
      <c r="R37" s="1483" t="s">
        <v>982</v>
      </c>
      <c r="S37" s="117"/>
      <c r="T37" s="117"/>
    </row>
    <row r="38" spans="1:20" ht="15.6" customHeight="1">
      <c r="A38" s="1512"/>
      <c r="B38" s="119" t="s">
        <v>1010</v>
      </c>
      <c r="C38" s="117"/>
      <c r="D38" s="117"/>
      <c r="E38" s="1686">
        <v>39</v>
      </c>
      <c r="F38" s="1356">
        <v>18</v>
      </c>
      <c r="G38" s="1578" t="s">
        <v>1000</v>
      </c>
      <c r="H38" s="1357"/>
      <c r="I38" s="1360" t="s">
        <v>1001</v>
      </c>
      <c r="J38" s="1685" t="s">
        <v>982</v>
      </c>
      <c r="K38" s="1358"/>
      <c r="L38" s="1366">
        <v>6</v>
      </c>
      <c r="M38" s="1366">
        <v>45</v>
      </c>
      <c r="N38" s="1366">
        <v>113</v>
      </c>
      <c r="O38" s="1366">
        <v>0</v>
      </c>
      <c r="P38" s="1366">
        <v>0</v>
      </c>
      <c r="Q38" s="1685" t="s">
        <v>982</v>
      </c>
      <c r="R38" s="1483" t="s">
        <v>982</v>
      </c>
      <c r="S38" s="117"/>
      <c r="T38" s="117"/>
    </row>
    <row r="39" spans="1:20" ht="15.6" customHeight="1">
      <c r="A39" s="1512"/>
      <c r="B39" s="1504" t="s">
        <v>1011</v>
      </c>
      <c r="C39" s="1498"/>
      <c r="D39" s="1498"/>
      <c r="E39" s="1573">
        <v>39</v>
      </c>
      <c r="F39" s="1574">
        <v>14</v>
      </c>
      <c r="G39" s="1575" t="s">
        <v>1000</v>
      </c>
      <c r="H39" s="1576"/>
      <c r="I39" s="1577" t="s">
        <v>1001</v>
      </c>
      <c r="J39" s="1494" t="s">
        <v>982</v>
      </c>
      <c r="K39" s="1492"/>
      <c r="L39" s="1493">
        <v>9</v>
      </c>
      <c r="M39" s="1493">
        <v>69</v>
      </c>
      <c r="N39" s="1493">
        <v>207</v>
      </c>
      <c r="O39" s="1493">
        <v>0</v>
      </c>
      <c r="P39" s="1493">
        <v>0</v>
      </c>
      <c r="Q39" s="1494" t="s">
        <v>982</v>
      </c>
      <c r="R39" s="1495" t="s">
        <v>982</v>
      </c>
      <c r="S39" s="117"/>
      <c r="T39" s="117"/>
    </row>
    <row r="40" spans="1:20" ht="15.6" customHeight="1">
      <c r="A40" s="1512"/>
      <c r="B40" s="119" t="s">
        <v>1012</v>
      </c>
      <c r="C40" s="117"/>
      <c r="D40" s="117"/>
      <c r="E40" s="1686">
        <v>40</v>
      </c>
      <c r="F40" s="1356">
        <v>18</v>
      </c>
      <c r="G40" s="1578" t="s">
        <v>1000</v>
      </c>
      <c r="H40" s="1357"/>
      <c r="I40" s="1360" t="s">
        <v>1001</v>
      </c>
      <c r="J40" s="1685" t="s">
        <v>982</v>
      </c>
      <c r="K40" s="1358"/>
      <c r="L40" s="1366">
        <v>8</v>
      </c>
      <c r="M40" s="1366">
        <v>25</v>
      </c>
      <c r="N40" s="1366">
        <v>68</v>
      </c>
      <c r="O40" s="1366">
        <v>0</v>
      </c>
      <c r="P40" s="1366">
        <v>0</v>
      </c>
      <c r="Q40" s="1685" t="s">
        <v>982</v>
      </c>
      <c r="R40" s="1483" t="s">
        <v>982</v>
      </c>
      <c r="S40" s="117"/>
      <c r="T40" s="117"/>
    </row>
    <row r="41" spans="1:20" ht="15.6" customHeight="1">
      <c r="A41" s="1512"/>
      <c r="B41" s="119" t="s">
        <v>1013</v>
      </c>
      <c r="C41" s="117"/>
      <c r="D41" s="117"/>
      <c r="E41" s="1686">
        <v>40</v>
      </c>
      <c r="F41" s="1356">
        <v>18</v>
      </c>
      <c r="G41" s="1578" t="s">
        <v>1000</v>
      </c>
      <c r="H41" s="1357"/>
      <c r="I41" s="1360" t="s">
        <v>1001</v>
      </c>
      <c r="J41" s="1685" t="s">
        <v>982</v>
      </c>
      <c r="K41" s="1358"/>
      <c r="L41" s="1366">
        <v>7</v>
      </c>
      <c r="M41" s="1366">
        <v>37</v>
      </c>
      <c r="N41" s="1366">
        <v>218</v>
      </c>
      <c r="O41" s="1366">
        <v>0</v>
      </c>
      <c r="P41" s="1366">
        <v>0</v>
      </c>
      <c r="Q41" s="1685" t="s">
        <v>982</v>
      </c>
      <c r="R41" s="1483" t="s">
        <v>982</v>
      </c>
      <c r="S41" s="117"/>
      <c r="T41" s="117"/>
    </row>
    <row r="42" spans="1:20" ht="15.6" customHeight="1">
      <c r="A42" s="1512"/>
      <c r="B42" s="119" t="s">
        <v>1014</v>
      </c>
      <c r="C42" s="117"/>
      <c r="D42" s="117"/>
      <c r="E42" s="1686">
        <v>40</v>
      </c>
      <c r="F42" s="1356">
        <v>18</v>
      </c>
      <c r="G42" s="1578" t="s">
        <v>1000</v>
      </c>
      <c r="H42" s="1357"/>
      <c r="I42" s="1360" t="s">
        <v>1001</v>
      </c>
      <c r="J42" s="1685" t="s">
        <v>982</v>
      </c>
      <c r="K42" s="1358"/>
      <c r="L42" s="1366">
        <v>8</v>
      </c>
      <c r="M42" s="1366">
        <v>20</v>
      </c>
      <c r="N42" s="1366">
        <v>377</v>
      </c>
      <c r="O42" s="1366">
        <v>0</v>
      </c>
      <c r="P42" s="1366">
        <v>0</v>
      </c>
      <c r="Q42" s="1685" t="s">
        <v>982</v>
      </c>
      <c r="R42" s="1483" t="s">
        <v>982</v>
      </c>
      <c r="S42" s="117"/>
      <c r="T42" s="117"/>
    </row>
    <row r="43" spans="1:20" ht="15.6" customHeight="1">
      <c r="A43" s="1512"/>
      <c r="B43" s="119" t="s">
        <v>1015</v>
      </c>
      <c r="C43" s="117"/>
      <c r="D43" s="117"/>
      <c r="E43" s="1686">
        <v>40</v>
      </c>
      <c r="F43" s="1356">
        <v>18</v>
      </c>
      <c r="G43" s="1578" t="s">
        <v>1000</v>
      </c>
      <c r="H43" s="1357"/>
      <c r="I43" s="1360" t="s">
        <v>1001</v>
      </c>
      <c r="J43" s="1685" t="s">
        <v>982</v>
      </c>
      <c r="K43" s="1358"/>
      <c r="L43" s="1366">
        <v>13</v>
      </c>
      <c r="M43" s="1366">
        <v>18</v>
      </c>
      <c r="N43" s="1366">
        <v>623</v>
      </c>
      <c r="O43" s="1366">
        <v>0</v>
      </c>
      <c r="P43" s="1366">
        <v>0</v>
      </c>
      <c r="Q43" s="1685" t="s">
        <v>982</v>
      </c>
      <c r="R43" s="1483" t="s">
        <v>982</v>
      </c>
      <c r="S43" s="117"/>
      <c r="T43" s="117"/>
    </row>
    <row r="44" spans="1:20" ht="15.6" customHeight="1">
      <c r="A44" s="1482"/>
      <c r="B44" s="1504" t="s">
        <v>1016</v>
      </c>
      <c r="C44" s="1498"/>
      <c r="D44" s="1498"/>
      <c r="E44" s="1573">
        <v>40</v>
      </c>
      <c r="F44" s="1574">
        <v>14</v>
      </c>
      <c r="G44" s="1575" t="s">
        <v>1000</v>
      </c>
      <c r="H44" s="1576"/>
      <c r="I44" s="1577" t="s">
        <v>1001</v>
      </c>
      <c r="J44" s="1494" t="s">
        <v>982</v>
      </c>
      <c r="K44" s="1492"/>
      <c r="L44" s="1493">
        <v>9</v>
      </c>
      <c r="M44" s="1493">
        <v>13</v>
      </c>
      <c r="N44" s="1493">
        <v>216</v>
      </c>
      <c r="O44" s="1493">
        <v>0</v>
      </c>
      <c r="P44" s="1493">
        <v>0</v>
      </c>
      <c r="Q44" s="1494" t="s">
        <v>982</v>
      </c>
      <c r="R44" s="1495" t="s">
        <v>982</v>
      </c>
      <c r="S44" s="117"/>
      <c r="T44" s="117"/>
    </row>
    <row r="45" spans="1:20" ht="15.6" customHeight="1">
      <c r="A45" s="1513"/>
      <c r="B45" s="1359" t="s">
        <v>1017</v>
      </c>
      <c r="C45" s="117"/>
      <c r="D45" s="117"/>
      <c r="E45" s="1686">
        <v>41</v>
      </c>
      <c r="F45" s="1356">
        <v>18</v>
      </c>
      <c r="G45" s="1578" t="s">
        <v>1000</v>
      </c>
      <c r="H45" s="1357"/>
      <c r="I45" s="1360" t="s">
        <v>1001</v>
      </c>
      <c r="J45" s="1685" t="s">
        <v>982</v>
      </c>
      <c r="K45" s="1358"/>
      <c r="L45" s="1366">
        <v>7</v>
      </c>
      <c r="M45" s="1366">
        <v>9</v>
      </c>
      <c r="N45" s="1366">
        <v>123</v>
      </c>
      <c r="O45" s="1366">
        <v>0</v>
      </c>
      <c r="P45" s="1366">
        <v>0</v>
      </c>
      <c r="Q45" s="1685" t="s">
        <v>982</v>
      </c>
      <c r="R45" s="1483" t="s">
        <v>982</v>
      </c>
      <c r="S45" s="117"/>
      <c r="T45" s="117"/>
    </row>
    <row r="46" spans="1:20" ht="15.6" customHeight="1">
      <c r="A46" s="1482" t="s">
        <v>1018</v>
      </c>
      <c r="B46" s="119" t="s">
        <v>1019</v>
      </c>
      <c r="C46" s="117"/>
      <c r="D46" s="117"/>
      <c r="E46" s="1686">
        <v>41</v>
      </c>
      <c r="F46" s="1356">
        <v>18</v>
      </c>
      <c r="G46" s="1578" t="s">
        <v>1000</v>
      </c>
      <c r="H46" s="1357"/>
      <c r="I46" s="1360" t="s">
        <v>1001</v>
      </c>
      <c r="J46" s="1685" t="s">
        <v>982</v>
      </c>
      <c r="K46" s="1358"/>
      <c r="L46" s="1366">
        <v>8</v>
      </c>
      <c r="M46" s="1366">
        <v>11</v>
      </c>
      <c r="N46" s="1366">
        <v>205</v>
      </c>
      <c r="O46" s="1366">
        <v>0</v>
      </c>
      <c r="P46" s="1366">
        <v>0</v>
      </c>
      <c r="Q46" s="1685" t="s">
        <v>982</v>
      </c>
      <c r="R46" s="1483" t="s">
        <v>982</v>
      </c>
      <c r="S46" s="117"/>
      <c r="T46" s="117"/>
    </row>
    <row r="47" spans="1:20" ht="15.6" customHeight="1">
      <c r="A47" s="1482" t="s">
        <v>1020</v>
      </c>
      <c r="B47" s="119" t="s">
        <v>1021</v>
      </c>
      <c r="C47" s="117"/>
      <c r="D47" s="117"/>
      <c r="E47" s="1686">
        <v>41</v>
      </c>
      <c r="F47" s="1356">
        <v>18</v>
      </c>
      <c r="G47" s="1578" t="s">
        <v>1000</v>
      </c>
      <c r="H47" s="1357"/>
      <c r="I47" s="1360" t="s">
        <v>1001</v>
      </c>
      <c r="J47" s="1685" t="s">
        <v>982</v>
      </c>
      <c r="K47" s="1358"/>
      <c r="L47" s="1366">
        <v>3</v>
      </c>
      <c r="M47" s="1366">
        <v>0</v>
      </c>
      <c r="N47" s="1366">
        <v>32</v>
      </c>
      <c r="O47" s="1366">
        <v>0</v>
      </c>
      <c r="P47" s="1366">
        <v>0</v>
      </c>
      <c r="Q47" s="1685" t="s">
        <v>982</v>
      </c>
      <c r="R47" s="1483" t="s">
        <v>982</v>
      </c>
      <c r="S47" s="117"/>
      <c r="T47" s="117"/>
    </row>
    <row r="48" spans="1:20" ht="15.6" customHeight="1">
      <c r="A48" s="1482" t="s">
        <v>1022</v>
      </c>
      <c r="B48" s="1359" t="s">
        <v>1023</v>
      </c>
      <c r="C48" s="117"/>
      <c r="D48" s="117"/>
      <c r="E48" s="1686">
        <v>41</v>
      </c>
      <c r="F48" s="1356">
        <v>18</v>
      </c>
      <c r="G48" s="1578" t="s">
        <v>1000</v>
      </c>
      <c r="H48" s="1357"/>
      <c r="I48" s="1360" t="s">
        <v>1001</v>
      </c>
      <c r="J48" s="1685" t="s">
        <v>982</v>
      </c>
      <c r="K48" s="1358"/>
      <c r="L48" s="1366">
        <v>5</v>
      </c>
      <c r="M48" s="1366">
        <v>2</v>
      </c>
      <c r="N48" s="1366">
        <v>80</v>
      </c>
      <c r="O48" s="1366">
        <v>0</v>
      </c>
      <c r="P48" s="1366">
        <v>0</v>
      </c>
      <c r="Q48" s="1685" t="s">
        <v>982</v>
      </c>
      <c r="R48" s="1483" t="s">
        <v>982</v>
      </c>
      <c r="S48" s="117"/>
      <c r="T48" s="117"/>
    </row>
    <row r="49" spans="1:22" ht="15.6" customHeight="1">
      <c r="A49" s="1512"/>
      <c r="B49" s="1504" t="s">
        <v>1024</v>
      </c>
      <c r="C49" s="1498"/>
      <c r="D49" s="1498"/>
      <c r="E49" s="1505">
        <v>41</v>
      </c>
      <c r="F49" s="1506">
        <v>14</v>
      </c>
      <c r="G49" s="1507" t="s">
        <v>1000</v>
      </c>
      <c r="H49" s="1508"/>
      <c r="I49" s="1509" t="s">
        <v>1001</v>
      </c>
      <c r="J49" s="1510" t="s">
        <v>982</v>
      </c>
      <c r="K49" s="1492"/>
      <c r="L49" s="1493">
        <v>9</v>
      </c>
      <c r="M49" s="1493">
        <v>8</v>
      </c>
      <c r="N49" s="1493">
        <v>227</v>
      </c>
      <c r="O49" s="1493">
        <v>0</v>
      </c>
      <c r="P49" s="1493">
        <v>0</v>
      </c>
      <c r="Q49" s="1494" t="s">
        <v>982</v>
      </c>
      <c r="R49" s="1495" t="s">
        <v>982</v>
      </c>
      <c r="S49" s="117"/>
      <c r="T49" s="117"/>
    </row>
    <row r="50" spans="1:22" ht="15.6" customHeight="1">
      <c r="A50" s="1482"/>
      <c r="B50" s="119" t="s">
        <v>1025</v>
      </c>
      <c r="C50" s="117"/>
      <c r="D50" s="117"/>
      <c r="E50" s="1686">
        <v>42</v>
      </c>
      <c r="F50" s="1356">
        <v>18</v>
      </c>
      <c r="G50" s="1578" t="s">
        <v>1000</v>
      </c>
      <c r="H50" s="1357"/>
      <c r="I50" s="1360" t="s">
        <v>1001</v>
      </c>
      <c r="J50" s="1685" t="s">
        <v>982</v>
      </c>
      <c r="K50" s="1358"/>
      <c r="L50" s="1366">
        <v>6</v>
      </c>
      <c r="M50" s="1366">
        <v>4</v>
      </c>
      <c r="N50" s="1366">
        <v>44</v>
      </c>
      <c r="O50" s="1366">
        <v>0</v>
      </c>
      <c r="P50" s="1366">
        <v>0</v>
      </c>
      <c r="Q50" s="1685" t="s">
        <v>982</v>
      </c>
      <c r="R50" s="1483" t="s">
        <v>982</v>
      </c>
      <c r="S50" s="117"/>
      <c r="T50" s="117"/>
      <c r="U50" s="59"/>
      <c r="V50" s="59"/>
    </row>
    <row r="51" spans="1:22" ht="15.6" customHeight="1">
      <c r="A51" s="1482"/>
      <c r="B51" s="119" t="s">
        <v>1026</v>
      </c>
      <c r="C51" s="117"/>
      <c r="D51" s="117"/>
      <c r="E51" s="1686">
        <v>42</v>
      </c>
      <c r="F51" s="1356">
        <v>18</v>
      </c>
      <c r="G51" s="1578" t="s">
        <v>1000</v>
      </c>
      <c r="H51" s="1357"/>
      <c r="I51" s="1360" t="s">
        <v>1001</v>
      </c>
      <c r="J51" s="1685" t="s">
        <v>982</v>
      </c>
      <c r="K51" s="1358"/>
      <c r="L51" s="1366">
        <v>7</v>
      </c>
      <c r="M51" s="1366">
        <v>14</v>
      </c>
      <c r="N51" s="1366">
        <v>251</v>
      </c>
      <c r="O51" s="1366">
        <v>0</v>
      </c>
      <c r="P51" s="1366">
        <v>0</v>
      </c>
      <c r="Q51" s="1685" t="s">
        <v>982</v>
      </c>
      <c r="R51" s="1483" t="s">
        <v>982</v>
      </c>
      <c r="S51" s="117"/>
      <c r="T51" s="117"/>
    </row>
    <row r="52" spans="1:22" ht="15.6" customHeight="1">
      <c r="A52" s="1482"/>
      <c r="B52" s="119" t="s">
        <v>1027</v>
      </c>
      <c r="C52" s="117"/>
      <c r="D52" s="117"/>
      <c r="E52" s="1499">
        <v>42</v>
      </c>
      <c r="F52" s="1500">
        <v>18</v>
      </c>
      <c r="G52" s="1501" t="s">
        <v>1000</v>
      </c>
      <c r="H52" s="1502"/>
      <c r="I52" s="1503" t="s">
        <v>1001</v>
      </c>
      <c r="J52" s="1511" t="s">
        <v>982</v>
      </c>
      <c r="K52" s="1358"/>
      <c r="L52" s="1366">
        <v>5</v>
      </c>
      <c r="M52" s="1366">
        <v>2</v>
      </c>
      <c r="N52" s="1366">
        <v>119</v>
      </c>
      <c r="O52" s="1366">
        <v>0</v>
      </c>
      <c r="P52" s="1366">
        <v>0</v>
      </c>
      <c r="Q52" s="1685" t="s">
        <v>982</v>
      </c>
      <c r="R52" s="1483" t="s">
        <v>982</v>
      </c>
      <c r="S52" s="117"/>
      <c r="T52" s="117"/>
    </row>
    <row r="53" spans="1:22" ht="15.6" customHeight="1">
      <c r="A53" s="1512"/>
      <c r="B53" s="119" t="s">
        <v>1028</v>
      </c>
      <c r="C53" s="117"/>
      <c r="D53" s="117"/>
      <c r="E53" s="1686">
        <v>42</v>
      </c>
      <c r="F53" s="1356">
        <v>18</v>
      </c>
      <c r="G53" s="1578" t="s">
        <v>1000</v>
      </c>
      <c r="H53" s="1357"/>
      <c r="I53" s="1360" t="s">
        <v>1001</v>
      </c>
      <c r="J53" s="1685" t="s">
        <v>982</v>
      </c>
      <c r="K53" s="1358"/>
      <c r="L53" s="1366">
        <v>6</v>
      </c>
      <c r="M53" s="1366">
        <v>8</v>
      </c>
      <c r="N53" s="1366">
        <v>186</v>
      </c>
      <c r="O53" s="1366">
        <v>0</v>
      </c>
      <c r="P53" s="1366">
        <v>0</v>
      </c>
      <c r="Q53" s="1685" t="s">
        <v>982</v>
      </c>
      <c r="R53" s="1483" t="s">
        <v>982</v>
      </c>
      <c r="S53" s="117"/>
      <c r="T53" s="117"/>
    </row>
    <row r="54" spans="1:22" ht="15.6" customHeight="1">
      <c r="A54" s="1512"/>
      <c r="B54" s="1504" t="s">
        <v>1029</v>
      </c>
      <c r="C54" s="1498"/>
      <c r="D54" s="1498"/>
      <c r="E54" s="1573">
        <v>42</v>
      </c>
      <c r="F54" s="1574">
        <v>14</v>
      </c>
      <c r="G54" s="1575" t="s">
        <v>1000</v>
      </c>
      <c r="H54" s="1576"/>
      <c r="I54" s="1577" t="s">
        <v>1001</v>
      </c>
      <c r="J54" s="1494" t="s">
        <v>982</v>
      </c>
      <c r="K54" s="1492"/>
      <c r="L54" s="1493">
        <v>5</v>
      </c>
      <c r="M54" s="1493">
        <v>4</v>
      </c>
      <c r="N54" s="1493">
        <v>36</v>
      </c>
      <c r="O54" s="1493">
        <v>0</v>
      </c>
      <c r="P54" s="1493">
        <v>0</v>
      </c>
      <c r="Q54" s="1494" t="s">
        <v>982</v>
      </c>
      <c r="R54" s="1495" t="s">
        <v>982</v>
      </c>
      <c r="S54" s="117"/>
      <c r="T54" s="117"/>
    </row>
    <row r="55" spans="1:22" ht="15.6" customHeight="1">
      <c r="A55" s="1512"/>
      <c r="B55" s="119" t="s">
        <v>1030</v>
      </c>
      <c r="C55" s="117"/>
      <c r="D55" s="117"/>
      <c r="E55" s="1686">
        <v>43</v>
      </c>
      <c r="F55" s="1356">
        <v>18</v>
      </c>
      <c r="G55" s="1578" t="s">
        <v>1000</v>
      </c>
      <c r="H55" s="1357"/>
      <c r="I55" s="1360" t="s">
        <v>1001</v>
      </c>
      <c r="J55" s="1685" t="s">
        <v>982</v>
      </c>
      <c r="K55" s="1358"/>
      <c r="L55" s="1366">
        <v>0</v>
      </c>
      <c r="M55" s="1366">
        <v>0</v>
      </c>
      <c r="N55" s="1366">
        <v>0</v>
      </c>
      <c r="O55" s="1366">
        <v>0</v>
      </c>
      <c r="P55" s="1366">
        <v>0</v>
      </c>
      <c r="Q55" s="1685" t="s">
        <v>982</v>
      </c>
      <c r="R55" s="1483" t="s">
        <v>982</v>
      </c>
      <c r="S55" s="117"/>
      <c r="T55" s="117"/>
    </row>
    <row r="56" spans="1:22" ht="15.6" customHeight="1">
      <c r="A56" s="1512"/>
      <c r="B56" s="119" t="s">
        <v>1031</v>
      </c>
      <c r="C56" s="117"/>
      <c r="D56" s="117"/>
      <c r="E56" s="1686">
        <v>43</v>
      </c>
      <c r="F56" s="1356">
        <v>18</v>
      </c>
      <c r="G56" s="1578" t="s">
        <v>1000</v>
      </c>
      <c r="H56" s="1357"/>
      <c r="I56" s="1360" t="s">
        <v>1001</v>
      </c>
      <c r="J56" s="1685" t="s">
        <v>982</v>
      </c>
      <c r="K56" s="1358"/>
      <c r="L56" s="1366">
        <v>0</v>
      </c>
      <c r="M56" s="1366">
        <v>0</v>
      </c>
      <c r="N56" s="1366">
        <v>0</v>
      </c>
      <c r="O56" s="1366">
        <v>0</v>
      </c>
      <c r="P56" s="1366">
        <v>0</v>
      </c>
      <c r="Q56" s="1685" t="s">
        <v>982</v>
      </c>
      <c r="R56" s="1483" t="s">
        <v>982</v>
      </c>
      <c r="S56" s="117"/>
      <c r="T56" s="117"/>
    </row>
    <row r="57" spans="1:22" ht="15.6" customHeight="1">
      <c r="A57" s="1512"/>
      <c r="B57" s="119" t="s">
        <v>1032</v>
      </c>
      <c r="C57" s="117"/>
      <c r="D57" s="117"/>
      <c r="E57" s="1686">
        <v>43</v>
      </c>
      <c r="F57" s="1356">
        <v>18</v>
      </c>
      <c r="G57" s="1578" t="s">
        <v>1000</v>
      </c>
      <c r="H57" s="1357"/>
      <c r="I57" s="1360" t="s">
        <v>1001</v>
      </c>
      <c r="J57" s="1685" t="s">
        <v>982</v>
      </c>
      <c r="K57" s="1358"/>
      <c r="L57" s="1366">
        <v>1</v>
      </c>
      <c r="M57" s="1366">
        <v>4</v>
      </c>
      <c r="N57" s="1366">
        <v>30</v>
      </c>
      <c r="O57" s="1366">
        <v>0</v>
      </c>
      <c r="P57" s="1366">
        <v>0</v>
      </c>
      <c r="Q57" s="1685" t="s">
        <v>982</v>
      </c>
      <c r="R57" s="1483" t="s">
        <v>982</v>
      </c>
      <c r="S57" s="117"/>
      <c r="T57" s="117"/>
    </row>
    <row r="58" spans="1:22" ht="15.6" customHeight="1">
      <c r="A58" s="1512"/>
      <c r="B58" s="119" t="s">
        <v>1033</v>
      </c>
      <c r="C58" s="117"/>
      <c r="D58" s="117"/>
      <c r="E58" s="1686">
        <v>43</v>
      </c>
      <c r="F58" s="1356">
        <v>18</v>
      </c>
      <c r="G58" s="1578" t="s">
        <v>1000</v>
      </c>
      <c r="H58" s="1357"/>
      <c r="I58" s="1360" t="s">
        <v>1001</v>
      </c>
      <c r="J58" s="1685" t="s">
        <v>982</v>
      </c>
      <c r="K58" s="1358"/>
      <c r="L58" s="1366">
        <v>0</v>
      </c>
      <c r="M58" s="1366">
        <v>0</v>
      </c>
      <c r="N58" s="1366">
        <v>0</v>
      </c>
      <c r="O58" s="1366">
        <v>0</v>
      </c>
      <c r="P58" s="1366">
        <v>0</v>
      </c>
      <c r="Q58" s="1685" t="s">
        <v>982</v>
      </c>
      <c r="R58" s="1483" t="s">
        <v>982</v>
      </c>
      <c r="S58" s="117"/>
      <c r="T58" s="117"/>
    </row>
    <row r="59" spans="1:22" ht="15.6" customHeight="1">
      <c r="A59" s="1514"/>
      <c r="B59" s="1504" t="s">
        <v>1034</v>
      </c>
      <c r="C59" s="1498"/>
      <c r="D59" s="1498"/>
      <c r="E59" s="1573">
        <v>43</v>
      </c>
      <c r="F59" s="1574">
        <v>14</v>
      </c>
      <c r="G59" s="1575" t="s">
        <v>1000</v>
      </c>
      <c r="H59" s="1576"/>
      <c r="I59" s="1577" t="s">
        <v>1001</v>
      </c>
      <c r="J59" s="1494" t="s">
        <v>982</v>
      </c>
      <c r="K59" s="1492"/>
      <c r="L59" s="1493">
        <v>0</v>
      </c>
      <c r="M59" s="1493">
        <v>0</v>
      </c>
      <c r="N59" s="1493">
        <v>0</v>
      </c>
      <c r="O59" s="1493">
        <v>0</v>
      </c>
      <c r="P59" s="1493">
        <v>0</v>
      </c>
      <c r="Q59" s="1494" t="s">
        <v>982</v>
      </c>
      <c r="R59" s="1495" t="s">
        <v>982</v>
      </c>
      <c r="S59" s="117"/>
      <c r="T59" s="117"/>
    </row>
    <row r="60" spans="1:22" ht="15.6" customHeight="1">
      <c r="A60" s="1514"/>
      <c r="B60" s="119" t="s">
        <v>1035</v>
      </c>
      <c r="C60" s="117"/>
      <c r="D60" s="117"/>
      <c r="E60" s="1686">
        <v>44</v>
      </c>
      <c r="F60" s="1356">
        <v>18</v>
      </c>
      <c r="G60" s="1578" t="s">
        <v>1000</v>
      </c>
      <c r="H60" s="1357"/>
      <c r="I60" s="1360" t="s">
        <v>1001</v>
      </c>
      <c r="J60" s="1685" t="s">
        <v>982</v>
      </c>
      <c r="K60" s="1358"/>
      <c r="L60" s="1366">
        <v>1</v>
      </c>
      <c r="M60" s="1366">
        <v>0</v>
      </c>
      <c r="N60" s="1366">
        <v>3</v>
      </c>
      <c r="O60" s="1366">
        <v>0</v>
      </c>
      <c r="P60" s="1366">
        <v>0</v>
      </c>
      <c r="Q60" s="1685" t="s">
        <v>982</v>
      </c>
      <c r="R60" s="1483" t="s">
        <v>982</v>
      </c>
      <c r="S60" s="117"/>
      <c r="T60" s="117"/>
    </row>
    <row r="61" spans="1:22" ht="15.6" customHeight="1">
      <c r="A61" s="1514"/>
      <c r="B61" s="119" t="s">
        <v>1036</v>
      </c>
      <c r="C61" s="117"/>
      <c r="D61" s="117"/>
      <c r="E61" s="1686">
        <v>44</v>
      </c>
      <c r="F61" s="1356">
        <v>18</v>
      </c>
      <c r="G61" s="1578" t="s">
        <v>1000</v>
      </c>
      <c r="H61" s="1357"/>
      <c r="I61" s="1360" t="s">
        <v>1001</v>
      </c>
      <c r="J61" s="1685" t="s">
        <v>982</v>
      </c>
      <c r="K61" s="1358"/>
      <c r="L61" s="1366">
        <v>0</v>
      </c>
      <c r="M61" s="1366">
        <v>0</v>
      </c>
      <c r="N61" s="1366">
        <v>0</v>
      </c>
      <c r="O61" s="1366">
        <v>0</v>
      </c>
      <c r="P61" s="1366">
        <v>0</v>
      </c>
      <c r="Q61" s="1685" t="s">
        <v>982</v>
      </c>
      <c r="R61" s="1483" t="s">
        <v>982</v>
      </c>
      <c r="S61" s="117"/>
      <c r="T61" s="117"/>
    </row>
    <row r="62" spans="1:22" ht="15.6" customHeight="1">
      <c r="A62" s="1514"/>
      <c r="B62" s="119" t="s">
        <v>1037</v>
      </c>
      <c r="C62" s="117"/>
      <c r="D62" s="117"/>
      <c r="E62" s="1686">
        <v>44</v>
      </c>
      <c r="F62" s="1356">
        <v>18</v>
      </c>
      <c r="G62" s="1578" t="s">
        <v>1000</v>
      </c>
      <c r="H62" s="1357"/>
      <c r="I62" s="1360" t="s">
        <v>1001</v>
      </c>
      <c r="J62" s="1685" t="s">
        <v>982</v>
      </c>
      <c r="K62" s="1358"/>
      <c r="L62" s="1366">
        <v>0</v>
      </c>
      <c r="M62" s="1366">
        <v>0</v>
      </c>
      <c r="N62" s="1366">
        <v>0</v>
      </c>
      <c r="O62" s="1366">
        <v>0</v>
      </c>
      <c r="P62" s="1366">
        <v>0</v>
      </c>
      <c r="Q62" s="1685" t="s">
        <v>982</v>
      </c>
      <c r="R62" s="1483" t="s">
        <v>982</v>
      </c>
      <c r="S62" s="117"/>
      <c r="T62" s="117"/>
    </row>
    <row r="63" spans="1:22" ht="15.6" customHeight="1">
      <c r="A63" s="1514"/>
      <c r="B63" s="119" t="s">
        <v>1038</v>
      </c>
      <c r="C63" s="117"/>
      <c r="D63" s="117"/>
      <c r="E63" s="1686">
        <v>44</v>
      </c>
      <c r="F63" s="1356">
        <v>18</v>
      </c>
      <c r="G63" s="1578" t="s">
        <v>1000</v>
      </c>
      <c r="H63" s="1357"/>
      <c r="I63" s="1360" t="s">
        <v>1001</v>
      </c>
      <c r="J63" s="1685" t="s">
        <v>982</v>
      </c>
      <c r="K63" s="1358"/>
      <c r="L63" s="1366">
        <v>0</v>
      </c>
      <c r="M63" s="1366">
        <v>0</v>
      </c>
      <c r="N63" s="1366">
        <v>0</v>
      </c>
      <c r="O63" s="1366">
        <v>0</v>
      </c>
      <c r="P63" s="1366">
        <v>0</v>
      </c>
      <c r="Q63" s="1685" t="s">
        <v>982</v>
      </c>
      <c r="R63" s="1483" t="s">
        <v>982</v>
      </c>
      <c r="S63" s="117"/>
      <c r="T63" s="117"/>
    </row>
    <row r="64" spans="1:22" ht="15.6" customHeight="1">
      <c r="A64" s="1514"/>
      <c r="B64" s="119" t="s">
        <v>1039</v>
      </c>
      <c r="C64" s="117"/>
      <c r="D64" s="117"/>
      <c r="E64" s="1686">
        <v>44</v>
      </c>
      <c r="F64" s="1356">
        <v>14</v>
      </c>
      <c r="G64" s="1578" t="s">
        <v>1000</v>
      </c>
      <c r="H64" s="1357"/>
      <c r="I64" s="1360" t="s">
        <v>1001</v>
      </c>
      <c r="J64" s="1685" t="s">
        <v>982</v>
      </c>
      <c r="K64" s="1358"/>
      <c r="L64" s="1366">
        <v>0</v>
      </c>
      <c r="M64" s="1366">
        <v>0</v>
      </c>
      <c r="N64" s="1366">
        <v>0</v>
      </c>
      <c r="O64" s="1366">
        <v>0</v>
      </c>
      <c r="P64" s="1366">
        <v>0</v>
      </c>
      <c r="Q64" s="1685" t="s">
        <v>982</v>
      </c>
      <c r="R64" s="1483" t="s">
        <v>982</v>
      </c>
      <c r="S64" s="117"/>
      <c r="T64" s="117"/>
    </row>
    <row r="65" spans="1:24" ht="9" customHeight="1">
      <c r="A65" s="1479"/>
      <c r="B65" s="117"/>
      <c r="C65" s="117"/>
      <c r="D65" s="117"/>
      <c r="E65" s="1690"/>
      <c r="F65" s="1356"/>
      <c r="G65" s="1357"/>
      <c r="H65" s="1357"/>
      <c r="I65" s="1356"/>
      <c r="J65" s="1356"/>
      <c r="K65" s="1358"/>
      <c r="L65" s="1515"/>
      <c r="M65" s="1515"/>
      <c r="N65" s="1515"/>
      <c r="O65" s="1515"/>
      <c r="P65" s="1515"/>
      <c r="Q65" s="1515"/>
      <c r="R65" s="1516"/>
      <c r="S65" s="117"/>
      <c r="T65" s="117"/>
    </row>
    <row r="66" spans="1:24" ht="15.75" customHeight="1">
      <c r="A66" s="1479"/>
      <c r="B66" s="117"/>
      <c r="C66" s="117"/>
      <c r="D66" s="117"/>
      <c r="E66" s="1690"/>
      <c r="F66" s="1356"/>
      <c r="G66" s="1357"/>
      <c r="H66" s="1357"/>
      <c r="I66" s="1356"/>
      <c r="J66" s="1356"/>
      <c r="K66" s="1361" t="s">
        <v>1040</v>
      </c>
      <c r="L66" s="1362">
        <f>AVERAGE(L29,L30,L32,L33,L34,L35,L37,L38,L39,L40,L41,L42,L43,L44,L45,L46,L47,L48,L49,L50,L51,L52,L53,L54,L55,L56,L57,L58,L59,L60,L61,L62,L63,L64)</f>
        <v>6.5</v>
      </c>
      <c r="M66" s="1362">
        <f>SUM(M29,M30,M32,M33,M34,M35,M37,M38,M39,M40,M41,M42,M43,M44,M45,M46,M47,M48,M49,M50,M51,M52,M53,M54,M55,M56,M57,M58,M59,M60,M61,M62,M63,M64)</f>
        <v>1748</v>
      </c>
      <c r="N66" s="1362">
        <f>SUM(N29,N30,N32,N33,N34,N35,N37,N38,N39,N40,N41,N42,N43,N44,N45,N46,N47,N48,N49,N50,N51,N52,N53,N54,N55,N56,N57,N58,N59,N60,N61,N62,N63,N64)</f>
        <v>6056</v>
      </c>
      <c r="O66" s="1362">
        <f>SUM(O29,O30,O32,O33,O34,O35,O37,O38,O39,O40,O41,O42,O43,O44,O45,O46,O47,O48,O49,O50,O51,O52,O53,O54,O55,O56,O57,O58,O59,O60,O61,O62,O63,O64)</f>
        <v>0</v>
      </c>
      <c r="P66" s="1362">
        <f>SUM(P29,P30,P32,P33,P34,P35,P37,P38,P39,P40,P41,P42,P43,P44,P45,P46,P47,P48,P49,P50,P51,P52,P53,P54,P55,P56,P57,P58,P59,P60,P61,P62,P63,P64)</f>
        <v>0</v>
      </c>
      <c r="Q66" s="1362" t="s">
        <v>48</v>
      </c>
      <c r="R66" s="1485" t="s">
        <v>48</v>
      </c>
      <c r="S66" s="117"/>
      <c r="T66" s="117"/>
    </row>
    <row r="67" spans="1:24" ht="15.75" customHeight="1" thickBot="1">
      <c r="A67" s="1479"/>
      <c r="B67" s="117"/>
      <c r="C67" s="117"/>
      <c r="D67" s="117"/>
      <c r="E67" s="1690"/>
      <c r="F67" s="1356"/>
      <c r="G67" s="1357"/>
      <c r="H67" s="1357"/>
      <c r="I67" s="1356"/>
      <c r="J67" s="1356"/>
      <c r="K67" s="1361" t="s">
        <v>1041</v>
      </c>
      <c r="L67" s="1517">
        <f>AVERAGE(L28,L31,L36)</f>
        <v>41.666666666666664</v>
      </c>
      <c r="M67" s="1517">
        <f>SUM(M28,M31,M36)</f>
        <v>12730</v>
      </c>
      <c r="N67" s="1517">
        <f>SUM(N28,N31,N36)</f>
        <v>2193</v>
      </c>
      <c r="O67" s="1517">
        <f>SUM(O28,O31,O36)</f>
        <v>0</v>
      </c>
      <c r="P67" s="1517">
        <f>SUM(P28,P31,P36)</f>
        <v>0</v>
      </c>
      <c r="Q67" s="1517" t="s">
        <v>48</v>
      </c>
      <c r="R67" s="1518" t="s">
        <v>48</v>
      </c>
      <c r="S67" s="117"/>
      <c r="T67" s="117"/>
    </row>
    <row r="68" spans="1:24" ht="16.5" thickTop="1">
      <c r="A68" s="1479"/>
      <c r="B68" s="117"/>
      <c r="C68" s="117"/>
      <c r="D68" s="117"/>
      <c r="E68" s="1690"/>
      <c r="F68" s="1356"/>
      <c r="G68" s="1357"/>
      <c r="H68" s="1357"/>
      <c r="I68" s="1356"/>
      <c r="J68" s="1356"/>
      <c r="K68" s="1367" t="s">
        <v>1042</v>
      </c>
      <c r="L68" s="1362">
        <f>AVERAGE(L28:L64)</f>
        <v>9.3513513513513509</v>
      </c>
      <c r="M68" s="1362">
        <f>SUM(M28:M64)</f>
        <v>14478</v>
      </c>
      <c r="N68" s="1362">
        <f>SUM(N28:N64)</f>
        <v>8249</v>
      </c>
      <c r="O68" s="1362">
        <f>SUM(O28:O64)</f>
        <v>0</v>
      </c>
      <c r="P68" s="1362">
        <f>SUM(P28:P64)</f>
        <v>0</v>
      </c>
      <c r="Q68" s="1363" t="s">
        <v>48</v>
      </c>
      <c r="R68" s="1485" t="s">
        <v>48</v>
      </c>
      <c r="S68" s="117"/>
      <c r="T68" s="117"/>
    </row>
    <row r="69" spans="1:24" ht="8.1" customHeight="1">
      <c r="A69" s="1479"/>
      <c r="B69" s="117"/>
      <c r="C69" s="117"/>
      <c r="D69" s="117"/>
      <c r="E69" s="1690"/>
      <c r="F69" s="1356"/>
      <c r="G69" s="1357"/>
      <c r="H69" s="1357"/>
      <c r="I69" s="1356"/>
      <c r="J69" s="1356"/>
      <c r="K69" s="1358"/>
      <c r="L69" s="1687"/>
      <c r="M69" s="1687"/>
      <c r="N69" s="1687"/>
      <c r="O69" s="1687"/>
      <c r="P69" s="1687"/>
      <c r="Q69" s="1687"/>
      <c r="R69" s="1481"/>
      <c r="S69" s="117"/>
      <c r="T69" s="117"/>
    </row>
    <row r="70" spans="1:24" ht="18.75">
      <c r="A70" s="1519" t="s">
        <v>1043</v>
      </c>
      <c r="B70" s="1359" t="s">
        <v>1044</v>
      </c>
      <c r="C70" s="117"/>
      <c r="D70" s="117"/>
      <c r="E70" s="1690" t="s">
        <v>1045</v>
      </c>
      <c r="F70" s="1356">
        <v>12</v>
      </c>
      <c r="G70" s="1357" t="s">
        <v>1046</v>
      </c>
      <c r="H70" s="1357"/>
      <c r="I70" s="1360" t="s">
        <v>1047</v>
      </c>
      <c r="J70" s="1356" t="s">
        <v>982</v>
      </c>
      <c r="K70" s="1358"/>
      <c r="L70" s="1685">
        <v>0</v>
      </c>
      <c r="M70" s="1685">
        <v>0</v>
      </c>
      <c r="N70" s="1685">
        <v>0</v>
      </c>
      <c r="O70" s="1685">
        <v>0</v>
      </c>
      <c r="P70" s="1685">
        <v>0</v>
      </c>
      <c r="Q70" s="1685" t="s">
        <v>982</v>
      </c>
      <c r="R70" s="1483" t="s">
        <v>982</v>
      </c>
      <c r="S70" s="117"/>
      <c r="T70" s="117"/>
    </row>
    <row r="71" spans="1:24" ht="19.5" thickBot="1">
      <c r="A71" s="1519" t="s">
        <v>1048</v>
      </c>
      <c r="B71" s="1359" t="s">
        <v>1049</v>
      </c>
      <c r="C71" s="117"/>
      <c r="D71" s="117"/>
      <c r="E71" s="1690" t="s">
        <v>1050</v>
      </c>
      <c r="F71" s="1356">
        <v>12</v>
      </c>
      <c r="G71" s="1357" t="s">
        <v>1000</v>
      </c>
      <c r="H71" s="1357"/>
      <c r="I71" s="1360" t="s">
        <v>1051</v>
      </c>
      <c r="J71" s="1356" t="s">
        <v>982</v>
      </c>
      <c r="K71" s="1358"/>
      <c r="L71" s="1520">
        <v>0</v>
      </c>
      <c r="M71" s="1520">
        <v>0</v>
      </c>
      <c r="N71" s="1520">
        <v>0</v>
      </c>
      <c r="O71" s="1520">
        <v>0</v>
      </c>
      <c r="P71" s="1520">
        <v>0</v>
      </c>
      <c r="Q71" s="1520" t="s">
        <v>982</v>
      </c>
      <c r="R71" s="1521" t="s">
        <v>982</v>
      </c>
      <c r="S71" s="117"/>
      <c r="T71" s="117"/>
    </row>
    <row r="72" spans="1:24" ht="16.5" thickTop="1">
      <c r="A72" s="1479"/>
      <c r="B72" s="117"/>
      <c r="C72" s="117"/>
      <c r="D72" s="117"/>
      <c r="E72" s="1690"/>
      <c r="F72" s="1356"/>
      <c r="G72" s="1357"/>
      <c r="H72" s="1357"/>
      <c r="I72" s="1356"/>
      <c r="K72" s="1368" t="s">
        <v>1052</v>
      </c>
      <c r="L72" s="1687"/>
      <c r="M72" s="1687">
        <f>SUM(M70:M71)</f>
        <v>0</v>
      </c>
      <c r="N72" s="1687">
        <f>SUM(N70:N71)</f>
        <v>0</v>
      </c>
      <c r="O72" s="1687">
        <f>SUM(O70:O71)</f>
        <v>0</v>
      </c>
      <c r="P72" s="1687">
        <f>SUM(P70:P71)</f>
        <v>0</v>
      </c>
      <c r="Q72" s="1687" t="s">
        <v>48</v>
      </c>
      <c r="R72" s="1481" t="s">
        <v>48</v>
      </c>
      <c r="S72" s="117"/>
      <c r="T72" s="117"/>
    </row>
    <row r="73" spans="1:24" ht="8.1" customHeight="1">
      <c r="A73" s="1479"/>
      <c r="B73" s="117"/>
      <c r="C73" s="117"/>
      <c r="D73" s="117"/>
      <c r="E73" s="1690"/>
      <c r="F73" s="1356"/>
      <c r="G73" s="1357"/>
      <c r="H73" s="1357"/>
      <c r="I73" s="1356"/>
      <c r="K73" s="1369"/>
      <c r="L73" s="1687"/>
      <c r="M73" s="1687"/>
      <c r="N73" s="1687"/>
      <c r="O73" s="1687"/>
      <c r="P73" s="1687"/>
      <c r="Q73" s="1687"/>
      <c r="R73" s="1481"/>
      <c r="S73" s="117"/>
      <c r="T73" s="117"/>
    </row>
    <row r="74" spans="1:24" ht="15" customHeight="1">
      <c r="A74" s="1479"/>
      <c r="B74" s="117"/>
      <c r="C74" s="117"/>
      <c r="D74" s="117"/>
      <c r="E74" s="1690"/>
      <c r="F74" s="1356"/>
      <c r="G74" s="1357"/>
      <c r="H74" s="1357"/>
      <c r="I74" s="1356"/>
      <c r="J74" s="1356"/>
      <c r="K74" s="1358"/>
      <c r="L74" s="1687"/>
      <c r="M74" s="1362"/>
      <c r="N74" s="1362"/>
      <c r="O74" s="1362"/>
      <c r="P74" s="1362"/>
      <c r="Q74" s="1362"/>
      <c r="R74" s="1522" t="s">
        <v>1053</v>
      </c>
      <c r="S74" s="117"/>
      <c r="T74" s="117"/>
      <c r="V74" s="1895"/>
      <c r="W74" s="1895"/>
      <c r="X74" s="1895"/>
    </row>
    <row r="75" spans="1:24" ht="15" customHeight="1">
      <c r="A75" s="1479"/>
      <c r="B75" s="117"/>
      <c r="C75" s="117"/>
      <c r="D75" s="117"/>
      <c r="E75" s="1690"/>
      <c r="F75" s="1370"/>
      <c r="G75" s="1371"/>
      <c r="H75" s="1371"/>
      <c r="I75" s="1370"/>
      <c r="J75" s="1372"/>
      <c r="K75" s="1370"/>
      <c r="L75" s="1373"/>
      <c r="M75" s="1374" t="s">
        <v>1054</v>
      </c>
      <c r="N75" s="1374" t="s">
        <v>1055</v>
      </c>
      <c r="O75" s="1374" t="s">
        <v>927</v>
      </c>
      <c r="P75" s="1374" t="s">
        <v>964</v>
      </c>
      <c r="Q75" s="1364" t="s">
        <v>1056</v>
      </c>
      <c r="R75" s="1523" t="s">
        <v>1057</v>
      </c>
      <c r="S75" s="117"/>
      <c r="T75" s="117"/>
      <c r="V75" s="1580"/>
      <c r="W75" s="1580"/>
      <c r="X75" s="1580"/>
    </row>
    <row r="76" spans="1:24" ht="20.25">
      <c r="A76" s="1479"/>
      <c r="B76" s="117"/>
      <c r="C76" s="117"/>
      <c r="D76" s="117"/>
      <c r="E76" s="1690"/>
      <c r="F76" s="1370"/>
      <c r="G76" s="1371"/>
      <c r="H76" s="1371"/>
      <c r="I76" s="1370"/>
      <c r="J76" s="1524" t="s">
        <v>1058</v>
      </c>
      <c r="K76" s="1525"/>
      <c r="L76" s="1526"/>
      <c r="M76" s="1527">
        <f>M8+N8+M13+M26+M68+M72</f>
        <v>39017</v>
      </c>
      <c r="N76" s="1527">
        <f>N13+N26+N68+N72</f>
        <v>9153</v>
      </c>
      <c r="O76" s="1527">
        <f>O13+O26+O68+O72</f>
        <v>4</v>
      </c>
      <c r="P76" s="1527">
        <f>P13+P26+P68+P72</f>
        <v>0</v>
      </c>
      <c r="Q76" s="1685" t="s">
        <v>982</v>
      </c>
      <c r="R76" s="1483" t="s">
        <v>982</v>
      </c>
      <c r="S76" s="117"/>
      <c r="T76" s="117"/>
      <c r="V76" s="1581"/>
      <c r="W76" s="1581"/>
      <c r="X76" s="1581"/>
    </row>
    <row r="77" spans="1:24" ht="3" customHeight="1" thickBot="1">
      <c r="A77" s="1528"/>
      <c r="B77" s="1529"/>
      <c r="C77" s="1529"/>
      <c r="D77" s="1529"/>
      <c r="E77" s="1529"/>
      <c r="F77" s="1530"/>
      <c r="G77" s="1531"/>
      <c r="H77" s="1531"/>
      <c r="I77" s="1530"/>
      <c r="J77" s="1530"/>
      <c r="K77" s="1530"/>
      <c r="L77" s="1530"/>
      <c r="M77" s="1530"/>
      <c r="N77" s="1530"/>
      <c r="O77" s="1530"/>
      <c r="P77" s="1530"/>
      <c r="Q77" s="1530"/>
      <c r="R77" s="1532"/>
      <c r="S77" s="117"/>
      <c r="T77" s="117"/>
    </row>
    <row r="78" spans="1:24" ht="2.25" customHeight="1" thickTop="1">
      <c r="A78" s="117"/>
      <c r="B78" s="117"/>
      <c r="C78" s="117"/>
      <c r="D78" s="117"/>
      <c r="E78" s="117"/>
      <c r="F78" s="1356"/>
      <c r="G78" s="1357"/>
      <c r="H78" s="1357"/>
      <c r="I78" s="1356"/>
      <c r="J78" s="1356"/>
      <c r="K78" s="1356"/>
      <c r="L78" s="1356"/>
      <c r="M78" s="1356"/>
      <c r="N78" s="1356"/>
      <c r="O78" s="1356"/>
      <c r="P78" s="1356"/>
      <c r="Q78" s="1356"/>
      <c r="R78" s="1356"/>
      <c r="S78" s="117"/>
      <c r="T78" s="117"/>
    </row>
    <row r="79" spans="1:24" ht="15.75">
      <c r="A79" s="119" t="s">
        <v>1059</v>
      </c>
      <c r="B79" s="117"/>
      <c r="C79" s="117"/>
      <c r="D79" s="117"/>
      <c r="E79" s="117"/>
      <c r="F79" s="1356"/>
      <c r="G79" s="1357"/>
      <c r="H79" s="1357"/>
      <c r="I79" s="1356"/>
      <c r="J79" s="1356"/>
      <c r="K79" s="1356"/>
      <c r="L79" s="1356"/>
      <c r="M79" s="1356"/>
      <c r="N79" s="1356"/>
      <c r="O79" s="1356"/>
      <c r="P79" s="1356"/>
      <c r="Q79" s="1356"/>
      <c r="R79" s="1356"/>
      <c r="S79" s="117"/>
      <c r="T79" s="117"/>
    </row>
    <row r="80" spans="1:24" ht="14.45" customHeight="1">
      <c r="A80" s="119" t="s">
        <v>1060</v>
      </c>
      <c r="B80" s="1375"/>
      <c r="C80" s="1375"/>
      <c r="D80" s="1375"/>
      <c r="E80" s="1375"/>
      <c r="F80" s="1375"/>
      <c r="G80" s="1375"/>
      <c r="H80" s="1375"/>
      <c r="I80" s="1375"/>
      <c r="J80" s="1375"/>
      <c r="K80" s="1375"/>
      <c r="L80" s="1375"/>
      <c r="M80" s="1375"/>
      <c r="N80" s="1375"/>
      <c r="O80" s="1375"/>
      <c r="P80" s="1375"/>
      <c r="Q80" s="1375"/>
      <c r="R80" s="1375"/>
      <c r="S80" s="117"/>
      <c r="T80" s="117"/>
    </row>
    <row r="81" spans="1:20" ht="14.45" customHeight="1">
      <c r="A81" s="119" t="s">
        <v>1061</v>
      </c>
      <c r="B81" s="1375"/>
      <c r="C81" s="1375"/>
      <c r="D81" s="1375"/>
      <c r="E81" s="1375"/>
      <c r="F81" s="1375"/>
      <c r="G81" s="1375"/>
      <c r="H81" s="1375"/>
      <c r="I81" s="1375"/>
      <c r="J81" s="1375"/>
      <c r="K81" s="1375"/>
      <c r="L81" s="1375"/>
      <c r="M81" s="1375"/>
      <c r="N81" s="1375"/>
      <c r="O81" s="1375"/>
      <c r="P81" s="1375"/>
      <c r="Q81" s="1375"/>
      <c r="R81" s="1375"/>
      <c r="S81" s="117"/>
      <c r="T81" s="117"/>
    </row>
    <row r="82" spans="1:20" ht="14.45" customHeight="1">
      <c r="A82" s="119" t="s">
        <v>1062</v>
      </c>
      <c r="B82" s="1375"/>
      <c r="C82" s="1375"/>
      <c r="D82" s="1375"/>
      <c r="E82" s="1375"/>
      <c r="F82" s="1375"/>
      <c r="G82" s="1375"/>
      <c r="H82" s="1375"/>
      <c r="I82" s="1375"/>
      <c r="J82" s="1375"/>
      <c r="K82" s="1375"/>
      <c r="L82" s="1375"/>
      <c r="M82" s="1375"/>
      <c r="N82" s="1375"/>
      <c r="O82" s="1375"/>
      <c r="P82" s="1375"/>
      <c r="Q82" s="1375"/>
      <c r="R82" s="1375"/>
      <c r="S82" s="117"/>
      <c r="T82" s="117"/>
    </row>
    <row r="83" spans="1:20" ht="14.45" customHeight="1">
      <c r="A83" s="119" t="s">
        <v>1063</v>
      </c>
      <c r="B83" s="1375"/>
      <c r="C83" s="1375"/>
      <c r="D83" s="1375"/>
      <c r="E83" s="1375"/>
      <c r="F83" s="1375"/>
      <c r="G83" s="1375"/>
      <c r="H83" s="1375"/>
      <c r="I83" s="1375"/>
      <c r="J83" s="1375"/>
      <c r="K83" s="1375"/>
      <c r="L83" s="1375"/>
      <c r="M83" s="1375"/>
      <c r="N83" s="1375"/>
      <c r="O83" s="1375"/>
      <c r="P83" s="1375"/>
      <c r="Q83" s="1375"/>
      <c r="R83" s="1375"/>
      <c r="S83" s="117"/>
      <c r="T83" s="117"/>
    </row>
    <row r="84" spans="1:20" ht="14.45" customHeight="1">
      <c r="A84" s="119" t="s">
        <v>1064</v>
      </c>
      <c r="B84" s="1375"/>
      <c r="C84" s="1375"/>
      <c r="D84" s="1375"/>
      <c r="E84" s="1375"/>
      <c r="F84" s="1375"/>
      <c r="G84" s="1375"/>
      <c r="H84" s="1375"/>
      <c r="I84" s="1375"/>
      <c r="J84" s="1375"/>
      <c r="K84" s="1375"/>
      <c r="L84" s="1375"/>
      <c r="M84" s="1375"/>
      <c r="N84" s="1375"/>
      <c r="O84" s="1375"/>
      <c r="P84" s="1375"/>
      <c r="Q84" s="1375"/>
      <c r="R84" s="1375"/>
      <c r="S84" s="117"/>
      <c r="T84" s="117"/>
    </row>
    <row r="85" spans="1:20" ht="14.45" customHeight="1">
      <c r="A85" s="119" t="s">
        <v>1065</v>
      </c>
      <c r="B85" s="1375"/>
      <c r="C85" s="1375"/>
      <c r="D85" s="1375"/>
      <c r="E85" s="1375"/>
      <c r="F85" s="1375"/>
      <c r="G85" s="1375"/>
      <c r="H85" s="1375"/>
      <c r="I85" s="1375"/>
      <c r="J85" s="1375"/>
      <c r="K85" s="1375"/>
      <c r="L85" s="1375"/>
      <c r="M85" s="1375"/>
      <c r="N85" s="1375"/>
      <c r="O85" s="1375"/>
      <c r="P85" s="1375"/>
      <c r="Q85" s="1375"/>
      <c r="R85" s="1375"/>
      <c r="S85" s="117"/>
      <c r="T85" s="117"/>
    </row>
    <row r="86" spans="1:20" ht="14.45" customHeight="1">
      <c r="A86" s="119" t="s">
        <v>1066</v>
      </c>
      <c r="B86" s="1375"/>
      <c r="C86" s="1375"/>
      <c r="D86" s="1375"/>
      <c r="E86" s="1375"/>
      <c r="F86" s="1375"/>
      <c r="G86" s="1375"/>
      <c r="H86" s="1375"/>
      <c r="I86" s="1375"/>
      <c r="J86" s="1375"/>
      <c r="K86" s="1375"/>
      <c r="L86" s="1375"/>
      <c r="M86" s="1375"/>
      <c r="N86" s="1375"/>
      <c r="O86" s="1375"/>
      <c r="P86" s="1375"/>
      <c r="Q86" s="1375"/>
      <c r="R86" s="1375"/>
      <c r="S86" s="117"/>
      <c r="T86" s="117"/>
    </row>
    <row r="87" spans="1:20" ht="14.45" customHeight="1">
      <c r="A87" s="119" t="s">
        <v>1067</v>
      </c>
      <c r="B87" s="1375"/>
      <c r="C87" s="1375"/>
      <c r="D87" s="1375"/>
      <c r="E87" s="1375"/>
      <c r="F87" s="1375"/>
      <c r="G87" s="1375"/>
      <c r="H87" s="1375"/>
      <c r="I87" s="1375"/>
      <c r="J87" s="1375"/>
      <c r="K87" s="1375"/>
      <c r="L87" s="1375"/>
      <c r="M87" s="1375"/>
      <c r="N87" s="1375"/>
      <c r="O87" s="1375"/>
      <c r="P87" s="1375"/>
      <c r="Q87" s="1375"/>
      <c r="R87" s="1375"/>
      <c r="S87" s="117"/>
      <c r="T87" s="117"/>
    </row>
    <row r="88" spans="1:20" ht="15.75">
      <c r="A88" s="1533" t="s">
        <v>1068</v>
      </c>
    </row>
  </sheetData>
  <mergeCells count="1">
    <mergeCell ref="V74:X74"/>
  </mergeCells>
  <pageMargins left="0.25" right="0.25" top="0.75" bottom="0.75" header="0.3" footer="0.3"/>
  <pageSetup scale="5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W91"/>
  <sheetViews>
    <sheetView showGridLines="0" zoomScaleNormal="100" zoomScaleSheetLayoutView="85" workbookViewId="0">
      <selection activeCell="C48" sqref="C48"/>
    </sheetView>
  </sheetViews>
  <sheetFormatPr defaultRowHeight="12.75"/>
  <cols>
    <col min="1" max="1" width="1.6640625" customWidth="1"/>
    <col min="2" max="2" width="31.33203125" customWidth="1"/>
    <col min="3" max="3" width="9.33203125" customWidth="1"/>
    <col min="4" max="4" width="10" customWidth="1"/>
    <col min="5" max="5" width="2.1640625" customWidth="1"/>
    <col min="6" max="7" width="10.33203125" customWidth="1"/>
    <col min="8" max="8" width="1.33203125" customWidth="1"/>
    <col min="9" max="9" width="9.1640625" customWidth="1"/>
    <col min="10" max="10" width="8.6640625" customWidth="1"/>
    <col min="11" max="11" width="1.33203125" customWidth="1"/>
    <col min="12" max="12" width="10.33203125" customWidth="1"/>
    <col min="13" max="13" width="8.6640625" customWidth="1"/>
    <col min="14" max="14" width="1.33203125" customWidth="1"/>
    <col min="15" max="15" width="12.33203125" customWidth="1"/>
    <col min="16" max="16" width="8" bestFit="1" customWidth="1"/>
    <col min="17" max="17" width="1.6640625" customWidth="1"/>
    <col min="20" max="20" width="10.83203125" customWidth="1"/>
  </cols>
  <sheetData>
    <row r="1" spans="2:19" ht="18" customHeight="1"/>
    <row r="2" spans="2:19" ht="27" customHeight="1" thickBot="1">
      <c r="B2" s="1228" t="s">
        <v>1069</v>
      </c>
    </row>
    <row r="3" spans="2:19" ht="26.25" customHeight="1">
      <c r="B3" s="1229" t="s">
        <v>1070</v>
      </c>
      <c r="C3" s="1230"/>
      <c r="D3" s="1230"/>
      <c r="E3" s="1230"/>
      <c r="F3" s="1230"/>
      <c r="G3" s="1230"/>
      <c r="H3" s="1230"/>
      <c r="I3" s="1230"/>
      <c r="J3" s="1298" t="s">
        <v>1071</v>
      </c>
      <c r="K3" s="1230"/>
      <c r="L3" s="1298"/>
      <c r="M3" s="1230"/>
      <c r="N3" s="1230"/>
      <c r="O3" s="1230"/>
      <c r="P3" s="1299"/>
    </row>
    <row r="4" spans="2:19" ht="12.75" customHeight="1">
      <c r="B4" s="1231"/>
      <c r="C4" s="117"/>
      <c r="D4" s="117"/>
      <c r="E4" s="117"/>
      <c r="F4" s="1185"/>
      <c r="G4" s="117"/>
      <c r="H4" s="117"/>
      <c r="I4" s="117"/>
      <c r="J4" s="117"/>
      <c r="K4" s="117"/>
      <c r="L4" s="1186"/>
      <c r="M4" s="117"/>
      <c r="N4" s="117"/>
      <c r="O4" s="117"/>
      <c r="P4" s="1232"/>
    </row>
    <row r="5" spans="2:19" ht="3" customHeight="1">
      <c r="B5" s="1231"/>
      <c r="C5" s="117"/>
      <c r="D5" s="117"/>
      <c r="E5" s="117"/>
      <c r="F5" s="117"/>
      <c r="G5" s="117"/>
      <c r="H5" s="117"/>
      <c r="I5" s="117"/>
      <c r="J5" s="117"/>
      <c r="K5" s="117"/>
      <c r="L5" s="117"/>
      <c r="M5" s="117"/>
      <c r="N5" s="117"/>
      <c r="O5" s="117"/>
      <c r="P5" s="1232"/>
    </row>
    <row r="6" spans="2:19" ht="15.75">
      <c r="B6" s="1233" t="s">
        <v>924</v>
      </c>
      <c r="C6" s="1898" t="s">
        <v>1072</v>
      </c>
      <c r="D6" s="1898"/>
      <c r="E6" s="117"/>
      <c r="F6" s="1899" t="s">
        <v>1073</v>
      </c>
      <c r="G6" s="1899"/>
      <c r="H6" s="117"/>
      <c r="I6" s="1898" t="s">
        <v>1074</v>
      </c>
      <c r="J6" s="1898"/>
      <c r="K6" s="117"/>
      <c r="L6" s="1898" t="s">
        <v>1075</v>
      </c>
      <c r="M6" s="1898"/>
      <c r="N6" s="1896" t="s">
        <v>1076</v>
      </c>
      <c r="O6" s="1896"/>
      <c r="P6" s="1897"/>
      <c r="S6" t="s">
        <v>1077</v>
      </c>
    </row>
    <row r="7" spans="2:19" ht="15" customHeight="1">
      <c r="B7" s="1234" t="s">
        <v>1078</v>
      </c>
      <c r="C7" s="1187" t="s">
        <v>1079</v>
      </c>
      <c r="D7" s="1684" t="s">
        <v>1080</v>
      </c>
      <c r="E7" s="1684"/>
      <c r="F7" s="1188" t="s">
        <v>1081</v>
      </c>
      <c r="G7" s="1189" t="s">
        <v>1082</v>
      </c>
      <c r="H7" s="1684"/>
      <c r="I7" s="1190" t="s">
        <v>1079</v>
      </c>
      <c r="J7" s="1191" t="s">
        <v>1080</v>
      </c>
      <c r="K7" s="1684"/>
      <c r="L7" s="1190" t="s">
        <v>1079</v>
      </c>
      <c r="M7" s="1191" t="s">
        <v>1080</v>
      </c>
      <c r="N7" s="1684"/>
      <c r="O7" s="1192" t="s">
        <v>1079</v>
      </c>
      <c r="P7" s="1235" t="s">
        <v>1080</v>
      </c>
      <c r="S7" t="s">
        <v>1083</v>
      </c>
    </row>
    <row r="8" spans="2:19" ht="3" customHeight="1">
      <c r="B8" s="1231"/>
      <c r="C8" s="117"/>
      <c r="D8" s="117"/>
      <c r="E8" s="117"/>
      <c r="F8" s="1193"/>
      <c r="G8" s="1193"/>
      <c r="H8" s="117"/>
      <c r="I8" s="117"/>
      <c r="J8" s="117"/>
      <c r="K8" s="117"/>
      <c r="L8" s="117"/>
      <c r="M8" s="117"/>
      <c r="N8" s="117"/>
      <c r="O8" s="117"/>
      <c r="P8" s="1232"/>
    </row>
    <row r="9" spans="2:19" ht="11.1" customHeight="1">
      <c r="B9" s="1236" t="s">
        <v>1084</v>
      </c>
      <c r="C9" s="1194" t="s">
        <v>97</v>
      </c>
      <c r="D9" s="1195" t="s">
        <v>48</v>
      </c>
      <c r="E9" s="1196"/>
      <c r="F9" s="1194" t="s">
        <v>97</v>
      </c>
      <c r="G9" s="1195" t="s">
        <v>48</v>
      </c>
      <c r="H9" s="1196"/>
      <c r="I9" s="1194" t="s">
        <v>97</v>
      </c>
      <c r="J9" s="1195" t="s">
        <v>48</v>
      </c>
      <c r="K9" s="1196"/>
      <c r="L9" s="1194" t="s">
        <v>97</v>
      </c>
      <c r="M9" s="1195" t="s">
        <v>48</v>
      </c>
      <c r="N9" s="1196"/>
      <c r="O9" s="1200" t="s">
        <v>48</v>
      </c>
      <c r="P9" s="1237" t="s">
        <v>48</v>
      </c>
      <c r="S9" t="s">
        <v>1085</v>
      </c>
    </row>
    <row r="10" spans="2:19" ht="15" customHeight="1">
      <c r="B10" s="1231" t="s">
        <v>1086</v>
      </c>
      <c r="C10" s="1194" t="s">
        <v>97</v>
      </c>
      <c r="D10" s="1195" t="s">
        <v>48</v>
      </c>
      <c r="E10" s="1196"/>
      <c r="F10" s="1194" t="s">
        <v>97</v>
      </c>
      <c r="G10" s="1195" t="s">
        <v>48</v>
      </c>
      <c r="H10" s="1196"/>
      <c r="I10" s="1194" t="s">
        <v>97</v>
      </c>
      <c r="J10" s="1195" t="s">
        <v>48</v>
      </c>
      <c r="K10" s="1196"/>
      <c r="L10" s="1194" t="s">
        <v>97</v>
      </c>
      <c r="M10" s="1195" t="s">
        <v>48</v>
      </c>
      <c r="N10" s="1196"/>
      <c r="O10" s="1200" t="s">
        <v>48</v>
      </c>
      <c r="P10" s="1239" t="s">
        <v>48</v>
      </c>
      <c r="S10" t="s">
        <v>1087</v>
      </c>
    </row>
    <row r="11" spans="2:19" ht="15" customHeight="1">
      <c r="B11" s="1231" t="s">
        <v>1088</v>
      </c>
      <c r="C11" s="1194" t="s">
        <v>97</v>
      </c>
      <c r="D11" s="1195" t="s">
        <v>48</v>
      </c>
      <c r="E11" s="1196"/>
      <c r="F11" s="1194" t="s">
        <v>97</v>
      </c>
      <c r="G11" s="1195" t="s">
        <v>48</v>
      </c>
      <c r="H11" s="1196"/>
      <c r="I11" s="1194" t="s">
        <v>97</v>
      </c>
      <c r="J11" s="1195" t="s">
        <v>48</v>
      </c>
      <c r="K11" s="1196"/>
      <c r="L11" s="1194" t="s">
        <v>97</v>
      </c>
      <c r="M11" s="1195" t="s">
        <v>48</v>
      </c>
      <c r="N11" s="1196"/>
      <c r="O11" s="1200" t="s">
        <v>48</v>
      </c>
      <c r="P11" s="1239" t="s">
        <v>48</v>
      </c>
      <c r="S11" t="s">
        <v>1089</v>
      </c>
    </row>
    <row r="12" spans="2:19" ht="15" customHeight="1" thickBot="1">
      <c r="B12" s="1240" t="s">
        <v>1090</v>
      </c>
      <c r="C12" s="1108" t="s">
        <v>97</v>
      </c>
      <c r="D12" s="1109" t="s">
        <v>48</v>
      </c>
      <c r="E12" s="1196"/>
      <c r="F12" s="1108" t="s">
        <v>97</v>
      </c>
      <c r="G12" s="1109" t="s">
        <v>48</v>
      </c>
      <c r="H12" s="1196"/>
      <c r="I12" s="1108" t="s">
        <v>97</v>
      </c>
      <c r="J12" s="1109" t="s">
        <v>48</v>
      </c>
      <c r="K12" s="1196"/>
      <c r="L12" s="1110">
        <v>813</v>
      </c>
      <c r="M12" s="1111">
        <v>2220</v>
      </c>
      <c r="N12" s="1196"/>
      <c r="O12" s="1124" t="s">
        <v>48</v>
      </c>
      <c r="P12" s="1241" t="s">
        <v>48</v>
      </c>
      <c r="S12" t="s">
        <v>1091</v>
      </c>
    </row>
    <row r="13" spans="2:19" ht="15" customHeight="1">
      <c r="B13" s="1242" t="s">
        <v>1092</v>
      </c>
      <c r="C13" s="1197">
        <f>SUM(C9:C12)</f>
        <v>0</v>
      </c>
      <c r="D13" s="1198">
        <f>SUM(D9:D12)</f>
        <v>0</v>
      </c>
      <c r="E13" s="1196"/>
      <c r="F13" s="1197">
        <f>SUM(F9:F12)</f>
        <v>0</v>
      </c>
      <c r="G13" s="1198">
        <f>SUM(G9:G12)</f>
        <v>0</v>
      </c>
      <c r="H13" s="1196"/>
      <c r="I13" s="1197">
        <f>SUM(I9:I12)</f>
        <v>0</v>
      </c>
      <c r="J13" s="1198">
        <f>SUM(J9:J12)</f>
        <v>0</v>
      </c>
      <c r="K13" s="1196"/>
      <c r="L13" s="1197">
        <f>SUM(L9:L12)</f>
        <v>813</v>
      </c>
      <c r="M13" s="1198">
        <f>SUM(M9:M12)</f>
        <v>2220</v>
      </c>
      <c r="N13" s="1196"/>
      <c r="O13" s="1243" t="s">
        <v>97</v>
      </c>
      <c r="P13" s="1244" t="s">
        <v>48</v>
      </c>
      <c r="S13" t="s">
        <v>1093</v>
      </c>
    </row>
    <row r="14" spans="2:19" ht="4.5" customHeight="1">
      <c r="B14" s="1231"/>
      <c r="C14" s="1197"/>
      <c r="D14" s="1196"/>
      <c r="E14" s="1196"/>
      <c r="F14" s="1197"/>
      <c r="G14" s="1199"/>
      <c r="H14" s="1196"/>
      <c r="I14" s="1197"/>
      <c r="J14" s="1199"/>
      <c r="K14" s="1196"/>
      <c r="L14" s="1687"/>
      <c r="M14" s="1199"/>
      <c r="N14" s="1196"/>
      <c r="O14" s="1197"/>
      <c r="P14" s="1245"/>
    </row>
    <row r="15" spans="2:19" ht="14.25" customHeight="1">
      <c r="B15" s="1234"/>
      <c r="C15" s="1898" t="s">
        <v>1072</v>
      </c>
      <c r="D15" s="1898"/>
      <c r="E15" s="1196"/>
      <c r="F15" s="1898" t="s">
        <v>1094</v>
      </c>
      <c r="G15" s="1898"/>
      <c r="H15" s="1196"/>
      <c r="I15" s="1898" t="s">
        <v>1074</v>
      </c>
      <c r="J15" s="1898"/>
      <c r="K15" s="117"/>
      <c r="L15" s="1898" t="s">
        <v>1075</v>
      </c>
      <c r="M15" s="1898"/>
      <c r="N15" s="1896" t="s">
        <v>1095</v>
      </c>
      <c r="O15" s="1896"/>
      <c r="P15" s="1897"/>
    </row>
    <row r="16" spans="2:19" ht="12" customHeight="1">
      <c r="B16" s="1234" t="s">
        <v>1096</v>
      </c>
      <c r="C16" s="1187" t="s">
        <v>1079</v>
      </c>
      <c r="D16" s="1684" t="s">
        <v>1080</v>
      </c>
      <c r="E16" s="1196"/>
      <c r="F16" s="1187" t="s">
        <v>1079</v>
      </c>
      <c r="G16" s="1684" t="s">
        <v>1080</v>
      </c>
      <c r="H16" s="1196"/>
      <c r="I16" s="1190" t="s">
        <v>1079</v>
      </c>
      <c r="J16" s="1191" t="s">
        <v>1080</v>
      </c>
      <c r="K16" s="1684"/>
      <c r="L16" s="1190" t="s">
        <v>1079</v>
      </c>
      <c r="M16" s="1191" t="s">
        <v>1080</v>
      </c>
      <c r="N16" s="1684"/>
      <c r="O16" s="1192" t="s">
        <v>1079</v>
      </c>
      <c r="P16" s="1235" t="s">
        <v>1080</v>
      </c>
    </row>
    <row r="17" spans="2:23" ht="15" customHeight="1">
      <c r="B17" s="1231" t="s">
        <v>1097</v>
      </c>
      <c r="C17" s="1197">
        <v>908</v>
      </c>
      <c r="D17" s="1198">
        <v>11577</v>
      </c>
      <c r="E17" s="1196"/>
      <c r="F17" s="1197">
        <v>0</v>
      </c>
      <c r="G17" s="1196">
        <v>0</v>
      </c>
      <c r="H17" s="1196"/>
      <c r="I17" s="1197">
        <v>0</v>
      </c>
      <c r="J17" s="1198">
        <v>0</v>
      </c>
      <c r="K17" s="1196"/>
      <c r="L17" s="1197">
        <v>0</v>
      </c>
      <c r="M17" s="1198">
        <v>0</v>
      </c>
      <c r="N17" s="1196"/>
      <c r="O17" s="1200" t="s">
        <v>48</v>
      </c>
      <c r="P17" s="1237" t="s">
        <v>48</v>
      </c>
    </row>
    <row r="18" spans="2:23" ht="15" customHeight="1">
      <c r="B18" s="1231" t="s">
        <v>1098</v>
      </c>
      <c r="C18" s="1197">
        <v>7255</v>
      </c>
      <c r="D18" s="1198">
        <v>89380</v>
      </c>
      <c r="E18" s="1196"/>
      <c r="F18" s="1197">
        <v>0</v>
      </c>
      <c r="G18" s="1196">
        <v>0</v>
      </c>
      <c r="H18" s="1196"/>
      <c r="I18" s="1197">
        <v>1</v>
      </c>
      <c r="J18" s="1198">
        <v>3</v>
      </c>
      <c r="K18" s="1196"/>
      <c r="L18" s="1197">
        <v>0</v>
      </c>
      <c r="M18" s="1198">
        <v>0</v>
      </c>
      <c r="N18" s="1196"/>
      <c r="O18" s="1200" t="s">
        <v>48</v>
      </c>
      <c r="P18" s="1237" t="s">
        <v>48</v>
      </c>
    </row>
    <row r="19" spans="2:23">
      <c r="B19" s="1246" t="s">
        <v>1099</v>
      </c>
      <c r="C19" s="1112">
        <v>2666</v>
      </c>
      <c r="D19" s="1113">
        <v>32555</v>
      </c>
      <c r="E19" s="1114"/>
      <c r="F19" s="1112">
        <v>0</v>
      </c>
      <c r="G19" s="1114">
        <v>0</v>
      </c>
      <c r="H19" s="1114"/>
      <c r="I19" s="1112">
        <v>19</v>
      </c>
      <c r="J19" s="1113">
        <v>66</v>
      </c>
      <c r="K19" s="1114"/>
      <c r="L19" s="1112">
        <v>0</v>
      </c>
      <c r="M19" s="1113">
        <v>0</v>
      </c>
      <c r="N19" s="1114"/>
      <c r="O19" s="1115" t="s">
        <v>48</v>
      </c>
      <c r="P19" s="1238" t="s">
        <v>48</v>
      </c>
    </row>
    <row r="20" spans="2:23">
      <c r="B20" s="1231" t="s">
        <v>1100</v>
      </c>
      <c r="C20" s="1197">
        <v>440</v>
      </c>
      <c r="D20" s="1198">
        <v>5416</v>
      </c>
      <c r="E20" s="1196"/>
      <c r="F20" s="1197">
        <v>0</v>
      </c>
      <c r="G20" s="1196">
        <v>0</v>
      </c>
      <c r="H20" s="1196"/>
      <c r="I20" s="1197">
        <v>0</v>
      </c>
      <c r="J20" s="1198">
        <v>0</v>
      </c>
      <c r="K20" s="1196"/>
      <c r="L20" s="1197">
        <v>0</v>
      </c>
      <c r="M20" s="1198">
        <v>0</v>
      </c>
      <c r="N20" s="1196"/>
      <c r="O20" s="1200" t="s">
        <v>48</v>
      </c>
      <c r="P20" s="1237" t="s">
        <v>48</v>
      </c>
    </row>
    <row r="21" spans="2:23">
      <c r="B21" s="1231" t="s">
        <v>1101</v>
      </c>
      <c r="C21" s="1197">
        <v>825</v>
      </c>
      <c r="D21" s="1198">
        <v>10242</v>
      </c>
      <c r="E21" s="1196"/>
      <c r="F21" s="1197">
        <v>0</v>
      </c>
      <c r="G21" s="1196">
        <v>0</v>
      </c>
      <c r="H21" s="1196"/>
      <c r="I21" s="1197">
        <v>0</v>
      </c>
      <c r="J21" s="1198">
        <v>0</v>
      </c>
      <c r="K21" s="1196"/>
      <c r="L21" s="1197">
        <v>0</v>
      </c>
      <c r="M21" s="1198">
        <v>0</v>
      </c>
      <c r="N21" s="1196"/>
      <c r="O21" s="1200" t="s">
        <v>48</v>
      </c>
      <c r="P21" s="1237" t="s">
        <v>48</v>
      </c>
    </row>
    <row r="22" spans="2:23">
      <c r="B22" s="1246" t="s">
        <v>1102</v>
      </c>
      <c r="C22" s="1112">
        <v>438</v>
      </c>
      <c r="D22" s="1113">
        <v>5277</v>
      </c>
      <c r="E22" s="1114"/>
      <c r="F22" s="1112">
        <v>0</v>
      </c>
      <c r="G22" s="1114">
        <v>0</v>
      </c>
      <c r="H22" s="1114"/>
      <c r="I22" s="1112">
        <v>0</v>
      </c>
      <c r="J22" s="1113">
        <v>0</v>
      </c>
      <c r="K22" s="1114"/>
      <c r="L22" s="1112">
        <v>0</v>
      </c>
      <c r="M22" s="1113">
        <v>0</v>
      </c>
      <c r="N22" s="1114"/>
      <c r="O22" s="1115" t="s">
        <v>48</v>
      </c>
      <c r="P22" s="1238" t="s">
        <v>48</v>
      </c>
    </row>
    <row r="23" spans="2:23">
      <c r="B23" s="1236" t="s">
        <v>1103</v>
      </c>
      <c r="C23" s="1201">
        <v>636</v>
      </c>
      <c r="D23" s="1198">
        <v>7008</v>
      </c>
      <c r="E23" s="1196"/>
      <c r="F23" s="1201">
        <v>1</v>
      </c>
      <c r="G23" s="1202">
        <v>6</v>
      </c>
      <c r="H23" s="1196"/>
      <c r="I23" s="1201">
        <v>0</v>
      </c>
      <c r="J23" s="1203">
        <v>0</v>
      </c>
      <c r="K23" s="1196"/>
      <c r="L23" s="1201">
        <v>0</v>
      </c>
      <c r="M23" s="1203">
        <v>0</v>
      </c>
      <c r="N23" s="1196"/>
      <c r="O23" s="1200" t="s">
        <v>48</v>
      </c>
      <c r="P23" s="1237" t="s">
        <v>48</v>
      </c>
    </row>
    <row r="24" spans="2:23">
      <c r="B24" s="1236" t="s">
        <v>1104</v>
      </c>
      <c r="C24" s="1201">
        <v>3881</v>
      </c>
      <c r="D24" s="1203">
        <v>41189</v>
      </c>
      <c r="E24" s="1196"/>
      <c r="F24" s="1201">
        <v>0</v>
      </c>
      <c r="G24" s="1202">
        <v>0</v>
      </c>
      <c r="H24" s="1196"/>
      <c r="I24" s="1201">
        <v>0</v>
      </c>
      <c r="J24" s="1203">
        <v>0</v>
      </c>
      <c r="K24" s="1196"/>
      <c r="L24" s="1201">
        <v>0</v>
      </c>
      <c r="M24" s="1203">
        <v>0</v>
      </c>
      <c r="N24" s="1196"/>
      <c r="O24" s="1200" t="s">
        <v>48</v>
      </c>
      <c r="P24" s="1237" t="s">
        <v>48</v>
      </c>
    </row>
    <row r="25" spans="2:23">
      <c r="B25" s="1247" t="s">
        <v>1105</v>
      </c>
      <c r="C25" s="1116">
        <v>2505</v>
      </c>
      <c r="D25" s="1117">
        <v>29094</v>
      </c>
      <c r="E25" s="1114"/>
      <c r="F25" s="1116">
        <v>0</v>
      </c>
      <c r="G25" s="1118">
        <v>0</v>
      </c>
      <c r="H25" s="1114"/>
      <c r="I25" s="1116">
        <v>3</v>
      </c>
      <c r="J25" s="1117">
        <v>11</v>
      </c>
      <c r="K25" s="1114"/>
      <c r="L25" s="1116">
        <v>0</v>
      </c>
      <c r="M25" s="1117">
        <v>0</v>
      </c>
      <c r="N25" s="1196"/>
      <c r="O25" s="1115" t="s">
        <v>48</v>
      </c>
      <c r="P25" s="1238" t="s">
        <v>48</v>
      </c>
    </row>
    <row r="26" spans="2:23" ht="12" customHeight="1">
      <c r="B26" s="1231" t="s">
        <v>1106</v>
      </c>
      <c r="C26" s="1204">
        <v>29</v>
      </c>
      <c r="D26" s="1205">
        <v>432</v>
      </c>
      <c r="E26" s="1196"/>
      <c r="F26" s="1201">
        <v>0</v>
      </c>
      <c r="G26" s="1202">
        <v>0</v>
      </c>
      <c r="H26" s="1196"/>
      <c r="I26" s="1201">
        <v>0</v>
      </c>
      <c r="J26" s="1203">
        <v>0</v>
      </c>
      <c r="K26" s="1196"/>
      <c r="L26" s="1201">
        <v>0</v>
      </c>
      <c r="M26" s="1203">
        <v>0</v>
      </c>
      <c r="N26" s="1196"/>
      <c r="O26" s="1200" t="s">
        <v>48</v>
      </c>
      <c r="P26" s="1239" t="s">
        <v>48</v>
      </c>
      <c r="S26" s="1248"/>
      <c r="T26" s="1249"/>
      <c r="U26" s="1249"/>
      <c r="V26" s="1249"/>
      <c r="W26" s="1249"/>
    </row>
    <row r="27" spans="2:23" ht="14.1" customHeight="1" thickBot="1">
      <c r="B27" s="1240" t="s">
        <v>1107</v>
      </c>
      <c r="C27" s="1119">
        <v>3</v>
      </c>
      <c r="D27" s="1120">
        <v>33</v>
      </c>
      <c r="E27" s="1196"/>
      <c r="F27" s="1110">
        <v>0</v>
      </c>
      <c r="G27" s="1121">
        <v>0</v>
      </c>
      <c r="H27" s="1196"/>
      <c r="I27" s="1122">
        <v>0</v>
      </c>
      <c r="J27" s="1123">
        <v>0</v>
      </c>
      <c r="K27" s="1196"/>
      <c r="L27" s="1122">
        <v>0</v>
      </c>
      <c r="M27" s="1123">
        <v>0</v>
      </c>
      <c r="N27" s="1196"/>
      <c r="O27" s="1124" t="s">
        <v>48</v>
      </c>
      <c r="P27" s="1241" t="s">
        <v>48</v>
      </c>
    </row>
    <row r="28" spans="2:23">
      <c r="B28" s="1242" t="s">
        <v>1108</v>
      </c>
      <c r="C28" s="1197">
        <f>SUM(C17:C27)</f>
        <v>19586</v>
      </c>
      <c r="D28" s="1198">
        <f>SUM(D17:D27)</f>
        <v>232203</v>
      </c>
      <c r="E28" s="1196"/>
      <c r="F28" s="1197">
        <f>SUM(F17:F27)</f>
        <v>1</v>
      </c>
      <c r="G28" s="1196">
        <f>SUM(G17:G27)</f>
        <v>6</v>
      </c>
      <c r="H28" s="1196"/>
      <c r="I28" s="1197">
        <f>SUM(I17:I27)</f>
        <v>23</v>
      </c>
      <c r="J28" s="1198">
        <f>SUM(J17:J27)</f>
        <v>80</v>
      </c>
      <c r="K28" s="1196"/>
      <c r="L28" s="1197">
        <f>SUM(L17:L27)</f>
        <v>0</v>
      </c>
      <c r="M28" s="1198">
        <f>SUM(M17:M27)</f>
        <v>0</v>
      </c>
      <c r="N28" s="1196"/>
      <c r="O28" s="1243" t="s">
        <v>97</v>
      </c>
      <c r="P28" s="1244" t="s">
        <v>48</v>
      </c>
    </row>
    <row r="29" spans="2:23" ht="9" customHeight="1">
      <c r="B29" s="500"/>
      <c r="C29" s="1197"/>
      <c r="D29" s="1199"/>
      <c r="E29" s="1196"/>
      <c r="F29" s="1197"/>
      <c r="G29" s="1199"/>
      <c r="H29" s="1196"/>
      <c r="I29" s="1197"/>
      <c r="J29" s="1199"/>
      <c r="K29" s="1196"/>
      <c r="L29" s="1197"/>
      <c r="M29" s="1199"/>
      <c r="N29" s="1196"/>
      <c r="O29" s="1197"/>
      <c r="P29" s="1245"/>
    </row>
    <row r="30" spans="2:23" ht="12.75" customHeight="1" thickBot="1">
      <c r="B30" s="1250" t="s">
        <v>1109</v>
      </c>
      <c r="C30" s="1687" t="s">
        <v>809</v>
      </c>
      <c r="D30" s="1199"/>
      <c r="E30" s="1196"/>
      <c r="F30" s="1687" t="s">
        <v>963</v>
      </c>
      <c r="G30" s="1199"/>
      <c r="H30" s="1196"/>
      <c r="I30" s="1687" t="s">
        <v>927</v>
      </c>
      <c r="J30" s="1199"/>
      <c r="K30" s="1196"/>
      <c r="L30" s="1687" t="s">
        <v>1110</v>
      </c>
      <c r="M30" s="1199"/>
      <c r="N30" s="117"/>
      <c r="O30" s="1687" t="s">
        <v>966</v>
      </c>
      <c r="P30" s="1688"/>
    </row>
    <row r="31" spans="2:23">
      <c r="B31" s="1250" t="s">
        <v>1111</v>
      </c>
      <c r="C31" s="1125"/>
      <c r="D31" s="1199"/>
      <c r="E31" s="1196"/>
      <c r="F31" s="1125"/>
      <c r="G31" s="1199"/>
      <c r="H31" s="1196"/>
      <c r="I31" s="1125"/>
      <c r="J31" s="1199"/>
      <c r="K31" s="1196"/>
      <c r="L31" s="1125"/>
      <c r="M31" s="1199"/>
      <c r="N31" s="1196"/>
      <c r="O31" s="1125"/>
      <c r="P31" s="1245"/>
    </row>
    <row r="32" spans="2:23" ht="12.75" customHeight="1">
      <c r="B32" s="1250" t="s">
        <v>1070</v>
      </c>
      <c r="C32" s="1126">
        <f>C13+C28</f>
        <v>19586</v>
      </c>
      <c r="D32" s="1206">
        <f>D13+D28</f>
        <v>232203</v>
      </c>
      <c r="E32" s="1196"/>
      <c r="F32" s="1126">
        <f>F28</f>
        <v>1</v>
      </c>
      <c r="G32" s="1206">
        <f>G28</f>
        <v>6</v>
      </c>
      <c r="H32" s="1196"/>
      <c r="I32" s="1126">
        <f>I13+I28</f>
        <v>23</v>
      </c>
      <c r="J32" s="1206">
        <f>J13+J28</f>
        <v>80</v>
      </c>
      <c r="K32" s="1196"/>
      <c r="L32" s="1126">
        <f>L13+L28</f>
        <v>813</v>
      </c>
      <c r="M32" s="1206">
        <f>M13+M28</f>
        <v>2220</v>
      </c>
      <c r="N32" s="1196"/>
      <c r="O32" s="1127" t="s">
        <v>982</v>
      </c>
      <c r="P32" s="1251" t="s">
        <v>48</v>
      </c>
    </row>
    <row r="33" spans="2:16" ht="13.35" customHeight="1" thickBot="1">
      <c r="B33" s="1250" t="s">
        <v>1112</v>
      </c>
      <c r="C33" s="1128"/>
      <c r="D33" s="117"/>
      <c r="E33" s="117"/>
      <c r="F33" s="1128"/>
      <c r="G33" s="117"/>
      <c r="H33" s="117"/>
      <c r="I33" s="1252"/>
      <c r="J33" s="117"/>
      <c r="K33" s="117"/>
      <c r="L33" s="1128"/>
      <c r="M33" s="117"/>
      <c r="N33" s="117"/>
      <c r="O33" s="1253"/>
      <c r="P33" s="1232"/>
    </row>
    <row r="34" spans="2:16" ht="9" customHeight="1">
      <c r="B34" s="1254"/>
      <c r="C34" s="1129"/>
      <c r="D34" s="1129"/>
      <c r="E34" s="1129"/>
      <c r="F34" s="1129"/>
      <c r="G34" s="1129"/>
      <c r="H34" s="1129"/>
      <c r="I34" s="1129"/>
      <c r="J34" s="1129"/>
      <c r="K34" s="1129"/>
      <c r="L34" s="1129"/>
      <c r="M34" s="1129"/>
      <c r="N34" s="1129"/>
      <c r="O34" s="1129"/>
      <c r="P34" s="1255"/>
    </row>
    <row r="35" spans="2:16" ht="9" customHeight="1">
      <c r="B35" s="1231"/>
      <c r="C35" s="117"/>
      <c r="D35" s="117"/>
      <c r="E35" s="117"/>
      <c r="F35" s="117"/>
      <c r="G35" s="117"/>
      <c r="H35" s="117"/>
      <c r="I35" s="117"/>
      <c r="J35" s="117"/>
      <c r="K35" s="117"/>
      <c r="L35" s="117"/>
      <c r="M35" s="117"/>
      <c r="N35" s="117"/>
      <c r="O35" s="117"/>
      <c r="P35" s="1232"/>
    </row>
    <row r="36" spans="2:16" ht="15" customHeight="1">
      <c r="B36" s="1256" t="s">
        <v>1113</v>
      </c>
      <c r="C36" s="117"/>
      <c r="D36" s="117"/>
      <c r="E36" s="117"/>
      <c r="F36" s="117"/>
      <c r="G36" s="117"/>
      <c r="H36" s="117"/>
      <c r="I36" s="117"/>
      <c r="J36" s="117"/>
      <c r="K36" s="117"/>
      <c r="L36" s="117"/>
      <c r="M36" s="117"/>
      <c r="N36" s="117"/>
      <c r="O36" s="117"/>
      <c r="P36" s="1232"/>
    </row>
    <row r="37" spans="2:16" ht="9" customHeight="1">
      <c r="B37" s="1231"/>
      <c r="C37" s="117"/>
      <c r="D37" s="117"/>
      <c r="E37" s="117"/>
      <c r="F37" s="117"/>
      <c r="G37" s="117"/>
      <c r="H37" s="117"/>
      <c r="I37" s="117"/>
      <c r="J37" s="117"/>
      <c r="K37" s="117"/>
      <c r="L37" s="117"/>
      <c r="M37" s="117"/>
      <c r="N37" s="117"/>
      <c r="O37" s="117"/>
      <c r="P37" s="1232"/>
    </row>
    <row r="38" spans="2:16" ht="16.350000000000001" customHeight="1">
      <c r="B38" s="1233" t="s">
        <v>924</v>
      </c>
      <c r="C38" s="1898" t="s">
        <v>1072</v>
      </c>
      <c r="D38" s="1898"/>
      <c r="E38" s="117"/>
      <c r="F38" s="1898" t="s">
        <v>1094</v>
      </c>
      <c r="G38" s="1898"/>
      <c r="H38" s="117"/>
      <c r="I38" s="1898" t="s">
        <v>1114</v>
      </c>
      <c r="J38" s="1898"/>
      <c r="K38" s="117"/>
      <c r="L38" s="1898" t="s">
        <v>1074</v>
      </c>
      <c r="M38" s="1898"/>
      <c r="N38" s="1896" t="s">
        <v>1095</v>
      </c>
      <c r="O38" s="1896"/>
      <c r="P38" s="1897"/>
    </row>
    <row r="39" spans="2:16">
      <c r="B39" s="1234" t="s">
        <v>1078</v>
      </c>
      <c r="C39" s="1187" t="s">
        <v>1079</v>
      </c>
      <c r="D39" s="1684" t="s">
        <v>1080</v>
      </c>
      <c r="E39" s="1684"/>
      <c r="F39" s="1192" t="s">
        <v>1079</v>
      </c>
      <c r="G39" s="1684" t="s">
        <v>1080</v>
      </c>
      <c r="H39" s="1684"/>
      <c r="I39" s="1192" t="s">
        <v>1079</v>
      </c>
      <c r="J39" s="1684" t="s">
        <v>1080</v>
      </c>
      <c r="K39" s="1684"/>
      <c r="L39" s="1192" t="s">
        <v>1079</v>
      </c>
      <c r="M39" s="1684" t="s">
        <v>1080</v>
      </c>
      <c r="N39" s="1684"/>
      <c r="O39" s="1192" t="s">
        <v>1079</v>
      </c>
      <c r="P39" s="1235" t="s">
        <v>1080</v>
      </c>
    </row>
    <row r="40" spans="2:16" ht="9" customHeight="1">
      <c r="B40" s="1231"/>
      <c r="C40" s="117"/>
      <c r="D40" s="117"/>
      <c r="E40" s="117"/>
      <c r="F40" s="117"/>
      <c r="G40" s="117"/>
      <c r="H40" s="117"/>
      <c r="I40" s="117"/>
      <c r="J40" s="117"/>
      <c r="K40" s="117"/>
      <c r="L40" s="117"/>
      <c r="M40" s="117"/>
      <c r="N40" s="117"/>
      <c r="O40" s="117"/>
      <c r="P40" s="1232"/>
    </row>
    <row r="41" spans="2:16" ht="14.1" customHeight="1">
      <c r="B41" s="1257" t="s">
        <v>1115</v>
      </c>
      <c r="C41" s="1130">
        <v>24539</v>
      </c>
      <c r="D41" s="1131">
        <v>380920</v>
      </c>
      <c r="E41" s="1196"/>
      <c r="F41" s="1130">
        <v>904</v>
      </c>
      <c r="G41" s="1131">
        <v>5542</v>
      </c>
      <c r="H41" s="1196"/>
      <c r="I41" s="1130">
        <v>0</v>
      </c>
      <c r="J41" s="1131">
        <v>0</v>
      </c>
      <c r="K41" s="1196"/>
      <c r="L41" s="1130">
        <v>4</v>
      </c>
      <c r="M41" s="1131">
        <v>16</v>
      </c>
      <c r="N41" s="1196"/>
      <c r="O41" s="1132" t="s">
        <v>48</v>
      </c>
      <c r="P41" s="1258" t="s">
        <v>48</v>
      </c>
    </row>
    <row r="42" spans="2:16">
      <c r="B42" s="1259" t="s">
        <v>1116</v>
      </c>
      <c r="C42" s="1197">
        <f>C41</f>
        <v>24539</v>
      </c>
      <c r="D42" s="1198">
        <f>D41</f>
        <v>380920</v>
      </c>
      <c r="E42" s="1196"/>
      <c r="F42" s="1197">
        <f>F41</f>
        <v>904</v>
      </c>
      <c r="G42" s="1198">
        <f>G41</f>
        <v>5542</v>
      </c>
      <c r="H42" s="1196"/>
      <c r="I42" s="1197">
        <f>I41</f>
        <v>0</v>
      </c>
      <c r="J42" s="1198">
        <f>J41</f>
        <v>0</v>
      </c>
      <c r="K42" s="1196"/>
      <c r="L42" s="1197">
        <f>L41</f>
        <v>4</v>
      </c>
      <c r="M42" s="1198">
        <f>M41</f>
        <v>16</v>
      </c>
      <c r="N42" s="1196"/>
      <c r="O42" s="1260" t="s">
        <v>48</v>
      </c>
      <c r="P42" s="1261" t="s">
        <v>48</v>
      </c>
    </row>
    <row r="43" spans="2:16" ht="9" customHeight="1">
      <c r="B43" s="1231"/>
      <c r="C43" s="1197"/>
      <c r="D43" s="1198"/>
      <c r="E43" s="1196"/>
      <c r="F43" s="1197"/>
      <c r="G43" s="1198"/>
      <c r="H43" s="1196"/>
      <c r="I43" s="1197"/>
      <c r="J43" s="1198"/>
      <c r="K43" s="1196"/>
      <c r="L43" s="1197"/>
      <c r="M43" s="1198"/>
      <c r="N43" s="1196"/>
      <c r="O43" s="1200"/>
      <c r="P43" s="1239"/>
    </row>
    <row r="44" spans="2:16" ht="13.35" customHeight="1">
      <c r="B44" s="1262" t="s">
        <v>1117</v>
      </c>
      <c r="C44" s="1197">
        <v>0</v>
      </c>
      <c r="D44" s="1198">
        <v>0</v>
      </c>
      <c r="E44" s="1196"/>
      <c r="F44" s="1197">
        <v>0</v>
      </c>
      <c r="G44" s="1198">
        <v>0</v>
      </c>
      <c r="H44" s="1196"/>
      <c r="I44" s="1197">
        <v>0</v>
      </c>
      <c r="J44" s="1198">
        <v>0</v>
      </c>
      <c r="K44" s="1196"/>
      <c r="L44" s="1197">
        <v>0</v>
      </c>
      <c r="M44" s="1198">
        <v>0</v>
      </c>
      <c r="N44" s="1196"/>
      <c r="O44" s="1200" t="s">
        <v>48</v>
      </c>
      <c r="P44" s="1239" t="s">
        <v>48</v>
      </c>
    </row>
    <row r="45" spans="2:16" ht="13.35" customHeight="1">
      <c r="B45" s="1263" t="s">
        <v>1118</v>
      </c>
      <c r="C45" s="1130">
        <v>12730</v>
      </c>
      <c r="D45" s="1131">
        <v>180800</v>
      </c>
      <c r="E45" s="1196"/>
      <c r="F45" s="1130">
        <v>2193</v>
      </c>
      <c r="G45" s="1131">
        <v>16121</v>
      </c>
      <c r="H45" s="1196"/>
      <c r="I45" s="1130">
        <v>0</v>
      </c>
      <c r="J45" s="1131">
        <v>0</v>
      </c>
      <c r="K45" s="1196"/>
      <c r="L45" s="1130">
        <v>0</v>
      </c>
      <c r="M45" s="1131">
        <v>0</v>
      </c>
      <c r="N45" s="1196"/>
      <c r="O45" s="1132" t="s">
        <v>48</v>
      </c>
      <c r="P45" s="1258" t="s">
        <v>48</v>
      </c>
    </row>
    <row r="46" spans="2:16">
      <c r="B46" s="1259" t="s">
        <v>1119</v>
      </c>
      <c r="C46" s="1197">
        <f>SUM(C44:C45)</f>
        <v>12730</v>
      </c>
      <c r="D46" s="1198">
        <f>SUM(D44:D45)</f>
        <v>180800</v>
      </c>
      <c r="E46" s="1196"/>
      <c r="F46" s="1197">
        <f>SUM(F44:F45)</f>
        <v>2193</v>
      </c>
      <c r="G46" s="1198">
        <f>SUM(G44:G45)</f>
        <v>16121</v>
      </c>
      <c r="H46" s="1196"/>
      <c r="I46" s="1197">
        <f>SUM(I44:I45)</f>
        <v>0</v>
      </c>
      <c r="J46" s="1198">
        <f>SUM(J44:J45)</f>
        <v>0</v>
      </c>
      <c r="K46" s="1196"/>
      <c r="L46" s="1197">
        <f>SUM(L44:L45)</f>
        <v>0</v>
      </c>
      <c r="M46" s="1198">
        <f>SUM(M44:M45)</f>
        <v>0</v>
      </c>
      <c r="N46" s="1196"/>
      <c r="O46" s="1260" t="s">
        <v>48</v>
      </c>
      <c r="P46" s="1261" t="s">
        <v>48</v>
      </c>
    </row>
    <row r="47" spans="2:16" ht="9" customHeight="1">
      <c r="B47" s="1264"/>
      <c r="C47" s="1197"/>
      <c r="D47" s="1198"/>
      <c r="E47" s="1196"/>
      <c r="F47" s="1197"/>
      <c r="G47" s="1198"/>
      <c r="H47" s="1196"/>
      <c r="I47" s="1197"/>
      <c r="J47" s="1198"/>
      <c r="K47" s="1196"/>
      <c r="L47" s="1197"/>
      <c r="M47" s="1198"/>
      <c r="N47" s="1196"/>
      <c r="O47" s="1685"/>
      <c r="P47" s="1265"/>
    </row>
    <row r="48" spans="2:16">
      <c r="B48" s="1266" t="s">
        <v>1120</v>
      </c>
      <c r="C48" s="1197">
        <v>0</v>
      </c>
      <c r="D48" s="1198">
        <v>0</v>
      </c>
      <c r="E48" s="1196"/>
      <c r="F48" s="1197">
        <v>0</v>
      </c>
      <c r="G48" s="1198">
        <v>0</v>
      </c>
      <c r="H48" s="1196"/>
      <c r="I48" s="1197">
        <v>0</v>
      </c>
      <c r="J48" s="1198">
        <v>0</v>
      </c>
      <c r="K48" s="1196"/>
      <c r="L48" s="1197">
        <v>0</v>
      </c>
      <c r="M48" s="1198">
        <v>0</v>
      </c>
      <c r="N48" s="1196"/>
      <c r="O48" s="1200" t="s">
        <v>48</v>
      </c>
      <c r="P48" s="1239" t="s">
        <v>48</v>
      </c>
    </row>
    <row r="49" spans="2:16">
      <c r="B49" s="1257" t="s">
        <v>1121</v>
      </c>
      <c r="C49" s="1130">
        <v>0</v>
      </c>
      <c r="D49" s="1131">
        <v>0</v>
      </c>
      <c r="E49" s="1196"/>
      <c r="F49" s="1130">
        <v>0</v>
      </c>
      <c r="G49" s="1131">
        <v>0</v>
      </c>
      <c r="H49" s="1196"/>
      <c r="I49" s="1130">
        <v>0</v>
      </c>
      <c r="J49" s="1131">
        <v>0</v>
      </c>
      <c r="K49" s="1196"/>
      <c r="L49" s="1130">
        <v>0</v>
      </c>
      <c r="M49" s="1131">
        <v>0</v>
      </c>
      <c r="N49" s="1196"/>
      <c r="O49" s="1132" t="s">
        <v>48</v>
      </c>
      <c r="P49" s="1258" t="s">
        <v>48</v>
      </c>
    </row>
    <row r="50" spans="2:16">
      <c r="B50" s="1264" t="s">
        <v>1122</v>
      </c>
      <c r="C50" s="1197">
        <f>SUM(C48:C49)</f>
        <v>0</v>
      </c>
      <c r="D50" s="1198">
        <f>SUM(D48:D49)</f>
        <v>0</v>
      </c>
      <c r="E50" s="1196"/>
      <c r="F50" s="1197">
        <f>SUM(F48:F49)</f>
        <v>0</v>
      </c>
      <c r="G50" s="1198">
        <f>SUM(G48:G49)</f>
        <v>0</v>
      </c>
      <c r="H50" s="1196"/>
      <c r="I50" s="1197">
        <f>SUM(I48:I49)</f>
        <v>0</v>
      </c>
      <c r="J50" s="1198">
        <f>SUM(J48:J49)</f>
        <v>0</v>
      </c>
      <c r="K50" s="1196"/>
      <c r="L50" s="1197">
        <f>SUM(L48:L49)</f>
        <v>0</v>
      </c>
      <c r="M50" s="1198">
        <f>SUM(M48:M49)</f>
        <v>0</v>
      </c>
      <c r="N50" s="1196"/>
      <c r="O50" s="1260" t="s">
        <v>48</v>
      </c>
      <c r="P50" s="1261" t="s">
        <v>48</v>
      </c>
    </row>
    <row r="51" spans="2:16" ht="9" customHeight="1" thickBot="1">
      <c r="B51" s="1240"/>
      <c r="C51" s="1110"/>
      <c r="D51" s="1111"/>
      <c r="E51" s="1121"/>
      <c r="F51" s="1110"/>
      <c r="G51" s="1111"/>
      <c r="H51" s="1121"/>
      <c r="I51" s="1110"/>
      <c r="J51" s="1111"/>
      <c r="K51" s="1121"/>
      <c r="L51" s="1110"/>
      <c r="M51" s="1111"/>
      <c r="N51" s="1121"/>
      <c r="O51" s="1124"/>
      <c r="P51" s="1241"/>
    </row>
    <row r="52" spans="2:16">
      <c r="B52" s="1264" t="s">
        <v>1123</v>
      </c>
      <c r="C52" s="1197">
        <f>C42+C46+C50</f>
        <v>37269</v>
      </c>
      <c r="D52" s="1198">
        <f>D42+D46+D50</f>
        <v>561720</v>
      </c>
      <c r="E52" s="1196"/>
      <c r="F52" s="1197">
        <f>F42+F46+F50</f>
        <v>3097</v>
      </c>
      <c r="G52" s="1198">
        <f>G42+G46+G50</f>
        <v>21663</v>
      </c>
      <c r="H52" s="1196"/>
      <c r="I52" s="1197">
        <f>I42+I46+I50</f>
        <v>0</v>
      </c>
      <c r="J52" s="1198">
        <f>J42+J46+J50</f>
        <v>0</v>
      </c>
      <c r="K52" s="1196"/>
      <c r="L52" s="1197">
        <f>L42+L46+L50</f>
        <v>4</v>
      </c>
      <c r="M52" s="1198">
        <f>M42+M46+M50</f>
        <v>16</v>
      </c>
      <c r="N52" s="1196"/>
      <c r="O52" s="1243" t="s">
        <v>97</v>
      </c>
      <c r="P52" s="1244" t="s">
        <v>48</v>
      </c>
    </row>
    <row r="53" spans="2:16" ht="9.6" customHeight="1">
      <c r="B53" s="1231"/>
      <c r="C53" s="1197"/>
      <c r="D53" s="1199"/>
      <c r="E53" s="1196"/>
      <c r="F53" s="1197"/>
      <c r="G53" s="1199"/>
      <c r="H53" s="1196"/>
      <c r="I53" s="1687"/>
      <c r="J53" s="1199"/>
      <c r="K53" s="1196"/>
      <c r="L53" s="1687"/>
      <c r="M53" s="1199"/>
      <c r="N53" s="1196"/>
      <c r="O53" s="1200"/>
      <c r="P53" s="1267"/>
    </row>
    <row r="54" spans="2:16">
      <c r="B54" s="1234" t="s">
        <v>1096</v>
      </c>
      <c r="C54" s="1197"/>
      <c r="D54" s="1199"/>
      <c r="E54" s="1196"/>
      <c r="F54" s="1197"/>
      <c r="G54" s="1199"/>
      <c r="H54" s="1196"/>
      <c r="I54" s="1197"/>
      <c r="J54" s="1199"/>
      <c r="K54" s="1196"/>
      <c r="L54" s="1197"/>
      <c r="M54" s="1199"/>
      <c r="N54" s="1196"/>
      <c r="O54" s="1200"/>
      <c r="P54" s="1267"/>
    </row>
    <row r="55" spans="2:16">
      <c r="B55" s="1231" t="s">
        <v>1124</v>
      </c>
      <c r="C55" s="1197">
        <v>10223</v>
      </c>
      <c r="D55" s="1198">
        <v>105637</v>
      </c>
      <c r="E55" s="1196"/>
      <c r="F55" s="1197">
        <v>28561</v>
      </c>
      <c r="G55" s="1198">
        <v>221055</v>
      </c>
      <c r="H55" s="1196"/>
      <c r="I55" s="1197">
        <v>2</v>
      </c>
      <c r="J55" s="1198">
        <v>9</v>
      </c>
      <c r="K55" s="1196"/>
      <c r="L55" s="1197">
        <v>0</v>
      </c>
      <c r="M55" s="1198">
        <v>0</v>
      </c>
      <c r="N55" s="1196"/>
      <c r="O55" s="1201" t="s">
        <v>48</v>
      </c>
      <c r="P55" s="1239" t="s">
        <v>48</v>
      </c>
    </row>
    <row r="56" spans="2:16" ht="13.35" customHeight="1">
      <c r="B56" s="1231" t="s">
        <v>1125</v>
      </c>
      <c r="C56" s="1197">
        <v>6515</v>
      </c>
      <c r="D56" s="1198">
        <v>73642</v>
      </c>
      <c r="E56" s="1196"/>
      <c r="F56" s="1197">
        <v>12999</v>
      </c>
      <c r="G56" s="1198">
        <v>100587</v>
      </c>
      <c r="H56" s="1196"/>
      <c r="I56" s="1197">
        <v>0</v>
      </c>
      <c r="J56" s="1198">
        <v>0</v>
      </c>
      <c r="K56" s="1196"/>
      <c r="L56" s="1197">
        <v>0</v>
      </c>
      <c r="M56" s="1198">
        <v>0</v>
      </c>
      <c r="N56" s="1196"/>
      <c r="O56" s="1200" t="s">
        <v>48</v>
      </c>
      <c r="P56" s="1239" t="s">
        <v>48</v>
      </c>
    </row>
    <row r="57" spans="2:16">
      <c r="B57" s="1236" t="s">
        <v>1126</v>
      </c>
      <c r="C57" s="1197">
        <v>3119</v>
      </c>
      <c r="D57" s="1198">
        <v>34244</v>
      </c>
      <c r="E57" s="1196"/>
      <c r="F57" s="1197">
        <v>8732</v>
      </c>
      <c r="G57" s="1198">
        <v>63712</v>
      </c>
      <c r="H57" s="1196"/>
      <c r="I57" s="1197">
        <v>2</v>
      </c>
      <c r="J57" s="1198">
        <v>10</v>
      </c>
      <c r="K57" s="1196"/>
      <c r="L57" s="1197">
        <v>0</v>
      </c>
      <c r="M57" s="1198">
        <v>0</v>
      </c>
      <c r="N57" s="1196"/>
      <c r="O57" s="1200" t="s">
        <v>48</v>
      </c>
      <c r="P57" s="1239" t="s">
        <v>48</v>
      </c>
    </row>
    <row r="58" spans="2:16" ht="14.1" customHeight="1" thickBot="1">
      <c r="B58" s="1240" t="s">
        <v>1127</v>
      </c>
      <c r="C58" s="1110">
        <v>0</v>
      </c>
      <c r="D58" s="1111">
        <v>0</v>
      </c>
      <c r="E58" s="1121"/>
      <c r="F58" s="1110">
        <v>0</v>
      </c>
      <c r="G58" s="1111">
        <v>0</v>
      </c>
      <c r="H58" s="1121"/>
      <c r="I58" s="1110">
        <v>0</v>
      </c>
      <c r="J58" s="1111">
        <v>0</v>
      </c>
      <c r="K58" s="1121"/>
      <c r="L58" s="1110">
        <v>0</v>
      </c>
      <c r="M58" s="1111">
        <v>0</v>
      </c>
      <c r="N58" s="1121"/>
      <c r="O58" s="1124" t="s">
        <v>48</v>
      </c>
      <c r="P58" s="1241" t="s">
        <v>48</v>
      </c>
    </row>
    <row r="59" spans="2:16" ht="13.35" customHeight="1">
      <c r="B59" s="1242" t="s">
        <v>1128</v>
      </c>
      <c r="C59" s="1197">
        <f>SUM(C55:C58)</f>
        <v>19857</v>
      </c>
      <c r="D59" s="1198">
        <f>SUM(D55:D58)</f>
        <v>213523</v>
      </c>
      <c r="E59" s="1196"/>
      <c r="F59" s="1197">
        <f>SUM(F55:F58)</f>
        <v>50292</v>
      </c>
      <c r="G59" s="1198">
        <f>SUM(G55:G58)</f>
        <v>385354</v>
      </c>
      <c r="H59" s="1196"/>
      <c r="I59" s="1197">
        <f>SUM(I55:I58)</f>
        <v>4</v>
      </c>
      <c r="J59" s="1198">
        <f>SUM(J55:J58)</f>
        <v>19</v>
      </c>
      <c r="K59" s="1196"/>
      <c r="L59" s="1197">
        <f>SUM(L55:L58)</f>
        <v>0</v>
      </c>
      <c r="M59" s="1198">
        <f>SUM(M55:M58)</f>
        <v>0</v>
      </c>
      <c r="N59" s="1196"/>
      <c r="O59" s="1243" t="s">
        <v>97</v>
      </c>
      <c r="P59" s="1244" t="s">
        <v>48</v>
      </c>
    </row>
    <row r="60" spans="2:16" ht="9" customHeight="1">
      <c r="B60" s="1231"/>
      <c r="C60" s="1197"/>
      <c r="D60" s="1199"/>
      <c r="E60" s="1196"/>
      <c r="F60" s="1197"/>
      <c r="G60" s="1199"/>
      <c r="H60" s="1196"/>
      <c r="I60" s="1197"/>
      <c r="J60" s="1199"/>
      <c r="K60" s="1196"/>
      <c r="L60" s="1197"/>
      <c r="M60" s="1199"/>
      <c r="N60" s="1196"/>
      <c r="O60" s="1197"/>
      <c r="P60" s="1245"/>
    </row>
    <row r="61" spans="2:16" ht="12" customHeight="1" thickBot="1">
      <c r="B61" s="1250" t="s">
        <v>1109</v>
      </c>
      <c r="C61" s="1687" t="s">
        <v>809</v>
      </c>
      <c r="D61" s="1199"/>
      <c r="E61" s="1196"/>
      <c r="F61" s="1687" t="s">
        <v>963</v>
      </c>
      <c r="G61" s="1199"/>
      <c r="H61" s="1196"/>
      <c r="I61" s="1687" t="s">
        <v>964</v>
      </c>
      <c r="J61" s="1199"/>
      <c r="K61" s="1196"/>
      <c r="L61" s="1689" t="s">
        <v>1074</v>
      </c>
      <c r="M61" s="1689"/>
      <c r="N61" s="1687"/>
      <c r="O61" s="1687" t="s">
        <v>966</v>
      </c>
      <c r="P61" s="1688"/>
    </row>
    <row r="62" spans="2:16" ht="12" customHeight="1">
      <c r="B62" s="1250" t="s">
        <v>1129</v>
      </c>
      <c r="C62" s="1900">
        <f>C52+C59</f>
        <v>57126</v>
      </c>
      <c r="D62" s="1902">
        <f>D52+D59</f>
        <v>775243</v>
      </c>
      <c r="E62" s="1196"/>
      <c r="F62" s="1900">
        <f>F52+F59</f>
        <v>53389</v>
      </c>
      <c r="G62" s="1902">
        <f>G52+G59</f>
        <v>407017</v>
      </c>
      <c r="H62" s="1196"/>
      <c r="I62" s="1900">
        <f>I52+I59</f>
        <v>4</v>
      </c>
      <c r="J62" s="1902">
        <f>J52+J59</f>
        <v>19</v>
      </c>
      <c r="K62" s="1196"/>
      <c r="L62" s="1900">
        <f>L52+L59</f>
        <v>4</v>
      </c>
      <c r="M62" s="1902">
        <f>M52+M59</f>
        <v>16</v>
      </c>
      <c r="N62" s="1196"/>
      <c r="O62" s="1903" t="s">
        <v>982</v>
      </c>
      <c r="P62" s="1905" t="s">
        <v>48</v>
      </c>
    </row>
    <row r="63" spans="2:16" ht="12" customHeight="1" thickBot="1">
      <c r="B63" s="1268" t="s">
        <v>1112</v>
      </c>
      <c r="C63" s="1901"/>
      <c r="D63" s="1902"/>
      <c r="E63" s="1196"/>
      <c r="F63" s="1901"/>
      <c r="G63" s="1902"/>
      <c r="H63" s="1196"/>
      <c r="I63" s="1901"/>
      <c r="J63" s="1902"/>
      <c r="K63" s="1196"/>
      <c r="L63" s="1901"/>
      <c r="M63" s="1902"/>
      <c r="N63" s="1196"/>
      <c r="O63" s="1904"/>
      <c r="P63" s="1905"/>
    </row>
    <row r="64" spans="2:16" ht="9" customHeight="1" thickBot="1">
      <c r="B64" s="1240"/>
      <c r="C64" s="238"/>
      <c r="D64" s="238"/>
      <c r="E64" s="238"/>
      <c r="F64" s="238"/>
      <c r="G64" s="238"/>
      <c r="H64" s="238"/>
      <c r="I64" s="238"/>
      <c r="J64" s="238"/>
      <c r="K64" s="238"/>
      <c r="L64" s="238"/>
      <c r="M64" s="238"/>
      <c r="N64" s="238"/>
      <c r="O64" s="238"/>
      <c r="P64" s="1269"/>
    </row>
    <row r="65" spans="1:20" ht="9.6" customHeight="1" thickBot="1">
      <c r="B65" s="117"/>
      <c r="C65" s="117"/>
      <c r="D65" s="117"/>
      <c r="E65" s="117"/>
      <c r="F65" s="117"/>
      <c r="G65" s="117"/>
      <c r="H65" s="117"/>
      <c r="I65" s="117"/>
      <c r="J65" s="117"/>
      <c r="K65" s="117"/>
      <c r="L65" s="117"/>
      <c r="M65" s="117"/>
      <c r="N65" s="117"/>
      <c r="O65" s="117"/>
      <c r="P65" s="117"/>
    </row>
    <row r="66" spans="1:20" ht="9" customHeight="1">
      <c r="B66" s="1270"/>
      <c r="C66" s="118"/>
      <c r="D66" s="118"/>
      <c r="E66" s="118"/>
      <c r="F66" s="118"/>
      <c r="G66" s="118"/>
      <c r="H66" s="118"/>
      <c r="I66" s="118"/>
      <c r="J66" s="118"/>
      <c r="K66" s="118"/>
      <c r="L66" s="1906"/>
      <c r="M66" s="1906"/>
      <c r="N66" s="118"/>
      <c r="O66" s="1133"/>
      <c r="P66" s="1271"/>
    </row>
    <row r="67" spans="1:20" ht="16.350000000000001" customHeight="1">
      <c r="B67" s="1907" t="s">
        <v>1130</v>
      </c>
      <c r="C67" s="1898" t="s">
        <v>1072</v>
      </c>
      <c r="D67" s="1898"/>
      <c r="E67" s="117"/>
      <c r="F67" s="1898" t="s">
        <v>1094</v>
      </c>
      <c r="G67" s="1898"/>
      <c r="H67" s="117"/>
      <c r="I67" s="1898" t="s">
        <v>1114</v>
      </c>
      <c r="J67" s="1898"/>
      <c r="K67" s="117"/>
      <c r="L67" s="1898" t="s">
        <v>1131</v>
      </c>
      <c r="M67" s="1898"/>
      <c r="N67" s="1896" t="s">
        <v>1095</v>
      </c>
      <c r="O67" s="1896"/>
      <c r="P67" s="1897"/>
      <c r="S67" s="1912"/>
      <c r="T67" s="1912"/>
    </row>
    <row r="68" spans="1:20" ht="13.35" customHeight="1">
      <c r="B68" s="1907"/>
      <c r="C68" s="1192" t="s">
        <v>1079</v>
      </c>
      <c r="D68" s="1684" t="s">
        <v>1080</v>
      </c>
      <c r="E68" s="1684"/>
      <c r="F68" s="1192" t="s">
        <v>1079</v>
      </c>
      <c r="G68" s="1684" t="s">
        <v>1080</v>
      </c>
      <c r="H68" s="1684"/>
      <c r="I68" s="1192" t="s">
        <v>1079</v>
      </c>
      <c r="J68" s="1684" t="s">
        <v>1080</v>
      </c>
      <c r="K68" s="1684"/>
      <c r="L68" s="1192" t="s">
        <v>1079</v>
      </c>
      <c r="M68" s="1684" t="s">
        <v>1080</v>
      </c>
      <c r="N68" s="1684"/>
      <c r="O68" s="1192" t="s">
        <v>1079</v>
      </c>
      <c r="P68" s="1235" t="s">
        <v>1080</v>
      </c>
      <c r="R68" s="1194"/>
      <c r="S68" s="59"/>
      <c r="T68" s="59"/>
    </row>
    <row r="69" spans="1:20" ht="6" customHeight="1">
      <c r="B69" s="1907"/>
      <c r="C69" s="117"/>
      <c r="D69" s="117"/>
      <c r="E69" s="117"/>
      <c r="F69" s="117"/>
      <c r="G69" s="117"/>
      <c r="H69" s="117"/>
      <c r="I69" s="117"/>
      <c r="J69" s="117"/>
      <c r="K69" s="117"/>
      <c r="L69" s="117"/>
      <c r="M69" s="117"/>
      <c r="N69" s="117"/>
      <c r="O69" s="117"/>
      <c r="P69" s="1232"/>
      <c r="R69" s="1534"/>
    </row>
    <row r="70" spans="1:20" ht="13.35" customHeight="1">
      <c r="B70" s="1908">
        <v>2025</v>
      </c>
      <c r="C70" s="1687">
        <f>C32+C62</f>
        <v>76712</v>
      </c>
      <c r="D70" s="1206">
        <f>D32+D62</f>
        <v>1007446</v>
      </c>
      <c r="E70" s="1196"/>
      <c r="F70" s="1687">
        <f>F32+F62</f>
        <v>53390</v>
      </c>
      <c r="G70" s="1206">
        <f>G32+G62</f>
        <v>407023</v>
      </c>
      <c r="H70" s="117"/>
      <c r="I70" s="1687">
        <f>I62</f>
        <v>4</v>
      </c>
      <c r="J70" s="1206">
        <f>J62</f>
        <v>19</v>
      </c>
      <c r="K70" s="117"/>
      <c r="L70" s="1909" t="s">
        <v>982</v>
      </c>
      <c r="M70" s="1909"/>
      <c r="N70" s="117"/>
      <c r="O70" s="1909" t="s">
        <v>982</v>
      </c>
      <c r="P70" s="1910"/>
      <c r="R70" s="1534"/>
      <c r="S70" s="59"/>
      <c r="T70" s="59"/>
    </row>
    <row r="71" spans="1:20" ht="9" customHeight="1">
      <c r="B71" s="1908"/>
      <c r="C71" s="117"/>
      <c r="D71" s="117"/>
      <c r="E71" s="117"/>
      <c r="F71" s="117"/>
      <c r="G71" s="117"/>
      <c r="H71" s="117"/>
      <c r="I71" s="117"/>
      <c r="J71" s="117"/>
      <c r="K71" s="117"/>
      <c r="L71" s="117"/>
      <c r="M71" s="117"/>
      <c r="N71" s="117"/>
      <c r="O71" s="117"/>
      <c r="P71" s="1232"/>
    </row>
    <row r="72" spans="1:20" ht="15.6" customHeight="1">
      <c r="B72" s="1250" t="s">
        <v>1132</v>
      </c>
      <c r="C72" s="1898" t="s">
        <v>1133</v>
      </c>
      <c r="D72" s="1898"/>
      <c r="E72" s="117"/>
      <c r="F72" s="1898" t="s">
        <v>1134</v>
      </c>
      <c r="G72" s="1898"/>
      <c r="I72" s="1898" t="s">
        <v>1135</v>
      </c>
      <c r="J72" s="1898"/>
      <c r="K72" s="1192"/>
      <c r="L72" s="1207"/>
      <c r="M72" s="1208"/>
      <c r="N72" s="1898" t="s">
        <v>1136</v>
      </c>
      <c r="O72" s="1898"/>
      <c r="P72" s="1911"/>
    </row>
    <row r="73" spans="1:20" ht="13.35" customHeight="1">
      <c r="A73" s="818"/>
      <c r="B73" s="1250" t="s">
        <v>1137</v>
      </c>
      <c r="C73" s="1192" t="s">
        <v>1079</v>
      </c>
      <c r="D73" s="1684" t="s">
        <v>1080</v>
      </c>
      <c r="E73" s="1684"/>
      <c r="F73" s="1192" t="s">
        <v>1079</v>
      </c>
      <c r="G73" s="1684" t="s">
        <v>1080</v>
      </c>
      <c r="H73" s="117"/>
      <c r="I73" s="1913" t="s">
        <v>1080</v>
      </c>
      <c r="J73" s="1913"/>
      <c r="K73" s="117"/>
      <c r="L73" s="1207"/>
      <c r="M73" s="1208"/>
      <c r="N73" s="1209"/>
      <c r="O73" s="1192" t="s">
        <v>1079</v>
      </c>
      <c r="P73" s="1235" t="s">
        <v>1080</v>
      </c>
    </row>
    <row r="74" spans="1:20" ht="17.100000000000001" customHeight="1">
      <c r="B74" s="1272"/>
      <c r="C74" s="1687">
        <f>I32+L62</f>
        <v>27</v>
      </c>
      <c r="D74" s="1206">
        <f>J32+M62</f>
        <v>96</v>
      </c>
      <c r="E74" s="117"/>
      <c r="F74" s="1687">
        <f>L32+11</f>
        <v>824</v>
      </c>
      <c r="G74" s="1206">
        <f>M32+10</f>
        <v>2230</v>
      </c>
      <c r="H74" s="1685"/>
      <c r="I74" s="1914">
        <v>51087</v>
      </c>
      <c r="J74" s="1914"/>
      <c r="K74" s="1685"/>
      <c r="L74" s="1210"/>
      <c r="M74" s="1211"/>
      <c r="N74" s="1209"/>
      <c r="O74" s="1915" t="s">
        <v>982</v>
      </c>
      <c r="P74" s="1916"/>
    </row>
    <row r="75" spans="1:20" ht="9" customHeight="1" thickBot="1">
      <c r="B75" s="1273"/>
      <c r="C75" s="1124"/>
      <c r="D75" s="1111"/>
      <c r="E75" s="238"/>
      <c r="F75" s="1110"/>
      <c r="G75" s="1274"/>
      <c r="H75" s="493"/>
      <c r="I75" s="493"/>
      <c r="J75" s="493"/>
      <c r="K75" s="493"/>
      <c r="L75" s="1275"/>
      <c r="M75" s="1276"/>
      <c r="N75" s="1277"/>
      <c r="O75" s="1278"/>
      <c r="P75" s="1279"/>
    </row>
    <row r="76" spans="1:20" ht="8.4499999999999993" customHeight="1">
      <c r="B76" s="119"/>
      <c r="C76" s="117"/>
      <c r="D76" s="117"/>
      <c r="E76" s="117"/>
      <c r="F76" s="117"/>
      <c r="G76" s="117"/>
      <c r="H76" s="117"/>
      <c r="I76" s="117"/>
      <c r="J76" s="117"/>
      <c r="K76" s="117"/>
      <c r="L76" s="117"/>
      <c r="M76" s="117"/>
      <c r="N76" s="117"/>
      <c r="O76" s="117"/>
      <c r="P76" s="117"/>
    </row>
    <row r="77" spans="1:20" ht="12.75" customHeight="1">
      <c r="B77" s="1280" t="s">
        <v>1059</v>
      </c>
      <c r="C77" s="819"/>
      <c r="D77" s="819"/>
      <c r="E77" s="819"/>
      <c r="F77" s="819"/>
      <c r="G77" s="819"/>
      <c r="H77" s="819"/>
      <c r="I77" s="819"/>
      <c r="J77" s="819"/>
      <c r="K77" s="819"/>
      <c r="L77" s="819"/>
      <c r="M77" s="819"/>
      <c r="N77" s="819"/>
      <c r="O77" s="819"/>
      <c r="P77" s="819"/>
    </row>
    <row r="78" spans="1:20" ht="12.75" customHeight="1">
      <c r="B78" s="1280" t="s">
        <v>1138</v>
      </c>
      <c r="C78" s="819"/>
      <c r="D78" s="819"/>
      <c r="E78" s="819"/>
      <c r="F78" s="819"/>
      <c r="G78" s="819"/>
      <c r="H78" s="819"/>
      <c r="I78" s="819"/>
      <c r="J78" s="819"/>
      <c r="K78" s="819"/>
      <c r="L78" s="819"/>
      <c r="M78" s="819"/>
      <c r="N78" s="819"/>
      <c r="O78" s="819"/>
      <c r="P78" s="819"/>
    </row>
    <row r="79" spans="1:20" ht="12.75" customHeight="1">
      <c r="B79" s="1280" t="s">
        <v>1139</v>
      </c>
      <c r="C79" s="819"/>
      <c r="D79" s="819"/>
      <c r="E79" s="819"/>
      <c r="F79" s="819"/>
      <c r="G79" s="819"/>
      <c r="H79" s="819"/>
      <c r="I79" s="819"/>
      <c r="J79" s="819"/>
      <c r="K79" s="819"/>
      <c r="L79" s="819"/>
      <c r="M79" s="819"/>
      <c r="N79" s="819"/>
      <c r="O79" s="819"/>
      <c r="P79" s="819"/>
    </row>
    <row r="80" spans="1:20" ht="12.75" customHeight="1">
      <c r="B80" s="1280" t="s">
        <v>1140</v>
      </c>
      <c r="C80" s="819"/>
      <c r="D80" s="819"/>
      <c r="E80" s="819"/>
      <c r="F80" s="819"/>
      <c r="G80" s="819"/>
      <c r="H80" s="819"/>
      <c r="I80" s="819"/>
      <c r="J80" s="819"/>
      <c r="K80" s="819"/>
      <c r="L80" s="819"/>
      <c r="M80" s="819"/>
      <c r="N80" s="819"/>
      <c r="O80" s="819"/>
      <c r="P80" s="819"/>
    </row>
    <row r="81" spans="2:16" ht="12.75" customHeight="1">
      <c r="B81" s="1280" t="s">
        <v>1141</v>
      </c>
      <c r="C81" s="819"/>
      <c r="D81" s="819"/>
      <c r="E81" s="819"/>
      <c r="F81" s="819"/>
      <c r="G81" s="819"/>
      <c r="H81" s="819"/>
      <c r="I81" s="819"/>
      <c r="J81" s="819"/>
      <c r="K81" s="819"/>
      <c r="L81" s="819"/>
      <c r="M81" s="819"/>
      <c r="N81" s="819"/>
      <c r="O81" s="819"/>
      <c r="P81" s="819"/>
    </row>
    <row r="82" spans="2:16" ht="12.75" customHeight="1">
      <c r="B82" s="1280" t="s">
        <v>1142</v>
      </c>
      <c r="C82" s="819"/>
      <c r="D82" s="819"/>
      <c r="E82" s="819"/>
      <c r="F82" s="819"/>
      <c r="G82" s="819"/>
      <c r="H82" s="819"/>
      <c r="I82" s="819"/>
      <c r="J82" s="819"/>
      <c r="K82" s="819"/>
      <c r="L82" s="819"/>
      <c r="M82" s="819"/>
      <c r="N82" s="819"/>
      <c r="O82" s="819"/>
      <c r="P82" s="819"/>
    </row>
    <row r="83" spans="2:16" ht="12.75" customHeight="1">
      <c r="C83" s="819"/>
      <c r="D83" s="819"/>
      <c r="E83" s="819"/>
      <c r="F83" s="819"/>
      <c r="G83" s="819"/>
      <c r="H83" s="819"/>
      <c r="I83" s="819"/>
      <c r="J83" s="819"/>
      <c r="K83" s="819"/>
      <c r="L83" s="819"/>
      <c r="M83" s="819"/>
      <c r="N83" s="819"/>
      <c r="O83" s="819"/>
      <c r="P83" s="819"/>
    </row>
    <row r="84" spans="2:16" ht="12.75" customHeight="1">
      <c r="B84" s="1280"/>
      <c r="C84" s="819"/>
      <c r="D84" s="819"/>
      <c r="E84" s="819"/>
      <c r="F84" s="819"/>
      <c r="G84" s="819"/>
      <c r="H84" s="819"/>
      <c r="I84" s="819"/>
      <c r="J84" s="819"/>
      <c r="K84" s="819"/>
      <c r="L84" s="819"/>
      <c r="M84" s="819"/>
      <c r="N84" s="819"/>
      <c r="O84" s="819"/>
      <c r="P84" s="819"/>
    </row>
    <row r="85" spans="2:16" ht="8.25" customHeight="1"/>
    <row r="86" spans="2:16" ht="12" customHeight="1"/>
    <row r="87" spans="2:16" ht="12" customHeight="1"/>
    <row r="88" spans="2:16" ht="12" customHeight="1"/>
    <row r="89" spans="2:16" ht="12" customHeight="1"/>
    <row r="90" spans="2:16" ht="11.45" customHeight="1"/>
    <row r="91" spans="2:16" ht="3.6" customHeight="1"/>
  </sheetData>
  <mergeCells count="43">
    <mergeCell ref="S67:T67"/>
    <mergeCell ref="I73:J73"/>
    <mergeCell ref="I74:J74"/>
    <mergeCell ref="O74:P74"/>
    <mergeCell ref="N67:P67"/>
    <mergeCell ref="B70:B71"/>
    <mergeCell ref="L70:M70"/>
    <mergeCell ref="O70:P70"/>
    <mergeCell ref="C72:D72"/>
    <mergeCell ref="F72:G72"/>
    <mergeCell ref="N72:P72"/>
    <mergeCell ref="I72:J72"/>
    <mergeCell ref="L66:M66"/>
    <mergeCell ref="B67:B69"/>
    <mergeCell ref="C67:D67"/>
    <mergeCell ref="F67:G67"/>
    <mergeCell ref="I67:J67"/>
    <mergeCell ref="L67:M67"/>
    <mergeCell ref="J62:J63"/>
    <mergeCell ref="L62:L63"/>
    <mergeCell ref="M62:M63"/>
    <mergeCell ref="O62:O63"/>
    <mergeCell ref="P62:P63"/>
    <mergeCell ref="C62:C63"/>
    <mergeCell ref="D62:D63"/>
    <mergeCell ref="F62:F63"/>
    <mergeCell ref="G62:G63"/>
    <mergeCell ref="I62:I63"/>
    <mergeCell ref="N38:P38"/>
    <mergeCell ref="N6:P6"/>
    <mergeCell ref="C15:D15"/>
    <mergeCell ref="F15:G15"/>
    <mergeCell ref="I15:J15"/>
    <mergeCell ref="L15:M15"/>
    <mergeCell ref="N15:P15"/>
    <mergeCell ref="C6:D6"/>
    <mergeCell ref="F6:G6"/>
    <mergeCell ref="I6:J6"/>
    <mergeCell ref="L6:M6"/>
    <mergeCell ref="C38:D38"/>
    <mergeCell ref="F38:G38"/>
    <mergeCell ref="I38:J38"/>
    <mergeCell ref="L38:M38"/>
  </mergeCells>
  <printOptions horizontalCentered="1"/>
  <pageMargins left="0.05" right="0.05" top="0.05" bottom="0.05" header="0.05" footer="0.05"/>
  <pageSetup scale="75" orientation="portrait" r:id="rId1"/>
  <headerFooter alignWithMargins="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2B4E1-9D43-4AC0-8DC5-AFE1E72B6147}">
  <sheetPr>
    <tabColor rgb="FF66FF33"/>
  </sheetPr>
  <dimension ref="A1:U40"/>
  <sheetViews>
    <sheetView zoomScale="110" zoomScaleNormal="110" workbookViewId="0">
      <pane xSplit="1" ySplit="3" topLeftCell="B20" activePane="bottomRight" state="frozen"/>
      <selection pane="bottomRight" activeCell="A40" sqref="A40"/>
      <selection pane="bottomLeft" activeCell="J33" sqref="J33"/>
      <selection pane="topRight" activeCell="J33" sqref="J33"/>
    </sheetView>
  </sheetViews>
  <sheetFormatPr defaultColWidth="8.83203125" defaultRowHeight="12.75"/>
  <cols>
    <col min="1" max="1" width="10.83203125" style="233" customWidth="1"/>
    <col min="2" max="6" width="10.83203125" customWidth="1"/>
    <col min="7" max="7" width="1.83203125" customWidth="1"/>
    <col min="8" max="12" width="10.83203125" customWidth="1"/>
  </cols>
  <sheetData>
    <row r="1" spans="1:19" ht="14.25" thickTop="1" thickBot="1">
      <c r="A1" s="218"/>
      <c r="B1" s="1929" t="s">
        <v>1143</v>
      </c>
      <c r="C1" s="1929"/>
      <c r="D1" s="1929"/>
      <c r="E1" s="1929"/>
      <c r="F1" s="1929"/>
      <c r="G1" s="121"/>
      <c r="H1" s="1929" t="s">
        <v>1144</v>
      </c>
      <c r="I1" s="1929"/>
      <c r="J1" s="1929"/>
      <c r="K1" s="1929"/>
      <c r="L1" s="1930"/>
      <c r="N1" s="1931" t="s">
        <v>1145</v>
      </c>
      <c r="O1" s="1931"/>
      <c r="P1" s="1931"/>
      <c r="Q1" s="1931"/>
    </row>
    <row r="2" spans="1:19" ht="25.5" customHeight="1">
      <c r="A2" s="1932" t="s">
        <v>28</v>
      </c>
      <c r="B2" s="1926" t="s">
        <v>121</v>
      </c>
      <c r="C2" s="1926" t="s">
        <v>1146</v>
      </c>
      <c r="D2" s="1926" t="s">
        <v>177</v>
      </c>
      <c r="E2" s="1926" t="s">
        <v>1147</v>
      </c>
      <c r="F2" s="1926" t="s">
        <v>1148</v>
      </c>
      <c r="G2" s="1770"/>
      <c r="H2" s="1926" t="s">
        <v>121</v>
      </c>
      <c r="I2" s="1926" t="s">
        <v>1146</v>
      </c>
      <c r="J2" s="1926" t="s">
        <v>177</v>
      </c>
      <c r="K2" s="1926" t="s">
        <v>1147</v>
      </c>
      <c r="L2" s="1927" t="s">
        <v>1149</v>
      </c>
      <c r="N2" s="1926" t="s">
        <v>121</v>
      </c>
      <c r="O2" s="1926" t="s">
        <v>1146</v>
      </c>
      <c r="P2" s="1926" t="s">
        <v>177</v>
      </c>
      <c r="Q2" s="1926" t="s">
        <v>1150</v>
      </c>
      <c r="S2" t="s">
        <v>1151</v>
      </c>
    </row>
    <row r="3" spans="1:19" ht="14.25" customHeight="1" thickBot="1">
      <c r="A3" s="1933"/>
      <c r="B3" s="1772"/>
      <c r="C3" s="1772"/>
      <c r="D3" s="1772"/>
      <c r="E3" s="1772"/>
      <c r="F3" s="1772"/>
      <c r="G3" s="1772"/>
      <c r="H3" s="1772"/>
      <c r="I3" s="1772"/>
      <c r="J3" s="1772"/>
      <c r="K3" s="1772"/>
      <c r="L3" s="1928"/>
      <c r="M3" t="s">
        <v>1152</v>
      </c>
      <c r="N3" s="1770"/>
      <c r="O3" s="1770"/>
      <c r="P3" s="1770"/>
      <c r="Q3" s="1770"/>
      <c r="R3" t="s">
        <v>1153</v>
      </c>
    </row>
    <row r="4" spans="1:19" ht="16.350000000000001" customHeight="1">
      <c r="A4" s="1692">
        <v>1990</v>
      </c>
      <c r="B4" s="4">
        <v>15.5</v>
      </c>
      <c r="C4" s="4">
        <v>0.7</v>
      </c>
      <c r="D4" s="4">
        <v>2.1</v>
      </c>
      <c r="E4" s="4" t="s">
        <v>97</v>
      </c>
      <c r="F4" s="219">
        <f>SUM(B4:E4)</f>
        <v>18.3</v>
      </c>
      <c r="G4" s="220"/>
      <c r="H4" s="219" t="s">
        <v>97</v>
      </c>
      <c r="I4" s="219" t="s">
        <v>97</v>
      </c>
      <c r="J4" s="219" t="s">
        <v>97</v>
      </c>
      <c r="K4" s="219" t="s">
        <v>97</v>
      </c>
      <c r="L4" s="221" t="s">
        <v>97</v>
      </c>
      <c r="M4" s="222"/>
      <c r="N4" s="1917" t="s">
        <v>1154</v>
      </c>
      <c r="O4" s="1918"/>
      <c r="P4" s="1918"/>
      <c r="Q4" s="1918"/>
      <c r="R4" s="1919"/>
    </row>
    <row r="5" spans="1:19" ht="16.350000000000001" customHeight="1">
      <c r="A5" s="1692">
        <v>1991</v>
      </c>
      <c r="B5" s="4">
        <v>11.2</v>
      </c>
      <c r="C5" s="4">
        <v>0.5</v>
      </c>
      <c r="D5" s="4">
        <v>0.9</v>
      </c>
      <c r="E5" s="4" t="s">
        <v>97</v>
      </c>
      <c r="F5" s="219">
        <f>SUM(B5:E5)</f>
        <v>12.6</v>
      </c>
      <c r="G5" s="220"/>
      <c r="H5" s="219" t="s">
        <v>97</v>
      </c>
      <c r="I5" s="219" t="s">
        <v>97</v>
      </c>
      <c r="J5" s="219" t="s">
        <v>97</v>
      </c>
      <c r="K5" s="219" t="s">
        <v>97</v>
      </c>
      <c r="L5" s="221" t="s">
        <v>97</v>
      </c>
      <c r="M5" s="222"/>
      <c r="N5" s="1920"/>
      <c r="O5" s="1921"/>
      <c r="P5" s="1921"/>
      <c r="Q5" s="1921"/>
      <c r="R5" s="1922"/>
    </row>
    <row r="6" spans="1:19" ht="16.350000000000001" customHeight="1">
      <c r="A6" s="1692">
        <v>1992</v>
      </c>
      <c r="B6" s="4">
        <v>3.9</v>
      </c>
      <c r="C6" s="4">
        <v>1</v>
      </c>
      <c r="D6" s="4">
        <v>0.2</v>
      </c>
      <c r="E6" s="4" t="s">
        <v>97</v>
      </c>
      <c r="F6" s="219">
        <f>SUM(B6:E6)</f>
        <v>5.1000000000000005</v>
      </c>
      <c r="G6" s="220"/>
      <c r="H6" s="219" t="s">
        <v>97</v>
      </c>
      <c r="I6" s="219" t="s">
        <v>97</v>
      </c>
      <c r="J6" s="219" t="s">
        <v>97</v>
      </c>
      <c r="K6" s="219" t="s">
        <v>97</v>
      </c>
      <c r="L6" s="221" t="s">
        <v>97</v>
      </c>
      <c r="M6" s="222"/>
      <c r="N6" s="1920"/>
      <c r="O6" s="1921"/>
      <c r="P6" s="1921"/>
      <c r="Q6" s="1921"/>
      <c r="R6" s="1922"/>
    </row>
    <row r="7" spans="1:19" ht="16.350000000000001" customHeight="1">
      <c r="A7" s="1692">
        <v>1993</v>
      </c>
      <c r="B7" s="4">
        <v>0.8</v>
      </c>
      <c r="C7" s="4">
        <v>0.4</v>
      </c>
      <c r="D7" s="4">
        <v>0.2</v>
      </c>
      <c r="E7" s="4" t="s">
        <v>97</v>
      </c>
      <c r="F7" s="219">
        <f>SUM(B7:E7)</f>
        <v>1.4000000000000001</v>
      </c>
      <c r="G7" s="220"/>
      <c r="H7" s="219" t="s">
        <v>97</v>
      </c>
      <c r="I7" s="219" t="s">
        <v>97</v>
      </c>
      <c r="J7" s="219" t="s">
        <v>97</v>
      </c>
      <c r="K7" s="219" t="s">
        <v>97</v>
      </c>
      <c r="L7" s="221" t="s">
        <v>97</v>
      </c>
      <c r="M7" s="222"/>
      <c r="N7" s="1920"/>
      <c r="O7" s="1921"/>
      <c r="P7" s="1921"/>
      <c r="Q7" s="1921"/>
      <c r="R7" s="1922"/>
    </row>
    <row r="8" spans="1:19" ht="16.350000000000001" customHeight="1">
      <c r="A8" s="1692">
        <v>1994</v>
      </c>
      <c r="B8" s="4">
        <v>1</v>
      </c>
      <c r="C8" s="4">
        <v>0.4</v>
      </c>
      <c r="D8" s="4">
        <v>0.4</v>
      </c>
      <c r="E8" s="4" t="s">
        <v>97</v>
      </c>
      <c r="F8" s="219">
        <f>SUM(B8:E8)</f>
        <v>1.7999999999999998</v>
      </c>
      <c r="G8" s="220"/>
      <c r="H8" s="219" t="s">
        <v>97</v>
      </c>
      <c r="I8" s="219" t="s">
        <v>97</v>
      </c>
      <c r="J8" s="219" t="s">
        <v>97</v>
      </c>
      <c r="K8" s="219" t="s">
        <v>97</v>
      </c>
      <c r="L8" s="221" t="s">
        <v>97</v>
      </c>
      <c r="M8" s="222"/>
      <c r="N8" s="1920"/>
      <c r="O8" s="1921"/>
      <c r="P8" s="1921"/>
      <c r="Q8" s="1921"/>
      <c r="R8" s="1922"/>
    </row>
    <row r="9" spans="1:19" ht="16.350000000000001" customHeight="1">
      <c r="A9" s="1692">
        <v>1995</v>
      </c>
      <c r="B9" s="4" t="s">
        <v>97</v>
      </c>
      <c r="C9" s="4" t="s">
        <v>97</v>
      </c>
      <c r="D9" s="4" t="s">
        <v>97</v>
      </c>
      <c r="E9" s="4" t="s">
        <v>97</v>
      </c>
      <c r="F9" s="223" t="s">
        <v>97</v>
      </c>
      <c r="G9" s="220"/>
      <c r="H9" s="219" t="s">
        <v>97</v>
      </c>
      <c r="I9" s="219" t="s">
        <v>97</v>
      </c>
      <c r="J9" s="219" t="s">
        <v>97</v>
      </c>
      <c r="K9" s="219" t="s">
        <v>97</v>
      </c>
      <c r="L9" s="221" t="s">
        <v>97</v>
      </c>
      <c r="M9" s="224"/>
      <c r="N9" s="1920"/>
      <c r="O9" s="1921"/>
      <c r="P9" s="1921"/>
      <c r="Q9" s="1921"/>
      <c r="R9" s="1922"/>
    </row>
    <row r="10" spans="1:19" ht="16.350000000000001" customHeight="1">
      <c r="A10" s="1692">
        <v>1996</v>
      </c>
      <c r="B10" s="4">
        <v>0.1</v>
      </c>
      <c r="C10" s="4" t="s">
        <v>795</v>
      </c>
      <c r="D10" s="4" t="s">
        <v>795</v>
      </c>
      <c r="E10" s="4" t="s">
        <v>97</v>
      </c>
      <c r="F10" s="223">
        <v>0.2</v>
      </c>
      <c r="G10" s="220"/>
      <c r="H10" s="219" t="s">
        <v>97</v>
      </c>
      <c r="I10" s="219" t="s">
        <v>97</v>
      </c>
      <c r="J10" s="219" t="s">
        <v>97</v>
      </c>
      <c r="K10" s="219" t="s">
        <v>97</v>
      </c>
      <c r="L10" s="221" t="s">
        <v>97</v>
      </c>
      <c r="M10" s="222"/>
      <c r="N10" s="1920"/>
      <c r="O10" s="1921"/>
      <c r="P10" s="1921"/>
      <c r="Q10" s="1921"/>
      <c r="R10" s="1922"/>
    </row>
    <row r="11" spans="1:19" ht="16.350000000000001" customHeight="1">
      <c r="A11" s="1692">
        <v>1997</v>
      </c>
      <c r="B11" s="4">
        <v>0.1</v>
      </c>
      <c r="C11" s="4">
        <v>0</v>
      </c>
      <c r="D11" s="4" t="s">
        <v>795</v>
      </c>
      <c r="E11" s="4" t="s">
        <v>97</v>
      </c>
      <c r="F11" s="223" t="s">
        <v>1155</v>
      </c>
      <c r="G11" s="220"/>
      <c r="H11" s="219" t="s">
        <v>97</v>
      </c>
      <c r="I11" s="219" t="s">
        <v>97</v>
      </c>
      <c r="J11" s="219" t="s">
        <v>97</v>
      </c>
      <c r="K11" s="219" t="s">
        <v>97</v>
      </c>
      <c r="L11" s="221" t="s">
        <v>97</v>
      </c>
      <c r="M11" s="222"/>
      <c r="N11" s="1920"/>
      <c r="O11" s="1921"/>
      <c r="P11" s="1921"/>
      <c r="Q11" s="1921"/>
      <c r="R11" s="1922"/>
    </row>
    <row r="12" spans="1:19" ht="16.350000000000001" customHeight="1">
      <c r="A12" s="1692">
        <v>1998</v>
      </c>
      <c r="B12" s="4" t="s">
        <v>795</v>
      </c>
      <c r="C12" s="4">
        <v>0</v>
      </c>
      <c r="D12" s="4">
        <v>0</v>
      </c>
      <c r="E12" s="4" t="s">
        <v>97</v>
      </c>
      <c r="F12" s="223" t="s">
        <v>795</v>
      </c>
      <c r="G12" s="220"/>
      <c r="H12" s="219" t="s">
        <v>97</v>
      </c>
      <c r="I12" s="219" t="s">
        <v>97</v>
      </c>
      <c r="J12" s="219" t="s">
        <v>97</v>
      </c>
      <c r="K12" s="219" t="s">
        <v>97</v>
      </c>
      <c r="L12" s="221" t="s">
        <v>97</v>
      </c>
      <c r="M12" s="222"/>
      <c r="N12" s="1920"/>
      <c r="O12" s="1921"/>
      <c r="P12" s="1921"/>
      <c r="Q12" s="1921"/>
      <c r="R12" s="1922"/>
    </row>
    <row r="13" spans="1:19" ht="16.350000000000001" customHeight="1">
      <c r="A13" s="1692">
        <v>1999</v>
      </c>
      <c r="B13" s="4" t="s">
        <v>795</v>
      </c>
      <c r="C13" s="4" t="s">
        <v>795</v>
      </c>
      <c r="D13" s="4" t="s">
        <v>795</v>
      </c>
      <c r="E13" s="4" t="s">
        <v>97</v>
      </c>
      <c r="F13" s="223">
        <v>0.1</v>
      </c>
      <c r="G13" s="220"/>
      <c r="H13" s="219" t="s">
        <v>97</v>
      </c>
      <c r="I13" s="219" t="s">
        <v>97</v>
      </c>
      <c r="J13" s="219" t="s">
        <v>97</v>
      </c>
      <c r="K13" s="219" t="s">
        <v>97</v>
      </c>
      <c r="L13" s="221" t="s">
        <v>97</v>
      </c>
      <c r="M13" s="222"/>
      <c r="N13" s="1920"/>
      <c r="O13" s="1921"/>
      <c r="P13" s="1921"/>
      <c r="Q13" s="1921"/>
      <c r="R13" s="1922"/>
    </row>
    <row r="14" spans="1:19" ht="16.350000000000001" customHeight="1">
      <c r="A14" s="1692">
        <v>2000</v>
      </c>
      <c r="B14" s="4">
        <v>0.4</v>
      </c>
      <c r="C14" s="4" t="s">
        <v>795</v>
      </c>
      <c r="D14" s="4">
        <v>0.1</v>
      </c>
      <c r="E14" s="4" t="s">
        <v>795</v>
      </c>
      <c r="F14" s="223">
        <v>0.5</v>
      </c>
      <c r="G14" s="220"/>
      <c r="H14" s="219" t="s">
        <v>97</v>
      </c>
      <c r="I14" s="219" t="s">
        <v>97</v>
      </c>
      <c r="J14" s="219" t="s">
        <v>97</v>
      </c>
      <c r="K14" s="219" t="s">
        <v>97</v>
      </c>
      <c r="L14" s="221" t="s">
        <v>97</v>
      </c>
      <c r="M14" s="222"/>
      <c r="N14" s="1920"/>
      <c r="O14" s="1921"/>
      <c r="P14" s="1921"/>
      <c r="Q14" s="1921"/>
      <c r="R14" s="1922"/>
    </row>
    <row r="15" spans="1:19" ht="16.350000000000001" customHeight="1">
      <c r="A15" s="1692">
        <v>2001</v>
      </c>
      <c r="B15" s="4">
        <v>2.8</v>
      </c>
      <c r="C15" s="4">
        <v>0.2</v>
      </c>
      <c r="D15" s="4">
        <v>1.6</v>
      </c>
      <c r="E15" s="4">
        <v>0.8</v>
      </c>
      <c r="F15" s="219">
        <f>SUM(B15:E15)</f>
        <v>5.3999999999999995</v>
      </c>
      <c r="G15" s="220"/>
      <c r="H15" s="219" t="s">
        <v>97</v>
      </c>
      <c r="I15" s="219" t="s">
        <v>97</v>
      </c>
      <c r="J15" s="219" t="s">
        <v>97</v>
      </c>
      <c r="K15" s="219" t="s">
        <v>97</v>
      </c>
      <c r="L15" s="221" t="s">
        <v>97</v>
      </c>
      <c r="M15" s="222"/>
      <c r="N15" s="1920"/>
      <c r="O15" s="1921"/>
      <c r="P15" s="1921"/>
      <c r="Q15" s="1921"/>
      <c r="R15" s="1922"/>
    </row>
    <row r="16" spans="1:19" ht="16.350000000000001" customHeight="1">
      <c r="A16" s="1692">
        <v>2002</v>
      </c>
      <c r="B16" s="4">
        <v>5.4</v>
      </c>
      <c r="C16" s="4">
        <v>0.5</v>
      </c>
      <c r="D16" s="4">
        <v>8.3000000000000007</v>
      </c>
      <c r="E16" s="4">
        <v>0.3</v>
      </c>
      <c r="F16" s="219">
        <f>SUM(B16:E16)</f>
        <v>14.500000000000002</v>
      </c>
      <c r="G16" s="220"/>
      <c r="H16" s="219" t="s">
        <v>97</v>
      </c>
      <c r="I16" s="219" t="s">
        <v>97</v>
      </c>
      <c r="J16" s="219" t="s">
        <v>97</v>
      </c>
      <c r="K16" s="219" t="s">
        <v>97</v>
      </c>
      <c r="L16" s="221" t="s">
        <v>97</v>
      </c>
      <c r="M16" s="222"/>
      <c r="N16" s="1920"/>
      <c r="O16" s="1921"/>
      <c r="P16" s="1921"/>
      <c r="Q16" s="1921"/>
      <c r="R16" s="1922"/>
    </row>
    <row r="17" spans="1:21" ht="16.350000000000001" customHeight="1">
      <c r="A17" s="1692">
        <v>2003</v>
      </c>
      <c r="B17" s="4">
        <v>0.8</v>
      </c>
      <c r="C17" s="4">
        <v>0.1</v>
      </c>
      <c r="D17" s="4">
        <v>2.1</v>
      </c>
      <c r="E17" s="4" t="s">
        <v>795</v>
      </c>
      <c r="F17" s="223">
        <v>3.1</v>
      </c>
      <c r="G17" s="220"/>
      <c r="H17" s="219" t="s">
        <v>97</v>
      </c>
      <c r="I17" s="219" t="s">
        <v>97</v>
      </c>
      <c r="J17" s="219" t="s">
        <v>97</v>
      </c>
      <c r="K17" s="219" t="s">
        <v>97</v>
      </c>
      <c r="L17" s="221" t="s">
        <v>97</v>
      </c>
      <c r="M17" s="222"/>
      <c r="N17" s="1920"/>
      <c r="O17" s="1921"/>
      <c r="P17" s="1921"/>
      <c r="Q17" s="1921"/>
      <c r="R17" s="1922"/>
    </row>
    <row r="18" spans="1:21" ht="16.350000000000001" customHeight="1">
      <c r="A18" s="1692">
        <v>2004</v>
      </c>
      <c r="B18" s="4">
        <v>5.7</v>
      </c>
      <c r="C18" s="4">
        <v>1.3</v>
      </c>
      <c r="D18" s="4">
        <v>5.3</v>
      </c>
      <c r="E18" s="4">
        <v>0.9</v>
      </c>
      <c r="F18" s="219">
        <f t="shared" ref="F18:F26" si="0">SUM(B18:E18)</f>
        <v>13.200000000000001</v>
      </c>
      <c r="G18" s="220"/>
      <c r="H18" s="219" t="s">
        <v>97</v>
      </c>
      <c r="I18" s="219" t="s">
        <v>97</v>
      </c>
      <c r="J18" s="219" t="s">
        <v>97</v>
      </c>
      <c r="K18" s="219" t="s">
        <v>97</v>
      </c>
      <c r="L18" s="221" t="s">
        <v>97</v>
      </c>
      <c r="M18" s="222"/>
      <c r="N18" s="1920"/>
      <c r="O18" s="1921"/>
      <c r="P18" s="1921"/>
      <c r="Q18" s="1921"/>
      <c r="R18" s="1922"/>
    </row>
    <row r="19" spans="1:21" ht="16.350000000000001" customHeight="1" thickBot="1">
      <c r="A19" s="1692">
        <v>2005</v>
      </c>
      <c r="B19" s="4">
        <v>2.1</v>
      </c>
      <c r="C19" s="4">
        <v>1.1000000000000001</v>
      </c>
      <c r="D19" s="4">
        <v>2</v>
      </c>
      <c r="E19" s="4">
        <v>0</v>
      </c>
      <c r="F19" s="219">
        <f t="shared" si="0"/>
        <v>5.2</v>
      </c>
      <c r="G19" s="220"/>
      <c r="H19" s="219" t="s">
        <v>97</v>
      </c>
      <c r="I19" s="219" t="s">
        <v>97</v>
      </c>
      <c r="J19" s="219" t="s">
        <v>97</v>
      </c>
      <c r="K19" s="219" t="s">
        <v>97</v>
      </c>
      <c r="L19" s="221" t="s">
        <v>97</v>
      </c>
      <c r="M19" s="222"/>
      <c r="N19" s="1923"/>
      <c r="O19" s="1924"/>
      <c r="P19" s="1924"/>
      <c r="Q19" s="1924"/>
      <c r="R19" s="1925"/>
    </row>
    <row r="20" spans="1:21" ht="16.350000000000001" customHeight="1">
      <c r="A20" s="1692">
        <v>2006</v>
      </c>
      <c r="B20" s="219">
        <v>0.52</v>
      </c>
      <c r="C20" s="219">
        <v>0.26</v>
      </c>
      <c r="D20" s="219">
        <v>0.22700000000000001</v>
      </c>
      <c r="E20" s="219">
        <v>2.5999999999999999E-2</v>
      </c>
      <c r="F20" s="219">
        <f t="shared" si="0"/>
        <v>1.0330000000000001</v>
      </c>
      <c r="G20" s="225"/>
      <c r="H20" s="219">
        <v>1.5589999999999999</v>
      </c>
      <c r="I20" s="219">
        <v>0.78400000000000003</v>
      </c>
      <c r="J20" s="219">
        <v>1.0089999999999999</v>
      </c>
      <c r="K20" s="219">
        <v>4.0000000000000001E-3</v>
      </c>
      <c r="L20" s="221">
        <f t="shared" ref="L20:L30" si="1">SUM(H20:K20)</f>
        <v>3.3559999999999999</v>
      </c>
      <c r="M20" s="222">
        <f t="shared" ref="M20:M26" si="2">+F20+L20</f>
        <v>4.3890000000000002</v>
      </c>
      <c r="N20" s="222">
        <f t="shared" ref="N20:Q21" si="3">+B20+H20</f>
        <v>2.0789999999999997</v>
      </c>
      <c r="O20" s="222">
        <f t="shared" si="3"/>
        <v>1.044</v>
      </c>
      <c r="P20" s="222">
        <f t="shared" si="3"/>
        <v>1.236</v>
      </c>
      <c r="Q20" s="222">
        <f t="shared" si="3"/>
        <v>0.03</v>
      </c>
      <c r="R20" s="222">
        <f t="shared" ref="R20:R30" si="4">SUM(N20:Q20)</f>
        <v>4.3890000000000002</v>
      </c>
      <c r="S20">
        <f>39+994+3356</f>
        <v>4389</v>
      </c>
    </row>
    <row r="21" spans="1:21" ht="16.350000000000001" customHeight="1">
      <c r="A21" s="1692">
        <v>2007</v>
      </c>
      <c r="B21" s="219">
        <v>0.872</v>
      </c>
      <c r="C21" s="219">
        <v>0.57499999999999996</v>
      </c>
      <c r="D21" s="219">
        <v>1.3160000000000001</v>
      </c>
      <c r="E21" s="219">
        <v>8.4000000000000005E-2</v>
      </c>
      <c r="F21" s="219">
        <f t="shared" si="0"/>
        <v>2.847</v>
      </c>
      <c r="G21" s="225"/>
      <c r="H21" s="219">
        <v>2E-3</v>
      </c>
      <c r="I21" s="219">
        <v>2E-3</v>
      </c>
      <c r="J21" s="219">
        <v>2.5999999999999999E-2</v>
      </c>
      <c r="K21" s="219">
        <v>0</v>
      </c>
      <c r="L21" s="221">
        <f t="shared" si="1"/>
        <v>0.03</v>
      </c>
      <c r="M21" s="222">
        <f t="shared" si="2"/>
        <v>2.8769999999999998</v>
      </c>
      <c r="N21" s="222">
        <f t="shared" si="3"/>
        <v>0.874</v>
      </c>
      <c r="O21" s="222">
        <f t="shared" si="3"/>
        <v>0.57699999999999996</v>
      </c>
      <c r="P21" s="222">
        <f t="shared" si="3"/>
        <v>1.3420000000000001</v>
      </c>
      <c r="Q21" s="222">
        <f t="shared" si="3"/>
        <v>8.4000000000000005E-2</v>
      </c>
      <c r="R21" s="222">
        <f t="shared" si="4"/>
        <v>2.8770000000000002</v>
      </c>
      <c r="S21" s="46">
        <f>194+434+2292+30</f>
        <v>2950</v>
      </c>
      <c r="T21" t="s">
        <v>1156</v>
      </c>
    </row>
    <row r="22" spans="1:21" ht="16.350000000000001" customHeight="1">
      <c r="A22" s="1692">
        <v>2008</v>
      </c>
      <c r="B22" s="226" t="s">
        <v>795</v>
      </c>
      <c r="C22" s="226">
        <v>0</v>
      </c>
      <c r="D22" s="226" t="s">
        <v>795</v>
      </c>
      <c r="E22" s="226">
        <v>0</v>
      </c>
      <c r="F22" s="226">
        <f t="shared" si="0"/>
        <v>0</v>
      </c>
      <c r="G22" s="227"/>
      <c r="H22" s="226">
        <v>0</v>
      </c>
      <c r="I22" s="226" t="s">
        <v>795</v>
      </c>
      <c r="J22" s="226">
        <v>5.6</v>
      </c>
      <c r="K22" s="226">
        <v>0</v>
      </c>
      <c r="L22" s="228">
        <f t="shared" si="1"/>
        <v>5.6</v>
      </c>
      <c r="M22" s="222">
        <f t="shared" si="2"/>
        <v>5.6</v>
      </c>
      <c r="N22" s="222">
        <v>1E-3</v>
      </c>
      <c r="O22" s="222">
        <v>1.2999999999999999E-2</v>
      </c>
      <c r="P22" s="222">
        <v>5.6580000000000004</v>
      </c>
      <c r="Q22" s="222">
        <f>+E22+K22</f>
        <v>0</v>
      </c>
      <c r="R22" s="222">
        <f t="shared" si="4"/>
        <v>5.6720000000000006</v>
      </c>
      <c r="S22">
        <f>14+5658</f>
        <v>5672</v>
      </c>
      <c r="T22" s="47" t="s">
        <v>1157</v>
      </c>
    </row>
    <row r="23" spans="1:21" ht="16.350000000000001" customHeight="1">
      <c r="A23" s="1692">
        <v>2009</v>
      </c>
      <c r="B23" s="219">
        <v>1.7999999999999999E-2</v>
      </c>
      <c r="C23" s="219">
        <v>2E-3</v>
      </c>
      <c r="D23" s="219">
        <v>0.33800000000000002</v>
      </c>
      <c r="E23" s="219">
        <v>0</v>
      </c>
      <c r="F23" s="219">
        <f t="shared" si="0"/>
        <v>0.35800000000000004</v>
      </c>
      <c r="G23" s="225"/>
      <c r="H23" s="219">
        <v>0.02</v>
      </c>
      <c r="I23" s="219">
        <v>0</v>
      </c>
      <c r="J23" s="219">
        <v>3.79</v>
      </c>
      <c r="K23" s="219">
        <v>0</v>
      </c>
      <c r="L23" s="221">
        <f t="shared" si="1"/>
        <v>3.81</v>
      </c>
      <c r="M23" s="222">
        <f t="shared" si="2"/>
        <v>4.1680000000000001</v>
      </c>
      <c r="N23" s="222">
        <f t="shared" ref="N23:P26" si="5">+B23+H23</f>
        <v>3.7999999999999999E-2</v>
      </c>
      <c r="O23" s="222">
        <f t="shared" si="5"/>
        <v>2E-3</v>
      </c>
      <c r="P23" s="222">
        <f t="shared" si="5"/>
        <v>4.1280000000000001</v>
      </c>
      <c r="Q23" s="222">
        <f>+E23+K23</f>
        <v>0</v>
      </c>
      <c r="R23" s="222">
        <f t="shared" si="4"/>
        <v>4.1680000000000001</v>
      </c>
      <c r="S23">
        <f>18+4150</f>
        <v>4168</v>
      </c>
    </row>
    <row r="24" spans="1:21" ht="16.350000000000001" customHeight="1">
      <c r="A24" s="1692">
        <v>2010</v>
      </c>
      <c r="B24" s="219">
        <v>6.2E-2</v>
      </c>
      <c r="C24" s="219">
        <v>8.9999999999999993E-3</v>
      </c>
      <c r="D24" s="219">
        <v>3.0000000000000001E-3</v>
      </c>
      <c r="E24" s="219">
        <v>0</v>
      </c>
      <c r="F24" s="219">
        <f t="shared" si="0"/>
        <v>7.3999999999999996E-2</v>
      </c>
      <c r="G24" s="225"/>
      <c r="H24" s="219">
        <v>1.478</v>
      </c>
      <c r="I24" s="219">
        <v>0.221</v>
      </c>
      <c r="J24" s="219">
        <v>7.2679999999999998</v>
      </c>
      <c r="K24" s="219">
        <v>0</v>
      </c>
      <c r="L24" s="221">
        <f t="shared" si="1"/>
        <v>8.9670000000000005</v>
      </c>
      <c r="M24" s="222">
        <f t="shared" si="2"/>
        <v>9.0410000000000004</v>
      </c>
      <c r="N24" s="222">
        <f t="shared" si="5"/>
        <v>1.54</v>
      </c>
      <c r="O24" s="222">
        <f t="shared" si="5"/>
        <v>0.23</v>
      </c>
      <c r="P24" s="222">
        <f t="shared" si="5"/>
        <v>7.2709999999999999</v>
      </c>
      <c r="Q24" s="222">
        <f>+E24+K24</f>
        <v>0</v>
      </c>
      <c r="R24" s="222">
        <f t="shared" si="4"/>
        <v>9.0410000000000004</v>
      </c>
      <c r="S24">
        <f>75+8966</f>
        <v>9041</v>
      </c>
    </row>
    <row r="25" spans="1:21" ht="16.350000000000001" customHeight="1">
      <c r="A25" s="1692">
        <v>2011</v>
      </c>
      <c r="B25" s="219">
        <v>0.27900000000000003</v>
      </c>
      <c r="C25" s="219">
        <v>4.2999999999999997E-2</v>
      </c>
      <c r="D25" s="219">
        <v>0.94899999999999995</v>
      </c>
      <c r="E25" s="219">
        <v>5.0999999999999997E-2</v>
      </c>
      <c r="F25" s="219">
        <f t="shared" si="0"/>
        <v>1.3219999999999998</v>
      </c>
      <c r="G25" s="225"/>
      <c r="H25" s="219">
        <v>0.85</v>
      </c>
      <c r="I25" s="219">
        <v>0.13</v>
      </c>
      <c r="J25" s="219">
        <v>2.1859999999999999</v>
      </c>
      <c r="K25" s="219">
        <v>3.5999999999999997E-2</v>
      </c>
      <c r="L25" s="221">
        <f t="shared" si="1"/>
        <v>3.202</v>
      </c>
      <c r="M25" s="222">
        <f t="shared" si="2"/>
        <v>4.524</v>
      </c>
      <c r="N25" s="222">
        <f t="shared" si="5"/>
        <v>1.129</v>
      </c>
      <c r="O25" s="222">
        <f t="shared" si="5"/>
        <v>0.17299999999999999</v>
      </c>
      <c r="P25" s="222">
        <f t="shared" si="5"/>
        <v>3.1349999999999998</v>
      </c>
      <c r="Q25" s="222">
        <f>+E25+K25</f>
        <v>8.6999999999999994E-2</v>
      </c>
      <c r="R25" s="222">
        <f t="shared" si="4"/>
        <v>4.5239999999999991</v>
      </c>
      <c r="S25">
        <f>88+2006+2430</f>
        <v>4524</v>
      </c>
    </row>
    <row r="26" spans="1:21" ht="16.350000000000001" customHeight="1">
      <c r="A26" s="1692">
        <v>2012</v>
      </c>
      <c r="B26" s="219">
        <v>6.0000000000000001E-3</v>
      </c>
      <c r="C26" s="219">
        <v>1E-3</v>
      </c>
      <c r="D26" s="219">
        <v>0</v>
      </c>
      <c r="E26" s="219">
        <v>0</v>
      </c>
      <c r="F26" s="219">
        <f t="shared" si="0"/>
        <v>7.0000000000000001E-3</v>
      </c>
      <c r="G26" s="225"/>
      <c r="H26" s="219">
        <v>1.556</v>
      </c>
      <c r="I26" s="219">
        <v>0.13300000000000001</v>
      </c>
      <c r="J26" s="219">
        <v>4.1440000000000001</v>
      </c>
      <c r="K26" s="219">
        <v>0.27800000000000002</v>
      </c>
      <c r="L26" s="221">
        <f t="shared" si="1"/>
        <v>6.1110000000000007</v>
      </c>
      <c r="M26" s="222">
        <f t="shared" si="2"/>
        <v>6.1180000000000003</v>
      </c>
      <c r="N26" s="222">
        <f t="shared" si="5"/>
        <v>1.5620000000000001</v>
      </c>
      <c r="O26" s="222">
        <f t="shared" si="5"/>
        <v>0.13400000000000001</v>
      </c>
      <c r="P26" s="222">
        <f t="shared" si="5"/>
        <v>4.1440000000000001</v>
      </c>
      <c r="Q26" s="222">
        <f>+E26+K26</f>
        <v>0.27800000000000002</v>
      </c>
      <c r="R26" s="222">
        <f t="shared" si="4"/>
        <v>6.1180000000000003</v>
      </c>
      <c r="S26">
        <f>7+6111</f>
        <v>6118</v>
      </c>
    </row>
    <row r="27" spans="1:21" ht="16.350000000000001" customHeight="1">
      <c r="A27" s="1692" t="s">
        <v>1158</v>
      </c>
      <c r="B27" s="219" t="s">
        <v>97</v>
      </c>
      <c r="C27" s="219" t="s">
        <v>97</v>
      </c>
      <c r="D27" s="219" t="s">
        <v>97</v>
      </c>
      <c r="E27" s="219" t="s">
        <v>97</v>
      </c>
      <c r="F27" s="219" t="s">
        <v>97</v>
      </c>
      <c r="G27" s="225"/>
      <c r="H27" s="219">
        <v>0.51300000000000001</v>
      </c>
      <c r="I27" s="219">
        <v>1.6E-2</v>
      </c>
      <c r="J27" s="219">
        <v>1.27</v>
      </c>
      <c r="K27" s="219">
        <v>0.115</v>
      </c>
      <c r="L27" s="221">
        <f t="shared" si="1"/>
        <v>1.9139999999999999</v>
      </c>
      <c r="M27" s="222">
        <f>L27</f>
        <v>1.9139999999999999</v>
      </c>
      <c r="N27" s="222">
        <f t="shared" ref="N27:Q28" si="6">H27</f>
        <v>0.51300000000000001</v>
      </c>
      <c r="O27" s="222">
        <f t="shared" si="6"/>
        <v>1.6E-2</v>
      </c>
      <c r="P27" s="222">
        <f t="shared" si="6"/>
        <v>1.27</v>
      </c>
      <c r="Q27" s="222">
        <f t="shared" si="6"/>
        <v>0.115</v>
      </c>
      <c r="R27" s="222">
        <f t="shared" si="4"/>
        <v>1.9139999999999999</v>
      </c>
      <c r="S27" s="46">
        <f>1537+648-264-6</f>
        <v>1915</v>
      </c>
      <c r="T27" s="47" t="s">
        <v>1159</v>
      </c>
    </row>
    <row r="28" spans="1:21" ht="16.350000000000001" customHeight="1">
      <c r="A28" s="1692" t="s">
        <v>1160</v>
      </c>
      <c r="B28" s="219" t="s">
        <v>97</v>
      </c>
      <c r="C28" s="219" t="s">
        <v>97</v>
      </c>
      <c r="D28" s="219" t="s">
        <v>97</v>
      </c>
      <c r="E28" s="219" t="s">
        <v>97</v>
      </c>
      <c r="F28" s="219" t="s">
        <v>97</v>
      </c>
      <c r="G28" s="225"/>
      <c r="H28" s="219">
        <v>0.57299999999999995</v>
      </c>
      <c r="I28" s="219">
        <v>0.22600000000000001</v>
      </c>
      <c r="J28" s="219">
        <v>2.7149999999999999</v>
      </c>
      <c r="K28" s="219">
        <v>0</v>
      </c>
      <c r="L28" s="221">
        <f t="shared" si="1"/>
        <v>3.5139999999999998</v>
      </c>
      <c r="M28" s="222">
        <f>L28</f>
        <v>3.5139999999999998</v>
      </c>
      <c r="N28" s="222">
        <f t="shared" si="6"/>
        <v>0.57299999999999995</v>
      </c>
      <c r="O28" s="222">
        <f t="shared" si="6"/>
        <v>0.22600000000000001</v>
      </c>
      <c r="P28" s="222">
        <f t="shared" si="6"/>
        <v>2.7149999999999999</v>
      </c>
      <c r="Q28" s="222">
        <f t="shared" si="6"/>
        <v>0</v>
      </c>
      <c r="R28" s="222">
        <f t="shared" si="4"/>
        <v>3.5139999999999998</v>
      </c>
      <c r="S28">
        <f>2915+1085-465-21</f>
        <v>3514</v>
      </c>
      <c r="T28" s="47" t="s">
        <v>1159</v>
      </c>
    </row>
    <row r="29" spans="1:21" ht="16.350000000000001" customHeight="1">
      <c r="A29" s="1692" t="s">
        <v>1161</v>
      </c>
      <c r="B29" s="219">
        <v>0.182</v>
      </c>
      <c r="C29" s="219">
        <v>0.05</v>
      </c>
      <c r="D29" s="219">
        <v>0.69799999999999995</v>
      </c>
      <c r="E29" s="219">
        <v>0</v>
      </c>
      <c r="F29" s="219">
        <f>SUM(B29:E29)</f>
        <v>0.92999999999999994</v>
      </c>
      <c r="G29" s="1"/>
      <c r="H29" s="219">
        <v>1.08</v>
      </c>
      <c r="I29" s="219">
        <v>0.36399999999999999</v>
      </c>
      <c r="J29" s="219">
        <v>3.988</v>
      </c>
      <c r="K29" s="219">
        <v>9.8000000000000004E-2</v>
      </c>
      <c r="L29" s="221">
        <f t="shared" si="1"/>
        <v>5.53</v>
      </c>
      <c r="M29" s="222">
        <f>+F29+L29</f>
        <v>6.46</v>
      </c>
      <c r="N29" s="222">
        <f t="shared" ref="N29:Q30" si="7">+B29+H29</f>
        <v>1.262</v>
      </c>
      <c r="O29" s="222">
        <f t="shared" si="7"/>
        <v>0.41399999999999998</v>
      </c>
      <c r="P29" s="222">
        <f t="shared" si="7"/>
        <v>4.6859999999999999</v>
      </c>
      <c r="Q29" s="222">
        <f t="shared" si="7"/>
        <v>9.8000000000000004E-2</v>
      </c>
      <c r="R29" s="222">
        <f t="shared" si="4"/>
        <v>6.46</v>
      </c>
      <c r="S29">
        <f>5106+2125-756-15</f>
        <v>6460</v>
      </c>
      <c r="T29" s="47" t="s">
        <v>1159</v>
      </c>
    </row>
    <row r="30" spans="1:21" ht="16.350000000000001" customHeight="1">
      <c r="A30" s="1692" t="s">
        <v>1162</v>
      </c>
      <c r="B30" s="229">
        <v>0.124</v>
      </c>
      <c r="C30" s="229">
        <v>0.189</v>
      </c>
      <c r="D30" s="229">
        <v>0.83399999999999996</v>
      </c>
      <c r="E30" s="229">
        <v>5.0000000000000001E-3</v>
      </c>
      <c r="F30" s="229">
        <f>SUM(B30:E30)</f>
        <v>1.1519999999999999</v>
      </c>
      <c r="G30" s="1"/>
      <c r="H30" s="219">
        <v>0.23699999999999999</v>
      </c>
      <c r="I30" s="219">
        <v>0.10199999999999999</v>
      </c>
      <c r="J30" s="219">
        <v>1.6</v>
      </c>
      <c r="K30" s="219">
        <v>0.20499999999999999</v>
      </c>
      <c r="L30" s="221">
        <f t="shared" si="1"/>
        <v>2.1440000000000001</v>
      </c>
      <c r="M30" s="222">
        <f>+F30+L30</f>
        <v>3.2960000000000003</v>
      </c>
      <c r="N30" s="222">
        <f t="shared" si="7"/>
        <v>0.36099999999999999</v>
      </c>
      <c r="O30" s="222">
        <f t="shared" si="7"/>
        <v>0.29099999999999998</v>
      </c>
      <c r="P30" s="222">
        <f t="shared" si="7"/>
        <v>2.4340000000000002</v>
      </c>
      <c r="Q30" s="222">
        <f t="shared" si="7"/>
        <v>0.21</v>
      </c>
      <c r="R30" s="222">
        <f t="shared" si="4"/>
        <v>3.2960000000000003</v>
      </c>
      <c r="S30" s="46">
        <f>2394+1219-286-12</f>
        <v>3315</v>
      </c>
      <c r="T30" s="47" t="s">
        <v>1159</v>
      </c>
      <c r="U30" t="s">
        <v>1163</v>
      </c>
    </row>
    <row r="31" spans="1:21" ht="16.350000000000001" customHeight="1">
      <c r="A31" s="1692" t="s">
        <v>903</v>
      </c>
      <c r="B31" s="4" t="s">
        <v>97</v>
      </c>
      <c r="C31" s="4" t="s">
        <v>97</v>
      </c>
      <c r="D31" s="207" t="s">
        <v>97</v>
      </c>
      <c r="E31" s="229" t="s">
        <v>97</v>
      </c>
      <c r="F31" s="4" t="s">
        <v>97</v>
      </c>
      <c r="G31" s="1"/>
      <c r="H31" s="4" t="s">
        <v>97</v>
      </c>
      <c r="I31" s="4" t="s">
        <v>97</v>
      </c>
      <c r="J31" s="207" t="s">
        <v>97</v>
      </c>
      <c r="K31" s="4" t="s">
        <v>97</v>
      </c>
      <c r="L31" s="387" t="s">
        <v>97</v>
      </c>
      <c r="M31" s="58" t="s">
        <v>97</v>
      </c>
      <c r="N31" s="222" t="s">
        <v>97</v>
      </c>
      <c r="O31" s="222" t="s">
        <v>97</v>
      </c>
      <c r="P31" s="222" t="s">
        <v>97</v>
      </c>
      <c r="Q31" s="222" t="s">
        <v>97</v>
      </c>
      <c r="R31" s="222" t="s">
        <v>97</v>
      </c>
      <c r="S31">
        <v>0</v>
      </c>
      <c r="T31" s="47"/>
    </row>
    <row r="32" spans="1:21" ht="16.350000000000001" customHeight="1">
      <c r="A32" s="1692" t="s">
        <v>905</v>
      </c>
      <c r="B32" s="4" t="s">
        <v>97</v>
      </c>
      <c r="C32" s="4" t="s">
        <v>97</v>
      </c>
      <c r="D32" s="207" t="s">
        <v>97</v>
      </c>
      <c r="E32" s="229" t="s">
        <v>97</v>
      </c>
      <c r="F32" s="4" t="s">
        <v>97</v>
      </c>
      <c r="G32" s="1"/>
      <c r="H32" s="4" t="s">
        <v>97</v>
      </c>
      <c r="I32" s="4" t="s">
        <v>97</v>
      </c>
      <c r="J32" s="207" t="s">
        <v>97</v>
      </c>
      <c r="K32" s="4" t="s">
        <v>97</v>
      </c>
      <c r="L32" s="387" t="s">
        <v>97</v>
      </c>
      <c r="M32" s="58" t="s">
        <v>97</v>
      </c>
      <c r="N32" s="222" t="s">
        <v>97</v>
      </c>
      <c r="O32" s="222" t="s">
        <v>97</v>
      </c>
      <c r="P32" s="222" t="s">
        <v>97</v>
      </c>
      <c r="Q32" s="222" t="s">
        <v>97</v>
      </c>
      <c r="R32" s="222" t="s">
        <v>97</v>
      </c>
      <c r="S32">
        <v>0</v>
      </c>
      <c r="T32" s="47"/>
    </row>
    <row r="33" spans="1:20" ht="16.350000000000001" customHeight="1">
      <c r="A33" s="1692" t="s">
        <v>906</v>
      </c>
      <c r="B33" s="4" t="s">
        <v>97</v>
      </c>
      <c r="C33" s="4" t="s">
        <v>97</v>
      </c>
      <c r="D33" s="207" t="s">
        <v>97</v>
      </c>
      <c r="E33" s="229" t="s">
        <v>97</v>
      </c>
      <c r="F33" s="4" t="s">
        <v>97</v>
      </c>
      <c r="G33" s="1"/>
      <c r="H33" s="4" t="s">
        <v>97</v>
      </c>
      <c r="I33" s="4" t="s">
        <v>97</v>
      </c>
      <c r="J33" s="207" t="s">
        <v>97</v>
      </c>
      <c r="K33" s="4" t="s">
        <v>97</v>
      </c>
      <c r="L33" s="387" t="s">
        <v>97</v>
      </c>
      <c r="M33" s="58" t="s">
        <v>97</v>
      </c>
      <c r="N33" s="222" t="s">
        <v>97</v>
      </c>
      <c r="O33" s="222" t="s">
        <v>97</v>
      </c>
      <c r="P33" s="222" t="s">
        <v>97</v>
      </c>
      <c r="Q33" s="222" t="s">
        <v>97</v>
      </c>
      <c r="R33" s="222" t="s">
        <v>97</v>
      </c>
      <c r="S33">
        <v>0</v>
      </c>
      <c r="T33" s="47"/>
    </row>
    <row r="34" spans="1:20" ht="16.350000000000001" customHeight="1" thickBot="1">
      <c r="A34" s="386" t="s">
        <v>908</v>
      </c>
      <c r="B34" s="5" t="s">
        <v>97</v>
      </c>
      <c r="C34" s="5" t="s">
        <v>97</v>
      </c>
      <c r="D34" s="230" t="s">
        <v>97</v>
      </c>
      <c r="E34" s="231" t="s">
        <v>97</v>
      </c>
      <c r="F34" s="5" t="s">
        <v>97</v>
      </c>
      <c r="G34" s="232"/>
      <c r="H34" s="5" t="s">
        <v>97</v>
      </c>
      <c r="I34" s="5" t="s">
        <v>97</v>
      </c>
      <c r="J34" s="230" t="s">
        <v>97</v>
      </c>
      <c r="K34" s="5" t="s">
        <v>97</v>
      </c>
      <c r="L34" s="6" t="s">
        <v>97</v>
      </c>
      <c r="M34" s="58" t="s">
        <v>97</v>
      </c>
      <c r="N34" s="222" t="s">
        <v>97</v>
      </c>
      <c r="O34" s="222" t="s">
        <v>97</v>
      </c>
      <c r="P34" s="222" t="s">
        <v>97</v>
      </c>
      <c r="Q34" s="222" t="s">
        <v>97</v>
      </c>
      <c r="R34" s="222" t="s">
        <v>97</v>
      </c>
      <c r="S34">
        <v>0</v>
      </c>
      <c r="T34" s="47"/>
    </row>
    <row r="35" spans="1:20" ht="16.350000000000001" customHeight="1" thickTop="1" thickBot="1">
      <c r="A35" s="386" t="s">
        <v>909</v>
      </c>
      <c r="B35" s="5" t="s">
        <v>97</v>
      </c>
      <c r="C35" s="5" t="s">
        <v>97</v>
      </c>
      <c r="D35" s="230" t="s">
        <v>97</v>
      </c>
      <c r="E35" s="231" t="s">
        <v>97</v>
      </c>
      <c r="F35" s="5" t="s">
        <v>97</v>
      </c>
      <c r="G35" s="232"/>
      <c r="H35" s="5" t="s">
        <v>97</v>
      </c>
      <c r="I35" s="5" t="s">
        <v>97</v>
      </c>
      <c r="J35" s="230" t="s">
        <v>97</v>
      </c>
      <c r="K35" s="5" t="s">
        <v>97</v>
      </c>
      <c r="L35" s="6" t="s">
        <v>97</v>
      </c>
      <c r="M35" s="58" t="s">
        <v>97</v>
      </c>
      <c r="N35" s="222" t="s">
        <v>97</v>
      </c>
      <c r="O35" s="222" t="s">
        <v>97</v>
      </c>
      <c r="P35" s="222" t="s">
        <v>97</v>
      </c>
      <c r="Q35" s="222" t="s">
        <v>97</v>
      </c>
      <c r="R35" s="222" t="s">
        <v>97</v>
      </c>
      <c r="S35">
        <v>0</v>
      </c>
      <c r="T35" s="47"/>
    </row>
    <row r="36" spans="1:20" ht="16.350000000000001" customHeight="1" thickTop="1" thickBot="1">
      <c r="A36" s="386" t="s">
        <v>910</v>
      </c>
      <c r="B36" s="5" t="s">
        <v>97</v>
      </c>
      <c r="C36" s="5" t="s">
        <v>97</v>
      </c>
      <c r="D36" s="230" t="s">
        <v>97</v>
      </c>
      <c r="E36" s="231" t="s">
        <v>97</v>
      </c>
      <c r="F36" s="5" t="s">
        <v>97</v>
      </c>
      <c r="G36" s="232"/>
      <c r="H36" s="5">
        <v>0</v>
      </c>
      <c r="I36" s="5">
        <v>0</v>
      </c>
      <c r="J36" s="230">
        <v>1.9E-2</v>
      </c>
      <c r="K36" s="5">
        <v>0</v>
      </c>
      <c r="L36" s="6">
        <f>SUM(H36:K36)</f>
        <v>1.9E-2</v>
      </c>
      <c r="M36" s="58" t="s">
        <v>97</v>
      </c>
      <c r="N36" s="222">
        <f>H36</f>
        <v>0</v>
      </c>
      <c r="O36" s="222">
        <f>I36</f>
        <v>0</v>
      </c>
      <c r="P36" s="222">
        <f>J36</f>
        <v>1.9E-2</v>
      </c>
      <c r="Q36" s="222">
        <f>K36</f>
        <v>0</v>
      </c>
      <c r="R36" s="222">
        <f>L36</f>
        <v>1.9E-2</v>
      </c>
      <c r="S36">
        <v>0</v>
      </c>
      <c r="T36" s="47"/>
    </row>
    <row r="37" spans="1:20" ht="14.25" thickTop="1" thickBot="1">
      <c r="A37" s="386" t="s">
        <v>912</v>
      </c>
      <c r="B37" s="5" t="s">
        <v>97</v>
      </c>
      <c r="C37" s="5" t="s">
        <v>97</v>
      </c>
      <c r="D37" s="230" t="s">
        <v>97</v>
      </c>
      <c r="E37" s="231" t="s">
        <v>97</v>
      </c>
      <c r="F37" s="5" t="s">
        <v>97</v>
      </c>
      <c r="G37" s="232"/>
      <c r="H37" s="5" t="s">
        <v>97</v>
      </c>
      <c r="I37" s="5" t="s">
        <v>97</v>
      </c>
      <c r="J37" s="230" t="s">
        <v>97</v>
      </c>
      <c r="K37" s="5" t="s">
        <v>97</v>
      </c>
      <c r="L37" s="6" t="s">
        <v>97</v>
      </c>
      <c r="M37" s="58" t="s">
        <v>97</v>
      </c>
      <c r="N37" s="222" t="s">
        <v>97</v>
      </c>
      <c r="O37" s="222" t="s">
        <v>97</v>
      </c>
      <c r="P37" s="222" t="s">
        <v>97</v>
      </c>
      <c r="Q37" s="222" t="s">
        <v>97</v>
      </c>
      <c r="R37" s="222" t="s">
        <v>97</v>
      </c>
      <c r="S37">
        <v>0</v>
      </c>
    </row>
    <row r="38" spans="1:20" ht="14.25" thickTop="1" thickBot="1">
      <c r="A38" s="386" t="s">
        <v>913</v>
      </c>
      <c r="B38" s="5" t="s">
        <v>97</v>
      </c>
      <c r="C38" s="5" t="s">
        <v>97</v>
      </c>
      <c r="D38" s="230" t="s">
        <v>97</v>
      </c>
      <c r="E38" s="231" t="s">
        <v>97</v>
      </c>
      <c r="F38" s="5" t="s">
        <v>97</v>
      </c>
      <c r="G38" s="232"/>
      <c r="H38" s="5" t="s">
        <v>97</v>
      </c>
      <c r="I38" s="5">
        <v>8.0000000000000004E-4</v>
      </c>
      <c r="J38" s="230">
        <v>3.3999999999999998E-3</v>
      </c>
      <c r="K38" s="5" t="s">
        <v>97</v>
      </c>
      <c r="L38" s="6" t="s">
        <v>97</v>
      </c>
      <c r="M38" s="222" t="e">
        <f>+F38+L38</f>
        <v>#VALUE!</v>
      </c>
      <c r="N38" s="222" t="str">
        <f>H38</f>
        <v>—</v>
      </c>
      <c r="O38" s="222">
        <f>I38</f>
        <v>8.0000000000000004E-4</v>
      </c>
      <c r="P38" s="222">
        <f>J38</f>
        <v>3.3999999999999998E-3</v>
      </c>
      <c r="Q38" s="222" t="str">
        <f>K38</f>
        <v>—</v>
      </c>
      <c r="R38" s="222" t="str">
        <f>L38</f>
        <v>—</v>
      </c>
      <c r="S38">
        <v>0</v>
      </c>
    </row>
    <row r="39" spans="1:20" ht="14.25" thickTop="1" thickBot="1">
      <c r="A39" s="386" t="s">
        <v>917</v>
      </c>
      <c r="B39" s="5" t="s">
        <v>97</v>
      </c>
      <c r="C39" s="5" t="s">
        <v>97</v>
      </c>
      <c r="D39" s="230" t="s">
        <v>97</v>
      </c>
      <c r="E39" s="231" t="s">
        <v>97</v>
      </c>
      <c r="F39" s="5" t="s">
        <v>97</v>
      </c>
      <c r="G39" s="232"/>
      <c r="H39" s="5" t="s">
        <v>97</v>
      </c>
      <c r="I39" s="5" t="s">
        <v>97</v>
      </c>
      <c r="J39" s="230" t="s">
        <v>97</v>
      </c>
      <c r="K39" s="5" t="s">
        <v>97</v>
      </c>
      <c r="L39" s="6" t="s">
        <v>97</v>
      </c>
    </row>
    <row r="40" spans="1:20" ht="13.5" thickTop="1"/>
  </sheetData>
  <mergeCells count="20">
    <mergeCell ref="B1:F1"/>
    <mergeCell ref="H1:L1"/>
    <mergeCell ref="N1:Q1"/>
    <mergeCell ref="A2:A3"/>
    <mergeCell ref="B2:B3"/>
    <mergeCell ref="C2:C3"/>
    <mergeCell ref="D2:D3"/>
    <mergeCell ref="E2:E3"/>
    <mergeCell ref="F2:F3"/>
    <mergeCell ref="G2:G3"/>
    <mergeCell ref="O2:O3"/>
    <mergeCell ref="P2:P3"/>
    <mergeCell ref="Q2:Q3"/>
    <mergeCell ref="N4:R19"/>
    <mergeCell ref="H2:H3"/>
    <mergeCell ref="I2:I3"/>
    <mergeCell ref="J2:J3"/>
    <mergeCell ref="K2:K3"/>
    <mergeCell ref="L2:L3"/>
    <mergeCell ref="N2:N3"/>
  </mergeCells>
  <pageMargins left="0.7" right="0.7" top="0.75" bottom="0.75" header="0.3" footer="0.3"/>
  <pageSetup orientation="portrait" r:id="rId1"/>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6C69E-58B4-4E39-8A0B-35ED17107D46}">
  <sheetPr>
    <tabColor rgb="FF66FF33"/>
  </sheetPr>
  <dimension ref="A1:H47"/>
  <sheetViews>
    <sheetView showGridLines="0" zoomScaleNormal="100" workbookViewId="0">
      <selection activeCell="T16" sqref="T16"/>
    </sheetView>
  </sheetViews>
  <sheetFormatPr defaultColWidth="8.83203125" defaultRowHeight="12.75"/>
  <cols>
    <col min="1" max="1" width="10.83203125" style="233" customWidth="1"/>
    <col min="2" max="6" width="10.83203125" customWidth="1"/>
  </cols>
  <sheetData>
    <row r="1" spans="1:6" ht="15.75">
      <c r="A1" s="234" t="s">
        <v>1164</v>
      </c>
    </row>
    <row r="2" spans="1:6" ht="15.75">
      <c r="A2" s="234" t="s">
        <v>1165</v>
      </c>
    </row>
    <row r="3" spans="1:6" ht="15.75">
      <c r="A3" s="234"/>
    </row>
    <row r="4" spans="1:6" ht="15" customHeight="1" thickBot="1">
      <c r="A4" s="1713"/>
      <c r="B4" s="1775" t="s">
        <v>1166</v>
      </c>
      <c r="C4" s="1775"/>
      <c r="D4" s="1775"/>
      <c r="E4" s="1775"/>
      <c r="F4" s="1776"/>
    </row>
    <row r="5" spans="1:6" ht="25.5" customHeight="1">
      <c r="A5" s="1764" t="s">
        <v>28</v>
      </c>
      <c r="B5" s="1926" t="s">
        <v>121</v>
      </c>
      <c r="C5" s="1926" t="s">
        <v>1146</v>
      </c>
      <c r="D5" s="1926" t="s">
        <v>177</v>
      </c>
      <c r="E5" s="1926" t="s">
        <v>1147</v>
      </c>
      <c r="F5" s="1935" t="s">
        <v>36</v>
      </c>
    </row>
    <row r="6" spans="1:6" ht="14.25" customHeight="1" thickBot="1">
      <c r="A6" s="1765"/>
      <c r="B6" s="1772"/>
      <c r="C6" s="1772"/>
      <c r="D6" s="1772"/>
      <c r="E6" s="1772"/>
      <c r="F6" s="1773"/>
    </row>
    <row r="7" spans="1:6" ht="16.350000000000001" customHeight="1">
      <c r="A7" s="961">
        <v>1990</v>
      </c>
      <c r="B7" s="4">
        <f>T21CondManip!B4</f>
        <v>15.5</v>
      </c>
      <c r="C7" s="4">
        <f>T21CondManip!C4</f>
        <v>0.7</v>
      </c>
      <c r="D7" s="4">
        <f>T21CondManip!D4</f>
        <v>2.1</v>
      </c>
      <c r="E7" s="4" t="str">
        <f>T21CondManip!E4</f>
        <v>—</v>
      </c>
      <c r="F7" s="962">
        <f>T21CondManip!F4</f>
        <v>18.3</v>
      </c>
    </row>
    <row r="8" spans="1:6" ht="16.350000000000001" customHeight="1">
      <c r="A8" s="961">
        <v>1991</v>
      </c>
      <c r="B8" s="4">
        <f>T21CondManip!B5</f>
        <v>11.2</v>
      </c>
      <c r="C8" s="4">
        <f>T21CondManip!C5</f>
        <v>0.5</v>
      </c>
      <c r="D8" s="4">
        <f>T21CondManip!D5</f>
        <v>0.9</v>
      </c>
      <c r="E8" s="4" t="str">
        <f>T21CondManip!E5</f>
        <v>—</v>
      </c>
      <c r="F8" s="962">
        <f>T21CondManip!F5</f>
        <v>12.6</v>
      </c>
    </row>
    <row r="9" spans="1:6" ht="16.350000000000001" customHeight="1">
      <c r="A9" s="961">
        <v>1992</v>
      </c>
      <c r="B9" s="4">
        <f>T21CondManip!B6</f>
        <v>3.9</v>
      </c>
      <c r="C9" s="4">
        <f>T21CondManip!C6</f>
        <v>1</v>
      </c>
      <c r="D9" s="4">
        <f>T21CondManip!D6</f>
        <v>0.2</v>
      </c>
      <c r="E9" s="4" t="str">
        <f>T21CondManip!E6</f>
        <v>—</v>
      </c>
      <c r="F9" s="962">
        <f>T21CondManip!F6</f>
        <v>5.1000000000000005</v>
      </c>
    </row>
    <row r="10" spans="1:6" ht="16.350000000000001" customHeight="1">
      <c r="A10" s="961">
        <v>1993</v>
      </c>
      <c r="B10" s="4">
        <f>T21CondManip!B7</f>
        <v>0.8</v>
      </c>
      <c r="C10" s="4">
        <f>T21CondManip!C7</f>
        <v>0.4</v>
      </c>
      <c r="D10" s="4">
        <f>T21CondManip!D7</f>
        <v>0.2</v>
      </c>
      <c r="E10" s="4" t="str">
        <f>T21CondManip!E7</f>
        <v>—</v>
      </c>
      <c r="F10" s="962">
        <f>T21CondManip!F7</f>
        <v>1.4000000000000001</v>
      </c>
    </row>
    <row r="11" spans="1:6" ht="16.350000000000001" customHeight="1">
      <c r="A11" s="961">
        <v>1994</v>
      </c>
      <c r="B11" s="4">
        <f>T21CondManip!B8</f>
        <v>1</v>
      </c>
      <c r="C11" s="4">
        <f>T21CondManip!C8</f>
        <v>0.4</v>
      </c>
      <c r="D11" s="4">
        <f>T21CondManip!D8</f>
        <v>0.4</v>
      </c>
      <c r="E11" s="4" t="str">
        <f>T21CondManip!E8</f>
        <v>—</v>
      </c>
      <c r="F11" s="962">
        <f>T21CondManip!F8</f>
        <v>1.7999999999999998</v>
      </c>
    </row>
    <row r="12" spans="1:6" ht="16.350000000000001" customHeight="1">
      <c r="A12" s="961">
        <v>1995</v>
      </c>
      <c r="B12" s="4" t="str">
        <f>T21CondManip!B9</f>
        <v>—</v>
      </c>
      <c r="C12" s="4" t="str">
        <f>T21CondManip!C9</f>
        <v>—</v>
      </c>
      <c r="D12" s="4" t="str">
        <f>T21CondManip!D9</f>
        <v>—</v>
      </c>
      <c r="E12" s="4" t="str">
        <f>T21CondManip!E9</f>
        <v>—</v>
      </c>
      <c r="F12" s="962" t="str">
        <f>T21CondManip!F9</f>
        <v>—</v>
      </c>
    </row>
    <row r="13" spans="1:6" ht="16.350000000000001" customHeight="1">
      <c r="A13" s="961">
        <v>1996</v>
      </c>
      <c r="B13" s="4">
        <f>T21CondManip!B10</f>
        <v>0.1</v>
      </c>
      <c r="C13" s="4" t="str">
        <f>T21CondManip!C10</f>
        <v>&lt;0.1</v>
      </c>
      <c r="D13" s="4" t="str">
        <f>T21CondManip!D10</f>
        <v>&lt;0.1</v>
      </c>
      <c r="E13" s="4" t="str">
        <f>T21CondManip!E10</f>
        <v>—</v>
      </c>
      <c r="F13" s="962">
        <f>T21CondManip!F10</f>
        <v>0.2</v>
      </c>
    </row>
    <row r="14" spans="1:6" ht="16.350000000000001" customHeight="1">
      <c r="A14" s="961">
        <v>1997</v>
      </c>
      <c r="B14" s="4">
        <f>T21CondManip!B11</f>
        <v>0.1</v>
      </c>
      <c r="C14" s="4">
        <f>T21CondManip!C11</f>
        <v>0</v>
      </c>
      <c r="D14" s="4" t="str">
        <f>T21CondManip!D11</f>
        <v>&lt;0.1</v>
      </c>
      <c r="E14" s="4" t="str">
        <f>T21CondManip!E11</f>
        <v>—</v>
      </c>
      <c r="F14" s="962" t="str">
        <f>T21CondManip!F11</f>
        <v>&lt;0.2</v>
      </c>
    </row>
    <row r="15" spans="1:6" ht="16.350000000000001" customHeight="1">
      <c r="A15" s="961">
        <v>1998</v>
      </c>
      <c r="B15" s="4" t="str">
        <f>T21CondManip!B12</f>
        <v>&lt;0.1</v>
      </c>
      <c r="C15" s="4">
        <f>T21CondManip!C12</f>
        <v>0</v>
      </c>
      <c r="D15" s="4">
        <f>T21CondManip!D12</f>
        <v>0</v>
      </c>
      <c r="E15" s="4" t="str">
        <f>T21CondManip!E12</f>
        <v>—</v>
      </c>
      <c r="F15" s="962" t="str">
        <f>T21CondManip!F12</f>
        <v>&lt;0.1</v>
      </c>
    </row>
    <row r="16" spans="1:6" ht="16.350000000000001" customHeight="1">
      <c r="A16" s="961">
        <v>1999</v>
      </c>
      <c r="B16" s="4" t="str">
        <f>T21CondManip!B13</f>
        <v>&lt;0.1</v>
      </c>
      <c r="C16" s="4" t="str">
        <f>T21CondManip!C13</f>
        <v>&lt;0.1</v>
      </c>
      <c r="D16" s="4" t="str">
        <f>T21CondManip!D13</f>
        <v>&lt;0.1</v>
      </c>
      <c r="E16" s="4" t="str">
        <f>T21CondManip!E13</f>
        <v>—</v>
      </c>
      <c r="F16" s="962">
        <f>T21CondManip!F13</f>
        <v>0.1</v>
      </c>
    </row>
    <row r="17" spans="1:6" ht="16.350000000000001" customHeight="1">
      <c r="A17" s="961">
        <v>2000</v>
      </c>
      <c r="B17" s="4">
        <f>T21CondManip!B14</f>
        <v>0.4</v>
      </c>
      <c r="C17" s="4" t="str">
        <f>T21CondManip!C14</f>
        <v>&lt;0.1</v>
      </c>
      <c r="D17" s="4">
        <f>T21CondManip!D14</f>
        <v>0.1</v>
      </c>
      <c r="E17" s="4" t="str">
        <f>T21CondManip!E14</f>
        <v>&lt;0.1</v>
      </c>
      <c r="F17" s="962">
        <f>T21CondManip!F14</f>
        <v>0.5</v>
      </c>
    </row>
    <row r="18" spans="1:6" ht="16.350000000000001" customHeight="1">
      <c r="A18" s="961">
        <v>2001</v>
      </c>
      <c r="B18" s="4">
        <f>T21CondManip!B15</f>
        <v>2.8</v>
      </c>
      <c r="C18" s="4">
        <f>T21CondManip!C15</f>
        <v>0.2</v>
      </c>
      <c r="D18" s="4">
        <f>T21CondManip!D15</f>
        <v>1.6</v>
      </c>
      <c r="E18" s="4">
        <f>T21CondManip!E15</f>
        <v>0.8</v>
      </c>
      <c r="F18" s="962">
        <f>T21CondManip!F15</f>
        <v>5.3999999999999995</v>
      </c>
    </row>
    <row r="19" spans="1:6" ht="16.350000000000001" customHeight="1">
      <c r="A19" s="961">
        <v>2002</v>
      </c>
      <c r="B19" s="4">
        <f>T21CondManip!B16</f>
        <v>5.4</v>
      </c>
      <c r="C19" s="4">
        <f>T21CondManip!C16</f>
        <v>0.5</v>
      </c>
      <c r="D19" s="4">
        <f>T21CondManip!D16</f>
        <v>8.3000000000000007</v>
      </c>
      <c r="E19" s="4">
        <f>T21CondManip!E16</f>
        <v>0.3</v>
      </c>
      <c r="F19" s="962">
        <f>T21CondManip!F16</f>
        <v>14.500000000000002</v>
      </c>
    </row>
    <row r="20" spans="1:6" ht="16.350000000000001" customHeight="1">
      <c r="A20" s="961">
        <v>2003</v>
      </c>
      <c r="B20" s="4">
        <f>T21CondManip!B17</f>
        <v>0.8</v>
      </c>
      <c r="C20" s="4">
        <f>T21CondManip!C17</f>
        <v>0.1</v>
      </c>
      <c r="D20" s="4">
        <f>T21CondManip!D17</f>
        <v>2.1</v>
      </c>
      <c r="E20" s="4" t="str">
        <f>T21CondManip!E17</f>
        <v>&lt;0.1</v>
      </c>
      <c r="F20" s="962">
        <f>T21CondManip!F17</f>
        <v>3.1</v>
      </c>
    </row>
    <row r="21" spans="1:6" ht="16.350000000000001" customHeight="1">
      <c r="A21" s="961">
        <v>2004</v>
      </c>
      <c r="B21" s="4">
        <f>T21CondManip!B18</f>
        <v>5.7</v>
      </c>
      <c r="C21" s="4">
        <f>T21CondManip!C18</f>
        <v>1.3</v>
      </c>
      <c r="D21" s="4">
        <f>T21CondManip!D18</f>
        <v>5.3</v>
      </c>
      <c r="E21" s="4">
        <f>T21CondManip!E18</f>
        <v>0.9</v>
      </c>
      <c r="F21" s="962">
        <f>T21CondManip!F18</f>
        <v>13.200000000000001</v>
      </c>
    </row>
    <row r="22" spans="1:6" ht="16.350000000000001" customHeight="1">
      <c r="A22" s="961">
        <v>2005</v>
      </c>
      <c r="B22" s="4">
        <f>T21CondManip!B19</f>
        <v>2.1</v>
      </c>
      <c r="C22" s="4">
        <f>T21CondManip!C19</f>
        <v>1.1000000000000001</v>
      </c>
      <c r="D22" s="4">
        <f>T21CondManip!D19</f>
        <v>2</v>
      </c>
      <c r="E22" s="4">
        <f>T21CondManip!E19</f>
        <v>0</v>
      </c>
      <c r="F22" s="962">
        <f>T21CondManip!F19</f>
        <v>5.2</v>
      </c>
    </row>
    <row r="23" spans="1:6" ht="16.350000000000001" customHeight="1">
      <c r="A23" s="961">
        <v>2006</v>
      </c>
      <c r="B23" s="4">
        <f>IF(AND(T21CondManip!N20&lt;0.05,T21CondManip!N20&gt;0),"&lt;0.1",((IF(T21CondManip!N20="","",T21CondManip!N20))))</f>
        <v>2.0789999999999997</v>
      </c>
      <c r="C23" s="4">
        <f>IF(AND(T21CondManip!O20&lt;0.05,T21CondManip!O20&gt;0),"&lt;0.1",((IF(T21CondManip!O20="","",T21CondManip!O20))))</f>
        <v>1.044</v>
      </c>
      <c r="D23" s="4">
        <f>IF(AND(T21CondManip!P20&lt;0.05,T21CondManip!P20&gt;0),"&lt;0.1",((IF(T21CondManip!P20="","",T21CondManip!P20))))</f>
        <v>1.236</v>
      </c>
      <c r="E23" s="4" t="str">
        <f>IF(AND(T21CondManip!Q20&lt;0.05,T21CondManip!Q20&gt;0),"&lt;0.1",((IF(T21CondManip!Q20="","",T21CondManip!Q20))))</f>
        <v>&lt;0.1</v>
      </c>
      <c r="F23" s="962">
        <f>IF(AND(T21CondManip!R20&lt;0.05,T21CondManip!R20&gt;0),"&lt;0.1",((IF(T21CondManip!R20="","",T21CondManip!R20))))</f>
        <v>4.3890000000000002</v>
      </c>
    </row>
    <row r="24" spans="1:6" ht="16.350000000000001" customHeight="1">
      <c r="A24" s="961">
        <v>2007</v>
      </c>
      <c r="B24" s="4">
        <f>IF(AND(T21CondManip!N21&lt;0.05,T21CondManip!N21&gt;0),"&lt;0.1",((IF(T21CondManip!N21="","",T21CondManip!N21))))</f>
        <v>0.874</v>
      </c>
      <c r="C24" s="4">
        <f>IF(AND(T21CondManip!O21&lt;0.05,T21CondManip!O21&gt;0),"&lt;0.1",((IF(T21CondManip!O21="","",T21CondManip!O21))))</f>
        <v>0.57699999999999996</v>
      </c>
      <c r="D24" s="4">
        <f>IF(AND(T21CondManip!P21&lt;0.05,T21CondManip!P21&gt;0),"&lt;0.1",((IF(T21CondManip!P21="","",T21CondManip!P21))))</f>
        <v>1.3420000000000001</v>
      </c>
      <c r="E24" s="4">
        <f>IF(AND(T21CondManip!Q21&lt;0.05,T21CondManip!Q21&gt;0),"&lt;0.1",((IF(T21CondManip!Q21="","",T21CondManip!Q21))))</f>
        <v>8.4000000000000005E-2</v>
      </c>
      <c r="F24" s="962">
        <f>IF(AND(T21CondManip!R21&lt;0.05,T21CondManip!R21&gt;0),"&lt;0.1",((IF(T21CondManip!R21="","",T21CondManip!R21))))</f>
        <v>2.8770000000000002</v>
      </c>
    </row>
    <row r="25" spans="1:6" ht="16.350000000000001" customHeight="1">
      <c r="A25" s="961">
        <v>2008</v>
      </c>
      <c r="B25" s="4" t="str">
        <f>IF(AND(T21CondManip!N22&lt;0.05,T21CondManip!N22&gt;0),"&lt;0.1",((IF(T21CondManip!N22="","",T21CondManip!N22))))</f>
        <v>&lt;0.1</v>
      </c>
      <c r="C25" s="4" t="str">
        <f>IF(AND(T21CondManip!O22&lt;0.05,T21CondManip!O22&gt;0),"&lt;0.1",((IF(T21CondManip!O22="","",T21CondManip!O22))))</f>
        <v>&lt;0.1</v>
      </c>
      <c r="D25" s="4">
        <f>IF(AND(T21CondManip!P22&lt;0.05,T21CondManip!P22&gt;0),"&lt;0.1",((IF(T21CondManip!P22="","",T21CondManip!P22))))</f>
        <v>5.6580000000000004</v>
      </c>
      <c r="E25" s="4">
        <f>IF(AND(T21CondManip!Q22&lt;0.05,T21CondManip!Q22&gt;0),"&lt;0.1",((IF(T21CondManip!Q22="","",T21CondManip!Q22))))</f>
        <v>0</v>
      </c>
      <c r="F25" s="962">
        <f>IF(AND(T21CondManip!R22&lt;0.05,T21CondManip!R22&gt;0),"&lt;0.1",((IF(T21CondManip!R22="","",T21CondManip!R22))))</f>
        <v>5.6720000000000006</v>
      </c>
    </row>
    <row r="26" spans="1:6" ht="16.350000000000001" customHeight="1">
      <c r="A26" s="961">
        <v>2009</v>
      </c>
      <c r="B26" s="4" t="str">
        <f>IF(AND(T21CondManip!N23&lt;0.05,T21CondManip!N23&gt;0),"&lt;0.1",((IF(T21CondManip!N23="","",T21CondManip!N23))))</f>
        <v>&lt;0.1</v>
      </c>
      <c r="C26" s="4" t="str">
        <f>IF(AND(T21CondManip!O23&lt;0.05,T21CondManip!O23&gt;0),"&lt;0.1",((IF(T21CondManip!O23="","",T21CondManip!O23))))</f>
        <v>&lt;0.1</v>
      </c>
      <c r="D26" s="4">
        <f>IF(AND(T21CondManip!P23&lt;0.05,T21CondManip!P23&gt;0),"&lt;0.1",((IF(T21CondManip!P23="","",T21CondManip!P23))))</f>
        <v>4.1280000000000001</v>
      </c>
      <c r="E26" s="4">
        <f>IF(AND(T21CondManip!Q23&lt;0.05,T21CondManip!Q23&gt;0),"&lt;0.1",((IF(T21CondManip!Q23="","",T21CondManip!Q23))))</f>
        <v>0</v>
      </c>
      <c r="F26" s="962">
        <f>IF(AND(T21CondManip!R23&lt;0.05,T21CondManip!R23&gt;0),"&lt;0.1",((IF(T21CondManip!R23="","",T21CondManip!R23))))</f>
        <v>4.1680000000000001</v>
      </c>
    </row>
    <row r="27" spans="1:6" ht="16.350000000000001" customHeight="1">
      <c r="A27" s="961">
        <v>2010</v>
      </c>
      <c r="B27" s="4">
        <f>IF(AND(T21CondManip!N24&lt;0.05,T21CondManip!N24&gt;0),"&lt;0.1",((IF(T21CondManip!N24="","",T21CondManip!N24))))</f>
        <v>1.54</v>
      </c>
      <c r="C27" s="4">
        <f>IF(AND(T21CondManip!O24&lt;0.05,T21CondManip!O24&gt;0),"&lt;0.1",((IF(T21CondManip!O24="","",T21CondManip!O24))))</f>
        <v>0.23</v>
      </c>
      <c r="D27" s="4">
        <f>IF(AND(T21CondManip!P24&lt;0.05,T21CondManip!P24&gt;0),"&lt;0.1",((IF(T21CondManip!P24="","",T21CondManip!P24))))</f>
        <v>7.2709999999999999</v>
      </c>
      <c r="E27" s="4">
        <f>IF(AND(T21CondManip!Q24&lt;0.05,T21CondManip!Q24&gt;0),"&lt;0.1",((IF(T21CondManip!Q24="","",T21CondManip!Q24))))</f>
        <v>0</v>
      </c>
      <c r="F27" s="962">
        <f>IF(AND(T21CondManip!R24&lt;0.05,T21CondManip!R24&gt;0),"&lt;0.1",((IF(T21CondManip!R24="","",T21CondManip!R24))))</f>
        <v>9.0410000000000004</v>
      </c>
    </row>
    <row r="28" spans="1:6" ht="16.350000000000001" customHeight="1">
      <c r="A28" s="961">
        <v>2011</v>
      </c>
      <c r="B28" s="4">
        <f>IF(AND(T21CondManip!N25&lt;0.05,T21CondManip!N25&gt;0),"&lt;0.1",((IF(T21CondManip!N25="","",T21CondManip!N25))))</f>
        <v>1.129</v>
      </c>
      <c r="C28" s="4">
        <f>IF(AND(T21CondManip!O25&lt;0.05,T21CondManip!O25&gt;0),"&lt;0.1",((IF(T21CondManip!O25="","",T21CondManip!O25))))</f>
        <v>0.17299999999999999</v>
      </c>
      <c r="D28" s="4">
        <f>IF(AND(T21CondManip!P25&lt;0.05,T21CondManip!P25&gt;0),"&lt;0.1",((IF(T21CondManip!P25="","",T21CondManip!P25))))</f>
        <v>3.1349999999999998</v>
      </c>
      <c r="E28" s="4">
        <f>IF(AND(T21CondManip!Q25&lt;0.05,T21CondManip!Q25&gt;0),"&lt;0.1",((IF(T21CondManip!Q25="","",T21CondManip!Q25))))</f>
        <v>8.6999999999999994E-2</v>
      </c>
      <c r="F28" s="962">
        <f>IF(AND(T21CondManip!R25&lt;0.05,T21CondManip!R25&gt;0),"&lt;0.1",((IF(T21CondManip!R25="","",T21CondManip!R25))))</f>
        <v>4.5239999999999991</v>
      </c>
    </row>
    <row r="29" spans="1:6" ht="16.350000000000001" customHeight="1">
      <c r="A29" s="961">
        <v>2012</v>
      </c>
      <c r="B29" s="4">
        <f>IF(AND(T21CondManip!N26&lt;0.05,T21CondManip!N26&gt;0),"&lt;0.1",((IF(T21CondManip!N26="","",T21CondManip!N26))))</f>
        <v>1.5620000000000001</v>
      </c>
      <c r="C29" s="4">
        <f>IF(AND(T21CondManip!O26&lt;0.05,T21CondManip!O26&gt;0),"&lt;0.1",((IF(T21CondManip!O26="","",T21CondManip!O26))))</f>
        <v>0.13400000000000001</v>
      </c>
      <c r="D29" s="4">
        <f>IF(AND(T21CondManip!P26&lt;0.05,T21CondManip!P26&gt;0),"&lt;0.1",((IF(T21CondManip!P26="","",T21CondManip!P26))))</f>
        <v>4.1440000000000001</v>
      </c>
      <c r="E29" s="4">
        <f>IF(AND(T21CondManip!Q26&lt;0.05,T21CondManip!Q26&gt;0),"&lt;0.1",((IF(T21CondManip!Q26="","",T21CondManip!Q26))))</f>
        <v>0.27800000000000002</v>
      </c>
      <c r="F29" s="962">
        <f>IF(AND(T21CondManip!R26&lt;0.05,T21CondManip!R26&gt;0),"&lt;0.1",((IF(T21CondManip!R26="","",T21CondManip!R26))))</f>
        <v>6.1180000000000003</v>
      </c>
    </row>
    <row r="30" spans="1:6" ht="16.350000000000001" customHeight="1">
      <c r="A30" s="961" t="s">
        <v>1158</v>
      </c>
      <c r="B30" s="4">
        <f>IF(AND(T21CondManip!N27&lt;0.05,T21CondManip!N27&gt;0),"&lt;0.1",((IF(T21CondManip!N27="","",T21CondManip!N27))))</f>
        <v>0.51300000000000001</v>
      </c>
      <c r="C30" s="4" t="str">
        <f>IF(AND(T21CondManip!O27&lt;0.05,T21CondManip!O27&gt;0),"&lt;0.1",((IF(T21CondManip!O27="","",T21CondManip!O27))))</f>
        <v>&lt;0.1</v>
      </c>
      <c r="D30" s="4">
        <f>IF(AND(T21CondManip!P27&lt;0.05,T21CondManip!P27&gt;0),"&lt;0.1",((IF(T21CondManip!P27="","",T21CondManip!P27))))</f>
        <v>1.27</v>
      </c>
      <c r="E30" s="4">
        <f>IF(AND(T21CondManip!Q27&lt;0.05,T21CondManip!Q27&gt;0),"&lt;0.1",((IF(T21CondManip!Q27="","",T21CondManip!Q27))))</f>
        <v>0.115</v>
      </c>
      <c r="F30" s="962">
        <f>IF(AND(T21CondManip!R27&lt;0.05,T21CondManip!R27&gt;0),"&lt;0.1",((IF(T21CondManip!R27="","",T21CondManip!R27))))</f>
        <v>1.9139999999999999</v>
      </c>
    </row>
    <row r="31" spans="1:6" ht="16.350000000000001" customHeight="1">
      <c r="A31" s="961" t="s">
        <v>1160</v>
      </c>
      <c r="B31" s="4">
        <f>IF(AND(T21CondManip!N28&lt;0.05,T21CondManip!N28&gt;0),"&lt;0.1",((IF(T21CondManip!N28="","",T21CondManip!N28))))</f>
        <v>0.57299999999999995</v>
      </c>
      <c r="C31" s="4">
        <f>IF(AND(T21CondManip!O28&lt;0.05,T21CondManip!O28&gt;0),"&lt;0.1",((IF(T21CondManip!O28="","",T21CondManip!O28))))</f>
        <v>0.22600000000000001</v>
      </c>
      <c r="D31" s="4">
        <f>IF(AND(T21CondManip!P28&lt;0.05,T21CondManip!P28&gt;0),"&lt;0.1",((IF(T21CondManip!P28="","",T21CondManip!P28))))</f>
        <v>2.7149999999999999</v>
      </c>
      <c r="E31" s="4">
        <f>IF(AND(T21CondManip!Q28&lt;0.05,T21CondManip!Q28&gt;0),"&lt;0.1",((IF(T21CondManip!Q28="","",T21CondManip!Q28))))</f>
        <v>0</v>
      </c>
      <c r="F31" s="962">
        <f>IF(AND(T21CondManip!R28&lt;0.05,T21CondManip!R28&gt;0),"&lt;0.1",((IF(T21CondManip!R28="","",T21CondManip!R28))))</f>
        <v>3.5139999999999998</v>
      </c>
    </row>
    <row r="32" spans="1:6" ht="16.350000000000001" customHeight="1">
      <c r="A32" s="961" t="s">
        <v>1161</v>
      </c>
      <c r="B32" s="4">
        <f>IF(AND(T21CondManip!N29&lt;0.05,T21CondManip!N29&gt;0),"&lt;0.1",((IF(T21CondManip!N29="","",T21CondManip!N29))))</f>
        <v>1.262</v>
      </c>
      <c r="C32" s="4">
        <f>IF(AND(T21CondManip!O29&lt;0.05,T21CondManip!O29&gt;0),"&lt;0.1",((IF(T21CondManip!O29="","",T21CondManip!O29))))</f>
        <v>0.41399999999999998</v>
      </c>
      <c r="D32" s="4">
        <f>IF(AND(T21CondManip!P29&lt;0.05,T21CondManip!P29&gt;0),"&lt;0.1",((IF(T21CondManip!P29="","",T21CondManip!P29))))</f>
        <v>4.6859999999999999</v>
      </c>
      <c r="E32" s="4">
        <f>IF(AND(T21CondManip!Q29&lt;0.05,T21CondManip!Q29&gt;0),"&lt;0.1",((IF(T21CondManip!Q29="","",T21CondManip!Q29))))</f>
        <v>9.8000000000000004E-2</v>
      </c>
      <c r="F32" s="962">
        <f>IF(AND(T21CondManip!R29&lt;0.05,T21CondManip!R29&gt;0),"&lt;0.1",((IF(T21CondManip!R29="","",T21CondManip!R29))))</f>
        <v>6.46</v>
      </c>
    </row>
    <row r="33" spans="1:8" ht="16.350000000000001" customHeight="1">
      <c r="A33" s="961" t="s">
        <v>1162</v>
      </c>
      <c r="B33" s="4">
        <f>IF(AND(T21CondManip!N30&lt;0.05,T21CondManip!N30&gt;0),"&lt;0.1",((IF(T21CondManip!N30="","",T21CondManip!N30))))</f>
        <v>0.36099999999999999</v>
      </c>
      <c r="C33" s="4">
        <f>IF(AND(T21CondManip!O30&lt;0.05,T21CondManip!O30&gt;0),"&lt;0.1",((IF(T21CondManip!O30="","",T21CondManip!O30))))</f>
        <v>0.29099999999999998</v>
      </c>
      <c r="D33" s="4">
        <f>IF(AND(T21CondManip!P30&lt;0.05,T21CondManip!P30&gt;0),"&lt;0.1",((IF(T21CondManip!P30="","",T21CondManip!P30))))</f>
        <v>2.4340000000000002</v>
      </c>
      <c r="E33" s="4">
        <f>IF(AND(T21CondManip!Q30&lt;0.05,T21CondManip!Q30&gt;0),"&lt;0.1",((IF(T21CondManip!Q30="","",T21CondManip!Q30))))</f>
        <v>0.21</v>
      </c>
      <c r="F33" s="962">
        <f>IF(AND(T21CondManip!R30&lt;0.05,T21CondManip!R30&gt;0),"&lt;0.1",((IF(T21CondManip!R30="","",T21CondManip!R30))))</f>
        <v>3.2960000000000003</v>
      </c>
    </row>
    <row r="34" spans="1:8" ht="16.350000000000001" customHeight="1">
      <c r="A34" s="961" t="s">
        <v>903</v>
      </c>
      <c r="B34" s="4" t="str">
        <f>IF(AND(T21CondManip!N31&lt;0.05,T21CondManip!N31&gt;0),"&lt;0.1",((IF(T21CondManip!N31="","",T21CondManip!N31))))</f>
        <v>—</v>
      </c>
      <c r="C34" s="4" t="str">
        <f>IF(AND(T21CondManip!O31&lt;0.05,T21CondManip!O31&gt;0),"&lt;0.1",((IF(T21CondManip!O31="","",T21CondManip!O31))))</f>
        <v>—</v>
      </c>
      <c r="D34" s="4" t="str">
        <f>IF(AND(T21CondManip!P31&lt;0.05,T21CondManip!P31&gt;0),"&lt;0.1",((IF(T21CondManip!P31="","",T21CondManip!P31))))</f>
        <v>—</v>
      </c>
      <c r="E34" s="4" t="str">
        <f>IF(AND(T21CondManip!Q31&lt;0.05,T21CondManip!Q31&gt;0),"&lt;0.1",((IF(T21CondManip!Q31="","",T21CondManip!Q31))))</f>
        <v>—</v>
      </c>
      <c r="F34" s="962" t="str">
        <f>IF(AND(T21CondManip!R31&lt;0.05,T21CondManip!R31&gt;0),"&lt;0.1",((IF(T21CondManip!R31="","",T21CondManip!R31))))</f>
        <v>—</v>
      </c>
    </row>
    <row r="35" spans="1:8" ht="16.350000000000001" customHeight="1">
      <c r="A35" s="961" t="s">
        <v>905</v>
      </c>
      <c r="B35" s="4" t="str">
        <f>IF(AND(T21CondManip!N32&lt;0.05,T21CondManip!N32&gt;0),"&lt;0.1",((IF(T21CondManip!N32="","",T21CondManip!N32))))</f>
        <v>—</v>
      </c>
      <c r="C35" s="4" t="str">
        <f>IF(AND(T21CondManip!O32&lt;0.05,T21CondManip!O32&gt;0),"&lt;0.1",((IF(T21CondManip!O32="","",T21CondManip!O32))))</f>
        <v>—</v>
      </c>
      <c r="D35" s="4" t="str">
        <f>IF(AND(T21CondManip!P32&lt;0.05,T21CondManip!P32&gt;0),"&lt;0.1",((IF(T21CondManip!P32="","",T21CondManip!P32))))</f>
        <v>—</v>
      </c>
      <c r="E35" s="4" t="str">
        <f>IF(AND(T21CondManip!Q32&lt;0.05,T21CondManip!Q32&gt;0),"&lt;0.1",((IF(T21CondManip!Q32="","",T21CondManip!Q32))))</f>
        <v>—</v>
      </c>
      <c r="F35" s="962" t="str">
        <f>IF(AND(T21CondManip!R32&lt;0.05,T21CondManip!R32&gt;0),"&lt;0.1",((IF(T21CondManip!R32="","",T21CondManip!R32))))</f>
        <v>—</v>
      </c>
      <c r="H35" s="234"/>
    </row>
    <row r="36" spans="1:8" ht="16.350000000000001" customHeight="1">
      <c r="A36" s="961" t="s">
        <v>906</v>
      </c>
      <c r="B36" s="4" t="str">
        <f>IF(AND(T21CondManip!N33&lt;0.05,T21CondManip!N33&gt;0),"&lt;0.1",((IF(T21CondManip!N33="","",T21CondManip!N33))))</f>
        <v>—</v>
      </c>
      <c r="C36" s="4" t="str">
        <f>IF(AND(T21CondManip!O33&lt;0.05,T21CondManip!O33&gt;0),"&lt;0.1",((IF(T21CondManip!O33="","",T21CondManip!O33))))</f>
        <v>—</v>
      </c>
      <c r="D36" s="4" t="str">
        <f>IF(AND(T21CondManip!P33&lt;0.05,T21CondManip!P33&gt;0),"&lt;0.1",((IF(T21CondManip!P33="","",T21CondManip!P33))))</f>
        <v>—</v>
      </c>
      <c r="E36" s="4" t="str">
        <f>IF(AND(T21CondManip!Q33&lt;0.05,T21CondManip!Q33&gt;0),"&lt;0.1",((IF(T21CondManip!Q33="","",T21CondManip!Q33))))</f>
        <v>—</v>
      </c>
      <c r="F36" s="962" t="str">
        <f>IF(AND(T21CondManip!R33&lt;0.05,T21CondManip!R33&gt;0),"&lt;0.1",((IF(T21CondManip!R33="","",T21CondManip!R33))))</f>
        <v>—</v>
      </c>
      <c r="H36" s="234"/>
    </row>
    <row r="37" spans="1:8" ht="16.350000000000001" customHeight="1">
      <c r="A37" s="961" t="s">
        <v>908</v>
      </c>
      <c r="B37" s="4" t="str">
        <f>IF(AND(T21CondManip!N34&lt;0.05,T21CondManip!N34&gt;0),"&lt;0.1",((IF(T21CondManip!N34="","",T21CondManip!N34))))</f>
        <v>—</v>
      </c>
      <c r="C37" s="4" t="str">
        <f>IF(AND(T21CondManip!O34&lt;0.05,T21CondManip!O34&gt;0),"&lt;0.1",((IF(T21CondManip!O34="","",T21CondManip!O34))))</f>
        <v>—</v>
      </c>
      <c r="D37" s="4" t="str">
        <f>IF(AND(T21CondManip!P34&lt;0.05,T21CondManip!P34&gt;0),"&lt;0.1",((IF(T21CondManip!P34="","",T21CondManip!P34))))</f>
        <v>—</v>
      </c>
      <c r="E37" s="4" t="str">
        <f>IF(AND(T21CondManip!Q34&lt;0.05,T21CondManip!Q34&gt;0),"&lt;0.1",((IF(T21CondManip!Q34="","",T21CondManip!Q34))))</f>
        <v>—</v>
      </c>
      <c r="F37" s="962" t="str">
        <f>IF(AND(T21CondManip!R34&lt;0.05,T21CondManip!R34&gt;0),"&lt;0.1",((IF(T21CondManip!R34="","",T21CondManip!R34))))</f>
        <v>—</v>
      </c>
      <c r="H37" s="234"/>
    </row>
    <row r="38" spans="1:8" ht="16.350000000000001" customHeight="1">
      <c r="A38" s="961" t="s">
        <v>909</v>
      </c>
      <c r="B38" s="4" t="str">
        <f>IF(AND(T21CondManip!N35&lt;0.05,T21CondManip!N35&gt;0),"&lt;0.1",((IF(T21CondManip!N35="","",T21CondManip!N35))))</f>
        <v>—</v>
      </c>
      <c r="C38" s="4" t="str">
        <f>IF(AND(T21CondManip!O35&lt;0.05,T21CondManip!O35&gt;0),"&lt;0.1",((IF(T21CondManip!O35="","",T21CondManip!O35))))</f>
        <v>—</v>
      </c>
      <c r="D38" s="4" t="str">
        <f>IF(AND(T21CondManip!P35&lt;0.05,T21CondManip!P35&gt;0),"&lt;0.1",((IF(T21CondManip!P35="","",T21CondManip!P35))))</f>
        <v>—</v>
      </c>
      <c r="E38" s="4" t="str">
        <f>IF(AND(T21CondManip!Q35&lt;0.05,T21CondManip!Q35&gt;0),"&lt;0.1",((IF(T21CondManip!Q35="","",T21CondManip!Q35))))</f>
        <v>—</v>
      </c>
      <c r="F38" s="962" t="str">
        <f>IF(AND(T21CondManip!R35&lt;0.05,T21CondManip!R35&gt;0),"&lt;0.1",((IF(T21CondManip!R35="","",T21CondManip!R35))))</f>
        <v>—</v>
      </c>
      <c r="H38" s="234"/>
    </row>
    <row r="39" spans="1:8" ht="16.350000000000001" customHeight="1">
      <c r="A39" s="961" t="s">
        <v>910</v>
      </c>
      <c r="B39" s="4">
        <v>0</v>
      </c>
      <c r="C39" s="4">
        <v>0</v>
      </c>
      <c r="D39" s="4" t="s">
        <v>795</v>
      </c>
      <c r="E39" s="4">
        <v>0</v>
      </c>
      <c r="F39" s="962" t="s">
        <v>795</v>
      </c>
      <c r="H39" s="234"/>
    </row>
    <row r="40" spans="1:8" ht="16.350000000000001" customHeight="1">
      <c r="A40" s="961" t="s">
        <v>912</v>
      </c>
      <c r="B40" s="4" t="s">
        <v>97</v>
      </c>
      <c r="C40" s="4" t="s">
        <v>97</v>
      </c>
      <c r="D40" s="4" t="s">
        <v>97</v>
      </c>
      <c r="E40" s="4" t="s">
        <v>97</v>
      </c>
      <c r="F40" s="962" t="s">
        <v>97</v>
      </c>
      <c r="H40" s="234"/>
    </row>
    <row r="41" spans="1:8" ht="16.350000000000001" customHeight="1">
      <c r="A41" s="961" t="s">
        <v>913</v>
      </c>
      <c r="B41" s="4" t="s">
        <v>97</v>
      </c>
      <c r="C41" s="4">
        <v>0</v>
      </c>
      <c r="D41" s="4">
        <v>0</v>
      </c>
      <c r="E41" s="4" t="s">
        <v>97</v>
      </c>
      <c r="F41" s="962" t="s">
        <v>97</v>
      </c>
      <c r="H41" s="234"/>
    </row>
    <row r="42" spans="1:8" ht="16.350000000000001" customHeight="1">
      <c r="A42" s="963" t="s">
        <v>917</v>
      </c>
      <c r="B42" s="964" t="s">
        <v>97</v>
      </c>
      <c r="C42" s="964" t="s">
        <v>97</v>
      </c>
      <c r="D42" s="964" t="s">
        <v>97</v>
      </c>
      <c r="E42" s="964" t="s">
        <v>97</v>
      </c>
      <c r="F42" s="965" t="s">
        <v>97</v>
      </c>
      <c r="H42" s="234"/>
    </row>
    <row r="43" spans="1:8" ht="39.75" customHeight="1">
      <c r="A43" s="1748" t="s">
        <v>1167</v>
      </c>
      <c r="B43" s="1748"/>
      <c r="C43" s="1748"/>
      <c r="D43" s="1748"/>
      <c r="E43" s="1748"/>
      <c r="F43" s="1748"/>
    </row>
    <row r="44" spans="1:8" ht="32.25" customHeight="1">
      <c r="A44" s="1934" t="s">
        <v>1168</v>
      </c>
      <c r="B44" s="1934"/>
      <c r="C44" s="1934"/>
      <c r="D44" s="1934"/>
      <c r="E44" s="1934"/>
      <c r="F44" s="1934"/>
    </row>
    <row r="45" spans="1:8" ht="20.25" customHeight="1">
      <c r="A45" s="235" t="s">
        <v>1169</v>
      </c>
    </row>
    <row r="46" spans="1:8" ht="15.75">
      <c r="A46" s="235"/>
    </row>
    <row r="47" spans="1:8" ht="15.75">
      <c r="A47" s="234" t="s">
        <v>87</v>
      </c>
    </row>
  </sheetData>
  <mergeCells count="9">
    <mergeCell ref="A43:F43"/>
    <mergeCell ref="A44:F44"/>
    <mergeCell ref="B4:F4"/>
    <mergeCell ref="A5:A6"/>
    <mergeCell ref="B5:B6"/>
    <mergeCell ref="C5:C6"/>
    <mergeCell ref="D5:D6"/>
    <mergeCell ref="E5:E6"/>
    <mergeCell ref="F5:F6"/>
  </mergeCells>
  <pageMargins left="0.7" right="0.7" top="0.75" bottom="0.75" header="0.3" footer="0.3"/>
  <pageSetup orientation="portrait" r:id="rId1"/>
  <ignoredErrors>
    <ignoredError sqref="A30:A41"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66FF33"/>
  </sheetPr>
  <dimension ref="A1:E37"/>
  <sheetViews>
    <sheetView showGridLines="0" topLeftCell="A33" zoomScale="110" zoomScaleNormal="110" workbookViewId="0">
      <selection activeCell="B36" sqref="B36"/>
    </sheetView>
  </sheetViews>
  <sheetFormatPr defaultRowHeight="12.75"/>
  <cols>
    <col min="1" max="1" width="10.83203125" customWidth="1"/>
    <col min="2" max="3" width="30.6640625" customWidth="1"/>
    <col min="4" max="4" width="30.33203125" customWidth="1"/>
    <col min="5" max="5" width="29.83203125" customWidth="1"/>
  </cols>
  <sheetData>
    <row r="1" spans="1:5" ht="15.75">
      <c r="A1" s="60" t="s">
        <v>1164</v>
      </c>
      <c r="B1" s="61"/>
      <c r="C1" s="61"/>
      <c r="D1" s="61"/>
      <c r="E1" s="61"/>
    </row>
    <row r="2" spans="1:5" ht="15.75">
      <c r="A2" s="60" t="s">
        <v>1170</v>
      </c>
      <c r="B2" s="61"/>
      <c r="C2" s="61"/>
      <c r="D2" s="61"/>
      <c r="E2" s="61"/>
    </row>
    <row r="3" spans="1:5" ht="16.5" thickBot="1">
      <c r="A3" s="60"/>
      <c r="B3" s="61"/>
      <c r="C3" s="61"/>
      <c r="D3" s="61"/>
      <c r="E3" s="61"/>
    </row>
    <row r="4" spans="1:5" ht="13.5" thickBot="1">
      <c r="A4" s="970" t="s">
        <v>28</v>
      </c>
      <c r="B4" s="978" t="s">
        <v>1171</v>
      </c>
      <c r="C4" s="978" t="s">
        <v>1172</v>
      </c>
      <c r="D4" s="978" t="s">
        <v>1173</v>
      </c>
      <c r="E4" s="969" t="s">
        <v>1174</v>
      </c>
    </row>
    <row r="5" spans="1:5" ht="89.25">
      <c r="A5" s="976">
        <v>2002</v>
      </c>
      <c r="B5" s="977" t="s">
        <v>1175</v>
      </c>
      <c r="C5" s="977" t="s">
        <v>1175</v>
      </c>
      <c r="D5" s="977" t="s">
        <v>1176</v>
      </c>
      <c r="E5" s="977" t="s">
        <v>1177</v>
      </c>
    </row>
    <row r="6" spans="1:5" ht="102">
      <c r="A6" s="974">
        <v>2003</v>
      </c>
      <c r="B6" s="975" t="s">
        <v>1178</v>
      </c>
      <c r="C6" s="975" t="s">
        <v>1178</v>
      </c>
      <c r="D6" s="975" t="s">
        <v>1179</v>
      </c>
      <c r="E6" s="975" t="s">
        <v>1180</v>
      </c>
    </row>
    <row r="7" spans="1:5" ht="129.75" customHeight="1">
      <c r="A7" s="974">
        <v>2004</v>
      </c>
      <c r="B7" s="975" t="s">
        <v>1181</v>
      </c>
      <c r="C7" s="975" t="s">
        <v>1181</v>
      </c>
      <c r="D7" s="975" t="s">
        <v>1182</v>
      </c>
      <c r="E7" s="975" t="s">
        <v>1183</v>
      </c>
    </row>
    <row r="8" spans="1:5" ht="168" customHeight="1">
      <c r="A8" s="974">
        <v>2005</v>
      </c>
      <c r="B8" s="975" t="s">
        <v>1184</v>
      </c>
      <c r="C8" s="975" t="s">
        <v>1185</v>
      </c>
      <c r="D8" s="975" t="s">
        <v>1186</v>
      </c>
      <c r="E8" s="975" t="s">
        <v>1187</v>
      </c>
    </row>
    <row r="9" spans="1:5" ht="120.75" customHeight="1">
      <c r="A9" s="974">
        <v>2006</v>
      </c>
      <c r="B9" s="975" t="s">
        <v>1188</v>
      </c>
      <c r="C9" s="975" t="s">
        <v>1189</v>
      </c>
      <c r="D9" s="975" t="s">
        <v>1190</v>
      </c>
      <c r="E9" s="975" t="s">
        <v>1191</v>
      </c>
    </row>
    <row r="10" spans="1:5" ht="102">
      <c r="A10" s="974">
        <v>2007</v>
      </c>
      <c r="B10" s="975" t="s">
        <v>1192</v>
      </c>
      <c r="C10" s="975" t="s">
        <v>1193</v>
      </c>
      <c r="D10" s="975" t="s">
        <v>1194</v>
      </c>
      <c r="E10" s="975" t="s">
        <v>1195</v>
      </c>
    </row>
    <row r="11" spans="1:5" ht="102">
      <c r="A11" s="974">
        <v>2008</v>
      </c>
      <c r="B11" s="975" t="s">
        <v>1196</v>
      </c>
      <c r="C11" s="975" t="s">
        <v>1197</v>
      </c>
      <c r="D11" s="975" t="s">
        <v>1198</v>
      </c>
      <c r="E11" s="975" t="s">
        <v>1199</v>
      </c>
    </row>
    <row r="12" spans="1:5" ht="13.5" thickBot="1">
      <c r="A12" s="973"/>
      <c r="B12" s="61"/>
      <c r="C12" s="61"/>
      <c r="D12" s="61"/>
      <c r="E12" s="61"/>
    </row>
    <row r="13" spans="1:5" ht="13.5" thickBot="1">
      <c r="A13" s="497" t="s">
        <v>28</v>
      </c>
      <c r="B13" s="240" t="s">
        <v>1171</v>
      </c>
      <c r="C13" s="240" t="s">
        <v>1172</v>
      </c>
      <c r="D13" s="240" t="s">
        <v>1173</v>
      </c>
      <c r="E13" s="240" t="s">
        <v>1174</v>
      </c>
    </row>
    <row r="14" spans="1:5" ht="102">
      <c r="A14" s="976">
        <v>2009</v>
      </c>
      <c r="B14" s="979" t="s">
        <v>1200</v>
      </c>
      <c r="C14" s="979" t="s">
        <v>1201</v>
      </c>
      <c r="D14" s="979" t="s">
        <v>1202</v>
      </c>
      <c r="E14" s="979" t="s">
        <v>1203</v>
      </c>
    </row>
    <row r="15" spans="1:5" ht="117.75" customHeight="1">
      <c r="A15" s="974">
        <v>2010</v>
      </c>
      <c r="B15" s="975" t="s">
        <v>1204</v>
      </c>
      <c r="C15" s="975" t="s">
        <v>1204</v>
      </c>
      <c r="D15" s="975" t="s">
        <v>1205</v>
      </c>
      <c r="E15" s="975" t="s">
        <v>1206</v>
      </c>
    </row>
    <row r="16" spans="1:5" ht="197.25" customHeight="1">
      <c r="A16" s="974">
        <v>2011</v>
      </c>
      <c r="B16" s="975" t="s">
        <v>1207</v>
      </c>
      <c r="C16" s="975" t="s">
        <v>1208</v>
      </c>
      <c r="D16" s="975" t="s">
        <v>1209</v>
      </c>
      <c r="E16" s="975" t="s">
        <v>1210</v>
      </c>
    </row>
    <row r="17" spans="1:5" ht="132.75" customHeight="1">
      <c r="A17" s="974">
        <v>2012</v>
      </c>
      <c r="B17" s="975" t="s">
        <v>1211</v>
      </c>
      <c r="C17" s="975" t="s">
        <v>1211</v>
      </c>
      <c r="D17" s="975" t="s">
        <v>1212</v>
      </c>
      <c r="E17" s="975" t="s">
        <v>1213</v>
      </c>
    </row>
    <row r="18" spans="1:5" ht="178.5">
      <c r="A18" s="974">
        <v>2013</v>
      </c>
      <c r="B18" s="975" t="s">
        <v>1214</v>
      </c>
      <c r="C18" s="975" t="s">
        <v>1215</v>
      </c>
      <c r="D18" s="975" t="s">
        <v>1216</v>
      </c>
      <c r="E18" s="975" t="s">
        <v>1217</v>
      </c>
    </row>
    <row r="19" spans="1:5" ht="13.5" thickBot="1">
      <c r="A19" s="967"/>
      <c r="B19" s="61"/>
      <c r="C19" s="61"/>
      <c r="D19" s="61"/>
      <c r="E19" s="968"/>
    </row>
    <row r="20" spans="1:5">
      <c r="A20" s="980" t="s">
        <v>28</v>
      </c>
      <c r="B20" s="241" t="s">
        <v>1171</v>
      </c>
      <c r="C20" s="241" t="s">
        <v>1172</v>
      </c>
      <c r="D20" s="241" t="s">
        <v>1173</v>
      </c>
      <c r="E20" s="966" t="s">
        <v>1174</v>
      </c>
    </row>
    <row r="21" spans="1:5" ht="216.75">
      <c r="A21" s="974">
        <v>2014</v>
      </c>
      <c r="B21" s="975" t="s">
        <v>1218</v>
      </c>
      <c r="C21" s="975" t="s">
        <v>1219</v>
      </c>
      <c r="D21" s="975" t="s">
        <v>1220</v>
      </c>
      <c r="E21" s="975" t="s">
        <v>1221</v>
      </c>
    </row>
    <row r="22" spans="1:5" ht="191.25">
      <c r="A22" s="974">
        <v>2015</v>
      </c>
      <c r="B22" s="975" t="s">
        <v>1222</v>
      </c>
      <c r="C22" s="975" t="s">
        <v>1223</v>
      </c>
      <c r="D22" s="975" t="s">
        <v>1224</v>
      </c>
      <c r="E22" s="975" t="s">
        <v>1225</v>
      </c>
    </row>
    <row r="23" spans="1:5" ht="165.75">
      <c r="A23" s="974">
        <v>2016</v>
      </c>
      <c r="B23" s="975" t="s">
        <v>1226</v>
      </c>
      <c r="C23" s="975" t="s">
        <v>1227</v>
      </c>
      <c r="D23" s="975" t="s">
        <v>1228</v>
      </c>
      <c r="E23" s="975" t="s">
        <v>1229</v>
      </c>
    </row>
    <row r="24" spans="1:5" ht="169.5" customHeight="1">
      <c r="A24" s="974">
        <v>2017</v>
      </c>
      <c r="B24" s="975" t="s">
        <v>1230</v>
      </c>
      <c r="C24" s="975" t="s">
        <v>1231</v>
      </c>
      <c r="D24" s="975" t="s">
        <v>1232</v>
      </c>
      <c r="E24" s="975" t="s">
        <v>1233</v>
      </c>
    </row>
    <row r="25" spans="1:5" ht="18" customHeight="1" thickBot="1">
      <c r="A25" s="982"/>
      <c r="B25" s="983"/>
      <c r="C25" s="983"/>
      <c r="D25" s="983"/>
      <c r="E25" s="984"/>
    </row>
    <row r="26" spans="1:5" ht="20.25" customHeight="1" thickBot="1">
      <c r="A26" s="239" t="s">
        <v>28</v>
      </c>
      <c r="B26" s="240" t="s">
        <v>1171</v>
      </c>
      <c r="C26" s="240" t="s">
        <v>1172</v>
      </c>
      <c r="D26" s="240" t="s">
        <v>1173</v>
      </c>
      <c r="E26" s="239" t="s">
        <v>1174</v>
      </c>
    </row>
    <row r="27" spans="1:5" ht="216.75">
      <c r="A27" s="976">
        <v>2018</v>
      </c>
      <c r="B27" s="979" t="s">
        <v>1234</v>
      </c>
      <c r="C27" s="979" t="s">
        <v>1235</v>
      </c>
      <c r="D27" s="979" t="s">
        <v>1236</v>
      </c>
      <c r="E27" s="979" t="s">
        <v>1237</v>
      </c>
    </row>
    <row r="28" spans="1:5" ht="186.75" customHeight="1">
      <c r="A28" s="974">
        <v>2019</v>
      </c>
      <c r="B28" s="975" t="s">
        <v>1238</v>
      </c>
      <c r="C28" s="975" t="s">
        <v>1239</v>
      </c>
      <c r="D28" s="975" t="s">
        <v>1240</v>
      </c>
      <c r="E28" s="975" t="s">
        <v>1241</v>
      </c>
    </row>
    <row r="29" spans="1:5" ht="165.75" customHeight="1">
      <c r="A29" s="974">
        <v>2020</v>
      </c>
      <c r="B29" s="975" t="s">
        <v>1242</v>
      </c>
      <c r="C29" s="975" t="s">
        <v>1243</v>
      </c>
      <c r="D29" s="975" t="s">
        <v>1244</v>
      </c>
      <c r="E29" s="975" t="s">
        <v>1245</v>
      </c>
    </row>
    <row r="30" spans="1:5" ht="212.25" customHeight="1">
      <c r="A30" s="974">
        <v>2021</v>
      </c>
      <c r="B30" s="975" t="s">
        <v>1246</v>
      </c>
      <c r="C30" s="975" t="s">
        <v>1247</v>
      </c>
      <c r="D30" s="975" t="s">
        <v>1248</v>
      </c>
      <c r="E30" s="975" t="s">
        <v>1249</v>
      </c>
    </row>
    <row r="31" spans="1:5" ht="18.75" customHeight="1" thickBot="1">
      <c r="A31" s="971"/>
      <c r="B31" s="981"/>
      <c r="C31" s="981"/>
      <c r="D31" s="981"/>
      <c r="E31" s="972"/>
    </row>
    <row r="32" spans="1:5" ht="18.75" customHeight="1" thickBot="1">
      <c r="A32" s="239" t="s">
        <v>28</v>
      </c>
      <c r="B32" s="240" t="s">
        <v>1171</v>
      </c>
      <c r="C32" s="240" t="s">
        <v>1172</v>
      </c>
      <c r="D32" s="240" t="s">
        <v>1173</v>
      </c>
      <c r="E32" s="239" t="s">
        <v>1174</v>
      </c>
    </row>
    <row r="33" spans="1:5" ht="209.25" customHeight="1">
      <c r="A33" s="833">
        <v>2022</v>
      </c>
      <c r="B33" s="979" t="s">
        <v>1250</v>
      </c>
      <c r="C33" s="985" t="s">
        <v>1251</v>
      </c>
      <c r="D33" s="979" t="s">
        <v>1252</v>
      </c>
      <c r="E33" s="979" t="s">
        <v>1253</v>
      </c>
    </row>
    <row r="34" spans="1:5" ht="173.25" customHeight="1">
      <c r="A34" s="833">
        <v>2023</v>
      </c>
      <c r="B34" s="979" t="s">
        <v>1254</v>
      </c>
      <c r="C34" s="985" t="s">
        <v>1255</v>
      </c>
      <c r="D34" s="979" t="s">
        <v>1256</v>
      </c>
      <c r="E34" s="979" t="s">
        <v>1257</v>
      </c>
    </row>
    <row r="35" spans="1:5" ht="169.5" customHeight="1">
      <c r="A35" s="833">
        <v>2024</v>
      </c>
      <c r="B35" s="979" t="s">
        <v>1258</v>
      </c>
      <c r="C35" s="975" t="s">
        <v>1259</v>
      </c>
      <c r="D35" s="975" t="s">
        <v>1260</v>
      </c>
      <c r="E35" s="975" t="s">
        <v>1261</v>
      </c>
    </row>
    <row r="36" spans="1:5" ht="207.75" customHeight="1">
      <c r="A36" s="833">
        <v>2025</v>
      </c>
      <c r="B36" s="979" t="s">
        <v>1262</v>
      </c>
      <c r="C36" s="975" t="s">
        <v>1263</v>
      </c>
      <c r="D36" s="975" t="s">
        <v>1264</v>
      </c>
      <c r="E36" s="975" t="s">
        <v>1265</v>
      </c>
    </row>
    <row r="37" spans="1:5" ht="15.75">
      <c r="A37" s="60" t="s">
        <v>87</v>
      </c>
      <c r="B37" s="61"/>
      <c r="C37" s="61"/>
      <c r="D37" s="61"/>
      <c r="E37" s="61"/>
    </row>
  </sheetData>
  <pageMargins left="0.7" right="0.7" top="0.75" bottom="0.75" header="0.3" footer="0.3"/>
  <pageSetup scale="75" orientation="portrait" r:id="rId1"/>
  <rowBreaks count="3" manualBreakCount="3">
    <brk id="11" max="16383" man="1"/>
    <brk id="18" max="16383" man="1"/>
    <brk id="24"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66FF33"/>
    <pageSetUpPr fitToPage="1"/>
  </sheetPr>
  <dimension ref="A1:G30"/>
  <sheetViews>
    <sheetView showGridLines="0" zoomScale="120" zoomScaleNormal="120" workbookViewId="0">
      <selection activeCell="I11" sqref="I11"/>
    </sheetView>
  </sheetViews>
  <sheetFormatPr defaultRowHeight="12.75"/>
  <cols>
    <col min="2" max="2" width="17.6640625" style="49" bestFit="1" customWidth="1"/>
    <col min="3" max="3" width="29.1640625" bestFit="1" customWidth="1"/>
    <col min="4" max="4" width="42.83203125" bestFit="1" customWidth="1"/>
    <col min="5" max="5" width="54.33203125" bestFit="1" customWidth="1"/>
  </cols>
  <sheetData>
    <row r="1" spans="1:5">
      <c r="A1" t="s">
        <v>141</v>
      </c>
    </row>
    <row r="2" spans="1:5" ht="18.75">
      <c r="A2" s="7" t="s">
        <v>1266</v>
      </c>
    </row>
    <row r="4" spans="1:5">
      <c r="A4" s="1663" t="s">
        <v>28</v>
      </c>
      <c r="B4" s="986" t="s">
        <v>1267</v>
      </c>
      <c r="C4" s="986" t="s">
        <v>805</v>
      </c>
      <c r="D4" s="986" t="s">
        <v>1268</v>
      </c>
      <c r="E4" s="987" t="s">
        <v>1269</v>
      </c>
    </row>
    <row r="5" spans="1:5">
      <c r="A5" s="1087"/>
      <c r="B5" s="1088"/>
      <c r="C5" s="1089"/>
      <c r="D5" s="1089"/>
      <c r="E5" s="135"/>
    </row>
    <row r="6" spans="1:5">
      <c r="A6" s="834">
        <v>2002</v>
      </c>
      <c r="B6" s="49" t="s">
        <v>1270</v>
      </c>
      <c r="C6" s="49" t="s">
        <v>1271</v>
      </c>
      <c r="D6" s="49" t="s">
        <v>1272</v>
      </c>
      <c r="E6" s="988" t="s">
        <v>1273</v>
      </c>
    </row>
    <row r="7" spans="1:5">
      <c r="A7" s="834">
        <v>2003</v>
      </c>
      <c r="B7" s="49" t="s">
        <v>1270</v>
      </c>
      <c r="C7" s="49" t="s">
        <v>1274</v>
      </c>
      <c r="D7" s="49" t="s">
        <v>1272</v>
      </c>
      <c r="E7" s="137" t="s">
        <v>1273</v>
      </c>
    </row>
    <row r="8" spans="1:5">
      <c r="A8" s="834">
        <v>2004</v>
      </c>
      <c r="B8" s="49" t="s">
        <v>1270</v>
      </c>
      <c r="C8" s="49" t="s">
        <v>1274</v>
      </c>
      <c r="D8" s="49" t="s">
        <v>1272</v>
      </c>
      <c r="E8" s="137" t="s">
        <v>1273</v>
      </c>
    </row>
    <row r="9" spans="1:5" ht="25.5">
      <c r="A9" s="989">
        <v>2005</v>
      </c>
      <c r="B9" s="1465" t="s">
        <v>1270</v>
      </c>
      <c r="C9" s="1465" t="s">
        <v>1274</v>
      </c>
      <c r="D9" s="1465" t="s">
        <v>1272</v>
      </c>
      <c r="E9" s="990" t="s">
        <v>1275</v>
      </c>
    </row>
    <row r="10" spans="1:5">
      <c r="A10" s="834">
        <v>2006</v>
      </c>
      <c r="B10" s="49" t="s">
        <v>1270</v>
      </c>
      <c r="C10" s="49" t="s">
        <v>1274</v>
      </c>
      <c r="D10" s="49" t="s">
        <v>1272</v>
      </c>
      <c r="E10" s="137" t="s">
        <v>1276</v>
      </c>
    </row>
    <row r="11" spans="1:5">
      <c r="A11" s="834">
        <v>2007</v>
      </c>
      <c r="B11" s="49" t="s">
        <v>1270</v>
      </c>
      <c r="C11" s="49" t="s">
        <v>1277</v>
      </c>
      <c r="D11" s="49" t="s">
        <v>1272</v>
      </c>
      <c r="E11" s="137" t="s">
        <v>1276</v>
      </c>
    </row>
    <row r="12" spans="1:5">
      <c r="A12" s="834">
        <v>2008</v>
      </c>
      <c r="B12" s="49" t="s">
        <v>1270</v>
      </c>
      <c r="C12" s="49" t="s">
        <v>1278</v>
      </c>
      <c r="D12" s="49" t="s">
        <v>1272</v>
      </c>
      <c r="E12" s="137" t="s">
        <v>1276</v>
      </c>
    </row>
    <row r="13" spans="1:5">
      <c r="A13" s="834">
        <v>2009</v>
      </c>
      <c r="B13" s="49" t="s">
        <v>1270</v>
      </c>
      <c r="C13" s="49" t="s">
        <v>1279</v>
      </c>
      <c r="D13" s="49" t="s">
        <v>1272</v>
      </c>
      <c r="E13" s="137" t="s">
        <v>1276</v>
      </c>
    </row>
    <row r="14" spans="1:5">
      <c r="A14" s="834">
        <v>2010</v>
      </c>
      <c r="B14" s="49" t="s">
        <v>1280</v>
      </c>
      <c r="C14" s="49" t="s">
        <v>1274</v>
      </c>
      <c r="D14" s="49" t="s">
        <v>1272</v>
      </c>
      <c r="E14" s="137" t="s">
        <v>1273</v>
      </c>
    </row>
    <row r="15" spans="1:5">
      <c r="A15" s="834">
        <v>2011</v>
      </c>
      <c r="B15" s="49" t="s">
        <v>1281</v>
      </c>
      <c r="C15" s="49" t="s">
        <v>1282</v>
      </c>
      <c r="D15" s="49" t="s">
        <v>1272</v>
      </c>
      <c r="E15" s="137" t="s">
        <v>1273</v>
      </c>
    </row>
    <row r="16" spans="1:5">
      <c r="A16" s="834">
        <v>2012</v>
      </c>
      <c r="B16" s="49" t="s">
        <v>1281</v>
      </c>
      <c r="C16" s="49" t="s">
        <v>1283</v>
      </c>
      <c r="D16" s="49" t="s">
        <v>1272</v>
      </c>
      <c r="E16" s="137" t="s">
        <v>1273</v>
      </c>
    </row>
    <row r="17" spans="1:7">
      <c r="A17" s="834">
        <v>2013</v>
      </c>
      <c r="B17" s="49" t="s">
        <v>1281</v>
      </c>
      <c r="C17" s="49" t="s">
        <v>1277</v>
      </c>
      <c r="D17" s="49" t="s">
        <v>1272</v>
      </c>
      <c r="E17" s="137" t="s">
        <v>1273</v>
      </c>
    </row>
    <row r="18" spans="1:7">
      <c r="A18" s="834">
        <v>2014</v>
      </c>
      <c r="B18" s="49" t="s">
        <v>1281</v>
      </c>
      <c r="C18" s="49" t="s">
        <v>1284</v>
      </c>
      <c r="D18" s="49" t="s">
        <v>1272</v>
      </c>
      <c r="E18" s="137" t="s">
        <v>1273</v>
      </c>
    </row>
    <row r="19" spans="1:7" ht="25.5">
      <c r="A19" s="989">
        <v>2015</v>
      </c>
      <c r="B19" s="1465" t="s">
        <v>1281</v>
      </c>
      <c r="C19" s="1465" t="s">
        <v>1274</v>
      </c>
      <c r="D19" s="1465" t="s">
        <v>1285</v>
      </c>
      <c r="E19" s="990" t="s">
        <v>1286</v>
      </c>
    </row>
    <row r="20" spans="1:7">
      <c r="A20" s="834">
        <v>2016</v>
      </c>
      <c r="B20" s="49" t="s">
        <v>1281</v>
      </c>
      <c r="C20" s="49" t="s">
        <v>1274</v>
      </c>
      <c r="D20" s="49" t="s">
        <v>1272</v>
      </c>
      <c r="E20" s="137" t="s">
        <v>1273</v>
      </c>
    </row>
    <row r="21" spans="1:7">
      <c r="A21" s="834">
        <v>2017</v>
      </c>
      <c r="B21" s="49" t="s">
        <v>1281</v>
      </c>
      <c r="C21" s="49" t="s">
        <v>1287</v>
      </c>
      <c r="D21" s="49" t="s">
        <v>1272</v>
      </c>
      <c r="E21" s="137" t="s">
        <v>1273</v>
      </c>
    </row>
    <row r="22" spans="1:7">
      <c r="A22" s="834">
        <v>2018</v>
      </c>
      <c r="B22" s="49" t="s">
        <v>1281</v>
      </c>
      <c r="C22" s="49" t="s">
        <v>1288</v>
      </c>
      <c r="D22" s="49" t="s">
        <v>1272</v>
      </c>
      <c r="E22" s="137" t="s">
        <v>1273</v>
      </c>
      <c r="G22" s="47"/>
    </row>
    <row r="23" spans="1:7">
      <c r="A23" s="834">
        <v>2019</v>
      </c>
      <c r="B23" s="49" t="s">
        <v>1289</v>
      </c>
      <c r="C23" s="1464" t="s">
        <v>48</v>
      </c>
      <c r="D23" s="1464" t="s">
        <v>48</v>
      </c>
      <c r="E23" s="988" t="s">
        <v>1290</v>
      </c>
    </row>
    <row r="24" spans="1:7">
      <c r="A24" s="834">
        <v>2020</v>
      </c>
      <c r="B24" s="49" t="s">
        <v>1270</v>
      </c>
      <c r="C24" s="1464" t="s">
        <v>1291</v>
      </c>
      <c r="D24" s="1464" t="s">
        <v>1272</v>
      </c>
      <c r="E24" s="137" t="s">
        <v>1273</v>
      </c>
    </row>
    <row r="25" spans="1:7">
      <c r="A25" s="834">
        <v>2021</v>
      </c>
      <c r="B25" s="49" t="s">
        <v>1281</v>
      </c>
      <c r="C25" s="1464" t="s">
        <v>1292</v>
      </c>
      <c r="D25" s="1464" t="s">
        <v>1272</v>
      </c>
      <c r="E25" s="137" t="s">
        <v>1273</v>
      </c>
    </row>
    <row r="26" spans="1:7">
      <c r="A26" s="834">
        <v>2022</v>
      </c>
      <c r="B26" s="49" t="s">
        <v>1281</v>
      </c>
      <c r="C26" s="1464" t="s">
        <v>1293</v>
      </c>
      <c r="D26" s="1464" t="s">
        <v>1272</v>
      </c>
      <c r="E26" s="137" t="s">
        <v>1273</v>
      </c>
    </row>
    <row r="27" spans="1:7">
      <c r="A27" s="834">
        <v>2023</v>
      </c>
      <c r="B27" s="49" t="s">
        <v>1281</v>
      </c>
      <c r="C27" s="1464" t="s">
        <v>1277</v>
      </c>
      <c r="D27" s="1464" t="s">
        <v>1272</v>
      </c>
      <c r="E27" s="137" t="s">
        <v>1294</v>
      </c>
    </row>
    <row r="28" spans="1:7" ht="12.75" customHeight="1">
      <c r="A28" s="834">
        <v>2024</v>
      </c>
      <c r="B28" s="49" t="s">
        <v>1281</v>
      </c>
      <c r="C28" s="1464" t="s">
        <v>1295</v>
      </c>
      <c r="D28" s="1464" t="s">
        <v>1272</v>
      </c>
      <c r="E28" s="137" t="s">
        <v>1294</v>
      </c>
    </row>
    <row r="29" spans="1:7" ht="12.75" customHeight="1">
      <c r="A29" s="1660">
        <v>2025</v>
      </c>
      <c r="B29" s="991" t="s">
        <v>1281</v>
      </c>
      <c r="C29" s="992" t="s">
        <v>1296</v>
      </c>
      <c r="D29" s="992" t="s">
        <v>1272</v>
      </c>
      <c r="E29" s="993" t="s">
        <v>1294</v>
      </c>
    </row>
    <row r="30" spans="1:7" ht="14.25">
      <c r="A30" s="133" t="s">
        <v>1297</v>
      </c>
    </row>
  </sheetData>
  <pageMargins left="0.7" right="0.7" top="0.75" bottom="0.75" header="0.3" footer="0.3"/>
  <pageSetup scale="79" orientation="landscape" r:id="rId1"/>
  <ignoredErrors>
    <ignoredError sqref="C11:C12 C17 C22 C24 C27" twoDigitTextYear="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66FF33"/>
    <pageSetUpPr fitToPage="1"/>
  </sheetPr>
  <dimension ref="A1:R86"/>
  <sheetViews>
    <sheetView showGridLines="0" zoomScale="118" zoomScaleNormal="118" workbookViewId="0">
      <selection activeCell="I52" sqref="I52:I53"/>
    </sheetView>
  </sheetViews>
  <sheetFormatPr defaultColWidth="9.33203125" defaultRowHeight="12.75"/>
  <cols>
    <col min="1" max="1" width="10.83203125" customWidth="1"/>
    <col min="2" max="2" width="9.1640625" bestFit="1" customWidth="1"/>
    <col min="6" max="6" width="2.33203125" customWidth="1"/>
    <col min="7" max="7" width="10.83203125" customWidth="1"/>
    <col min="12" max="12" width="2.1640625" customWidth="1"/>
    <col min="13" max="13" width="10.83203125" customWidth="1"/>
    <col min="17" max="17" width="11" customWidth="1"/>
  </cols>
  <sheetData>
    <row r="1" spans="1:18" ht="15.75">
      <c r="A1" s="60" t="s">
        <v>141</v>
      </c>
    </row>
    <row r="2" spans="1:18" ht="15.75">
      <c r="A2" s="60" t="s">
        <v>1298</v>
      </c>
    </row>
    <row r="3" spans="1:18" ht="15.75">
      <c r="A3" s="60"/>
    </row>
    <row r="4" spans="1:18" ht="14.25" customHeight="1" thickBot="1">
      <c r="A4" s="1948" t="s">
        <v>28</v>
      </c>
      <c r="B4" s="1948" t="s">
        <v>1299</v>
      </c>
      <c r="C4" s="1949" t="s">
        <v>1300</v>
      </c>
      <c r="D4" s="1947" t="s">
        <v>1301</v>
      </c>
      <c r="E4" s="1947"/>
      <c r="F4" s="994"/>
      <c r="G4" s="1950" t="s">
        <v>28</v>
      </c>
      <c r="H4" s="1950" t="s">
        <v>1299</v>
      </c>
      <c r="I4" s="1949" t="s">
        <v>1300</v>
      </c>
      <c r="J4" s="1942" t="s">
        <v>1301</v>
      </c>
      <c r="K4" s="1942"/>
      <c r="L4" s="995"/>
      <c r="M4" s="1950" t="s">
        <v>28</v>
      </c>
      <c r="N4" s="1950" t="s">
        <v>1299</v>
      </c>
      <c r="O4" s="1949" t="s">
        <v>1300</v>
      </c>
      <c r="P4" s="1942" t="s">
        <v>1301</v>
      </c>
      <c r="Q4" s="1943"/>
      <c r="R4" s="62"/>
    </row>
    <row r="5" spans="1:18" ht="13.5" thickBot="1">
      <c r="A5" s="1945"/>
      <c r="B5" s="1945"/>
      <c r="C5" s="1946"/>
      <c r="D5" s="1694" t="s">
        <v>1302</v>
      </c>
      <c r="E5" s="1694" t="s">
        <v>1303</v>
      </c>
      <c r="F5" s="1376"/>
      <c r="G5" s="1940"/>
      <c r="H5" s="1940"/>
      <c r="I5" s="1946"/>
      <c r="J5" s="825" t="s">
        <v>1302</v>
      </c>
      <c r="K5" s="825" t="s">
        <v>1303</v>
      </c>
      <c r="L5" s="1377"/>
      <c r="M5" s="1940"/>
      <c r="N5" s="1940"/>
      <c r="O5" s="1946"/>
      <c r="P5" s="825" t="s">
        <v>1302</v>
      </c>
      <c r="Q5" s="996" t="s">
        <v>1303</v>
      </c>
    </row>
    <row r="6" spans="1:18">
      <c r="A6" s="997">
        <v>2005</v>
      </c>
      <c r="B6" s="1004" t="s">
        <v>1304</v>
      </c>
      <c r="C6" s="1378">
        <v>7551</v>
      </c>
      <c r="D6" s="62">
        <v>39</v>
      </c>
      <c r="E6" s="62">
        <v>0</v>
      </c>
      <c r="F6" s="1376"/>
      <c r="G6" s="1379">
        <v>2006</v>
      </c>
      <c r="H6" s="1380" t="s">
        <v>1304</v>
      </c>
      <c r="I6" s="1381">
        <v>2471</v>
      </c>
      <c r="J6" s="1376">
        <v>19</v>
      </c>
      <c r="K6" s="1376">
        <v>0</v>
      </c>
      <c r="L6" s="1377"/>
      <c r="M6" s="1379">
        <v>2007</v>
      </c>
      <c r="N6" s="1380" t="s">
        <v>1304</v>
      </c>
      <c r="O6" s="1381">
        <v>4405</v>
      </c>
      <c r="P6" s="1376">
        <v>24</v>
      </c>
      <c r="Q6" s="998">
        <v>0</v>
      </c>
    </row>
    <row r="7" spans="1:18">
      <c r="A7" s="997"/>
      <c r="B7" s="1004" t="s">
        <v>1305</v>
      </c>
      <c r="C7" s="1378">
        <v>36865</v>
      </c>
      <c r="D7" s="1382">
        <v>1899</v>
      </c>
      <c r="E7" s="62">
        <v>542</v>
      </c>
      <c r="F7" s="1376"/>
      <c r="G7" s="1379"/>
      <c r="H7" s="1380" t="s">
        <v>1305</v>
      </c>
      <c r="I7" s="1381">
        <v>27418</v>
      </c>
      <c r="J7" s="1381">
        <v>1810</v>
      </c>
      <c r="K7" s="1376">
        <v>413</v>
      </c>
      <c r="L7" s="1377"/>
      <c r="M7" s="1379"/>
      <c r="N7" s="1380" t="s">
        <v>1305</v>
      </c>
      <c r="O7" s="1381">
        <v>27949</v>
      </c>
      <c r="P7" s="1381">
        <v>1110</v>
      </c>
      <c r="Q7" s="998">
        <v>311</v>
      </c>
    </row>
    <row r="8" spans="1:18">
      <c r="A8" s="997"/>
      <c r="B8" s="1004" t="s">
        <v>1306</v>
      </c>
      <c r="C8" s="1378">
        <v>65705</v>
      </c>
      <c r="D8" s="1382">
        <v>8653</v>
      </c>
      <c r="E8" s="1382">
        <v>2389</v>
      </c>
      <c r="F8" s="1376"/>
      <c r="G8" s="1379"/>
      <c r="H8" s="1380" t="s">
        <v>1306</v>
      </c>
      <c r="I8" s="1381">
        <v>33750</v>
      </c>
      <c r="J8" s="1381">
        <v>3595</v>
      </c>
      <c r="K8" s="1376">
        <v>712</v>
      </c>
      <c r="L8" s="1377"/>
      <c r="M8" s="1379"/>
      <c r="N8" s="1380" t="s">
        <v>1307</v>
      </c>
      <c r="O8" s="1381">
        <v>34890</v>
      </c>
      <c r="P8" s="1381">
        <v>4507</v>
      </c>
      <c r="Q8" s="998">
        <v>924</v>
      </c>
    </row>
    <row r="9" spans="1:18">
      <c r="A9" s="997"/>
      <c r="B9" s="1004" t="s">
        <v>1308</v>
      </c>
      <c r="C9" s="1378">
        <v>4082</v>
      </c>
      <c r="D9" s="62">
        <v>0</v>
      </c>
      <c r="E9" s="62">
        <v>143</v>
      </c>
      <c r="F9" s="1376"/>
      <c r="G9" s="1379"/>
      <c r="H9" s="1380" t="s">
        <v>1308</v>
      </c>
      <c r="I9" s="1381">
        <v>12225</v>
      </c>
      <c r="J9" s="1376">
        <v>634</v>
      </c>
      <c r="K9" s="1376">
        <v>345</v>
      </c>
      <c r="L9" s="1377"/>
      <c r="M9" s="1379"/>
      <c r="N9" s="1380" t="s">
        <v>1309</v>
      </c>
      <c r="O9" s="1381">
        <v>10989</v>
      </c>
      <c r="P9" s="1376">
        <v>505</v>
      </c>
      <c r="Q9" s="998">
        <v>234</v>
      </c>
    </row>
    <row r="10" spans="1:18">
      <c r="A10" s="997"/>
      <c r="B10" s="1004" t="s">
        <v>1310</v>
      </c>
      <c r="C10" s="1378">
        <v>10492</v>
      </c>
      <c r="D10" s="62">
        <v>724</v>
      </c>
      <c r="E10" s="62">
        <v>486</v>
      </c>
      <c r="F10" s="1376"/>
      <c r="G10" s="1379"/>
      <c r="H10" s="1380" t="s">
        <v>1310</v>
      </c>
      <c r="I10" s="1381">
        <v>10971</v>
      </c>
      <c r="J10" s="1376">
        <v>927</v>
      </c>
      <c r="K10" s="1376">
        <v>991</v>
      </c>
      <c r="L10" s="1377"/>
      <c r="M10" s="1379"/>
      <c r="N10" s="1380" t="s">
        <v>1310</v>
      </c>
      <c r="O10" s="1381">
        <v>4777</v>
      </c>
      <c r="P10" s="1376">
        <v>330</v>
      </c>
      <c r="Q10" s="998">
        <v>179</v>
      </c>
    </row>
    <row r="11" spans="1:18" ht="12.75" customHeight="1">
      <c r="A11" s="997"/>
      <c r="B11" s="1004" t="s">
        <v>1311</v>
      </c>
      <c r="C11" s="1378">
        <v>12824</v>
      </c>
      <c r="D11" s="62">
        <v>669</v>
      </c>
      <c r="E11" s="62">
        <v>485</v>
      </c>
      <c r="F11" s="1376"/>
      <c r="G11" s="1379"/>
      <c r="H11" s="1380" t="s">
        <v>1311</v>
      </c>
      <c r="I11" s="1381">
        <v>19088</v>
      </c>
      <c r="J11" s="1381">
        <v>3360</v>
      </c>
      <c r="K11" s="1376">
        <v>5</v>
      </c>
      <c r="L11" s="1377"/>
      <c r="M11" s="1379"/>
      <c r="N11" s="1380" t="s">
        <v>1311</v>
      </c>
      <c r="O11" s="1381">
        <v>23732</v>
      </c>
      <c r="P11" s="1381">
        <v>2214</v>
      </c>
      <c r="Q11" s="998">
        <v>0</v>
      </c>
    </row>
    <row r="12" spans="1:18" ht="13.5" thickBot="1">
      <c r="A12" s="997"/>
      <c r="B12" s="1383" t="s">
        <v>1312</v>
      </c>
      <c r="C12" s="67">
        <v>25681</v>
      </c>
      <c r="D12" s="68">
        <v>902</v>
      </c>
      <c r="E12" s="68">
        <v>15</v>
      </c>
      <c r="F12" s="1376"/>
      <c r="G12" s="1379"/>
      <c r="H12" s="63" t="s">
        <v>1312</v>
      </c>
      <c r="I12" s="64">
        <v>24714</v>
      </c>
      <c r="J12" s="64">
        <v>1564</v>
      </c>
      <c r="K12" s="65">
        <v>11</v>
      </c>
      <c r="L12" s="1377"/>
      <c r="M12" s="1379"/>
      <c r="N12" s="63" t="s">
        <v>1312</v>
      </c>
      <c r="O12" s="64">
        <v>16036</v>
      </c>
      <c r="P12" s="65">
        <v>0</v>
      </c>
      <c r="Q12" s="999">
        <v>219</v>
      </c>
    </row>
    <row r="13" spans="1:18">
      <c r="A13" s="997"/>
      <c r="B13" s="997" t="s">
        <v>36</v>
      </c>
      <c r="C13" s="1378">
        <v>163200</v>
      </c>
      <c r="D13" s="1382">
        <v>12886</v>
      </c>
      <c r="E13" s="1382">
        <v>4060</v>
      </c>
      <c r="F13" s="1376"/>
      <c r="G13" s="1379"/>
      <c r="H13" s="1379" t="s">
        <v>36</v>
      </c>
      <c r="I13" s="1381">
        <v>130637</v>
      </c>
      <c r="J13" s="1381">
        <v>11909</v>
      </c>
      <c r="K13" s="1381">
        <v>2477</v>
      </c>
      <c r="L13" s="1377"/>
      <c r="M13" s="1379"/>
      <c r="N13" s="1379" t="s">
        <v>36</v>
      </c>
      <c r="O13" s="1381">
        <v>122778</v>
      </c>
      <c r="P13" s="1381">
        <v>8690</v>
      </c>
      <c r="Q13" s="1000">
        <v>1867</v>
      </c>
    </row>
    <row r="14" spans="1:18" ht="5.85" customHeight="1" thickBot="1">
      <c r="A14" s="982"/>
      <c r="B14" s="982"/>
      <c r="C14" s="64"/>
      <c r="D14" s="64"/>
      <c r="E14" s="64"/>
      <c r="F14" s="65"/>
      <c r="G14" s="1694"/>
      <c r="H14" s="1694"/>
      <c r="I14" s="67"/>
      <c r="J14" s="70"/>
      <c r="K14" s="70"/>
      <c r="L14" s="69"/>
      <c r="M14" s="1697"/>
      <c r="N14" s="1697"/>
      <c r="O14" s="64"/>
      <c r="P14" s="64"/>
      <c r="Q14" s="1001"/>
    </row>
    <row r="15" spans="1:18" ht="5.85" customHeight="1">
      <c r="A15" s="1002"/>
      <c r="B15" s="1384"/>
      <c r="C15" s="1376"/>
      <c r="D15" s="1376"/>
      <c r="E15" s="1377"/>
      <c r="F15" s="1376"/>
      <c r="G15" s="1379"/>
      <c r="H15" s="1376"/>
      <c r="I15" s="1376"/>
      <c r="J15" s="1376"/>
      <c r="K15" s="1377"/>
      <c r="L15" s="1377"/>
      <c r="M15" s="1377"/>
      <c r="N15" s="1377"/>
      <c r="O15" s="1377"/>
      <c r="P15" s="1377"/>
      <c r="Q15" s="1003"/>
    </row>
    <row r="16" spans="1:18" ht="14.25" customHeight="1" thickBot="1">
      <c r="A16" s="1944" t="s">
        <v>28</v>
      </c>
      <c r="B16" s="1944" t="s">
        <v>1299</v>
      </c>
      <c r="C16" s="1937" t="s">
        <v>1300</v>
      </c>
      <c r="D16" s="1946" t="s">
        <v>1301</v>
      </c>
      <c r="E16" s="1946"/>
      <c r="F16" s="1376"/>
      <c r="G16" s="1939" t="s">
        <v>28</v>
      </c>
      <c r="H16" s="1939" t="s">
        <v>1299</v>
      </c>
      <c r="I16" s="1937" t="s">
        <v>1300</v>
      </c>
      <c r="J16" s="1938" t="s">
        <v>1301</v>
      </c>
      <c r="K16" s="1938"/>
      <c r="L16" s="1377"/>
      <c r="M16" s="1939" t="s">
        <v>28</v>
      </c>
      <c r="N16" s="1939" t="s">
        <v>1299</v>
      </c>
      <c r="O16" s="1937" t="s">
        <v>1300</v>
      </c>
      <c r="P16" s="1938" t="s">
        <v>1301</v>
      </c>
      <c r="Q16" s="1941"/>
    </row>
    <row r="17" spans="1:17" ht="13.5" thickBot="1">
      <c r="A17" s="1945"/>
      <c r="B17" s="1945"/>
      <c r="C17" s="1946"/>
      <c r="D17" s="72" t="s">
        <v>1302</v>
      </c>
      <c r="E17" s="72" t="s">
        <v>1303</v>
      </c>
      <c r="F17" s="1376"/>
      <c r="G17" s="1940"/>
      <c r="H17" s="1940"/>
      <c r="I17" s="1946"/>
      <c r="J17" s="1697" t="s">
        <v>1302</v>
      </c>
      <c r="K17" s="1697" t="s">
        <v>1303</v>
      </c>
      <c r="L17" s="1377"/>
      <c r="M17" s="1940"/>
      <c r="N17" s="1940"/>
      <c r="O17" s="1946"/>
      <c r="P17" s="1697" t="s">
        <v>1302</v>
      </c>
      <c r="Q17" s="1698" t="s">
        <v>1303</v>
      </c>
    </row>
    <row r="18" spans="1:17">
      <c r="A18" s="997">
        <v>2008</v>
      </c>
      <c r="B18" s="1004" t="s">
        <v>1313</v>
      </c>
      <c r="C18" s="1378">
        <v>4150</v>
      </c>
      <c r="D18" s="62">
        <v>3</v>
      </c>
      <c r="E18" s="62">
        <v>1</v>
      </c>
      <c r="F18" s="1376"/>
      <c r="G18" s="1379">
        <v>2009</v>
      </c>
      <c r="H18" s="1380" t="s">
        <v>1304</v>
      </c>
      <c r="I18" s="1381">
        <v>4539</v>
      </c>
      <c r="J18" s="1376">
        <v>34</v>
      </c>
      <c r="K18" s="1376">
        <v>1</v>
      </c>
      <c r="L18" s="1377"/>
      <c r="M18" s="1379">
        <v>2010</v>
      </c>
      <c r="N18" s="1380" t="s">
        <v>1313</v>
      </c>
      <c r="O18" s="1381">
        <v>7614</v>
      </c>
      <c r="P18" s="1376">
        <v>128</v>
      </c>
      <c r="Q18" s="998">
        <v>40</v>
      </c>
    </row>
    <row r="19" spans="1:17">
      <c r="A19" s="997"/>
      <c r="B19" s="1004" t="s">
        <v>1314</v>
      </c>
      <c r="C19" s="1378">
        <v>35453</v>
      </c>
      <c r="D19" s="1382">
        <v>4107</v>
      </c>
      <c r="E19" s="62">
        <v>668</v>
      </c>
      <c r="F19" s="1376"/>
      <c r="G19" s="1376"/>
      <c r="H19" s="1380" t="s">
        <v>1305</v>
      </c>
      <c r="I19" s="1381">
        <v>55061</v>
      </c>
      <c r="J19" s="1381">
        <v>3906</v>
      </c>
      <c r="K19" s="1376">
        <v>933</v>
      </c>
      <c r="L19" s="1377"/>
      <c r="M19" s="1379"/>
      <c r="N19" s="1380" t="s">
        <v>1314</v>
      </c>
      <c r="O19" s="1381">
        <v>65160</v>
      </c>
      <c r="P19" s="1381">
        <v>6646</v>
      </c>
      <c r="Q19" s="998">
        <v>989</v>
      </c>
    </row>
    <row r="20" spans="1:17">
      <c r="A20" s="997"/>
      <c r="B20" s="1004" t="s">
        <v>1307</v>
      </c>
      <c r="C20" s="1378">
        <v>63369</v>
      </c>
      <c r="D20" s="1382">
        <v>15930</v>
      </c>
      <c r="E20" s="1382">
        <v>2463</v>
      </c>
      <c r="F20" s="1376"/>
      <c r="G20" s="1376"/>
      <c r="H20" s="1380" t="s">
        <v>1306</v>
      </c>
      <c r="I20" s="1381">
        <v>82693</v>
      </c>
      <c r="J20" s="1381">
        <v>12983</v>
      </c>
      <c r="K20" s="1381">
        <v>2304</v>
      </c>
      <c r="L20" s="1377"/>
      <c r="M20" s="1379"/>
      <c r="N20" s="1380" t="s">
        <v>1307</v>
      </c>
      <c r="O20" s="1381">
        <v>99001</v>
      </c>
      <c r="P20" s="1381">
        <v>22473</v>
      </c>
      <c r="Q20" s="1000">
        <v>3407</v>
      </c>
    </row>
    <row r="21" spans="1:17">
      <c r="A21" s="997"/>
      <c r="B21" s="1004" t="s">
        <v>1309</v>
      </c>
      <c r="C21" s="1377">
        <v>0</v>
      </c>
      <c r="D21" s="62">
        <v>0</v>
      </c>
      <c r="E21" s="62">
        <v>0</v>
      </c>
      <c r="F21" s="1376"/>
      <c r="G21" s="1376"/>
      <c r="H21" s="1380" t="s">
        <v>1308</v>
      </c>
      <c r="I21" s="1376">
        <v>0</v>
      </c>
      <c r="J21" s="1376">
        <v>0</v>
      </c>
      <c r="K21" s="1376">
        <v>10</v>
      </c>
      <c r="L21" s="1377"/>
      <c r="M21" s="1379"/>
      <c r="N21" s="1380" t="s">
        <v>1309</v>
      </c>
      <c r="O21" s="1381">
        <v>6196</v>
      </c>
      <c r="P21" s="1376">
        <v>0</v>
      </c>
      <c r="Q21" s="998">
        <v>311</v>
      </c>
    </row>
    <row r="22" spans="1:17">
      <c r="A22" s="997"/>
      <c r="B22" s="1004" t="s">
        <v>1310</v>
      </c>
      <c r="C22" s="1377">
        <v>0</v>
      </c>
      <c r="D22" s="62">
        <v>0</v>
      </c>
      <c r="E22" s="62">
        <v>0</v>
      </c>
      <c r="F22" s="1376"/>
      <c r="G22" s="1376"/>
      <c r="H22" s="1380" t="s">
        <v>1310</v>
      </c>
      <c r="I22" s="1381">
        <v>4109</v>
      </c>
      <c r="J22" s="1376">
        <v>0</v>
      </c>
      <c r="K22" s="1376">
        <v>148</v>
      </c>
      <c r="L22" s="1377"/>
      <c r="M22" s="1379"/>
      <c r="N22" s="1380" t="s">
        <v>1310</v>
      </c>
      <c r="O22" s="1381">
        <v>7005</v>
      </c>
      <c r="P22" s="1376">
        <v>0</v>
      </c>
      <c r="Q22" s="998">
        <v>608</v>
      </c>
    </row>
    <row r="23" spans="1:17" ht="12.75" customHeight="1">
      <c r="A23" s="997"/>
      <c r="B23" s="1004" t="s">
        <v>1311</v>
      </c>
      <c r="C23" s="1378">
        <v>30505</v>
      </c>
      <c r="D23" s="1382">
        <v>2051</v>
      </c>
      <c r="E23" s="62">
        <v>463</v>
      </c>
      <c r="F23" s="1376"/>
      <c r="G23" s="1376"/>
      <c r="H23" s="1380" t="s">
        <v>1311</v>
      </c>
      <c r="I23" s="1381">
        <v>23569</v>
      </c>
      <c r="J23" s="1381">
        <v>1749</v>
      </c>
      <c r="K23" s="1376">
        <v>381</v>
      </c>
      <c r="L23" s="1377"/>
      <c r="M23" s="1379"/>
      <c r="N23" s="1380" t="s">
        <v>1311</v>
      </c>
      <c r="O23" s="1381">
        <v>26932</v>
      </c>
      <c r="P23" s="1381">
        <v>1866</v>
      </c>
      <c r="Q23" s="998">
        <v>845</v>
      </c>
    </row>
    <row r="24" spans="1:17" ht="13.5" thickBot="1">
      <c r="A24" s="1004"/>
      <c r="B24" s="1383" t="s">
        <v>1312</v>
      </c>
      <c r="C24" s="67">
        <v>20783</v>
      </c>
      <c r="D24" s="68">
        <v>0</v>
      </c>
      <c r="E24" s="68">
        <v>427</v>
      </c>
      <c r="F24" s="1376"/>
      <c r="G24" s="1376"/>
      <c r="H24" s="63" t="s">
        <v>1312</v>
      </c>
      <c r="I24" s="64">
        <v>39644</v>
      </c>
      <c r="J24" s="65">
        <v>507</v>
      </c>
      <c r="K24" s="65">
        <v>469</v>
      </c>
      <c r="L24" s="1377"/>
      <c r="M24" s="1376"/>
      <c r="N24" s="63" t="s">
        <v>1312</v>
      </c>
      <c r="O24" s="64">
        <v>43729</v>
      </c>
      <c r="P24" s="65">
        <v>673</v>
      </c>
      <c r="Q24" s="999">
        <v>483</v>
      </c>
    </row>
    <row r="25" spans="1:17">
      <c r="A25" s="1004"/>
      <c r="B25" s="997" t="s">
        <v>36</v>
      </c>
      <c r="C25" s="1378">
        <v>154260</v>
      </c>
      <c r="D25" s="1382">
        <v>22091</v>
      </c>
      <c r="E25" s="1382">
        <v>4022</v>
      </c>
      <c r="F25" s="1376"/>
      <c r="G25" s="1376"/>
      <c r="H25" s="1379" t="s">
        <v>36</v>
      </c>
      <c r="I25" s="1381">
        <v>209615</v>
      </c>
      <c r="J25" s="1381">
        <v>19179</v>
      </c>
      <c r="K25" s="1381">
        <v>4246</v>
      </c>
      <c r="L25" s="1377"/>
      <c r="M25" s="1379"/>
      <c r="N25" s="1379" t="s">
        <v>36</v>
      </c>
      <c r="O25" s="1381">
        <v>255637</v>
      </c>
      <c r="P25" s="1381">
        <v>31786</v>
      </c>
      <c r="Q25" s="1000">
        <v>6683</v>
      </c>
    </row>
    <row r="26" spans="1:17" ht="5.85" customHeight="1" thickBot="1">
      <c r="A26" s="982"/>
      <c r="B26" s="982"/>
      <c r="C26" s="64"/>
      <c r="D26" s="64"/>
      <c r="E26" s="64"/>
      <c r="F26" s="65"/>
      <c r="G26" s="1694"/>
      <c r="H26" s="1694"/>
      <c r="I26" s="67"/>
      <c r="J26" s="70"/>
      <c r="K26" s="70"/>
      <c r="L26" s="69"/>
      <c r="M26" s="1697"/>
      <c r="N26" s="1697"/>
      <c r="O26" s="64"/>
      <c r="P26" s="64"/>
      <c r="Q26" s="1001"/>
    </row>
    <row r="27" spans="1:17" ht="5.85" customHeight="1">
      <c r="A27" s="1002"/>
      <c r="B27" s="1002"/>
      <c r="C27" s="1376"/>
      <c r="D27" s="1376"/>
      <c r="E27" s="1377"/>
      <c r="F27" s="1376"/>
      <c r="G27" s="1379"/>
      <c r="H27" s="1376"/>
      <c r="I27" s="1376"/>
      <c r="J27" s="1376"/>
      <c r="K27" s="1377"/>
      <c r="L27" s="1377"/>
      <c r="M27" s="1377"/>
      <c r="N27" s="1377"/>
      <c r="O27" s="1377"/>
      <c r="P27" s="62"/>
      <c r="Q27" s="1003"/>
    </row>
    <row r="28" spans="1:17" ht="14.25" customHeight="1" thickBot="1">
      <c r="A28" s="1944" t="s">
        <v>28</v>
      </c>
      <c r="B28" s="1944" t="s">
        <v>1299</v>
      </c>
      <c r="C28" s="1937" t="s">
        <v>1300</v>
      </c>
      <c r="D28" s="1946" t="s">
        <v>1301</v>
      </c>
      <c r="E28" s="1946"/>
      <c r="F28" s="1376"/>
      <c r="G28" s="1939" t="s">
        <v>28</v>
      </c>
      <c r="H28" s="1939" t="s">
        <v>1299</v>
      </c>
      <c r="I28" s="1937" t="s">
        <v>1300</v>
      </c>
      <c r="J28" s="1938" t="s">
        <v>1301</v>
      </c>
      <c r="K28" s="1938"/>
      <c r="L28" s="1377"/>
      <c r="M28" s="1939" t="s">
        <v>28</v>
      </c>
      <c r="N28" s="1939" t="s">
        <v>1299</v>
      </c>
      <c r="O28" s="1937" t="s">
        <v>1300</v>
      </c>
      <c r="P28" s="1946" t="s">
        <v>1301</v>
      </c>
      <c r="Q28" s="1951"/>
    </row>
    <row r="29" spans="1:17" ht="13.5" thickBot="1">
      <c r="A29" s="1945"/>
      <c r="B29" s="1945"/>
      <c r="C29" s="1946"/>
      <c r="D29" s="1694" t="s">
        <v>1302</v>
      </c>
      <c r="E29" s="1694" t="s">
        <v>1303</v>
      </c>
      <c r="F29" s="1376"/>
      <c r="G29" s="1940"/>
      <c r="H29" s="1940"/>
      <c r="I29" s="1946"/>
      <c r="J29" s="1697" t="s">
        <v>1302</v>
      </c>
      <c r="K29" s="1697" t="s">
        <v>1303</v>
      </c>
      <c r="L29" s="1377"/>
      <c r="M29" s="1940"/>
      <c r="N29" s="1940"/>
      <c r="O29" s="1946"/>
      <c r="P29" s="1697" t="s">
        <v>1302</v>
      </c>
      <c r="Q29" s="999" t="s">
        <v>1303</v>
      </c>
    </row>
    <row r="30" spans="1:17">
      <c r="A30" s="997">
        <v>2011</v>
      </c>
      <c r="B30" s="1004" t="s">
        <v>1313</v>
      </c>
      <c r="C30" s="1378">
        <v>5598</v>
      </c>
      <c r="D30" s="62">
        <v>280</v>
      </c>
      <c r="E30" s="62">
        <v>47</v>
      </c>
      <c r="F30" s="1376"/>
      <c r="G30" s="1379">
        <v>2012</v>
      </c>
      <c r="H30" s="1380" t="s">
        <v>1304</v>
      </c>
      <c r="I30" s="1381">
        <v>8188</v>
      </c>
      <c r="J30" s="1376">
        <v>37</v>
      </c>
      <c r="K30" s="1376">
        <v>23</v>
      </c>
      <c r="L30" s="1377"/>
      <c r="M30" s="1379">
        <v>2013</v>
      </c>
      <c r="N30" s="1380" t="s">
        <v>1304</v>
      </c>
      <c r="O30" s="1381">
        <v>4856</v>
      </c>
      <c r="P30" s="1376">
        <v>46</v>
      </c>
      <c r="Q30" s="998">
        <v>11</v>
      </c>
    </row>
    <row r="31" spans="1:17">
      <c r="A31" s="1005"/>
      <c r="B31" s="1004" t="s">
        <v>1314</v>
      </c>
      <c r="C31" s="1378">
        <v>59971</v>
      </c>
      <c r="D31" s="1382">
        <v>3349</v>
      </c>
      <c r="E31" s="1382">
        <v>1099</v>
      </c>
      <c r="F31" s="1376"/>
      <c r="G31" s="1376"/>
      <c r="H31" s="1380" t="s">
        <v>1305</v>
      </c>
      <c r="I31" s="1381">
        <v>39600</v>
      </c>
      <c r="J31" s="1381">
        <v>1560</v>
      </c>
      <c r="K31" s="1376">
        <v>309</v>
      </c>
      <c r="L31" s="1377"/>
      <c r="M31" s="1376"/>
      <c r="N31" s="1380" t="s">
        <v>1305</v>
      </c>
      <c r="O31" s="1381">
        <v>40955</v>
      </c>
      <c r="P31" s="1381">
        <v>1462</v>
      </c>
      <c r="Q31" s="998">
        <v>431</v>
      </c>
    </row>
    <row r="32" spans="1:17">
      <c r="A32" s="1005"/>
      <c r="B32" s="1004" t="s">
        <v>1307</v>
      </c>
      <c r="C32" s="1378">
        <v>48962</v>
      </c>
      <c r="D32" s="1382">
        <v>4026</v>
      </c>
      <c r="E32" s="62">
        <v>928</v>
      </c>
      <c r="F32" s="1376"/>
      <c r="G32" s="1376"/>
      <c r="H32" s="1380" t="s">
        <v>1306</v>
      </c>
      <c r="I32" s="1381">
        <v>57357</v>
      </c>
      <c r="J32" s="1381">
        <v>11105</v>
      </c>
      <c r="K32" s="1381">
        <v>1810</v>
      </c>
      <c r="L32" s="1377"/>
      <c r="M32" s="1376"/>
      <c r="N32" s="1380" t="s">
        <v>1306</v>
      </c>
      <c r="O32" s="1381">
        <v>28895</v>
      </c>
      <c r="P32" s="1381">
        <v>3634</v>
      </c>
      <c r="Q32" s="998">
        <v>845</v>
      </c>
    </row>
    <row r="33" spans="1:17">
      <c r="A33" s="1005"/>
      <c r="B33" s="1004" t="s">
        <v>1309</v>
      </c>
      <c r="C33" s="1378">
        <v>21237</v>
      </c>
      <c r="D33" s="1382">
        <v>1687</v>
      </c>
      <c r="E33" s="62">
        <v>385</v>
      </c>
      <c r="F33" s="1376"/>
      <c r="G33" s="1376"/>
      <c r="H33" s="1380" t="s">
        <v>1308</v>
      </c>
      <c r="I33" s="1381">
        <v>15024</v>
      </c>
      <c r="J33" s="1376">
        <v>630</v>
      </c>
      <c r="K33" s="1376">
        <v>739</v>
      </c>
      <c r="L33" s="1377"/>
      <c r="M33" s="1376"/>
      <c r="N33" s="1380" t="s">
        <v>1308</v>
      </c>
      <c r="O33" s="1381">
        <v>13751</v>
      </c>
      <c r="P33" s="1376">
        <v>461</v>
      </c>
      <c r="Q33" s="998">
        <v>458</v>
      </c>
    </row>
    <row r="34" spans="1:17">
      <c r="A34" s="1005"/>
      <c r="B34" s="1004" t="s">
        <v>1310</v>
      </c>
      <c r="C34" s="1378">
        <v>19127</v>
      </c>
      <c r="D34" s="1382">
        <v>2352</v>
      </c>
      <c r="E34" s="62">
        <v>695</v>
      </c>
      <c r="F34" s="1376"/>
      <c r="G34" s="1376"/>
      <c r="H34" s="1380" t="s">
        <v>1310</v>
      </c>
      <c r="I34" s="1381">
        <v>7750</v>
      </c>
      <c r="J34" s="1376">
        <v>0</v>
      </c>
      <c r="K34" s="1376">
        <v>595</v>
      </c>
      <c r="L34" s="1377"/>
      <c r="M34" s="1376"/>
      <c r="N34" s="1380" t="s">
        <v>1310</v>
      </c>
      <c r="O34" s="1381">
        <v>21198</v>
      </c>
      <c r="P34" s="1381">
        <v>1347</v>
      </c>
      <c r="Q34" s="998">
        <v>921</v>
      </c>
    </row>
    <row r="35" spans="1:17" ht="12.75" customHeight="1">
      <c r="A35" s="1005"/>
      <c r="B35" s="1004" t="s">
        <v>1311</v>
      </c>
      <c r="C35" s="1378">
        <v>30858</v>
      </c>
      <c r="D35" s="1382">
        <v>3787</v>
      </c>
      <c r="E35" s="1382">
        <v>1731</v>
      </c>
      <c r="F35" s="1376"/>
      <c r="G35" s="1376"/>
      <c r="H35" s="1380" t="s">
        <v>1311</v>
      </c>
      <c r="I35" s="1381">
        <v>31298</v>
      </c>
      <c r="J35" s="1381">
        <v>2698</v>
      </c>
      <c r="K35" s="1381">
        <v>1521</v>
      </c>
      <c r="L35" s="1377"/>
      <c r="M35" s="1376"/>
      <c r="N35" s="1380" t="s">
        <v>1311</v>
      </c>
      <c r="O35" s="1381">
        <v>26473</v>
      </c>
      <c r="P35" s="1381">
        <v>1820</v>
      </c>
      <c r="Q35" s="1000">
        <v>1172</v>
      </c>
    </row>
    <row r="36" spans="1:17" ht="13.5" thickBot="1">
      <c r="A36" s="1005"/>
      <c r="B36" s="1383" t="s">
        <v>1312</v>
      </c>
      <c r="C36" s="67">
        <v>44960</v>
      </c>
      <c r="D36" s="70">
        <v>1373</v>
      </c>
      <c r="E36" s="70">
        <v>1040</v>
      </c>
      <c r="F36" s="1376"/>
      <c r="G36" s="1376"/>
      <c r="H36" s="63" t="s">
        <v>1312</v>
      </c>
      <c r="I36" s="64">
        <v>49435</v>
      </c>
      <c r="J36" s="65">
        <v>199</v>
      </c>
      <c r="K36" s="64">
        <v>1037</v>
      </c>
      <c r="L36" s="1377"/>
      <c r="M36" s="1376"/>
      <c r="N36" s="63" t="s">
        <v>1312</v>
      </c>
      <c r="O36" s="64">
        <v>25564</v>
      </c>
      <c r="P36" s="65">
        <v>12</v>
      </c>
      <c r="Q36" s="999">
        <v>336</v>
      </c>
    </row>
    <row r="37" spans="1:17">
      <c r="A37" s="997"/>
      <c r="B37" s="997" t="s">
        <v>36</v>
      </c>
      <c r="C37" s="1378">
        <v>230713</v>
      </c>
      <c r="D37" s="1382">
        <v>16854</v>
      </c>
      <c r="E37" s="1382">
        <v>5925</v>
      </c>
      <c r="F37" s="1376"/>
      <c r="G37" s="1376"/>
      <c r="H37" s="1379" t="s">
        <v>36</v>
      </c>
      <c r="I37" s="1381">
        <v>208652</v>
      </c>
      <c r="J37" s="1381">
        <v>16229</v>
      </c>
      <c r="K37" s="1381">
        <v>6034</v>
      </c>
      <c r="L37" s="1377"/>
      <c r="M37" s="1376"/>
      <c r="N37" s="1379" t="s">
        <v>36</v>
      </c>
      <c r="O37" s="1381">
        <v>161692</v>
      </c>
      <c r="P37" s="1381">
        <v>8782</v>
      </c>
      <c r="Q37" s="1000">
        <v>4174</v>
      </c>
    </row>
    <row r="38" spans="1:17" ht="5.85" customHeight="1" thickBot="1">
      <c r="A38" s="982"/>
      <c r="B38" s="982"/>
      <c r="C38" s="64"/>
      <c r="D38" s="64"/>
      <c r="E38" s="64"/>
      <c r="F38" s="65"/>
      <c r="G38" s="1694"/>
      <c r="H38" s="1694"/>
      <c r="I38" s="67"/>
      <c r="J38" s="70"/>
      <c r="K38" s="70"/>
      <c r="L38" s="69"/>
      <c r="M38" s="1697"/>
      <c r="N38" s="1697"/>
      <c r="O38" s="64"/>
      <c r="P38" s="64"/>
      <c r="Q38" s="1001"/>
    </row>
    <row r="39" spans="1:17" ht="5.85" customHeight="1">
      <c r="A39" s="1644"/>
      <c r="B39" s="1644"/>
      <c r="Q39" s="137"/>
    </row>
    <row r="40" spans="1:17" ht="14.25" customHeight="1" thickBot="1">
      <c r="A40" s="1944" t="s">
        <v>28</v>
      </c>
      <c r="B40" s="1944" t="s">
        <v>1299</v>
      </c>
      <c r="C40" s="1937" t="s">
        <v>1300</v>
      </c>
      <c r="D40" s="1946" t="s">
        <v>1301</v>
      </c>
      <c r="E40" s="1946"/>
      <c r="F40" s="1376"/>
      <c r="G40" s="1953" t="s">
        <v>28</v>
      </c>
      <c r="H40" s="1953" t="s">
        <v>1299</v>
      </c>
      <c r="I40" s="1937" t="s">
        <v>1300</v>
      </c>
      <c r="J40" s="1946" t="s">
        <v>1301</v>
      </c>
      <c r="K40" s="1946"/>
      <c r="L40" s="1377"/>
      <c r="M40" s="1939" t="s">
        <v>28</v>
      </c>
      <c r="N40" s="1939" t="s">
        <v>1299</v>
      </c>
      <c r="O40" s="1937" t="s">
        <v>1300</v>
      </c>
      <c r="P40" s="1938" t="s">
        <v>1301</v>
      </c>
      <c r="Q40" s="1941"/>
    </row>
    <row r="41" spans="1:17" ht="13.5" thickBot="1">
      <c r="A41" s="1945"/>
      <c r="B41" s="1945"/>
      <c r="C41" s="1946"/>
      <c r="D41" s="1694" t="s">
        <v>1302</v>
      </c>
      <c r="E41" s="1694" t="s">
        <v>1303</v>
      </c>
      <c r="F41" s="1376"/>
      <c r="G41" s="1953"/>
      <c r="H41" s="1953"/>
      <c r="I41" s="1937"/>
      <c r="J41" s="1695" t="s">
        <v>1302</v>
      </c>
      <c r="K41" s="1695" t="s">
        <v>1303</v>
      </c>
      <c r="L41" s="1377"/>
      <c r="M41" s="1939"/>
      <c r="N41" s="1939"/>
      <c r="O41" s="1937"/>
      <c r="P41" s="1379" t="s">
        <v>1302</v>
      </c>
      <c r="Q41" s="1006" t="s">
        <v>1303</v>
      </c>
    </row>
    <row r="42" spans="1:17">
      <c r="A42" s="997">
        <v>2014</v>
      </c>
      <c r="B42" s="1004" t="s">
        <v>1304</v>
      </c>
      <c r="C42" s="1378">
        <v>3292</v>
      </c>
      <c r="D42" s="1377">
        <v>0</v>
      </c>
      <c r="E42" s="1377">
        <v>0</v>
      </c>
      <c r="F42" s="1376"/>
      <c r="G42" s="826">
        <v>2015</v>
      </c>
      <c r="H42" s="395" t="s">
        <v>1304</v>
      </c>
      <c r="I42" s="396">
        <v>5133</v>
      </c>
      <c r="J42" s="71">
        <v>24</v>
      </c>
      <c r="K42" s="71">
        <v>6</v>
      </c>
      <c r="L42" s="1377"/>
      <c r="M42" s="397">
        <v>2016</v>
      </c>
      <c r="N42" s="398" t="s">
        <v>1304</v>
      </c>
      <c r="O42" s="396">
        <v>6399</v>
      </c>
      <c r="P42" s="71">
        <v>151</v>
      </c>
      <c r="Q42" s="1007">
        <v>19</v>
      </c>
    </row>
    <row r="43" spans="1:17">
      <c r="A43" s="997"/>
      <c r="B43" s="1004" t="s">
        <v>1305</v>
      </c>
      <c r="C43" s="1378">
        <v>25275</v>
      </c>
      <c r="D43" s="1377">
        <v>910</v>
      </c>
      <c r="E43" s="1377">
        <v>246</v>
      </c>
      <c r="F43" s="1376"/>
      <c r="G43" s="1695"/>
      <c r="H43" s="1385" t="s">
        <v>1305</v>
      </c>
      <c r="I43" s="1381">
        <v>40963</v>
      </c>
      <c r="J43" s="1381">
        <v>2594</v>
      </c>
      <c r="K43" s="1376">
        <v>423</v>
      </c>
      <c r="L43" s="1377"/>
      <c r="M43" s="1376"/>
      <c r="N43" s="1380" t="s">
        <v>1305</v>
      </c>
      <c r="O43" s="1381">
        <v>45166</v>
      </c>
      <c r="P43" s="1381">
        <v>3950</v>
      </c>
      <c r="Q43" s="998">
        <v>658</v>
      </c>
    </row>
    <row r="44" spans="1:17">
      <c r="A44" s="997"/>
      <c r="B44" s="1004" t="s">
        <v>1306</v>
      </c>
      <c r="C44" s="1378">
        <v>60429</v>
      </c>
      <c r="D44" s="1378">
        <v>10652</v>
      </c>
      <c r="E44" s="1378">
        <v>2525</v>
      </c>
      <c r="F44" s="1376"/>
      <c r="G44" s="1695"/>
      <c r="H44" s="1385" t="s">
        <v>1306</v>
      </c>
      <c r="I44" s="1381">
        <v>50470</v>
      </c>
      <c r="J44" s="1381">
        <v>10800</v>
      </c>
      <c r="K44" s="1381">
        <v>1691</v>
      </c>
      <c r="L44" s="1377"/>
      <c r="M44" s="1376"/>
      <c r="N44" s="1380" t="s">
        <v>1306</v>
      </c>
      <c r="O44" s="1381">
        <v>33964</v>
      </c>
      <c r="P44" s="1381">
        <v>5916</v>
      </c>
      <c r="Q44" s="998">
        <v>990</v>
      </c>
    </row>
    <row r="45" spans="1:17">
      <c r="A45" s="997"/>
      <c r="B45" s="1004" t="s">
        <v>1308</v>
      </c>
      <c r="C45" s="1378">
        <v>33799</v>
      </c>
      <c r="D45" s="1378">
        <v>2727</v>
      </c>
      <c r="E45" s="1378">
        <v>1978</v>
      </c>
      <c r="F45" s="1376"/>
      <c r="G45" s="1695"/>
      <c r="H45" s="1385" t="s">
        <v>1308</v>
      </c>
      <c r="I45" s="1381">
        <v>38991</v>
      </c>
      <c r="J45" s="1381">
        <v>4853</v>
      </c>
      <c r="K45" s="1381">
        <v>1875</v>
      </c>
      <c r="L45" s="1377"/>
      <c r="M45" s="1376"/>
      <c r="N45" s="1380" t="s">
        <v>1308</v>
      </c>
      <c r="O45" s="1381">
        <v>25886</v>
      </c>
      <c r="P45" s="1381">
        <v>1428</v>
      </c>
      <c r="Q45" s="1000">
        <v>1049</v>
      </c>
    </row>
    <row r="46" spans="1:17">
      <c r="A46" s="997"/>
      <c r="B46" s="1004" t="s">
        <v>1310</v>
      </c>
      <c r="C46" s="1378">
        <v>22847</v>
      </c>
      <c r="D46" s="1378">
        <v>1439</v>
      </c>
      <c r="E46" s="1378">
        <v>2027</v>
      </c>
      <c r="F46" s="1376"/>
      <c r="G46" s="1695"/>
      <c r="H46" s="1385" t="s">
        <v>1310</v>
      </c>
      <c r="I46" s="1381">
        <v>15616</v>
      </c>
      <c r="J46" s="1381">
        <v>1315</v>
      </c>
      <c r="K46" s="1381">
        <v>1057</v>
      </c>
      <c r="L46" s="1377"/>
      <c r="M46" s="1376"/>
      <c r="N46" s="1380" t="s">
        <v>1310</v>
      </c>
      <c r="O46" s="1381">
        <v>15411</v>
      </c>
      <c r="P46" s="1381">
        <v>1221</v>
      </c>
      <c r="Q46" s="1000">
        <v>1060</v>
      </c>
    </row>
    <row r="47" spans="1:17" ht="12.75" customHeight="1">
      <c r="A47" s="997"/>
      <c r="B47" s="1004" t="s">
        <v>1311</v>
      </c>
      <c r="C47" s="1378">
        <v>23645</v>
      </c>
      <c r="D47" s="1378">
        <v>1669</v>
      </c>
      <c r="E47" s="1378">
        <v>2074</v>
      </c>
      <c r="F47" s="1376"/>
      <c r="G47" s="1695"/>
      <c r="H47" s="1385" t="s">
        <v>1311</v>
      </c>
      <c r="I47" s="1381">
        <v>18726</v>
      </c>
      <c r="J47" s="1381">
        <v>1673</v>
      </c>
      <c r="K47" s="1381">
        <v>1028</v>
      </c>
      <c r="L47" s="1377"/>
      <c r="M47" s="1376"/>
      <c r="N47" s="1380" t="s">
        <v>1311</v>
      </c>
      <c r="O47" s="1381">
        <v>25157</v>
      </c>
      <c r="P47" s="1381">
        <v>1920</v>
      </c>
      <c r="Q47" s="1000">
        <v>2080</v>
      </c>
    </row>
    <row r="48" spans="1:17" ht="13.5" thickBot="1">
      <c r="A48" s="997"/>
      <c r="B48" s="1383" t="s">
        <v>1312</v>
      </c>
      <c r="C48" s="67">
        <v>30016</v>
      </c>
      <c r="D48" s="69">
        <v>311</v>
      </c>
      <c r="E48" s="69">
        <v>629</v>
      </c>
      <c r="F48" s="1376"/>
      <c r="G48" s="1695"/>
      <c r="H48" s="66" t="s">
        <v>1312</v>
      </c>
      <c r="I48" s="64">
        <v>31829</v>
      </c>
      <c r="J48" s="64">
        <v>4255</v>
      </c>
      <c r="K48" s="65">
        <v>463</v>
      </c>
      <c r="L48" s="1377"/>
      <c r="M48" s="1376"/>
      <c r="N48" s="63" t="s">
        <v>1312</v>
      </c>
      <c r="O48" s="64">
        <v>32910</v>
      </c>
      <c r="P48" s="64">
        <v>1160</v>
      </c>
      <c r="Q48" s="1001">
        <v>2090</v>
      </c>
    </row>
    <row r="49" spans="1:17">
      <c r="A49" s="997"/>
      <c r="B49" s="997" t="s">
        <v>36</v>
      </c>
      <c r="C49" s="1378">
        <v>199303</v>
      </c>
      <c r="D49" s="1378">
        <v>17708</v>
      </c>
      <c r="E49" s="1378">
        <v>9479</v>
      </c>
      <c r="F49" s="1376"/>
      <c r="G49" s="1695"/>
      <c r="H49" s="1695" t="s">
        <v>36</v>
      </c>
      <c r="I49" s="1381">
        <v>201728</v>
      </c>
      <c r="J49" s="1381">
        <v>25514</v>
      </c>
      <c r="K49" s="1381">
        <v>6543</v>
      </c>
      <c r="L49" s="1377"/>
      <c r="M49" s="1376"/>
      <c r="N49" s="1379" t="s">
        <v>36</v>
      </c>
      <c r="O49" s="1381">
        <v>184893</v>
      </c>
      <c r="P49" s="1381">
        <v>15746</v>
      </c>
      <c r="Q49" s="1000">
        <v>7946</v>
      </c>
    </row>
    <row r="50" spans="1:17" ht="5.85" customHeight="1" thickBot="1">
      <c r="A50" s="1008"/>
      <c r="B50" s="1008"/>
      <c r="C50" s="242"/>
      <c r="D50" s="242"/>
      <c r="E50" s="242"/>
      <c r="F50" s="65"/>
      <c r="G50" s="1697"/>
      <c r="H50" s="1697"/>
      <c r="I50" s="64"/>
      <c r="J50" s="64"/>
      <c r="K50" s="64"/>
      <c r="L50" s="69"/>
      <c r="M50" s="1694"/>
      <c r="N50" s="1694"/>
      <c r="O50" s="67"/>
      <c r="P50" s="70"/>
      <c r="Q50" s="1009"/>
    </row>
    <row r="51" spans="1:17" ht="5.85" customHeight="1">
      <c r="A51" s="1644"/>
      <c r="B51" s="1644"/>
      <c r="M51" s="1386"/>
      <c r="N51" s="1387"/>
      <c r="O51" s="1388"/>
      <c r="P51" s="1388"/>
      <c r="Q51" s="1010"/>
    </row>
    <row r="52" spans="1:17" ht="15" customHeight="1" thickBot="1">
      <c r="A52" s="1936" t="s">
        <v>28</v>
      </c>
      <c r="B52" s="1936" t="s">
        <v>1299</v>
      </c>
      <c r="C52" s="1937" t="s">
        <v>1300</v>
      </c>
      <c r="D52" s="1938" t="s">
        <v>1301</v>
      </c>
      <c r="E52" s="1938"/>
      <c r="G52" s="1953" t="s">
        <v>28</v>
      </c>
      <c r="H52" s="1953" t="s">
        <v>1299</v>
      </c>
      <c r="I52" s="1937" t="s">
        <v>1300</v>
      </c>
      <c r="J52" s="1946" t="s">
        <v>1301</v>
      </c>
      <c r="K52" s="1946"/>
      <c r="M52" s="1953" t="s">
        <v>28</v>
      </c>
      <c r="N52" s="1953" t="s">
        <v>1299</v>
      </c>
      <c r="O52" s="1937" t="s">
        <v>1300</v>
      </c>
      <c r="P52" s="1938" t="s">
        <v>1301</v>
      </c>
      <c r="Q52" s="1941"/>
    </row>
    <row r="53" spans="1:17" ht="13.5" customHeight="1" thickBot="1">
      <c r="A53" s="1952"/>
      <c r="B53" s="1952"/>
      <c r="C53" s="1946"/>
      <c r="D53" s="1379" t="s">
        <v>1302</v>
      </c>
      <c r="E53" s="1379" t="s">
        <v>1303</v>
      </c>
      <c r="G53" s="1954"/>
      <c r="H53" s="1954"/>
      <c r="I53" s="1946"/>
      <c r="J53" s="1694" t="s">
        <v>1302</v>
      </c>
      <c r="K53" s="1694" t="s">
        <v>1303</v>
      </c>
      <c r="M53" s="1954"/>
      <c r="N53" s="1954"/>
      <c r="O53" s="1946"/>
      <c r="P53" s="1694" t="s">
        <v>1302</v>
      </c>
      <c r="Q53" s="1696" t="s">
        <v>1303</v>
      </c>
    </row>
    <row r="54" spans="1:17">
      <c r="A54" s="1011">
        <v>2017</v>
      </c>
      <c r="B54" s="1389" t="s">
        <v>1304</v>
      </c>
      <c r="C54" s="396">
        <v>1892</v>
      </c>
      <c r="D54" s="71">
        <v>0</v>
      </c>
      <c r="E54" s="71">
        <v>0</v>
      </c>
      <c r="G54" s="826">
        <v>2018</v>
      </c>
      <c r="H54" s="395" t="s">
        <v>1304</v>
      </c>
      <c r="I54" s="396">
        <v>3293</v>
      </c>
      <c r="J54" s="71">
        <v>18</v>
      </c>
      <c r="K54" s="71">
        <v>0</v>
      </c>
      <c r="M54" s="1695">
        <v>2019</v>
      </c>
      <c r="N54" s="395" t="s">
        <v>1304</v>
      </c>
      <c r="O54" s="396">
        <v>2374</v>
      </c>
      <c r="P54" s="71">
        <v>4</v>
      </c>
      <c r="Q54" s="1007">
        <v>1</v>
      </c>
    </row>
    <row r="55" spans="1:17">
      <c r="A55" s="1002"/>
      <c r="B55" s="1390" t="s">
        <v>1305</v>
      </c>
      <c r="C55" s="1381">
        <v>10120</v>
      </c>
      <c r="D55" s="1381">
        <v>53</v>
      </c>
      <c r="E55" s="1376">
        <v>6</v>
      </c>
      <c r="G55" s="1695"/>
      <c r="H55" s="1385" t="s">
        <v>1305</v>
      </c>
      <c r="I55" s="1381">
        <v>38633</v>
      </c>
      <c r="J55" s="1381">
        <v>1871</v>
      </c>
      <c r="K55" s="1376">
        <v>278</v>
      </c>
      <c r="M55" s="1695"/>
      <c r="N55" s="1385" t="s">
        <v>1305</v>
      </c>
      <c r="O55" s="1381">
        <v>10626</v>
      </c>
      <c r="P55" s="1381">
        <v>317</v>
      </c>
      <c r="Q55" s="998">
        <v>76</v>
      </c>
    </row>
    <row r="56" spans="1:17">
      <c r="A56" s="1002"/>
      <c r="B56" s="1390" t="s">
        <v>1306</v>
      </c>
      <c r="C56" s="1381">
        <v>51291</v>
      </c>
      <c r="D56" s="1381">
        <v>8994</v>
      </c>
      <c r="E56" s="1376">
        <v>937</v>
      </c>
      <c r="G56" s="1695"/>
      <c r="H56" s="1385" t="s">
        <v>1306</v>
      </c>
      <c r="I56" s="1381">
        <v>26486</v>
      </c>
      <c r="J56" s="1381">
        <v>4119</v>
      </c>
      <c r="K56" s="1381">
        <v>581</v>
      </c>
      <c r="M56" s="1695"/>
      <c r="N56" s="1385" t="s">
        <v>1306</v>
      </c>
      <c r="O56" s="1381">
        <v>19691</v>
      </c>
      <c r="P56" s="1381">
        <v>1356</v>
      </c>
      <c r="Q56" s="1000">
        <v>240</v>
      </c>
    </row>
    <row r="57" spans="1:17">
      <c r="A57" s="1002"/>
      <c r="B57" s="1390" t="s">
        <v>1308</v>
      </c>
      <c r="C57" s="1381">
        <v>0</v>
      </c>
      <c r="D57" s="1381">
        <v>0</v>
      </c>
      <c r="E57" s="1381">
        <v>0</v>
      </c>
      <c r="G57" s="1695"/>
      <c r="H57" s="1385" t="s">
        <v>1308</v>
      </c>
      <c r="I57" s="1381">
        <v>9041</v>
      </c>
      <c r="J57" s="1381">
        <v>468</v>
      </c>
      <c r="K57" s="1381">
        <v>355</v>
      </c>
      <c r="M57" s="1695"/>
      <c r="N57" s="1385" t="s">
        <v>1308</v>
      </c>
      <c r="O57" s="1381">
        <v>3500</v>
      </c>
      <c r="P57" s="1381">
        <v>0</v>
      </c>
      <c r="Q57" s="1000">
        <v>61</v>
      </c>
    </row>
    <row r="58" spans="1:17">
      <c r="A58" s="1002"/>
      <c r="B58" s="1390" t="s">
        <v>1310</v>
      </c>
      <c r="C58" s="1381">
        <v>0</v>
      </c>
      <c r="D58" s="1381">
        <v>0</v>
      </c>
      <c r="E58" s="1381">
        <v>0</v>
      </c>
      <c r="G58" s="1695"/>
      <c r="H58" s="1385" t="s">
        <v>1310</v>
      </c>
      <c r="I58" s="1381">
        <v>12429</v>
      </c>
      <c r="J58" s="1381">
        <v>1033</v>
      </c>
      <c r="K58" s="1381">
        <v>316</v>
      </c>
      <c r="M58" s="1695"/>
      <c r="N58" s="1385" t="s">
        <v>1310</v>
      </c>
      <c r="O58" s="1381">
        <v>3218</v>
      </c>
      <c r="P58" s="1381">
        <v>0</v>
      </c>
      <c r="Q58" s="1000">
        <v>102</v>
      </c>
    </row>
    <row r="59" spans="1:17" ht="12.75" customHeight="1">
      <c r="A59" s="1002"/>
      <c r="B59" s="1390" t="s">
        <v>1311</v>
      </c>
      <c r="C59" s="1381">
        <v>23438</v>
      </c>
      <c r="D59" s="1381">
        <v>2864</v>
      </c>
      <c r="E59" s="1381">
        <v>1521</v>
      </c>
      <c r="G59" s="1695"/>
      <c r="H59" s="1385" t="s">
        <v>1311</v>
      </c>
      <c r="I59" s="1381">
        <v>12917</v>
      </c>
      <c r="J59" s="1381">
        <v>1021</v>
      </c>
      <c r="K59" s="1381">
        <v>408</v>
      </c>
      <c r="M59" s="1695"/>
      <c r="N59" s="1385" t="s">
        <v>1311</v>
      </c>
      <c r="O59" s="1381">
        <v>5271</v>
      </c>
      <c r="P59" s="1381">
        <v>0</v>
      </c>
      <c r="Q59" s="1000">
        <v>281</v>
      </c>
    </row>
    <row r="60" spans="1:17" ht="13.5" thickBot="1">
      <c r="A60" s="1002"/>
      <c r="B60" s="1391" t="s">
        <v>1312</v>
      </c>
      <c r="C60" s="64">
        <v>18157</v>
      </c>
      <c r="D60" s="64">
        <v>652</v>
      </c>
      <c r="E60" s="64">
        <v>727</v>
      </c>
      <c r="G60" s="1695"/>
      <c r="H60" s="66" t="s">
        <v>1312</v>
      </c>
      <c r="I60" s="64">
        <v>14558</v>
      </c>
      <c r="J60" s="64">
        <v>6</v>
      </c>
      <c r="K60" s="65">
        <v>342</v>
      </c>
      <c r="M60" s="1695"/>
      <c r="N60" s="66" t="s">
        <v>1312</v>
      </c>
      <c r="O60" s="64">
        <v>14485</v>
      </c>
      <c r="P60" s="64">
        <v>0</v>
      </c>
      <c r="Q60" s="999">
        <v>211</v>
      </c>
    </row>
    <row r="61" spans="1:17">
      <c r="A61" s="1002"/>
      <c r="B61" s="967" t="s">
        <v>36</v>
      </c>
      <c r="C61" s="1381">
        <v>104898</v>
      </c>
      <c r="D61" s="1381">
        <v>12563</v>
      </c>
      <c r="E61" s="1381">
        <v>3191</v>
      </c>
      <c r="G61" s="1695"/>
      <c r="H61" s="1695" t="s">
        <v>36</v>
      </c>
      <c r="I61" s="1381">
        <f>SUM(I54:I60)</f>
        <v>117357</v>
      </c>
      <c r="J61" s="1381">
        <f>SUM(J54:J60)</f>
        <v>8536</v>
      </c>
      <c r="K61" s="1381">
        <f>SUM(K54:K60)</f>
        <v>2280</v>
      </c>
      <c r="M61" s="1695"/>
      <c r="N61" s="1695" t="s">
        <v>36</v>
      </c>
      <c r="O61" s="1381">
        <f>SUM(O54:O60)</f>
        <v>59165</v>
      </c>
      <c r="P61" s="1381">
        <f>SUM(P54:P60)</f>
        <v>1677</v>
      </c>
      <c r="Q61" s="1000">
        <f>SUM(Q54:Q60)</f>
        <v>972</v>
      </c>
    </row>
    <row r="62" spans="1:17" ht="6.75" customHeight="1" thickBot="1">
      <c r="A62" s="1008"/>
      <c r="B62" s="1008"/>
      <c r="C62" s="242"/>
      <c r="D62" s="242"/>
      <c r="E62" s="242"/>
      <c r="F62" s="242"/>
      <c r="G62" s="65"/>
      <c r="H62" s="1697"/>
      <c r="I62" s="64"/>
      <c r="J62" s="64"/>
      <c r="K62" s="64"/>
      <c r="L62" s="242"/>
      <c r="M62" s="65"/>
      <c r="N62" s="1697"/>
      <c r="O62" s="64"/>
      <c r="P62" s="64"/>
      <c r="Q62" s="1001"/>
    </row>
    <row r="63" spans="1:17" ht="5.85" customHeight="1">
      <c r="A63" s="1644"/>
      <c r="B63" s="1644"/>
      <c r="M63" s="1386"/>
      <c r="N63" s="1387"/>
      <c r="O63" s="1388"/>
      <c r="P63" s="1388"/>
      <c r="Q63" s="1010"/>
    </row>
    <row r="64" spans="1:17" ht="16.350000000000001" customHeight="1" thickBot="1">
      <c r="A64" s="1936" t="s">
        <v>28</v>
      </c>
      <c r="B64" s="1936" t="s">
        <v>1299</v>
      </c>
      <c r="C64" s="1937" t="s">
        <v>1300</v>
      </c>
      <c r="D64" s="1938" t="s">
        <v>1301</v>
      </c>
      <c r="E64" s="1938"/>
      <c r="G64" s="1953" t="s">
        <v>28</v>
      </c>
      <c r="H64" s="1953" t="s">
        <v>1299</v>
      </c>
      <c r="I64" s="1937" t="s">
        <v>1300</v>
      </c>
      <c r="J64" s="1946" t="s">
        <v>1301</v>
      </c>
      <c r="K64" s="1946"/>
      <c r="M64" s="1953" t="s">
        <v>28</v>
      </c>
      <c r="N64" s="1953" t="s">
        <v>1299</v>
      </c>
      <c r="O64" s="1937" t="s">
        <v>1300</v>
      </c>
      <c r="P64" s="1946" t="s">
        <v>1301</v>
      </c>
      <c r="Q64" s="1951"/>
    </row>
    <row r="65" spans="1:17" ht="13.5" thickBot="1">
      <c r="A65" s="1936"/>
      <c r="B65" s="1936"/>
      <c r="C65" s="1937"/>
      <c r="D65" s="1379" t="s">
        <v>1302</v>
      </c>
      <c r="E65" s="1379" t="s">
        <v>1303</v>
      </c>
      <c r="G65" s="1954"/>
      <c r="H65" s="1954"/>
      <c r="I65" s="1946"/>
      <c r="J65" s="1694" t="s">
        <v>1302</v>
      </c>
      <c r="K65" s="1694" t="s">
        <v>1303</v>
      </c>
      <c r="M65" s="1954"/>
      <c r="N65" s="1954"/>
      <c r="O65" s="1946"/>
      <c r="P65" s="1694" t="s">
        <v>1302</v>
      </c>
      <c r="Q65" s="1696" t="s">
        <v>1303</v>
      </c>
    </row>
    <row r="66" spans="1:17">
      <c r="A66" s="1011">
        <v>2020</v>
      </c>
      <c r="B66" s="1389" t="s">
        <v>1304</v>
      </c>
      <c r="C66" s="396">
        <v>4112</v>
      </c>
      <c r="D66" s="71">
        <v>4</v>
      </c>
      <c r="E66" s="71">
        <v>0</v>
      </c>
      <c r="G66" s="826">
        <v>2021</v>
      </c>
      <c r="H66" s="395" t="s">
        <v>1304</v>
      </c>
      <c r="I66" s="396">
        <v>2698</v>
      </c>
      <c r="J66" s="71">
        <v>6</v>
      </c>
      <c r="K66" s="71">
        <v>0</v>
      </c>
      <c r="M66" s="826">
        <v>2022</v>
      </c>
      <c r="N66" s="395" t="s">
        <v>1304</v>
      </c>
      <c r="O66" s="396">
        <v>1885</v>
      </c>
      <c r="P66" s="71">
        <v>4</v>
      </c>
      <c r="Q66" s="1007">
        <v>3</v>
      </c>
    </row>
    <row r="67" spans="1:17">
      <c r="A67" s="1002"/>
      <c r="B67" s="1390" t="s">
        <v>1305</v>
      </c>
      <c r="C67" s="1381">
        <v>4386</v>
      </c>
      <c r="D67" s="1381">
        <v>85</v>
      </c>
      <c r="E67" s="1376">
        <v>36</v>
      </c>
      <c r="G67" s="1695"/>
      <c r="H67" s="1385" t="s">
        <v>1305</v>
      </c>
      <c r="I67" s="1381">
        <v>25933</v>
      </c>
      <c r="J67" s="1381">
        <v>1534</v>
      </c>
      <c r="K67" s="1376">
        <v>203</v>
      </c>
      <c r="M67" s="1695"/>
      <c r="N67" s="1385" t="s">
        <v>1305</v>
      </c>
      <c r="O67" s="1381">
        <v>24231</v>
      </c>
      <c r="P67" s="1381">
        <v>1991</v>
      </c>
      <c r="Q67" s="998">
        <v>316</v>
      </c>
    </row>
    <row r="68" spans="1:17">
      <c r="A68" s="1002"/>
      <c r="B68" s="1390" t="s">
        <v>1306</v>
      </c>
      <c r="C68" s="1381">
        <v>0</v>
      </c>
      <c r="D68" s="1381">
        <v>0</v>
      </c>
      <c r="E68" s="1376">
        <v>0</v>
      </c>
      <c r="G68" s="1695"/>
      <c r="H68" s="1385" t="s">
        <v>1306</v>
      </c>
      <c r="I68" s="1381">
        <v>15303</v>
      </c>
      <c r="J68" s="1381">
        <v>1403</v>
      </c>
      <c r="K68" s="1381">
        <v>126</v>
      </c>
      <c r="M68" s="1695"/>
      <c r="N68" s="1385" t="s">
        <v>1306</v>
      </c>
      <c r="O68" s="1381">
        <v>17940</v>
      </c>
      <c r="P68" s="1381">
        <v>3321</v>
      </c>
      <c r="Q68" s="1000">
        <v>401</v>
      </c>
    </row>
    <row r="69" spans="1:17">
      <c r="A69" s="1002"/>
      <c r="B69" s="1390" t="s">
        <v>1308</v>
      </c>
      <c r="C69" s="1381">
        <v>20930</v>
      </c>
      <c r="D69" s="1381">
        <v>1373</v>
      </c>
      <c r="E69" s="1381">
        <v>707</v>
      </c>
      <c r="G69" s="1695"/>
      <c r="H69" s="1385" t="s">
        <v>1308</v>
      </c>
      <c r="I69" s="1381">
        <v>9003</v>
      </c>
      <c r="J69" s="1381">
        <v>652</v>
      </c>
      <c r="K69" s="1381">
        <v>309</v>
      </c>
      <c r="M69" s="1695"/>
      <c r="N69" s="1385" t="s">
        <v>1308</v>
      </c>
      <c r="O69" s="1381">
        <v>28151</v>
      </c>
      <c r="P69" s="1381">
        <v>4306</v>
      </c>
      <c r="Q69" s="1000">
        <v>1920</v>
      </c>
    </row>
    <row r="70" spans="1:17">
      <c r="A70" s="1002"/>
      <c r="B70" s="1390" t="s">
        <v>1310</v>
      </c>
      <c r="C70" s="1381">
        <v>6822</v>
      </c>
      <c r="D70" s="1381">
        <v>0</v>
      </c>
      <c r="E70" s="1381">
        <v>475</v>
      </c>
      <c r="G70" s="1695"/>
      <c r="H70" s="1385" t="s">
        <v>1310</v>
      </c>
      <c r="I70" s="1381">
        <v>14282</v>
      </c>
      <c r="J70" s="1381">
        <v>1790</v>
      </c>
      <c r="K70" s="1381">
        <v>790</v>
      </c>
      <c r="M70" s="1695"/>
      <c r="N70" s="1385" t="s">
        <v>1310</v>
      </c>
      <c r="O70" s="1381">
        <v>16238</v>
      </c>
      <c r="P70" s="1381">
        <v>3053</v>
      </c>
      <c r="Q70" s="1000">
        <v>1463</v>
      </c>
    </row>
    <row r="71" spans="1:17" ht="12.75" customHeight="1">
      <c r="A71" s="1002"/>
      <c r="B71" s="1390" t="s">
        <v>1311</v>
      </c>
      <c r="C71" s="1381">
        <v>7173</v>
      </c>
      <c r="D71" s="1381">
        <v>0</v>
      </c>
      <c r="E71" s="1381">
        <v>509</v>
      </c>
      <c r="G71" s="1695"/>
      <c r="H71" s="1385" t="s">
        <v>1311</v>
      </c>
      <c r="I71" s="1381">
        <v>18537</v>
      </c>
      <c r="J71" s="1381">
        <v>1797</v>
      </c>
      <c r="K71" s="1381">
        <v>732</v>
      </c>
      <c r="M71" s="1695"/>
      <c r="N71" s="1385" t="s">
        <v>1311</v>
      </c>
      <c r="O71" s="1381">
        <v>8978</v>
      </c>
      <c r="P71" s="1381">
        <v>1306</v>
      </c>
      <c r="Q71" s="1000">
        <v>951</v>
      </c>
    </row>
    <row r="72" spans="1:17" ht="13.5" thickBot="1">
      <c r="A72" s="1002"/>
      <c r="B72" s="1391" t="s">
        <v>1312</v>
      </c>
      <c r="C72" s="64">
        <v>29926</v>
      </c>
      <c r="D72" s="64">
        <v>1191</v>
      </c>
      <c r="E72" s="64">
        <v>995</v>
      </c>
      <c r="G72" s="1695"/>
      <c r="H72" s="66" t="s">
        <v>1312</v>
      </c>
      <c r="I72" s="64">
        <v>10331</v>
      </c>
      <c r="J72" s="64">
        <v>337</v>
      </c>
      <c r="K72" s="65">
        <v>266</v>
      </c>
      <c r="M72" s="1695"/>
      <c r="N72" s="66" t="s">
        <v>1312</v>
      </c>
      <c r="O72" s="64">
        <v>22706</v>
      </c>
      <c r="P72" s="64">
        <v>1938</v>
      </c>
      <c r="Q72" s="999">
        <v>1081</v>
      </c>
    </row>
    <row r="73" spans="1:17">
      <c r="A73" s="1002"/>
      <c r="B73" s="967" t="s">
        <v>36</v>
      </c>
      <c r="C73" s="1381">
        <f>SUM(C66:C72)</f>
        <v>73349</v>
      </c>
      <c r="D73" s="1381">
        <f>SUM(D66:D72)</f>
        <v>2653</v>
      </c>
      <c r="E73" s="1381">
        <f>SUM(E66:E72)</f>
        <v>2722</v>
      </c>
      <c r="G73" s="1695"/>
      <c r="H73" s="1695" t="s">
        <v>36</v>
      </c>
      <c r="I73" s="1381">
        <f>SUM(I66:I72)</f>
        <v>96087</v>
      </c>
      <c r="J73" s="1381">
        <f>SUM(J66:J72)</f>
        <v>7519</v>
      </c>
      <c r="K73" s="1381">
        <f>SUM(K66:K72)</f>
        <v>2426</v>
      </c>
      <c r="M73" s="1695"/>
      <c r="N73" s="1695" t="s">
        <v>36</v>
      </c>
      <c r="O73" s="1381">
        <f>SUM(O66:O72)</f>
        <v>120129</v>
      </c>
      <c r="P73" s="1381">
        <f>SUM(P66:P72)</f>
        <v>15919</v>
      </c>
      <c r="Q73" s="1000">
        <f>SUM(Q66:Q72)</f>
        <v>6135</v>
      </c>
    </row>
    <row r="74" spans="1:17" ht="5.85" customHeight="1">
      <c r="A74" s="1012"/>
      <c r="B74" s="1012"/>
      <c r="C74" s="1013"/>
      <c r="D74" s="1013"/>
      <c r="E74" s="1013"/>
      <c r="F74" s="1013"/>
      <c r="G74" s="1013"/>
      <c r="H74" s="1013"/>
      <c r="I74" s="1013"/>
      <c r="J74" s="1013"/>
      <c r="K74" s="1013"/>
      <c r="L74" s="1013"/>
      <c r="M74" s="1013"/>
      <c r="N74" s="1013"/>
      <c r="O74" s="1013"/>
      <c r="P74" s="1013"/>
      <c r="Q74" s="993"/>
    </row>
    <row r="75" spans="1:17" ht="4.5" customHeight="1">
      <c r="A75" s="1643"/>
      <c r="B75" s="1643"/>
      <c r="C75" s="134"/>
      <c r="D75" s="134"/>
      <c r="E75" s="134"/>
      <c r="F75" s="134"/>
      <c r="G75" s="134"/>
      <c r="H75" s="134"/>
      <c r="I75" s="134"/>
      <c r="J75" s="134"/>
      <c r="K75" s="134"/>
      <c r="L75" s="134"/>
      <c r="M75" s="1090"/>
      <c r="N75" s="1091"/>
      <c r="O75" s="1092"/>
      <c r="P75" s="1092"/>
      <c r="Q75" s="1093"/>
    </row>
    <row r="76" spans="1:17" ht="13.5" thickBot="1">
      <c r="A76" s="1936" t="s">
        <v>28</v>
      </c>
      <c r="B76" s="1936" t="s">
        <v>1299</v>
      </c>
      <c r="C76" s="1937" t="s">
        <v>1300</v>
      </c>
      <c r="D76" s="1938" t="s">
        <v>1301</v>
      </c>
      <c r="E76" s="1938"/>
      <c r="G76" s="1939" t="s">
        <v>28</v>
      </c>
      <c r="H76" s="1939" t="s">
        <v>1299</v>
      </c>
      <c r="I76" s="1937" t="s">
        <v>1300</v>
      </c>
      <c r="J76" s="1938" t="s">
        <v>1301</v>
      </c>
      <c r="K76" s="1938"/>
      <c r="M76" s="1939" t="s">
        <v>28</v>
      </c>
      <c r="N76" s="1939" t="s">
        <v>1299</v>
      </c>
      <c r="O76" s="1937" t="s">
        <v>1300</v>
      </c>
      <c r="P76" s="1938" t="s">
        <v>1301</v>
      </c>
      <c r="Q76" s="1941"/>
    </row>
    <row r="77" spans="1:17" ht="13.5" thickBot="1">
      <c r="A77" s="1936"/>
      <c r="B77" s="1936"/>
      <c r="C77" s="1937"/>
      <c r="D77" s="1379" t="s">
        <v>1302</v>
      </c>
      <c r="E77" s="1379" t="s">
        <v>1303</v>
      </c>
      <c r="G77" s="1940"/>
      <c r="H77" s="1939"/>
      <c r="I77" s="1937"/>
      <c r="J77" s="1379" t="s">
        <v>1302</v>
      </c>
      <c r="K77" s="1379" t="s">
        <v>1303</v>
      </c>
      <c r="M77" s="1940"/>
      <c r="N77" s="1939"/>
      <c r="O77" s="1937"/>
      <c r="P77" s="1379" t="s">
        <v>1302</v>
      </c>
      <c r="Q77" s="1006" t="s">
        <v>1303</v>
      </c>
    </row>
    <row r="78" spans="1:17">
      <c r="A78" s="1011">
        <v>2023</v>
      </c>
      <c r="B78" s="1389" t="s">
        <v>1304</v>
      </c>
      <c r="C78" s="396">
        <v>2326</v>
      </c>
      <c r="D78" s="71">
        <v>0</v>
      </c>
      <c r="E78" s="71">
        <v>0</v>
      </c>
      <c r="G78" s="1379">
        <v>2024</v>
      </c>
      <c r="H78" s="398" t="s">
        <v>1304</v>
      </c>
      <c r="I78" s="396">
        <v>2652</v>
      </c>
      <c r="J78" s="71">
        <v>0</v>
      </c>
      <c r="K78" s="71">
        <v>0</v>
      </c>
      <c r="M78" s="1379">
        <v>2025</v>
      </c>
      <c r="N78" s="398" t="s">
        <v>1304</v>
      </c>
      <c r="O78" s="396">
        <v>1334</v>
      </c>
      <c r="P78" s="71">
        <v>2</v>
      </c>
      <c r="Q78" s="1007">
        <v>0</v>
      </c>
    </row>
    <row r="79" spans="1:17">
      <c r="A79" s="1002"/>
      <c r="B79" s="1390" t="s">
        <v>1305</v>
      </c>
      <c r="C79" s="1381">
        <v>18345</v>
      </c>
      <c r="D79" s="1381">
        <v>457</v>
      </c>
      <c r="E79" s="1376">
        <v>84</v>
      </c>
      <c r="G79" s="1376"/>
      <c r="H79" s="1380" t="s">
        <v>1305</v>
      </c>
      <c r="I79" s="1381">
        <v>17006</v>
      </c>
      <c r="J79" s="1381">
        <v>691</v>
      </c>
      <c r="K79" s="1376">
        <v>102</v>
      </c>
      <c r="M79" s="1376"/>
      <c r="N79" s="1380" t="s">
        <v>1305</v>
      </c>
      <c r="O79" s="1381">
        <v>17509</v>
      </c>
      <c r="P79" s="1381">
        <v>212</v>
      </c>
      <c r="Q79" s="998">
        <v>74</v>
      </c>
    </row>
    <row r="80" spans="1:17">
      <c r="A80" s="1002"/>
      <c r="B80" s="1390" t="s">
        <v>1306</v>
      </c>
      <c r="C80" s="1381">
        <v>23086</v>
      </c>
      <c r="D80" s="1381">
        <v>2409</v>
      </c>
      <c r="E80" s="1376">
        <v>356</v>
      </c>
      <c r="G80" s="1376"/>
      <c r="H80" s="1380" t="s">
        <v>1306</v>
      </c>
      <c r="I80" s="1381">
        <v>22311</v>
      </c>
      <c r="J80" s="1381">
        <v>2997</v>
      </c>
      <c r="K80" s="1376">
        <v>234</v>
      </c>
      <c r="M80" s="1376"/>
      <c r="N80" s="1380" t="s">
        <v>1306</v>
      </c>
      <c r="O80" s="1381">
        <v>24368</v>
      </c>
      <c r="P80" s="1381">
        <v>3323</v>
      </c>
      <c r="Q80" s="998">
        <v>340</v>
      </c>
    </row>
    <row r="81" spans="1:17">
      <c r="A81" s="1002"/>
      <c r="B81" s="1390" t="s">
        <v>1308</v>
      </c>
      <c r="C81" s="1381">
        <v>16720</v>
      </c>
      <c r="D81" s="1381">
        <v>1825</v>
      </c>
      <c r="E81" s="1381">
        <v>679</v>
      </c>
      <c r="G81" s="1376"/>
      <c r="H81" s="1380" t="s">
        <v>1308</v>
      </c>
      <c r="I81" s="1381">
        <v>13318</v>
      </c>
      <c r="J81" s="1381">
        <v>666</v>
      </c>
      <c r="K81" s="1381">
        <v>260</v>
      </c>
      <c r="M81" s="1376"/>
      <c r="N81" s="1380" t="s">
        <v>1308</v>
      </c>
      <c r="O81" s="1381">
        <v>30160</v>
      </c>
      <c r="P81" s="1381">
        <v>4395</v>
      </c>
      <c r="Q81" s="1000">
        <v>704</v>
      </c>
    </row>
    <row r="82" spans="1:17" ht="12.75" customHeight="1">
      <c r="A82" s="1002"/>
      <c r="B82" s="1390" t="s">
        <v>1310</v>
      </c>
      <c r="C82" s="1381">
        <v>0</v>
      </c>
      <c r="D82" s="1381">
        <v>0</v>
      </c>
      <c r="E82" s="1381">
        <v>0</v>
      </c>
      <c r="G82" s="1376"/>
      <c r="H82" s="1380" t="s">
        <v>1310</v>
      </c>
      <c r="I82" s="1381">
        <v>18689</v>
      </c>
      <c r="J82" s="1381">
        <v>1351</v>
      </c>
      <c r="K82" s="1381">
        <v>504</v>
      </c>
      <c r="M82" s="1376"/>
      <c r="N82" s="1380" t="s">
        <v>1310</v>
      </c>
      <c r="O82" s="1381">
        <v>16830</v>
      </c>
      <c r="P82" s="1381">
        <v>2154</v>
      </c>
      <c r="Q82" s="1000">
        <v>458</v>
      </c>
    </row>
    <row r="83" spans="1:17">
      <c r="A83" s="1002"/>
      <c r="B83" s="1390" t="s">
        <v>1311</v>
      </c>
      <c r="C83" s="1381">
        <v>21899</v>
      </c>
      <c r="D83" s="1381">
        <v>2013</v>
      </c>
      <c r="E83" s="1381">
        <v>564</v>
      </c>
      <c r="G83" s="1376"/>
      <c r="H83" s="1380" t="s">
        <v>1311</v>
      </c>
      <c r="I83" s="1381">
        <v>19292</v>
      </c>
      <c r="J83" s="1381">
        <v>798</v>
      </c>
      <c r="K83" s="1381">
        <v>379</v>
      </c>
      <c r="M83" s="1376"/>
      <c r="N83" s="1380" t="s">
        <v>1311</v>
      </c>
      <c r="O83" s="1381">
        <v>9169</v>
      </c>
      <c r="P83" s="1381">
        <v>0</v>
      </c>
      <c r="Q83" s="1000">
        <v>171</v>
      </c>
    </row>
    <row r="84" spans="1:17" ht="13.5" thickBot="1">
      <c r="A84" s="1002"/>
      <c r="B84" s="1391" t="s">
        <v>1312</v>
      </c>
      <c r="C84" s="64">
        <v>14145</v>
      </c>
      <c r="D84" s="64">
        <v>6</v>
      </c>
      <c r="E84" s="64">
        <v>386</v>
      </c>
      <c r="G84" s="1376"/>
      <c r="H84" s="63" t="s">
        <v>1312</v>
      </c>
      <c r="I84" s="64">
        <v>15704</v>
      </c>
      <c r="J84" s="64">
        <v>0</v>
      </c>
      <c r="K84" s="64">
        <v>291</v>
      </c>
      <c r="M84" s="1376"/>
      <c r="N84" s="63" t="s">
        <v>1312</v>
      </c>
      <c r="O84" s="64">
        <v>18824</v>
      </c>
      <c r="P84" s="64">
        <v>461</v>
      </c>
      <c r="Q84" s="1001">
        <v>559</v>
      </c>
    </row>
    <row r="85" spans="1:17">
      <c r="A85" s="1002"/>
      <c r="B85" s="967" t="s">
        <v>36</v>
      </c>
      <c r="C85" s="1381">
        <f>SUM(C78:C84)</f>
        <v>96521</v>
      </c>
      <c r="D85" s="1381">
        <f>SUM(D78:D84)</f>
        <v>6710</v>
      </c>
      <c r="E85" s="1381">
        <f>SUM(E78:E84)</f>
        <v>2069</v>
      </c>
      <c r="G85" s="1376"/>
      <c r="H85" s="1379" t="s">
        <v>36</v>
      </c>
      <c r="I85" s="1381">
        <f>SUM(I78:I84)</f>
        <v>108972</v>
      </c>
      <c r="J85" s="1381">
        <f>SUM(J78:J84)</f>
        <v>6503</v>
      </c>
      <c r="K85" s="1381">
        <f>SUM(K78:K84)</f>
        <v>1770</v>
      </c>
      <c r="M85" s="1376"/>
      <c r="N85" s="1379" t="s">
        <v>36</v>
      </c>
      <c r="O85" s="1381">
        <f>SUM(O78:O84)</f>
        <v>118194</v>
      </c>
      <c r="P85" s="1381">
        <f>SUM(P78:P84)</f>
        <v>10547</v>
      </c>
      <c r="Q85" s="1000">
        <f>SUM(Q78:Q84)</f>
        <v>2306</v>
      </c>
    </row>
    <row r="86" spans="1:17" ht="0.75" customHeight="1">
      <c r="A86" s="1012"/>
      <c r="B86" s="1012"/>
      <c r="C86" s="1013"/>
      <c r="D86" s="1013"/>
      <c r="E86" s="1013"/>
      <c r="F86" s="1013"/>
      <c r="G86" s="1013"/>
      <c r="H86" s="1013"/>
      <c r="I86" s="1013"/>
      <c r="J86" s="1013"/>
      <c r="K86" s="1013"/>
      <c r="L86" s="1013"/>
      <c r="M86" s="1013"/>
      <c r="N86" s="1013"/>
      <c r="O86" s="1013"/>
      <c r="P86" s="1013"/>
      <c r="Q86" s="993"/>
    </row>
  </sheetData>
  <mergeCells count="84">
    <mergeCell ref="J52:K52"/>
    <mergeCell ref="O64:O65"/>
    <mergeCell ref="P64:Q64"/>
    <mergeCell ref="M52:M53"/>
    <mergeCell ref="N52:N53"/>
    <mergeCell ref="O52:O53"/>
    <mergeCell ref="P52:Q52"/>
    <mergeCell ref="M64:M65"/>
    <mergeCell ref="N64:N65"/>
    <mergeCell ref="A64:A65"/>
    <mergeCell ref="G64:G65"/>
    <mergeCell ref="H64:H65"/>
    <mergeCell ref="I64:I65"/>
    <mergeCell ref="J64:K64"/>
    <mergeCell ref="B64:B65"/>
    <mergeCell ref="C64:C65"/>
    <mergeCell ref="D64:E64"/>
    <mergeCell ref="D52:E52"/>
    <mergeCell ref="C52:C53"/>
    <mergeCell ref="A52:A53"/>
    <mergeCell ref="B52:B53"/>
    <mergeCell ref="I40:I41"/>
    <mergeCell ref="D40:E40"/>
    <mergeCell ref="G40:G41"/>
    <mergeCell ref="H40:H41"/>
    <mergeCell ref="G52:G53"/>
    <mergeCell ref="H52:H53"/>
    <mergeCell ref="I52:I53"/>
    <mergeCell ref="P28:Q28"/>
    <mergeCell ref="A40:A41"/>
    <mergeCell ref="B40:B41"/>
    <mergeCell ref="C40:C41"/>
    <mergeCell ref="J40:K40"/>
    <mergeCell ref="M40:M41"/>
    <mergeCell ref="N40:N41"/>
    <mergeCell ref="O40:O41"/>
    <mergeCell ref="P40:Q40"/>
    <mergeCell ref="N16:N17"/>
    <mergeCell ref="O16:O17"/>
    <mergeCell ref="M28:M29"/>
    <mergeCell ref="N28:N29"/>
    <mergeCell ref="O28:O29"/>
    <mergeCell ref="M4:M5"/>
    <mergeCell ref="N4:N5"/>
    <mergeCell ref="O4:O5"/>
    <mergeCell ref="P16:Q16"/>
    <mergeCell ref="A28:A29"/>
    <mergeCell ref="B28:B29"/>
    <mergeCell ref="C28:C29"/>
    <mergeCell ref="D16:E16"/>
    <mergeCell ref="G28:G29"/>
    <mergeCell ref="H28:H29"/>
    <mergeCell ref="I28:I29"/>
    <mergeCell ref="J28:K28"/>
    <mergeCell ref="D28:E28"/>
    <mergeCell ref="I16:I17"/>
    <mergeCell ref="J16:K16"/>
    <mergeCell ref="M16:M17"/>
    <mergeCell ref="O76:O77"/>
    <mergeCell ref="P76:Q76"/>
    <mergeCell ref="P4:Q4"/>
    <mergeCell ref="A16:A17"/>
    <mergeCell ref="B16:B17"/>
    <mergeCell ref="C16:C17"/>
    <mergeCell ref="D4:E4"/>
    <mergeCell ref="G16:G17"/>
    <mergeCell ref="H16:H17"/>
    <mergeCell ref="A4:A5"/>
    <mergeCell ref="B4:B5"/>
    <mergeCell ref="C4:C5"/>
    <mergeCell ref="G4:G5"/>
    <mergeCell ref="H4:H5"/>
    <mergeCell ref="I4:I5"/>
    <mergeCell ref="J4:K4"/>
    <mergeCell ref="H76:H77"/>
    <mergeCell ref="I76:I77"/>
    <mergeCell ref="J76:K76"/>
    <mergeCell ref="M76:M77"/>
    <mergeCell ref="N76:N77"/>
    <mergeCell ref="A76:A77"/>
    <mergeCell ref="B76:B77"/>
    <mergeCell ref="C76:C77"/>
    <mergeCell ref="D76:E76"/>
    <mergeCell ref="G76:G77"/>
  </mergeCells>
  <pageMargins left="0.7" right="0.7" top="0.75" bottom="0.75" header="0.3" footer="0.3"/>
  <pageSetup scale="67" orientation="portrait"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FAC78-9D4E-415E-A7DC-B0A35AD2CDB5}">
  <sheetPr>
    <tabColor rgb="FF66FF33"/>
  </sheetPr>
  <dimension ref="A1:O85"/>
  <sheetViews>
    <sheetView showGridLines="0" zoomScaleNormal="100" workbookViewId="0">
      <selection activeCell="D74" sqref="D74"/>
    </sheetView>
  </sheetViews>
  <sheetFormatPr defaultColWidth="9.33203125" defaultRowHeight="12.75"/>
  <cols>
    <col min="1" max="1" width="10.83203125" style="74" customWidth="1"/>
    <col min="2" max="2" width="9.33203125" style="74"/>
    <col min="3" max="3" width="9.33203125" style="74" bestFit="1" customWidth="1"/>
    <col min="4" max="4" width="59.83203125" style="74" bestFit="1" customWidth="1"/>
    <col min="5" max="5" width="47.1640625" style="74" bestFit="1" customWidth="1"/>
    <col min="6" max="16384" width="9.33203125" style="74"/>
  </cols>
  <sheetData>
    <row r="1" spans="1:15">
      <c r="A1" s="1958" t="s">
        <v>1315</v>
      </c>
      <c r="B1" s="1959"/>
      <c r="C1" s="1959"/>
      <c r="D1" s="1959"/>
      <c r="E1" s="1960"/>
      <c r="F1" s="1675"/>
      <c r="G1" s="1645"/>
      <c r="H1" s="1675"/>
      <c r="I1" s="1675" t="s">
        <v>1316</v>
      </c>
      <c r="J1" s="1675"/>
      <c r="K1" s="1675"/>
      <c r="L1" s="1675"/>
      <c r="M1" s="1675"/>
      <c r="N1" s="1675"/>
      <c r="O1" s="1675"/>
    </row>
    <row r="2" spans="1:15" ht="13.5" thickBot="1">
      <c r="A2" s="554" t="s">
        <v>28</v>
      </c>
      <c r="B2" s="555" t="s">
        <v>1302</v>
      </c>
      <c r="C2" s="555" t="s">
        <v>1303</v>
      </c>
      <c r="D2" s="555" t="s">
        <v>924</v>
      </c>
      <c r="E2" s="556" t="s">
        <v>1317</v>
      </c>
      <c r="F2" s="1675"/>
      <c r="G2" s="1675"/>
      <c r="H2" s="1675"/>
      <c r="I2" s="557"/>
      <c r="J2" s="1675"/>
      <c r="K2" s="1675"/>
      <c r="L2" s="1675"/>
      <c r="M2" s="1675"/>
      <c r="N2" s="1675"/>
      <c r="O2" s="457"/>
    </row>
    <row r="3" spans="1:15">
      <c r="A3" s="517">
        <v>2002</v>
      </c>
      <c r="B3" s="521">
        <v>1609</v>
      </c>
      <c r="C3" s="521">
        <v>1072.666666666667</v>
      </c>
      <c r="D3" s="558" t="s">
        <v>1318</v>
      </c>
      <c r="E3" s="520" t="s">
        <v>1319</v>
      </c>
      <c r="F3" s="1675"/>
      <c r="G3" s="1675"/>
      <c r="H3" s="1675"/>
      <c r="I3" s="557">
        <f t="shared" ref="I3:I26" si="0">B3+(C3*0.1)</f>
        <v>1716.2666666666667</v>
      </c>
      <c r="J3" s="1675"/>
      <c r="K3" s="1675"/>
      <c r="L3" s="1675"/>
      <c r="M3" s="1675"/>
      <c r="N3" s="1675"/>
      <c r="O3" s="1675"/>
    </row>
    <row r="4" spans="1:15">
      <c r="A4" s="517">
        <v>2003</v>
      </c>
      <c r="B4" s="521">
        <v>1744</v>
      </c>
      <c r="C4" s="521">
        <v>1162.666666666667</v>
      </c>
      <c r="D4" s="558" t="s">
        <v>1320</v>
      </c>
      <c r="E4" s="520" t="s">
        <v>1321</v>
      </c>
      <c r="F4" s="1675"/>
      <c r="G4" s="1675"/>
      <c r="H4" s="1675"/>
      <c r="I4" s="557">
        <f t="shared" si="0"/>
        <v>1860.2666666666667</v>
      </c>
      <c r="J4" s="1675"/>
      <c r="K4" s="1675"/>
      <c r="L4" s="1675"/>
      <c r="M4" s="1675"/>
      <c r="N4" s="1675"/>
      <c r="O4" s="1675"/>
    </row>
    <row r="5" spans="1:15">
      <c r="A5" s="517">
        <v>2004</v>
      </c>
      <c r="B5" s="521">
        <v>1539</v>
      </c>
      <c r="C5" s="521">
        <v>569.21917808219177</v>
      </c>
      <c r="D5" s="558" t="s">
        <v>1322</v>
      </c>
      <c r="E5" s="520" t="s">
        <v>1323</v>
      </c>
      <c r="F5" s="1675"/>
      <c r="G5" s="1675"/>
      <c r="H5" s="1675"/>
      <c r="I5" s="557">
        <f t="shared" si="0"/>
        <v>1595.9219178082192</v>
      </c>
      <c r="J5" s="1675"/>
      <c r="K5" s="1675"/>
      <c r="L5" s="1675"/>
      <c r="M5" s="1675"/>
      <c r="N5" s="1675"/>
      <c r="O5" s="1675"/>
    </row>
    <row r="6" spans="1:15">
      <c r="A6" s="517">
        <v>2005</v>
      </c>
      <c r="B6" s="521">
        <v>438</v>
      </c>
      <c r="C6" s="521">
        <v>262.87173100871729</v>
      </c>
      <c r="D6" s="558" t="s">
        <v>1324</v>
      </c>
      <c r="E6" s="520" t="s">
        <v>1325</v>
      </c>
      <c r="F6" s="1675"/>
      <c r="G6" s="1675"/>
      <c r="H6" s="1675"/>
      <c r="I6" s="557">
        <f t="shared" si="0"/>
        <v>464.28717310087171</v>
      </c>
      <c r="J6" s="1675"/>
      <c r="K6" s="1675"/>
      <c r="L6" s="1675"/>
      <c r="M6" s="1675"/>
      <c r="N6" s="1675"/>
      <c r="O6" s="1675"/>
    </row>
    <row r="7" spans="1:15">
      <c r="A7" s="517">
        <v>2006</v>
      </c>
      <c r="B7" s="521">
        <v>1290.2</v>
      </c>
      <c r="C7" s="521">
        <v>716</v>
      </c>
      <c r="D7" s="558" t="s">
        <v>1326</v>
      </c>
      <c r="E7" s="520" t="s">
        <v>1325</v>
      </c>
      <c r="F7" s="1675"/>
      <c r="G7" s="1675"/>
      <c r="H7" s="1675"/>
      <c r="I7" s="557">
        <f t="shared" si="0"/>
        <v>1361.8</v>
      </c>
      <c r="J7" s="1675"/>
      <c r="K7" s="1675"/>
      <c r="L7" s="1675"/>
      <c r="M7" s="1675"/>
      <c r="N7" s="1675"/>
      <c r="O7" s="1675"/>
    </row>
    <row r="8" spans="1:15">
      <c r="A8" s="517">
        <v>2007</v>
      </c>
      <c r="B8" s="521">
        <v>1401.4</v>
      </c>
      <c r="C8" s="521">
        <v>439</v>
      </c>
      <c r="D8" s="558" t="s">
        <v>1327</v>
      </c>
      <c r="E8" s="520" t="s">
        <v>1323</v>
      </c>
      <c r="F8" s="1675"/>
      <c r="G8" s="1675"/>
      <c r="H8" s="1675"/>
      <c r="I8" s="557">
        <f t="shared" si="0"/>
        <v>1445.3000000000002</v>
      </c>
      <c r="J8" s="1675"/>
      <c r="K8" s="1675"/>
      <c r="L8" s="1675"/>
      <c r="M8" s="1675"/>
      <c r="N8" s="1675"/>
      <c r="O8" s="1675"/>
    </row>
    <row r="9" spans="1:15" ht="14.25" customHeight="1">
      <c r="A9" s="517">
        <v>2008</v>
      </c>
      <c r="B9" s="521">
        <v>2014</v>
      </c>
      <c r="C9" s="521">
        <v>535.36708860759472</v>
      </c>
      <c r="D9" s="558" t="s">
        <v>1328</v>
      </c>
      <c r="E9" s="520" t="s">
        <v>1323</v>
      </c>
      <c r="F9" s="1675"/>
      <c r="G9" s="1675"/>
      <c r="H9" s="1675"/>
      <c r="I9" s="557">
        <f t="shared" si="0"/>
        <v>2067.5367088607595</v>
      </c>
      <c r="J9" s="1675"/>
      <c r="K9" s="1675"/>
      <c r="L9" s="1675"/>
      <c r="M9" s="1675"/>
      <c r="N9" s="1675"/>
      <c r="O9" s="1675"/>
    </row>
    <row r="10" spans="1:15">
      <c r="A10" s="517">
        <v>2009</v>
      </c>
      <c r="B10" s="521">
        <v>647</v>
      </c>
      <c r="C10" s="521">
        <v>129.24096385542168</v>
      </c>
      <c r="D10" s="558" t="s">
        <v>1329</v>
      </c>
      <c r="E10" s="520" t="s">
        <v>1323</v>
      </c>
      <c r="F10" s="1675"/>
      <c r="G10" s="1675"/>
      <c r="H10" s="1675"/>
      <c r="I10" s="557">
        <f t="shared" si="0"/>
        <v>659.92409638554216</v>
      </c>
      <c r="J10" s="1675"/>
      <c r="K10" s="1675"/>
      <c r="L10" s="1675"/>
      <c r="M10" s="1675"/>
      <c r="N10" s="1675"/>
      <c r="O10" s="1675"/>
    </row>
    <row r="11" spans="1:15">
      <c r="A11" s="517">
        <v>2010</v>
      </c>
      <c r="B11" s="521">
        <v>3646</v>
      </c>
      <c r="C11" s="521">
        <v>741.03614457831372</v>
      </c>
      <c r="D11" s="558" t="s">
        <v>1328</v>
      </c>
      <c r="E11" s="520" t="s">
        <v>1323</v>
      </c>
      <c r="F11" s="1675"/>
      <c r="G11" s="1675"/>
      <c r="H11" s="1675"/>
      <c r="I11" s="557">
        <f t="shared" si="0"/>
        <v>3720.1036144578316</v>
      </c>
      <c r="J11" s="1675"/>
      <c r="K11" s="1675"/>
      <c r="L11" s="1675"/>
      <c r="M11" s="1675"/>
      <c r="N11" s="1675"/>
      <c r="O11" s="1675"/>
    </row>
    <row r="12" spans="1:15">
      <c r="A12" s="517">
        <v>2011</v>
      </c>
      <c r="B12" s="521">
        <v>2508</v>
      </c>
      <c r="C12" s="521">
        <v>773</v>
      </c>
      <c r="D12" s="558" t="s">
        <v>1330</v>
      </c>
      <c r="E12" s="520" t="s">
        <v>1331</v>
      </c>
      <c r="F12" s="1675"/>
      <c r="G12" s="1675"/>
      <c r="H12" s="1675"/>
      <c r="I12" s="557">
        <f t="shared" si="0"/>
        <v>2585.3000000000002</v>
      </c>
      <c r="J12" s="1675"/>
      <c r="K12" s="1675"/>
      <c r="L12" s="1675"/>
      <c r="M12" s="1675"/>
      <c r="N12" s="1675"/>
      <c r="O12" s="1675"/>
    </row>
    <row r="13" spans="1:15">
      <c r="A13" s="517">
        <v>2012</v>
      </c>
      <c r="B13" s="521">
        <v>1310</v>
      </c>
      <c r="C13" s="521">
        <v>467</v>
      </c>
      <c r="D13" s="558" t="s">
        <v>1332</v>
      </c>
      <c r="E13" s="520" t="s">
        <v>1331</v>
      </c>
      <c r="F13" s="1675"/>
      <c r="G13" s="1675"/>
      <c r="H13" s="1675"/>
      <c r="I13" s="557">
        <f t="shared" si="0"/>
        <v>1356.7</v>
      </c>
      <c r="J13" s="1675"/>
      <c r="K13" s="1675"/>
      <c r="L13" s="1675"/>
      <c r="M13" s="1675"/>
      <c r="N13" s="1675"/>
      <c r="O13" s="1675"/>
    </row>
    <row r="14" spans="1:15">
      <c r="A14" s="517">
        <v>2013</v>
      </c>
      <c r="B14" s="521">
        <v>1078</v>
      </c>
      <c r="C14" s="521">
        <v>420</v>
      </c>
      <c r="D14" s="558" t="s">
        <v>1333</v>
      </c>
      <c r="E14" s="520" t="s">
        <v>1331</v>
      </c>
      <c r="F14" s="1675"/>
      <c r="G14" s="1675"/>
      <c r="H14" s="1675"/>
      <c r="I14" s="557">
        <f t="shared" si="0"/>
        <v>1120</v>
      </c>
      <c r="J14" s="1675"/>
      <c r="K14" s="1675"/>
      <c r="L14" s="1675"/>
      <c r="M14" s="1675"/>
      <c r="N14" s="1675"/>
      <c r="O14" s="1675"/>
    </row>
    <row r="15" spans="1:15">
      <c r="A15" s="517">
        <v>2014</v>
      </c>
      <c r="B15" s="521">
        <v>4199</v>
      </c>
      <c r="C15" s="521">
        <v>1352</v>
      </c>
      <c r="D15" s="558" t="s">
        <v>1334</v>
      </c>
      <c r="E15" s="520" t="s">
        <v>1331</v>
      </c>
      <c r="F15" s="1675"/>
      <c r="G15" s="1675"/>
      <c r="H15" s="1675"/>
      <c r="I15" s="557">
        <f t="shared" si="0"/>
        <v>4334.2</v>
      </c>
      <c r="J15" s="1675"/>
      <c r="K15" s="1675"/>
      <c r="L15" s="1675"/>
      <c r="M15" s="1675"/>
      <c r="N15" s="1675"/>
      <c r="O15" s="1675"/>
    </row>
    <row r="16" spans="1:15">
      <c r="A16" s="517">
        <v>2015</v>
      </c>
      <c r="B16" s="521">
        <v>1705</v>
      </c>
      <c r="C16" s="521">
        <v>499.55</v>
      </c>
      <c r="D16" s="558" t="s">
        <v>1335</v>
      </c>
      <c r="E16" s="520" t="s">
        <v>1331</v>
      </c>
      <c r="F16" s="1675"/>
      <c r="G16" s="1675"/>
      <c r="H16" s="1675"/>
      <c r="I16" s="557">
        <f t="shared" si="0"/>
        <v>1754.9549999999999</v>
      </c>
      <c r="J16" s="1675"/>
      <c r="K16" s="1675"/>
      <c r="L16" s="1675"/>
      <c r="M16" s="1675"/>
      <c r="N16" s="1675"/>
      <c r="O16" s="1675"/>
    </row>
    <row r="17" spans="1:9">
      <c r="A17" s="517">
        <v>2016</v>
      </c>
      <c r="B17" s="521">
        <v>1446</v>
      </c>
      <c r="C17" s="521">
        <v>335</v>
      </c>
      <c r="D17" s="558" t="s">
        <v>1336</v>
      </c>
      <c r="E17" s="520" t="s">
        <v>1331</v>
      </c>
      <c r="F17" s="1675"/>
      <c r="G17" s="1675"/>
      <c r="H17" s="1675"/>
      <c r="I17" s="557">
        <f t="shared" si="0"/>
        <v>1479.5</v>
      </c>
    </row>
    <row r="18" spans="1:9">
      <c r="A18" s="517">
        <v>2017</v>
      </c>
      <c r="B18" s="521">
        <v>15</v>
      </c>
      <c r="C18" s="521">
        <v>27</v>
      </c>
      <c r="D18" s="558" t="s">
        <v>1337</v>
      </c>
      <c r="E18" s="520" t="s">
        <v>1331</v>
      </c>
      <c r="F18" s="1675"/>
      <c r="G18" s="1675"/>
      <c r="H18" s="1675"/>
      <c r="I18" s="557">
        <f t="shared" si="0"/>
        <v>17.7</v>
      </c>
    </row>
    <row r="19" spans="1:9">
      <c r="A19" s="517">
        <v>2018</v>
      </c>
      <c r="B19" s="521">
        <v>613</v>
      </c>
      <c r="C19" s="521">
        <v>100</v>
      </c>
      <c r="D19" s="558" t="s">
        <v>1338</v>
      </c>
      <c r="E19" s="520" t="s">
        <v>1331</v>
      </c>
      <c r="F19" s="1675"/>
      <c r="G19" s="1675"/>
      <c r="H19" s="1675"/>
      <c r="I19" s="557">
        <f t="shared" si="0"/>
        <v>623</v>
      </c>
    </row>
    <row r="20" spans="1:9">
      <c r="A20" s="517">
        <v>2019</v>
      </c>
      <c r="B20" s="521">
        <v>279</v>
      </c>
      <c r="C20" s="521">
        <v>83</v>
      </c>
      <c r="D20" s="559" t="s">
        <v>1339</v>
      </c>
      <c r="E20" s="520" t="s">
        <v>1331</v>
      </c>
      <c r="F20" s="1675"/>
      <c r="G20" s="1675"/>
      <c r="H20" s="1675"/>
      <c r="I20" s="557">
        <f t="shared" si="0"/>
        <v>287.3</v>
      </c>
    </row>
    <row r="21" spans="1:9" ht="13.5" customHeight="1">
      <c r="A21" s="517">
        <v>2020</v>
      </c>
      <c r="B21" s="521">
        <v>529</v>
      </c>
      <c r="C21" s="521">
        <v>162</v>
      </c>
      <c r="D21" s="558" t="s">
        <v>1340</v>
      </c>
      <c r="E21" s="520" t="s">
        <v>1331</v>
      </c>
      <c r="F21" s="1675"/>
      <c r="G21" s="1675"/>
      <c r="H21" s="1675"/>
      <c r="I21" s="557">
        <f t="shared" si="0"/>
        <v>545.20000000000005</v>
      </c>
    </row>
    <row r="22" spans="1:9" ht="13.5" customHeight="1">
      <c r="A22" s="517">
        <v>2021</v>
      </c>
      <c r="B22" s="521">
        <v>761</v>
      </c>
      <c r="C22" s="521">
        <v>348</v>
      </c>
      <c r="D22" s="558" t="s">
        <v>1341</v>
      </c>
      <c r="E22" s="520" t="s">
        <v>1331</v>
      </c>
      <c r="F22" s="1675"/>
      <c r="G22" s="1675"/>
      <c r="H22" s="1675"/>
      <c r="I22" s="557">
        <f t="shared" si="0"/>
        <v>795.8</v>
      </c>
    </row>
    <row r="23" spans="1:9" ht="13.5" customHeight="1">
      <c r="A23" s="517">
        <v>2022</v>
      </c>
      <c r="B23" s="521">
        <v>1223</v>
      </c>
      <c r="C23" s="521">
        <v>485</v>
      </c>
      <c r="D23" s="558" t="s">
        <v>1342</v>
      </c>
      <c r="E23" s="520" t="s">
        <v>1331</v>
      </c>
      <c r="F23" s="1675"/>
      <c r="G23" s="1675"/>
      <c r="H23" s="1675"/>
      <c r="I23" s="557">
        <f t="shared" si="0"/>
        <v>1271.5</v>
      </c>
    </row>
    <row r="24" spans="1:9" ht="13.5" customHeight="1">
      <c r="A24" s="517">
        <v>2023</v>
      </c>
      <c r="B24" s="521">
        <v>1059</v>
      </c>
      <c r="C24" s="521">
        <v>514</v>
      </c>
      <c r="D24" s="558" t="s">
        <v>1343</v>
      </c>
      <c r="E24" s="520" t="s">
        <v>1331</v>
      </c>
      <c r="F24" s="1675"/>
      <c r="G24" s="1675"/>
      <c r="H24" s="1675"/>
      <c r="I24" s="557">
        <f t="shared" si="0"/>
        <v>1110.4000000000001</v>
      </c>
    </row>
    <row r="25" spans="1:9">
      <c r="A25" s="517">
        <v>2024</v>
      </c>
      <c r="B25" s="521">
        <v>1463</v>
      </c>
      <c r="C25" s="521">
        <v>218</v>
      </c>
      <c r="D25" s="558" t="s">
        <v>1344</v>
      </c>
      <c r="E25" s="520" t="s">
        <v>1331</v>
      </c>
      <c r="F25" s="1675"/>
      <c r="G25" s="1675"/>
      <c r="H25" s="1675"/>
      <c r="I25" s="557">
        <f t="shared" si="0"/>
        <v>1484.8</v>
      </c>
    </row>
    <row r="26" spans="1:9">
      <c r="A26" s="517">
        <v>2025</v>
      </c>
      <c r="B26" s="521">
        <v>913</v>
      </c>
      <c r="C26" s="521">
        <v>403</v>
      </c>
      <c r="D26" s="558" t="s">
        <v>1345</v>
      </c>
      <c r="E26" s="520" t="s">
        <v>1331</v>
      </c>
      <c r="F26" s="1675"/>
      <c r="G26" s="1675"/>
      <c r="H26" s="1675"/>
      <c r="I26" s="557">
        <f t="shared" si="0"/>
        <v>953.3</v>
      </c>
    </row>
    <row r="27" spans="1:9">
      <c r="A27" s="1955" t="s">
        <v>1346</v>
      </c>
      <c r="B27" s="1956"/>
      <c r="C27" s="1956"/>
      <c r="D27" s="1956"/>
      <c r="E27" s="1957"/>
      <c r="F27" s="1675"/>
      <c r="G27" s="1675"/>
      <c r="H27" s="1675"/>
      <c r="I27" s="557"/>
    </row>
    <row r="28" spans="1:9" ht="13.5" thickBot="1">
      <c r="A28" s="554" t="s">
        <v>28</v>
      </c>
      <c r="B28" s="555" t="s">
        <v>1302</v>
      </c>
      <c r="C28" s="555" t="s">
        <v>1303</v>
      </c>
      <c r="D28" s="555" t="s">
        <v>924</v>
      </c>
      <c r="E28" s="556" t="s">
        <v>1317</v>
      </c>
      <c r="F28" s="1675"/>
      <c r="G28" s="1675"/>
      <c r="H28" s="1675"/>
      <c r="I28" s="557"/>
    </row>
    <row r="29" spans="1:9">
      <c r="A29" s="517">
        <v>2000</v>
      </c>
      <c r="B29" s="1961" t="s">
        <v>930</v>
      </c>
      <c r="C29" s="1961"/>
      <c r="D29" s="1961"/>
      <c r="E29" s="1962"/>
      <c r="F29" s="1675"/>
      <c r="G29" s="1675"/>
      <c r="H29" s="1675"/>
      <c r="I29" s="557" t="e">
        <f t="shared" ref="I29:I54" si="1">B29+(C29*0.1)</f>
        <v>#VALUE!</v>
      </c>
    </row>
    <row r="30" spans="1:9">
      <c r="A30" s="560">
        <v>2001</v>
      </c>
      <c r="B30" s="521">
        <v>1439</v>
      </c>
      <c r="C30" s="521">
        <v>558</v>
      </c>
      <c r="D30" s="558" t="s">
        <v>1347</v>
      </c>
      <c r="E30" s="520" t="s">
        <v>1348</v>
      </c>
      <c r="F30" s="1675"/>
      <c r="G30" s="1675"/>
      <c r="H30" s="1675"/>
      <c r="I30" s="557">
        <f t="shared" si="1"/>
        <v>1494.8</v>
      </c>
    </row>
    <row r="31" spans="1:9">
      <c r="A31" s="517">
        <v>2002</v>
      </c>
      <c r="B31" s="521">
        <v>866</v>
      </c>
      <c r="C31" s="521">
        <v>351</v>
      </c>
      <c r="D31" s="558" t="s">
        <v>1349</v>
      </c>
      <c r="E31" s="520" t="s">
        <v>1350</v>
      </c>
      <c r="F31" s="1675"/>
      <c r="G31" s="1675"/>
      <c r="H31" s="1675"/>
      <c r="I31" s="557">
        <f t="shared" si="1"/>
        <v>901.1</v>
      </c>
    </row>
    <row r="32" spans="1:9">
      <c r="A32" s="517">
        <v>2003</v>
      </c>
      <c r="B32" s="521">
        <v>513</v>
      </c>
      <c r="C32" s="521">
        <v>405</v>
      </c>
      <c r="D32" s="558" t="s">
        <v>1351</v>
      </c>
      <c r="E32" s="520" t="s">
        <v>1352</v>
      </c>
      <c r="F32" s="1675"/>
      <c r="G32" s="1675"/>
      <c r="H32" s="1675"/>
      <c r="I32" s="557">
        <f t="shared" si="1"/>
        <v>553.5</v>
      </c>
    </row>
    <row r="33" spans="1:9">
      <c r="A33" s="517">
        <v>2004</v>
      </c>
      <c r="B33" s="521">
        <v>1224</v>
      </c>
      <c r="C33" s="521">
        <v>337</v>
      </c>
      <c r="D33" s="558" t="s">
        <v>1353</v>
      </c>
      <c r="E33" s="520" t="s">
        <v>1352</v>
      </c>
      <c r="F33" s="1675"/>
      <c r="G33" s="1675"/>
      <c r="H33" s="1675"/>
      <c r="I33" s="557">
        <f t="shared" si="1"/>
        <v>1257.7</v>
      </c>
    </row>
    <row r="34" spans="1:9">
      <c r="A34" s="517">
        <v>2005</v>
      </c>
      <c r="B34" s="521">
        <v>77</v>
      </c>
      <c r="C34" s="521">
        <v>83</v>
      </c>
      <c r="D34" s="558" t="s">
        <v>1354</v>
      </c>
      <c r="E34" s="520" t="s">
        <v>1352</v>
      </c>
      <c r="F34" s="1675"/>
      <c r="G34" s="1675"/>
      <c r="H34" s="1675"/>
      <c r="I34" s="557">
        <f t="shared" si="1"/>
        <v>85.3</v>
      </c>
    </row>
    <row r="35" spans="1:9">
      <c r="A35" s="517">
        <v>2006</v>
      </c>
      <c r="B35" s="521">
        <v>192</v>
      </c>
      <c r="C35" s="521">
        <v>100</v>
      </c>
      <c r="D35" s="558" t="s">
        <v>1355</v>
      </c>
      <c r="E35" s="520" t="s">
        <v>1352</v>
      </c>
      <c r="F35" s="1675"/>
      <c r="G35" s="1675"/>
      <c r="H35" s="1675"/>
      <c r="I35" s="557">
        <f t="shared" si="1"/>
        <v>202</v>
      </c>
    </row>
    <row r="36" spans="1:9">
      <c r="A36" s="517">
        <v>2007</v>
      </c>
      <c r="B36" s="521">
        <v>284</v>
      </c>
      <c r="C36" s="521">
        <v>67</v>
      </c>
      <c r="D36" s="558" t="s">
        <v>1356</v>
      </c>
      <c r="E36" s="520" t="s">
        <v>1352</v>
      </c>
      <c r="F36" s="1675"/>
      <c r="G36" s="1675"/>
      <c r="H36" s="1675"/>
      <c r="I36" s="557">
        <f t="shared" si="1"/>
        <v>290.7</v>
      </c>
    </row>
    <row r="37" spans="1:9">
      <c r="A37" s="517">
        <v>2008</v>
      </c>
      <c r="B37" s="521">
        <v>515</v>
      </c>
      <c r="C37" s="521">
        <v>128</v>
      </c>
      <c r="D37" s="558" t="s">
        <v>1357</v>
      </c>
      <c r="E37" s="520" t="s">
        <v>1358</v>
      </c>
      <c r="F37" s="1675"/>
      <c r="G37" s="1675"/>
      <c r="H37" s="1675"/>
      <c r="I37" s="557">
        <f t="shared" si="1"/>
        <v>527.79999999999995</v>
      </c>
    </row>
    <row r="38" spans="1:9">
      <c r="A38" s="517">
        <v>2009</v>
      </c>
      <c r="B38" s="521">
        <v>498</v>
      </c>
      <c r="C38" s="521">
        <v>100</v>
      </c>
      <c r="D38" s="558" t="s">
        <v>1359</v>
      </c>
      <c r="E38" s="520" t="s">
        <v>1352</v>
      </c>
      <c r="F38" s="1675"/>
      <c r="G38" s="1675"/>
      <c r="H38" s="1675"/>
      <c r="I38" s="557">
        <f t="shared" si="1"/>
        <v>508</v>
      </c>
    </row>
    <row r="39" spans="1:9">
      <c r="A39" s="517">
        <v>2010</v>
      </c>
      <c r="B39" s="521">
        <v>1663</v>
      </c>
      <c r="C39" s="521">
        <v>199</v>
      </c>
      <c r="D39" s="558" t="s">
        <v>1360</v>
      </c>
      <c r="E39" s="520" t="s">
        <v>1361</v>
      </c>
      <c r="F39" s="1675"/>
      <c r="G39" s="1675"/>
      <c r="H39" s="1675"/>
      <c r="I39" s="557">
        <f t="shared" si="1"/>
        <v>1682.9</v>
      </c>
    </row>
    <row r="40" spans="1:9">
      <c r="A40" s="517">
        <v>2011</v>
      </c>
      <c r="B40" s="521">
        <v>1913</v>
      </c>
      <c r="C40" s="521">
        <v>357</v>
      </c>
      <c r="D40" s="558" t="s">
        <v>1362</v>
      </c>
      <c r="E40" s="520" t="s">
        <v>1363</v>
      </c>
      <c r="F40" s="1675"/>
      <c r="G40" s="1675"/>
      <c r="H40" s="1675"/>
      <c r="I40" s="557">
        <f t="shared" si="1"/>
        <v>1948.7</v>
      </c>
    </row>
    <row r="41" spans="1:9">
      <c r="A41" s="517">
        <v>2012</v>
      </c>
      <c r="B41" s="521">
        <v>2338</v>
      </c>
      <c r="C41" s="521">
        <v>448</v>
      </c>
      <c r="D41" s="558" t="s">
        <v>1364</v>
      </c>
      <c r="E41" s="520" t="s">
        <v>1365</v>
      </c>
      <c r="F41" s="1675"/>
      <c r="G41" s="1675"/>
      <c r="H41" s="1675"/>
      <c r="I41" s="557">
        <f t="shared" si="1"/>
        <v>2382.8000000000002</v>
      </c>
    </row>
    <row r="42" spans="1:9">
      <c r="A42" s="517">
        <v>2013</v>
      </c>
      <c r="B42" s="521">
        <v>353</v>
      </c>
      <c r="C42" s="521">
        <v>125</v>
      </c>
      <c r="D42" s="558" t="s">
        <v>1366</v>
      </c>
      <c r="E42" s="520" t="s">
        <v>1363</v>
      </c>
      <c r="F42" s="1675"/>
      <c r="G42" s="1685"/>
      <c r="H42" s="1685"/>
      <c r="I42" s="557">
        <f t="shared" si="1"/>
        <v>365.5</v>
      </c>
    </row>
    <row r="43" spans="1:9">
      <c r="A43" s="517">
        <v>2014</v>
      </c>
      <c r="B43" s="521">
        <v>1454</v>
      </c>
      <c r="C43" s="521">
        <v>553</v>
      </c>
      <c r="D43" s="558" t="s">
        <v>1367</v>
      </c>
      <c r="E43" s="520" t="s">
        <v>1365</v>
      </c>
      <c r="F43" s="1675"/>
      <c r="G43" s="1685"/>
      <c r="H43" s="1685"/>
      <c r="I43" s="557">
        <f t="shared" si="1"/>
        <v>1509.3</v>
      </c>
    </row>
    <row r="44" spans="1:9">
      <c r="A44" s="517">
        <v>2015</v>
      </c>
      <c r="B44" s="521">
        <v>1900</v>
      </c>
      <c r="C44" s="521">
        <f>378+5</f>
        <v>383</v>
      </c>
      <c r="D44" s="477" t="s">
        <v>1368</v>
      </c>
      <c r="E44" s="561" t="s">
        <v>1365</v>
      </c>
      <c r="F44" s="1675"/>
      <c r="G44" s="1685"/>
      <c r="H44" s="1685"/>
      <c r="I44" s="557">
        <f t="shared" si="1"/>
        <v>1938.3</v>
      </c>
    </row>
    <row r="45" spans="1:9">
      <c r="A45" s="517">
        <v>2016</v>
      </c>
      <c r="B45" s="521">
        <v>1328</v>
      </c>
      <c r="C45" s="521">
        <v>343</v>
      </c>
      <c r="D45" s="477" t="s">
        <v>1369</v>
      </c>
      <c r="E45" s="561" t="s">
        <v>1365</v>
      </c>
      <c r="F45" s="1675"/>
      <c r="G45" s="1685"/>
      <c r="H45" s="1685"/>
      <c r="I45" s="557">
        <f t="shared" si="1"/>
        <v>1362.3</v>
      </c>
    </row>
    <row r="46" spans="1:9">
      <c r="A46" s="517">
        <v>2017</v>
      </c>
      <c r="B46" s="521">
        <v>65</v>
      </c>
      <c r="C46" s="521">
        <v>8</v>
      </c>
      <c r="D46" s="477" t="s">
        <v>1370</v>
      </c>
      <c r="E46" s="520" t="s">
        <v>1363</v>
      </c>
      <c r="F46" s="1675"/>
      <c r="G46" s="1685"/>
      <c r="H46" s="1685"/>
      <c r="I46" s="557">
        <f t="shared" si="1"/>
        <v>65.8</v>
      </c>
    </row>
    <row r="47" spans="1:9" ht="13.5" customHeight="1">
      <c r="A47" s="517">
        <v>2018</v>
      </c>
      <c r="B47" s="521">
        <v>742</v>
      </c>
      <c r="C47" s="521">
        <v>308</v>
      </c>
      <c r="D47" s="477" t="s">
        <v>1371</v>
      </c>
      <c r="E47" s="520" t="s">
        <v>1363</v>
      </c>
      <c r="F47" s="1675"/>
      <c r="G47" s="1685"/>
      <c r="H47" s="1685"/>
      <c r="I47" s="557">
        <f t="shared" si="1"/>
        <v>772.8</v>
      </c>
    </row>
    <row r="48" spans="1:9" ht="13.5" customHeight="1">
      <c r="A48" s="517">
        <v>2019</v>
      </c>
      <c r="B48" s="521">
        <v>326</v>
      </c>
      <c r="C48" s="521">
        <v>49</v>
      </c>
      <c r="D48" s="477" t="s">
        <v>1372</v>
      </c>
      <c r="E48" s="520" t="s">
        <v>1373</v>
      </c>
      <c r="F48" s="1675"/>
      <c r="G48" s="1685"/>
      <c r="H48" s="1685"/>
      <c r="I48" s="557">
        <f t="shared" si="1"/>
        <v>330.9</v>
      </c>
    </row>
    <row r="49" spans="1:10" ht="13.5" customHeight="1">
      <c r="A49" s="517">
        <v>2020</v>
      </c>
      <c r="B49" s="521">
        <v>326</v>
      </c>
      <c r="C49" s="521">
        <v>59</v>
      </c>
      <c r="D49" s="477" t="s">
        <v>1374</v>
      </c>
      <c r="E49" s="520" t="s">
        <v>1373</v>
      </c>
      <c r="F49" s="1675"/>
      <c r="G49" s="1685"/>
      <c r="H49" s="1685"/>
      <c r="I49" s="557">
        <f t="shared" si="1"/>
        <v>331.9</v>
      </c>
      <c r="J49" s="1675"/>
    </row>
    <row r="50" spans="1:10" ht="13.5" customHeight="1">
      <c r="A50" s="517">
        <v>2021</v>
      </c>
      <c r="B50" s="521">
        <v>443</v>
      </c>
      <c r="C50" s="521">
        <v>123</v>
      </c>
      <c r="D50" s="477" t="s">
        <v>1375</v>
      </c>
      <c r="E50" s="520" t="s">
        <v>1352</v>
      </c>
      <c r="F50" s="1675"/>
      <c r="G50" s="1685"/>
      <c r="H50" s="1685"/>
      <c r="I50" s="557">
        <f t="shared" si="1"/>
        <v>455.3</v>
      </c>
      <c r="J50" s="1675"/>
    </row>
    <row r="51" spans="1:10" ht="13.5" customHeight="1">
      <c r="A51" s="517">
        <v>2022</v>
      </c>
      <c r="B51" s="521">
        <v>1388</v>
      </c>
      <c r="C51" s="521">
        <v>327</v>
      </c>
      <c r="D51" s="477" t="s">
        <v>1376</v>
      </c>
      <c r="E51" s="520" t="s">
        <v>1377</v>
      </c>
      <c r="F51" s="1675"/>
      <c r="G51" s="1685"/>
      <c r="H51" s="1685"/>
      <c r="I51" s="557">
        <f t="shared" si="1"/>
        <v>1420.7</v>
      </c>
      <c r="J51" s="1675"/>
    </row>
    <row r="52" spans="1:10">
      <c r="A52" s="517">
        <v>2023</v>
      </c>
      <c r="B52" s="521">
        <v>411</v>
      </c>
      <c r="C52" s="521">
        <v>71</v>
      </c>
      <c r="D52" s="477" t="s">
        <v>1378</v>
      </c>
      <c r="E52" s="520" t="s">
        <v>1379</v>
      </c>
      <c r="F52" s="1675"/>
      <c r="G52" s="1685"/>
      <c r="H52" s="1685"/>
      <c r="I52" s="557">
        <f t="shared" si="1"/>
        <v>418.1</v>
      </c>
      <c r="J52" s="1675"/>
    </row>
    <row r="53" spans="1:10">
      <c r="A53" s="517">
        <v>2024</v>
      </c>
      <c r="B53" s="521">
        <v>784</v>
      </c>
      <c r="C53" s="521">
        <v>77</v>
      </c>
      <c r="D53" s="477" t="s">
        <v>1380</v>
      </c>
      <c r="E53" s="520" t="s">
        <v>1379</v>
      </c>
      <c r="F53" s="1675"/>
      <c r="G53" s="1685"/>
      <c r="H53" s="1685"/>
      <c r="I53" s="557">
        <f t="shared" si="1"/>
        <v>791.7</v>
      </c>
      <c r="J53" s="1675"/>
    </row>
    <row r="54" spans="1:10">
      <c r="A54" s="517">
        <v>2025</v>
      </c>
      <c r="B54" s="521">
        <v>768</v>
      </c>
      <c r="C54" s="521">
        <v>167</v>
      </c>
      <c r="D54" s="477" t="s">
        <v>1381</v>
      </c>
      <c r="E54" s="520" t="s">
        <v>1379</v>
      </c>
      <c r="F54" s="1675"/>
      <c r="G54" s="1685"/>
      <c r="H54" s="1685"/>
      <c r="I54" s="557">
        <f t="shared" si="1"/>
        <v>784.7</v>
      </c>
      <c r="J54" s="1675"/>
    </row>
    <row r="55" spans="1:10">
      <c r="A55" s="1955" t="s">
        <v>1382</v>
      </c>
      <c r="B55" s="1956"/>
      <c r="C55" s="1956"/>
      <c r="D55" s="1956"/>
      <c r="E55" s="1957"/>
      <c r="F55" s="1675"/>
      <c r="G55" s="1685"/>
      <c r="H55" s="1685"/>
      <c r="I55" s="557"/>
      <c r="J55" s="1675"/>
    </row>
    <row r="56" spans="1:10" ht="13.5" thickBot="1">
      <c r="A56" s="562" t="s">
        <v>28</v>
      </c>
      <c r="B56" s="1703" t="s">
        <v>1302</v>
      </c>
      <c r="C56" s="1703" t="s">
        <v>1303</v>
      </c>
      <c r="D56" s="1703" t="s">
        <v>924</v>
      </c>
      <c r="E56" s="563" t="s">
        <v>1317</v>
      </c>
      <c r="F56" s="1675"/>
      <c r="G56" s="1685"/>
      <c r="H56" s="1685"/>
      <c r="I56" s="557" t="e">
        <f t="shared" ref="I56:I80" si="2">B56+(C56*0.15)</f>
        <v>#VALUE!</v>
      </c>
      <c r="J56" s="1675"/>
    </row>
    <row r="57" spans="1:10">
      <c r="A57" s="564">
        <v>2002</v>
      </c>
      <c r="B57" s="518">
        <v>129</v>
      </c>
      <c r="C57" s="518">
        <v>193.5</v>
      </c>
      <c r="D57" s="565" t="s">
        <v>1383</v>
      </c>
      <c r="E57" s="566" t="s">
        <v>1384</v>
      </c>
      <c r="F57" s="1675"/>
      <c r="G57" s="1685"/>
      <c r="H57" s="1685"/>
      <c r="I57" s="557">
        <f t="shared" si="2"/>
        <v>158.02500000000001</v>
      </c>
      <c r="J57" s="1675"/>
    </row>
    <row r="58" spans="1:10">
      <c r="A58" s="517">
        <v>2003</v>
      </c>
      <c r="B58" s="521">
        <v>396</v>
      </c>
      <c r="C58" s="521">
        <v>594</v>
      </c>
      <c r="D58" s="558" t="s">
        <v>1385</v>
      </c>
      <c r="E58" s="520" t="s">
        <v>1384</v>
      </c>
      <c r="F58" s="1675"/>
      <c r="G58" s="1685"/>
      <c r="H58" s="1685"/>
      <c r="I58" s="557">
        <f t="shared" si="2"/>
        <v>485.1</v>
      </c>
      <c r="J58" s="1675"/>
    </row>
    <row r="59" spans="1:10">
      <c r="A59" s="517">
        <v>2004</v>
      </c>
      <c r="B59" s="521">
        <v>257</v>
      </c>
      <c r="C59" s="521">
        <v>385.5</v>
      </c>
      <c r="D59" s="558" t="s">
        <v>1385</v>
      </c>
      <c r="E59" s="520" t="s">
        <v>1384</v>
      </c>
      <c r="F59" s="1675"/>
      <c r="G59" s="1685"/>
      <c r="H59" s="1685"/>
      <c r="I59" s="557">
        <f t="shared" si="2"/>
        <v>314.82499999999999</v>
      </c>
      <c r="J59" s="1675"/>
    </row>
    <row r="60" spans="1:10">
      <c r="A60" s="517">
        <v>2005</v>
      </c>
      <c r="B60" s="521">
        <v>377</v>
      </c>
      <c r="C60" s="521">
        <v>479.81818181818181</v>
      </c>
      <c r="D60" s="558" t="s">
        <v>1385</v>
      </c>
      <c r="E60" s="520" t="s">
        <v>1384</v>
      </c>
      <c r="F60" s="1675"/>
      <c r="G60" s="1685"/>
      <c r="H60" s="1685"/>
      <c r="I60" s="557">
        <f t="shared" si="2"/>
        <v>448.9727272727273</v>
      </c>
      <c r="J60" s="246"/>
    </row>
    <row r="61" spans="1:10">
      <c r="A61" s="517">
        <v>2006</v>
      </c>
      <c r="B61" s="521">
        <v>295</v>
      </c>
      <c r="C61" s="521">
        <v>0</v>
      </c>
      <c r="D61" s="558" t="s">
        <v>1385</v>
      </c>
      <c r="E61" s="520" t="s">
        <v>1386</v>
      </c>
      <c r="F61" s="1675"/>
      <c r="G61" s="1675"/>
      <c r="H61" s="1675"/>
      <c r="I61" s="557">
        <f t="shared" si="2"/>
        <v>295</v>
      </c>
      <c r="J61" s="1675"/>
    </row>
    <row r="62" spans="1:10">
      <c r="A62" s="517">
        <v>2007</v>
      </c>
      <c r="B62" s="521">
        <v>148</v>
      </c>
      <c r="C62" s="521">
        <v>0</v>
      </c>
      <c r="D62" s="558" t="s">
        <v>1387</v>
      </c>
      <c r="E62" s="520" t="s">
        <v>1388</v>
      </c>
      <c r="F62" s="1675"/>
      <c r="G62" s="1675"/>
      <c r="H62" s="1675"/>
      <c r="I62" s="557">
        <f t="shared" si="2"/>
        <v>148</v>
      </c>
      <c r="J62" s="1675"/>
    </row>
    <row r="63" spans="1:10">
      <c r="A63" s="517">
        <v>2008</v>
      </c>
      <c r="B63" s="521">
        <v>997</v>
      </c>
      <c r="C63" s="521">
        <v>0</v>
      </c>
      <c r="D63" s="558" t="s">
        <v>1389</v>
      </c>
      <c r="E63" s="520" t="s">
        <v>1388</v>
      </c>
      <c r="F63" s="1675"/>
      <c r="G63" s="1675"/>
      <c r="H63" s="1675"/>
      <c r="I63" s="557">
        <f t="shared" si="2"/>
        <v>997</v>
      </c>
      <c r="J63" s="1675"/>
    </row>
    <row r="64" spans="1:10">
      <c r="A64" s="517">
        <v>2009</v>
      </c>
      <c r="B64" s="521">
        <v>265</v>
      </c>
      <c r="C64" s="521">
        <v>0</v>
      </c>
      <c r="D64" s="558" t="s">
        <v>1390</v>
      </c>
      <c r="E64" s="520" t="s">
        <v>1388</v>
      </c>
      <c r="F64" s="1675"/>
      <c r="G64" s="1675"/>
      <c r="H64" s="1675"/>
      <c r="I64" s="557">
        <f t="shared" si="2"/>
        <v>265</v>
      </c>
      <c r="J64" s="1675"/>
    </row>
    <row r="65" spans="1:9">
      <c r="A65" s="517">
        <v>2010</v>
      </c>
      <c r="B65" s="521">
        <v>811</v>
      </c>
      <c r="C65" s="521">
        <v>497.06451612903231</v>
      </c>
      <c r="D65" s="558" t="s">
        <v>1385</v>
      </c>
      <c r="E65" s="520" t="s">
        <v>1388</v>
      </c>
      <c r="F65" s="1675"/>
      <c r="G65" s="1675"/>
      <c r="H65" s="1675"/>
      <c r="I65" s="557">
        <f t="shared" si="2"/>
        <v>885.55967741935478</v>
      </c>
    </row>
    <row r="66" spans="1:9">
      <c r="A66" s="517">
        <v>2011</v>
      </c>
      <c r="B66" s="521">
        <v>343</v>
      </c>
      <c r="C66" s="521">
        <v>304.16981132075466</v>
      </c>
      <c r="D66" s="558" t="s">
        <v>1385</v>
      </c>
      <c r="E66" s="520" t="s">
        <v>1388</v>
      </c>
      <c r="F66" s="1675"/>
      <c r="G66" s="1675"/>
      <c r="H66" s="1675"/>
      <c r="I66" s="557">
        <f t="shared" si="2"/>
        <v>388.62547169811319</v>
      </c>
    </row>
    <row r="67" spans="1:9">
      <c r="A67" s="517">
        <v>2012</v>
      </c>
      <c r="B67" s="521">
        <v>268</v>
      </c>
      <c r="C67" s="521">
        <v>186.23728813559325</v>
      </c>
      <c r="D67" s="558" t="s">
        <v>1385</v>
      </c>
      <c r="E67" s="520" t="s">
        <v>1388</v>
      </c>
      <c r="F67" s="1675"/>
      <c r="G67" s="1675"/>
      <c r="H67" s="1675"/>
      <c r="I67" s="557">
        <f t="shared" si="2"/>
        <v>295.935593220339</v>
      </c>
    </row>
    <row r="68" spans="1:9">
      <c r="A68" s="517">
        <v>2013</v>
      </c>
      <c r="B68" s="521">
        <v>281</v>
      </c>
      <c r="C68" s="521">
        <v>289.34693877551024</v>
      </c>
      <c r="D68" s="558" t="s">
        <v>1385</v>
      </c>
      <c r="E68" s="520" t="s">
        <v>1388</v>
      </c>
      <c r="F68" s="1675"/>
      <c r="G68" s="1675"/>
      <c r="H68" s="1675"/>
      <c r="I68" s="557">
        <f t="shared" si="2"/>
        <v>324.40204081632652</v>
      </c>
    </row>
    <row r="69" spans="1:9">
      <c r="A69" s="517">
        <v>2014</v>
      </c>
      <c r="B69" s="521">
        <v>361</v>
      </c>
      <c r="C69" s="521">
        <v>614.67567567567573</v>
      </c>
      <c r="D69" s="558" t="s">
        <v>1385</v>
      </c>
      <c r="E69" s="520" t="s">
        <v>1388</v>
      </c>
      <c r="F69" s="1675"/>
      <c r="G69" s="1675"/>
      <c r="H69" s="1675"/>
      <c r="I69" s="557">
        <f t="shared" si="2"/>
        <v>453.20135135135138</v>
      </c>
    </row>
    <row r="70" spans="1:9">
      <c r="A70" s="517">
        <v>2015</v>
      </c>
      <c r="B70" s="521">
        <v>741</v>
      </c>
      <c r="C70" s="521">
        <v>297</v>
      </c>
      <c r="D70" s="558" t="s">
        <v>1385</v>
      </c>
      <c r="E70" s="520" t="s">
        <v>1388</v>
      </c>
      <c r="F70" s="1675"/>
      <c r="G70" s="1675"/>
      <c r="H70" s="1675"/>
      <c r="I70" s="557">
        <f t="shared" si="2"/>
        <v>785.55</v>
      </c>
    </row>
    <row r="71" spans="1:9">
      <c r="A71" s="517">
        <v>2016</v>
      </c>
      <c r="B71" s="521">
        <v>470</v>
      </c>
      <c r="C71" s="521">
        <v>636</v>
      </c>
      <c r="D71" s="558" t="s">
        <v>1385</v>
      </c>
      <c r="E71" s="520" t="s">
        <v>1388</v>
      </c>
      <c r="F71" s="1675"/>
      <c r="G71" s="1675"/>
      <c r="H71" s="1675"/>
      <c r="I71" s="557">
        <f t="shared" si="2"/>
        <v>565.4</v>
      </c>
    </row>
    <row r="72" spans="1:9">
      <c r="A72" s="517">
        <v>2017</v>
      </c>
      <c r="B72" s="521">
        <v>258</v>
      </c>
      <c r="C72" s="521">
        <v>216</v>
      </c>
      <c r="D72" s="558" t="s">
        <v>1391</v>
      </c>
      <c r="E72" s="520" t="s">
        <v>1388</v>
      </c>
      <c r="F72" s="1675"/>
      <c r="G72" s="1675"/>
      <c r="H72" s="1675"/>
      <c r="I72" s="557">
        <f t="shared" si="2"/>
        <v>290.39999999999998</v>
      </c>
    </row>
    <row r="73" spans="1:9">
      <c r="A73" s="517">
        <v>2018</v>
      </c>
      <c r="B73" s="521">
        <v>120</v>
      </c>
      <c r="C73" s="521">
        <v>92</v>
      </c>
      <c r="D73" s="558" t="s">
        <v>1392</v>
      </c>
      <c r="E73" s="520" t="s">
        <v>1388</v>
      </c>
      <c r="F73" s="1675"/>
      <c r="G73" s="1675"/>
      <c r="H73" s="1675"/>
      <c r="I73" s="557">
        <f t="shared" si="2"/>
        <v>133.80000000000001</v>
      </c>
    </row>
    <row r="74" spans="1:9">
      <c r="A74" s="517">
        <v>2019</v>
      </c>
      <c r="B74" s="521">
        <v>0</v>
      </c>
      <c r="C74" s="521">
        <v>38</v>
      </c>
      <c r="D74" s="558" t="s">
        <v>1393</v>
      </c>
      <c r="E74" s="520" t="s">
        <v>1388</v>
      </c>
      <c r="F74" s="1675"/>
      <c r="G74" s="1675"/>
      <c r="H74" s="1675"/>
      <c r="I74" s="557">
        <f t="shared" si="2"/>
        <v>5.7</v>
      </c>
    </row>
    <row r="75" spans="1:9">
      <c r="A75" s="535">
        <v>2020</v>
      </c>
      <c r="B75" s="1664">
        <v>140</v>
      </c>
      <c r="C75" s="1664">
        <v>215</v>
      </c>
      <c r="D75" s="558" t="s">
        <v>1394</v>
      </c>
      <c r="E75" s="520" t="s">
        <v>1388</v>
      </c>
      <c r="F75" s="1675"/>
      <c r="G75" s="1675"/>
      <c r="H75" s="1675"/>
      <c r="I75" s="557">
        <f t="shared" si="2"/>
        <v>172.25</v>
      </c>
    </row>
    <row r="76" spans="1:9">
      <c r="A76" s="1664">
        <v>2021</v>
      </c>
      <c r="B76" s="1664">
        <v>94</v>
      </c>
      <c r="C76" s="1664">
        <v>51</v>
      </c>
      <c r="D76" s="558" t="s">
        <v>1385</v>
      </c>
      <c r="E76" s="520" t="s">
        <v>1388</v>
      </c>
      <c r="F76" s="1675"/>
      <c r="G76" s="1675"/>
      <c r="H76" s="1675"/>
      <c r="I76" s="557">
        <f t="shared" si="2"/>
        <v>101.65</v>
      </c>
    </row>
    <row r="77" spans="1:9">
      <c r="A77" s="1664">
        <v>2022</v>
      </c>
      <c r="B77" s="1664">
        <v>284</v>
      </c>
      <c r="C77" s="1664">
        <v>120</v>
      </c>
      <c r="D77" s="558" t="s">
        <v>1385</v>
      </c>
      <c r="E77" s="520" t="s">
        <v>1388</v>
      </c>
      <c r="F77" s="1675"/>
      <c r="G77" s="1675"/>
      <c r="H77" s="1675"/>
      <c r="I77" s="557">
        <f t="shared" si="2"/>
        <v>302</v>
      </c>
    </row>
    <row r="78" spans="1:9">
      <c r="A78" s="1664">
        <v>2023</v>
      </c>
      <c r="B78" s="1664">
        <v>120</v>
      </c>
      <c r="C78" s="1664">
        <v>103</v>
      </c>
      <c r="D78" s="558" t="s">
        <v>1385</v>
      </c>
      <c r="E78" s="520" t="s">
        <v>1388</v>
      </c>
      <c r="F78" s="1675"/>
      <c r="G78" s="1675"/>
      <c r="H78" s="1675"/>
      <c r="I78" s="557">
        <f t="shared" si="2"/>
        <v>135.44999999999999</v>
      </c>
    </row>
    <row r="79" spans="1:9">
      <c r="A79" s="1664">
        <v>2024</v>
      </c>
      <c r="B79" s="1664">
        <v>114</v>
      </c>
      <c r="C79" s="1664">
        <v>52</v>
      </c>
      <c r="D79" s="558" t="s">
        <v>1395</v>
      </c>
      <c r="E79" s="520" t="s">
        <v>1388</v>
      </c>
      <c r="F79" s="1675"/>
      <c r="G79" s="1675"/>
      <c r="H79" s="1675"/>
      <c r="I79" s="557">
        <f t="shared" si="2"/>
        <v>121.8</v>
      </c>
    </row>
    <row r="80" spans="1:9">
      <c r="A80" s="1664">
        <v>2025</v>
      </c>
      <c r="B80" s="1664">
        <v>0</v>
      </c>
      <c r="C80" s="1664">
        <v>184</v>
      </c>
      <c r="D80" s="558" t="s">
        <v>1393</v>
      </c>
      <c r="E80" s="520" t="s">
        <v>1388</v>
      </c>
      <c r="F80" s="1675"/>
      <c r="G80" s="1675"/>
      <c r="H80" s="1675"/>
      <c r="I80" s="557">
        <f t="shared" si="2"/>
        <v>27.599999999999998</v>
      </c>
    </row>
    <row r="81" spans="1:5">
      <c r="A81" s="567"/>
      <c r="B81" s="514"/>
      <c r="C81" s="514"/>
      <c r="D81" s="558"/>
      <c r="E81" s="558"/>
    </row>
    <row r="82" spans="1:5" ht="15.75">
      <c r="A82" s="84" t="s">
        <v>1396</v>
      </c>
      <c r="B82" s="1675"/>
      <c r="C82" s="1675"/>
      <c r="D82" s="1675"/>
      <c r="E82" s="1675"/>
    </row>
    <row r="83" spans="1:5" ht="15.75">
      <c r="A83" s="84" t="s">
        <v>1397</v>
      </c>
      <c r="B83" s="1675"/>
      <c r="C83" s="1675"/>
      <c r="D83" s="1675"/>
      <c r="E83" s="1675"/>
    </row>
    <row r="84" spans="1:5" ht="15.75">
      <c r="A84" s="84" t="s">
        <v>1398</v>
      </c>
      <c r="B84" s="1675"/>
      <c r="C84" s="1675"/>
      <c r="D84" s="1675"/>
      <c r="E84" s="1675"/>
    </row>
    <row r="85" spans="1:5" ht="18.75">
      <c r="A85" s="568" t="s">
        <v>1399</v>
      </c>
      <c r="B85" s="1675"/>
      <c r="C85" s="1675"/>
      <c r="D85" s="1675"/>
      <c r="E85" s="1675"/>
    </row>
  </sheetData>
  <mergeCells count="4">
    <mergeCell ref="A55:E55"/>
    <mergeCell ref="A1:E1"/>
    <mergeCell ref="A27:E27"/>
    <mergeCell ref="B29:E29"/>
  </mergeCells>
  <pageMargins left="0.7" right="0.7" top="0.75" bottom="0.75" header="0.3" footer="0.3"/>
  <pageSetup orientation="portrait" r:id="rId1"/>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F566D-E214-46BD-AB2D-6487C1938E67}">
  <sheetPr>
    <tabColor rgb="FF66FF33"/>
  </sheetPr>
  <dimension ref="B1:P82"/>
  <sheetViews>
    <sheetView showGridLines="0" zoomScale="80" zoomScaleNormal="80" workbookViewId="0">
      <selection activeCell="F85" sqref="F85"/>
    </sheetView>
  </sheetViews>
  <sheetFormatPr defaultColWidth="9.33203125" defaultRowHeight="12.75"/>
  <cols>
    <col min="1" max="1" width="9.33203125" style="74"/>
    <col min="2" max="2" width="7.33203125" style="74" customWidth="1"/>
    <col min="3" max="3" width="8.33203125" style="74" customWidth="1"/>
    <col min="4" max="4" width="9.33203125" style="74" bestFit="1" customWidth="1"/>
    <col min="5" max="5" width="53.83203125" style="74" customWidth="1"/>
    <col min="6" max="6" width="47.33203125" style="74" customWidth="1"/>
    <col min="7" max="16384" width="9.33203125" style="74"/>
  </cols>
  <sheetData>
    <row r="1" spans="2:16" ht="15.75">
      <c r="B1" s="569" t="s">
        <v>1164</v>
      </c>
      <c r="C1" s="514"/>
      <c r="D1" s="514"/>
      <c r="E1" s="558"/>
      <c r="F1" s="558"/>
      <c r="G1" s="1675"/>
      <c r="H1" s="1675"/>
      <c r="I1" s="1675"/>
      <c r="J1" s="1675"/>
      <c r="K1" s="1675"/>
      <c r="L1" s="1675"/>
      <c r="M1" s="1675"/>
      <c r="N1" s="1675"/>
      <c r="O1" s="1675"/>
      <c r="P1" s="1675"/>
    </row>
    <row r="2" spans="2:16" ht="15.75">
      <c r="B2" s="569" t="s">
        <v>1400</v>
      </c>
      <c r="C2" s="514"/>
      <c r="D2" s="514"/>
      <c r="E2" s="558"/>
      <c r="F2" s="558"/>
      <c r="G2" s="1675"/>
      <c r="H2" s="1675"/>
      <c r="I2" s="1675"/>
      <c r="J2" s="1675"/>
      <c r="K2" s="1675"/>
      <c r="L2" s="1675"/>
      <c r="M2" s="1675"/>
      <c r="N2" s="1675"/>
      <c r="O2" s="1675"/>
      <c r="P2" s="1675"/>
    </row>
    <row r="3" spans="2:16" ht="15.75">
      <c r="B3" s="569"/>
      <c r="C3" s="514"/>
      <c r="D3" s="514"/>
      <c r="E3" s="558"/>
      <c r="F3" s="558"/>
      <c r="G3" s="1675"/>
      <c r="H3" s="1675"/>
      <c r="I3" s="1675"/>
      <c r="J3" s="1675"/>
      <c r="K3" s="1675"/>
      <c r="L3" s="1675"/>
      <c r="M3" s="1675"/>
      <c r="N3" s="1675"/>
      <c r="O3" s="1675"/>
      <c r="P3" s="1675"/>
    </row>
    <row r="4" spans="2:16">
      <c r="B4" s="1963" t="s">
        <v>1315</v>
      </c>
      <c r="C4" s="1964"/>
      <c r="D4" s="1964"/>
      <c r="E4" s="1964"/>
      <c r="F4" s="1965"/>
      <c r="G4" s="1675"/>
      <c r="H4" s="1645"/>
      <c r="I4" s="1675"/>
      <c r="J4" s="1675"/>
      <c r="K4" s="1675"/>
      <c r="L4" s="1675"/>
      <c r="M4" s="1675"/>
      <c r="N4" s="1675"/>
      <c r="O4" s="1675"/>
      <c r="P4" s="1675"/>
    </row>
    <row r="5" spans="2:16" ht="13.5" thickBot="1">
      <c r="B5" s="1014" t="s">
        <v>28</v>
      </c>
      <c r="C5" s="555" t="s">
        <v>1302</v>
      </c>
      <c r="D5" s="555" t="s">
        <v>1303</v>
      </c>
      <c r="E5" s="555" t="s">
        <v>924</v>
      </c>
      <c r="F5" s="1015" t="s">
        <v>1317</v>
      </c>
      <c r="G5" s="1675"/>
      <c r="H5" s="1675"/>
      <c r="I5" s="1675"/>
      <c r="J5" s="1675"/>
      <c r="K5" s="1675"/>
      <c r="L5" s="1675"/>
      <c r="M5" s="1675"/>
      <c r="N5" s="1675"/>
      <c r="O5" s="1675"/>
      <c r="P5" s="457"/>
    </row>
    <row r="6" spans="2:16">
      <c r="B6" s="1016">
        <v>2002</v>
      </c>
      <c r="C6" s="513">
        <f>[1]T25Manip!B3</f>
        <v>1609</v>
      </c>
      <c r="D6" s="513">
        <f>[1]T25Manip!C3</f>
        <v>1072.666666666667</v>
      </c>
      <c r="E6" s="808" t="str">
        <f>[1]T25Manip!D3</f>
        <v>Mar 16–May 15</v>
      </c>
      <c r="F6" s="1017" t="str">
        <f>[1]T25Manip!E3</f>
        <v xml:space="preserve">The Dalles Dam–McNary Dam </v>
      </c>
      <c r="G6" s="1675"/>
      <c r="H6" s="1675"/>
      <c r="I6" s="1675"/>
      <c r="J6" s="1675"/>
      <c r="K6" s="1675"/>
      <c r="L6" s="1675"/>
      <c r="M6" s="1675"/>
      <c r="N6" s="1675"/>
      <c r="O6" s="1675"/>
      <c r="P6" s="1675"/>
    </row>
    <row r="7" spans="2:16">
      <c r="B7" s="1016">
        <v>2003</v>
      </c>
      <c r="C7" s="513">
        <f>[1]T25Manip!B4</f>
        <v>1744</v>
      </c>
      <c r="D7" s="513">
        <f>[1]T25Manip!C4</f>
        <v>1162.666666666667</v>
      </c>
      <c r="E7" s="808" t="str">
        <f>[1]T25Manip!D4</f>
        <v>Feb 15–May 16 (4d/wk in May)</v>
      </c>
      <c r="F7" s="1017" t="str">
        <f>[1]T25Manip!E4</f>
        <v>Bonneville Dam (BON)–McNary</v>
      </c>
      <c r="G7" s="1675"/>
      <c r="H7" s="1675"/>
      <c r="I7" s="1675"/>
      <c r="J7" s="1675"/>
      <c r="K7" s="1675"/>
      <c r="L7" s="1675"/>
      <c r="M7" s="1675"/>
      <c r="N7" s="1675"/>
      <c r="O7" s="1675"/>
      <c r="P7" s="1675"/>
    </row>
    <row r="8" spans="2:16">
      <c r="B8" s="1016">
        <v>2004</v>
      </c>
      <c r="C8" s="513">
        <f>[1]T25Manip!B5</f>
        <v>1539</v>
      </c>
      <c r="D8" s="513">
        <f>[1]T25Manip!C5</f>
        <v>569.21917808219177</v>
      </c>
      <c r="E8" s="808" t="str">
        <f>[1]T25Manip!D5</f>
        <v>Mar 16–May 6</v>
      </c>
      <c r="F8" s="1017" t="str">
        <f>[1]T25Manip!E5</f>
        <v>BON–McNary</v>
      </c>
      <c r="G8" s="1675"/>
      <c r="H8" s="1675"/>
      <c r="I8" s="1675"/>
      <c r="J8" s="1675"/>
      <c r="K8" s="1675"/>
      <c r="L8" s="1675"/>
      <c r="M8" s="1675"/>
      <c r="N8" s="1675"/>
      <c r="O8" s="1675"/>
      <c r="P8" s="1675"/>
    </row>
    <row r="9" spans="2:16">
      <c r="B9" s="1016">
        <v>2005</v>
      </c>
      <c r="C9" s="513">
        <f>[1]T25Manip!B6</f>
        <v>438</v>
      </c>
      <c r="D9" s="513">
        <f>[1]T25Manip!C6</f>
        <v>262.87173100871729</v>
      </c>
      <c r="E9" s="808" t="str">
        <f>[1]T25Manip!D6</f>
        <v>Mar 16–Apr 21, June 4–15</v>
      </c>
      <c r="F9" s="1017" t="str">
        <f>[1]T25Manip!E6</f>
        <v>BON–McNary, BON–Hwy 395</v>
      </c>
      <c r="G9" s="1675"/>
      <c r="H9" s="1675"/>
      <c r="I9" s="1675"/>
      <c r="J9" s="1675"/>
      <c r="K9" s="1675"/>
      <c r="L9" s="1675"/>
      <c r="M9" s="1675"/>
      <c r="N9" s="1675"/>
      <c r="O9" s="1675"/>
      <c r="P9" s="1675"/>
    </row>
    <row r="10" spans="2:16">
      <c r="B10" s="1016">
        <v>2006</v>
      </c>
      <c r="C10" s="513">
        <f>[1]T25Manip!B7</f>
        <v>1290.2</v>
      </c>
      <c r="D10" s="513">
        <f>[1]T25Manip!C7</f>
        <v>716</v>
      </c>
      <c r="E10" s="808" t="str">
        <f>[1]T25Manip!D7</f>
        <v>Mar 16–Apr 30, May 12–Jun 15</v>
      </c>
      <c r="F10" s="1017" t="str">
        <f>[1]T25Manip!E7</f>
        <v>BON–McNary, BON–Hwy 395</v>
      </c>
      <c r="G10" s="1675"/>
      <c r="H10" s="1675"/>
      <c r="I10" s="1675"/>
      <c r="J10" s="1675"/>
      <c r="K10" s="1675"/>
      <c r="L10" s="1675"/>
      <c r="M10" s="1675"/>
      <c r="N10" s="1675"/>
      <c r="O10" s="1675"/>
      <c r="P10" s="1675"/>
    </row>
    <row r="11" spans="2:16">
      <c r="B11" s="1016">
        <v>2007</v>
      </c>
      <c r="C11" s="513">
        <f>[1]T25Manip!B8</f>
        <v>1401.4</v>
      </c>
      <c r="D11" s="513">
        <f>[1]T25Manip!C8</f>
        <v>439</v>
      </c>
      <c r="E11" s="808" t="str">
        <f>[1]T25Manip!D8</f>
        <v>Mar 16–May 3, June 6–15</v>
      </c>
      <c r="F11" s="1017" t="str">
        <f>[1]T25Manip!E8</f>
        <v>BON–McNary</v>
      </c>
      <c r="G11" s="1675"/>
      <c r="H11" s="1675"/>
      <c r="I11" s="1675"/>
      <c r="J11" s="1675"/>
      <c r="K11" s="1675"/>
      <c r="L11" s="1675"/>
      <c r="M11" s="1675"/>
      <c r="N11" s="1675"/>
      <c r="O11" s="1675"/>
      <c r="P11" s="1675"/>
    </row>
    <row r="12" spans="2:16" ht="14.25" customHeight="1">
      <c r="B12" s="1016">
        <v>2008</v>
      </c>
      <c r="C12" s="513">
        <f>[1]T25Manip!B9</f>
        <v>2014</v>
      </c>
      <c r="D12" s="513">
        <f>[1]T25Manip!C9</f>
        <v>535.36708860759472</v>
      </c>
      <c r="E12" s="808" t="str">
        <f>[1]T25Manip!D9</f>
        <v>Mar 16–May 10</v>
      </c>
      <c r="F12" s="1017" t="str">
        <f>[1]T25Manip!E9</f>
        <v>BON–McNary</v>
      </c>
      <c r="G12" s="1675"/>
      <c r="H12" s="1675"/>
      <c r="I12" s="1675"/>
      <c r="J12" s="1675"/>
      <c r="K12" s="1675"/>
      <c r="L12" s="1675"/>
      <c r="M12" s="1675"/>
      <c r="N12" s="1675"/>
      <c r="O12" s="1675"/>
      <c r="P12" s="1675"/>
    </row>
    <row r="13" spans="2:16">
      <c r="B13" s="1016">
        <v>2009</v>
      </c>
      <c r="C13" s="513">
        <f>[1]T25Manip!B10</f>
        <v>647</v>
      </c>
      <c r="D13" s="513">
        <f>[1]T25Manip!C10</f>
        <v>129.24096385542168</v>
      </c>
      <c r="E13" s="808" t="str">
        <f>[1]T25Manip!D10</f>
        <v>Mar 16–April 30</v>
      </c>
      <c r="F13" s="1017" t="str">
        <f>[1]T25Manip!E10</f>
        <v>BON–McNary</v>
      </c>
      <c r="G13" s="1675"/>
      <c r="H13" s="1675"/>
      <c r="I13" s="1675"/>
      <c r="J13" s="1675"/>
      <c r="K13" s="1675"/>
      <c r="L13" s="1675"/>
      <c r="M13" s="1675"/>
      <c r="N13" s="1675"/>
      <c r="O13" s="1675"/>
      <c r="P13" s="1675"/>
    </row>
    <row r="14" spans="2:16">
      <c r="B14" s="1016">
        <v>2010</v>
      </c>
      <c r="C14" s="513">
        <f>[1]T25Manip!B11</f>
        <v>3646</v>
      </c>
      <c r="D14" s="513">
        <f>[1]T25Manip!C11</f>
        <v>741.03614457831372</v>
      </c>
      <c r="E14" s="808" t="str">
        <f>[1]T25Manip!D11</f>
        <v>Mar 16–May 10</v>
      </c>
      <c r="F14" s="1017" t="str">
        <f>[1]T25Manip!E11</f>
        <v>BON–McNary</v>
      </c>
      <c r="G14" s="1675"/>
      <c r="H14" s="1675"/>
      <c r="I14" s="1675"/>
      <c r="J14" s="1675"/>
      <c r="K14" s="1675"/>
      <c r="L14" s="1675"/>
      <c r="M14" s="1675"/>
      <c r="N14" s="1675"/>
      <c r="O14" s="1675"/>
      <c r="P14" s="1675"/>
    </row>
    <row r="15" spans="2:16">
      <c r="B15" s="1016">
        <v>2011</v>
      </c>
      <c r="C15" s="513">
        <f>[1]T25Manip!B12</f>
        <v>2508</v>
      </c>
      <c r="D15" s="513">
        <f>[1]T25Manip!C12</f>
        <v>773</v>
      </c>
      <c r="E15" s="808" t="str">
        <f>[1]T25Manip!D12</f>
        <v>Mar 16–May 1, May 7–10, May 28–Jun 15</v>
      </c>
      <c r="F15" s="1017" t="str">
        <f>[1]T25Manip!E12</f>
        <v>BON–Oregon/Washington border</v>
      </c>
      <c r="G15" s="1675"/>
      <c r="H15" s="1675"/>
      <c r="I15" s="1675"/>
      <c r="J15" s="1675"/>
      <c r="K15" s="1675"/>
      <c r="L15" s="1675"/>
      <c r="M15" s="1675"/>
      <c r="N15" s="1675"/>
      <c r="O15" s="1675"/>
      <c r="P15" s="1675"/>
    </row>
    <row r="16" spans="2:16">
      <c r="B16" s="1016">
        <v>2012</v>
      </c>
      <c r="C16" s="513">
        <f>[1]T25Manip!B13</f>
        <v>1310</v>
      </c>
      <c r="D16" s="513">
        <f>[1]T25Manip!C13</f>
        <v>467</v>
      </c>
      <c r="E16" s="808" t="str">
        <f>[1]T25Manip!D13</f>
        <v>Mar 16–May 6, May 19–20</v>
      </c>
      <c r="F16" s="1017" t="str">
        <f>[1]T25Manip!E13</f>
        <v>BON–Oregon/Washington border</v>
      </c>
      <c r="G16" s="1675"/>
      <c r="H16" s="1675"/>
      <c r="I16" s="1675"/>
      <c r="J16" s="1675"/>
      <c r="K16" s="1675"/>
      <c r="L16" s="1675"/>
      <c r="M16" s="1675"/>
      <c r="N16" s="1675"/>
      <c r="O16" s="1675"/>
      <c r="P16" s="1675"/>
    </row>
    <row r="17" spans="2:16">
      <c r="B17" s="1016">
        <v>2013</v>
      </c>
      <c r="C17" s="513">
        <f>[1]T25Manip!B14</f>
        <v>1078</v>
      </c>
      <c r="D17" s="513">
        <f>[1]T25Manip!C14</f>
        <v>420</v>
      </c>
      <c r="E17" s="808" t="str">
        <f>[1]T25Manip!D14</f>
        <v>Mar 16–May 5, Jun 8–15</v>
      </c>
      <c r="F17" s="1017" t="str">
        <f>[1]T25Manip!E14</f>
        <v>BON–Oregon/Washington border</v>
      </c>
      <c r="G17" s="1675"/>
      <c r="H17" s="1675"/>
      <c r="I17" s="1675"/>
      <c r="J17" s="1675"/>
      <c r="K17" s="1675"/>
      <c r="L17" s="1675"/>
      <c r="M17" s="1675"/>
      <c r="N17" s="1675"/>
      <c r="O17" s="1675"/>
      <c r="P17" s="1675"/>
    </row>
    <row r="18" spans="2:16">
      <c r="B18" s="1016">
        <v>2014</v>
      </c>
      <c r="C18" s="513">
        <f>[1]T25Manip!B15</f>
        <v>4199</v>
      </c>
      <c r="D18" s="513">
        <f>[1]T25Manip!C15</f>
        <v>1352</v>
      </c>
      <c r="E18" s="808" t="str">
        <f>[1]T25Manip!D15</f>
        <v>Mar 16–May 9, May 31–Jun 15</v>
      </c>
      <c r="F18" s="1017" t="str">
        <f>[1]T25Manip!E15</f>
        <v>BON–Oregon/Washington border</v>
      </c>
      <c r="G18" s="1675"/>
      <c r="H18" s="1675"/>
      <c r="I18" s="1675"/>
      <c r="J18" s="1675"/>
      <c r="K18" s="1675"/>
      <c r="L18" s="1675"/>
      <c r="M18" s="1675"/>
      <c r="N18" s="1675"/>
      <c r="O18" s="1675"/>
      <c r="P18" s="1675"/>
    </row>
    <row r="19" spans="2:16">
      <c r="B19" s="1016">
        <v>2015</v>
      </c>
      <c r="C19" s="513">
        <f>[1]T25Manip!B16</f>
        <v>1705</v>
      </c>
      <c r="D19" s="513">
        <f>[1]T25Manip!C16</f>
        <v>499.55</v>
      </c>
      <c r="E19" s="808" t="str">
        <f>[1]T25Manip!D16</f>
        <v>Mar 16–May 10, May 28–Jun 15</v>
      </c>
      <c r="F19" s="1017" t="str">
        <f>[1]T25Manip!E16</f>
        <v>BON–Oregon/Washington border</v>
      </c>
      <c r="G19" s="1675"/>
      <c r="H19" s="1675"/>
      <c r="I19" s="1675"/>
      <c r="J19" s="1675"/>
      <c r="K19" s="1675"/>
      <c r="L19" s="1675"/>
      <c r="M19" s="1675"/>
      <c r="N19" s="1675"/>
      <c r="O19" s="1675"/>
      <c r="P19" s="1563"/>
    </row>
    <row r="20" spans="2:16">
      <c r="B20" s="1016">
        <v>2016</v>
      </c>
      <c r="C20" s="513">
        <f>[1]T25Manip!B17</f>
        <v>1446</v>
      </c>
      <c r="D20" s="513">
        <f>[1]T25Manip!C17</f>
        <v>335</v>
      </c>
      <c r="E20" s="808" t="str">
        <f>[1]T25Manip!D17</f>
        <v>Mar 16–May 8, May 13–15</v>
      </c>
      <c r="F20" s="1017" t="str">
        <f>[1]T25Manip!E17</f>
        <v>BON–Oregon/Washington border</v>
      </c>
      <c r="G20" s="1675"/>
      <c r="H20" s="1675"/>
      <c r="I20" s="1675"/>
      <c r="J20" s="1675"/>
      <c r="K20" s="1675"/>
      <c r="L20" s="1675"/>
      <c r="M20" s="1675"/>
      <c r="N20" s="1675"/>
      <c r="O20" s="1675"/>
      <c r="P20" s="1675"/>
    </row>
    <row r="21" spans="2:16">
      <c r="B21" s="1016">
        <v>2017</v>
      </c>
      <c r="C21" s="513">
        <f>[1]T25Manip!B18</f>
        <v>15</v>
      </c>
      <c r="D21" s="513">
        <f>[1]T25Manip!C18</f>
        <v>27</v>
      </c>
      <c r="E21" s="808" t="str">
        <f>[1]T25Manip!D18</f>
        <v>Mar 16–May 5</v>
      </c>
      <c r="F21" s="1017" t="str">
        <f>[1]T25Manip!E18</f>
        <v>BON–Oregon/Washington border</v>
      </c>
      <c r="G21" s="1675"/>
      <c r="H21" s="1675"/>
      <c r="I21" s="1675"/>
      <c r="J21" s="1675"/>
      <c r="K21" s="1675"/>
      <c r="L21" s="1675"/>
      <c r="M21" s="1675"/>
      <c r="N21" s="1675"/>
      <c r="O21" s="1675"/>
      <c r="P21" s="1675"/>
    </row>
    <row r="22" spans="2:16">
      <c r="B22" s="1016">
        <v>2018</v>
      </c>
      <c r="C22" s="513">
        <f>[1]T25Manip!B19</f>
        <v>613</v>
      </c>
      <c r="D22" s="513">
        <f>[1]T25Manip!C19</f>
        <v>100</v>
      </c>
      <c r="E22" s="808" t="str">
        <f>[1]T25Manip!D19</f>
        <v xml:space="preserve">Mar 16–May 7, May 25–June 15 </v>
      </c>
      <c r="F22" s="1017" t="str">
        <f>[1]T25Manip!E19</f>
        <v>BON–Oregon/Washington border</v>
      </c>
      <c r="G22" s="1675"/>
      <c r="H22" s="1675"/>
      <c r="I22" s="1675"/>
      <c r="J22" s="1675"/>
      <c r="K22" s="1675"/>
      <c r="L22" s="1675"/>
      <c r="M22" s="1675"/>
      <c r="N22" s="1675"/>
      <c r="O22" s="1675"/>
      <c r="P22" s="1675"/>
    </row>
    <row r="23" spans="2:16">
      <c r="B23" s="1016">
        <v>2019</v>
      </c>
      <c r="C23" s="513">
        <f>[1]T25Manip!B20</f>
        <v>279</v>
      </c>
      <c r="D23" s="513">
        <f>[1]T25Manip!C20</f>
        <v>83</v>
      </c>
      <c r="E23" s="808" t="str">
        <f>[1]T25Manip!D20</f>
        <v>Apr 1–May 5, May 11–12</v>
      </c>
      <c r="F23" s="1017" t="str">
        <f>[1]T25Manip!E20</f>
        <v>BON–Oregon/Washington border</v>
      </c>
      <c r="G23" s="1675"/>
      <c r="H23" s="1675"/>
      <c r="I23" s="1675"/>
      <c r="J23" s="1675"/>
      <c r="K23" s="1675"/>
      <c r="L23" s="1675"/>
      <c r="M23" s="1675"/>
      <c r="N23" s="1675"/>
      <c r="O23" s="1675"/>
      <c r="P23" s="1675"/>
    </row>
    <row r="24" spans="2:16" ht="14.25" customHeight="1">
      <c r="B24" s="1016">
        <v>2020</v>
      </c>
      <c r="C24" s="513">
        <f>[1]T25Manip!B21</f>
        <v>529</v>
      </c>
      <c r="D24" s="513">
        <f>[1]T25Manip!C21</f>
        <v>162</v>
      </c>
      <c r="E24" s="808" t="str">
        <f>[1]T25Manip!D21</f>
        <v>May 5, 7, 9, 13, 15–17, 20</v>
      </c>
      <c r="F24" s="1017" t="str">
        <f>[1]T25Manip!E21</f>
        <v>BON–Oregon/Washington border</v>
      </c>
      <c r="G24" s="1675"/>
      <c r="H24" s="1675"/>
      <c r="I24" s="1675"/>
      <c r="J24" s="1675"/>
      <c r="K24" s="1675"/>
      <c r="L24" s="1675"/>
      <c r="M24" s="1675"/>
      <c r="N24" s="1675"/>
      <c r="O24" s="1675"/>
      <c r="P24" s="1675"/>
    </row>
    <row r="25" spans="2:16" ht="14.25" customHeight="1">
      <c r="B25" s="1016">
        <v>2021</v>
      </c>
      <c r="C25" s="513">
        <f>[1]T25Manip!B22</f>
        <v>761</v>
      </c>
      <c r="D25" s="513">
        <f>[1]T25Manip!C22</f>
        <v>348</v>
      </c>
      <c r="E25" s="808" t="str">
        <f>[1]T25Manip!D22</f>
        <v>Mar 16 – May 5, 22, 23, 29, 30; Jun 5-6, 12-15</v>
      </c>
      <c r="F25" s="1017" t="str">
        <f>[1]T25Manip!E22</f>
        <v>BON–Oregon/Washington border</v>
      </c>
      <c r="G25" s="1675"/>
      <c r="H25" s="1675"/>
      <c r="I25" s="1675"/>
      <c r="J25" s="1675"/>
      <c r="K25" s="1675"/>
      <c r="L25" s="1675"/>
      <c r="M25" s="1675"/>
      <c r="N25" s="1675"/>
      <c r="O25" s="1675"/>
      <c r="P25" s="1675"/>
    </row>
    <row r="26" spans="2:16" ht="14.25" customHeight="1">
      <c r="B26" s="1016">
        <v>2022</v>
      </c>
      <c r="C26" s="513">
        <f>[1]T25Manip!B23</f>
        <v>1223</v>
      </c>
      <c r="D26" s="513">
        <f>[1]T25Manip!C23</f>
        <v>485</v>
      </c>
      <c r="E26" s="808" t="str">
        <f>[1]T25Manip!D23</f>
        <v>Apr 1 – May 5, 26, 28; Jun 4-15</v>
      </c>
      <c r="F26" s="1017" t="str">
        <f>[1]T25Manip!E23</f>
        <v>BON–Oregon/Washington border</v>
      </c>
      <c r="G26" s="1675"/>
      <c r="H26" s="1675"/>
      <c r="I26" s="1675"/>
      <c r="J26" s="1675"/>
      <c r="K26" s="1675"/>
      <c r="L26" s="1675"/>
      <c r="M26" s="1675"/>
      <c r="N26" s="1675"/>
      <c r="O26" s="1675"/>
      <c r="P26" s="1675"/>
    </row>
    <row r="27" spans="2:16" ht="14.25" customHeight="1">
      <c r="B27" s="1016">
        <v>2023</v>
      </c>
      <c r="C27" s="513">
        <f>[1]T25Manip!B24</f>
        <v>1059</v>
      </c>
      <c r="D27" s="513">
        <f>[1]T25Manip!C24</f>
        <v>514</v>
      </c>
      <c r="E27" s="808" t="str">
        <f>[1]T25Manip!D24</f>
        <v>April 1– May 6, May 19-24</v>
      </c>
      <c r="F27" s="1017" t="str">
        <f>[1]T25Manip!E24</f>
        <v>BON–Oregon/Washington border</v>
      </c>
      <c r="G27" s="1675"/>
      <c r="H27" s="1675"/>
      <c r="I27" s="1675"/>
      <c r="J27" s="1675"/>
      <c r="K27" s="1675"/>
      <c r="L27" s="1675"/>
      <c r="M27" s="1675"/>
      <c r="N27" s="1675"/>
      <c r="O27" s="1675"/>
      <c r="P27" s="1675"/>
    </row>
    <row r="28" spans="2:16">
      <c r="B28" s="1016">
        <v>2024</v>
      </c>
      <c r="C28" s="513">
        <f>[1]T25Manip!B25</f>
        <v>1463</v>
      </c>
      <c r="D28" s="513">
        <f>[1]T25Manip!C25</f>
        <v>218</v>
      </c>
      <c r="E28" s="808" t="str">
        <f>[1]T25Manip!D25</f>
        <v>April 1-29, June 8-15</v>
      </c>
      <c r="F28" s="1017" t="str">
        <f>[1]T25Manip!E25</f>
        <v>BON–Oregon/Washington border</v>
      </c>
      <c r="G28" s="1675"/>
      <c r="H28" s="1675"/>
      <c r="I28" s="1675"/>
      <c r="J28" s="1675"/>
      <c r="K28" s="1675"/>
      <c r="L28" s="1675"/>
      <c r="M28" s="1675"/>
      <c r="N28" s="1675"/>
      <c r="O28" s="1675"/>
      <c r="P28" s="1675"/>
    </row>
    <row r="29" spans="2:16" ht="15" customHeight="1">
      <c r="B29" s="1016">
        <v>2025</v>
      </c>
      <c r="C29" s="513">
        <f>[1]T25Manip!B26</f>
        <v>913</v>
      </c>
      <c r="D29" s="513">
        <f>[1]T25Manip!C26</f>
        <v>403</v>
      </c>
      <c r="E29" s="808" t="str">
        <f>[1]T25Manip!D26</f>
        <v>April 1-26, May 10, May 13, May 22 – June 15</v>
      </c>
      <c r="F29" s="1017" t="str">
        <f>[1]T25Manip!E26</f>
        <v>BON–Oregon/Washington border</v>
      </c>
      <c r="G29" s="1675"/>
      <c r="H29" s="1675"/>
      <c r="I29" s="1675"/>
      <c r="J29" s="1675"/>
      <c r="K29" s="1675"/>
      <c r="L29" s="1675"/>
      <c r="M29" s="1675"/>
      <c r="N29" s="1675"/>
      <c r="O29" s="1675"/>
      <c r="P29" s="1675"/>
    </row>
    <row r="30" spans="2:16">
      <c r="B30" s="1966" t="s">
        <v>1346</v>
      </c>
      <c r="C30" s="1956"/>
      <c r="D30" s="1956"/>
      <c r="E30" s="1956"/>
      <c r="F30" s="1967"/>
      <c r="G30" s="1675"/>
      <c r="H30" s="1675"/>
      <c r="I30" s="1675"/>
      <c r="J30" s="1675"/>
      <c r="K30" s="1675"/>
      <c r="L30" s="1675"/>
      <c r="M30" s="1675"/>
      <c r="N30" s="1675"/>
      <c r="O30" s="1675"/>
      <c r="P30" s="1675"/>
    </row>
    <row r="31" spans="2:16" ht="13.5" thickBot="1">
      <c r="B31" s="1014" t="s">
        <v>28</v>
      </c>
      <c r="C31" s="555" t="s">
        <v>1302</v>
      </c>
      <c r="D31" s="555" t="s">
        <v>1303</v>
      </c>
      <c r="E31" s="555" t="s">
        <v>924</v>
      </c>
      <c r="F31" s="1015" t="s">
        <v>1317</v>
      </c>
      <c r="G31" s="1675"/>
      <c r="H31" s="1675"/>
      <c r="I31" s="1675"/>
      <c r="J31" s="1675"/>
      <c r="K31" s="1675"/>
      <c r="L31" s="1675"/>
      <c r="M31" s="1675"/>
      <c r="N31" s="1675"/>
      <c r="O31" s="1675"/>
      <c r="P31" s="1675"/>
    </row>
    <row r="32" spans="2:16">
      <c r="B32" s="1016">
        <v>2002</v>
      </c>
      <c r="C32" s="513">
        <f>[1]T25Manip!B31</f>
        <v>866</v>
      </c>
      <c r="D32" s="513">
        <f>[1]T25Manip!C31</f>
        <v>351</v>
      </c>
      <c r="E32" s="808" t="str">
        <f>[1]T25Manip!D31</f>
        <v>Apr 25–Jun 2 (4d/wk)</v>
      </c>
      <c r="F32" s="1017" t="str">
        <f>[1]T25Manip!E31</f>
        <v>Little Goose Dam (LGO)/Clarkston</v>
      </c>
      <c r="G32" s="1675"/>
      <c r="H32" s="1675"/>
      <c r="I32" s="1675"/>
      <c r="J32" s="1675"/>
      <c r="K32" s="1675"/>
      <c r="L32" s="1675"/>
      <c r="M32" s="1675"/>
      <c r="N32" s="1675"/>
      <c r="O32" s="1675"/>
      <c r="P32" s="1675"/>
    </row>
    <row r="33" spans="2:9">
      <c r="B33" s="1016">
        <v>2003</v>
      </c>
      <c r="C33" s="513">
        <f>[1]T25Manip!B32</f>
        <v>513</v>
      </c>
      <c r="D33" s="513">
        <f>[1]T25Manip!C32</f>
        <v>405</v>
      </c>
      <c r="E33" s="808" t="str">
        <f>[1]T25Manip!D32</f>
        <v>Apr 26–Jun 15</v>
      </c>
      <c r="F33" s="1017" t="str">
        <f>[1]T25Manip!E32</f>
        <v>LGO</v>
      </c>
      <c r="G33" s="1675"/>
      <c r="H33" s="1675"/>
      <c r="I33" s="1675"/>
    </row>
    <row r="34" spans="2:9">
      <c r="B34" s="1016">
        <v>2004</v>
      </c>
      <c r="C34" s="513">
        <f>[1]T25Manip!B33</f>
        <v>1224</v>
      </c>
      <c r="D34" s="513">
        <f>[1]T25Manip!C33</f>
        <v>337</v>
      </c>
      <c r="E34" s="808" t="str">
        <f>[1]T25Manip!D33</f>
        <v>April 16–May 7</v>
      </c>
      <c r="F34" s="1017" t="str">
        <f>[1]T25Manip!E33</f>
        <v>LGO</v>
      </c>
      <c r="G34" s="1675"/>
      <c r="H34" s="1675"/>
      <c r="I34" s="1675"/>
    </row>
    <row r="35" spans="2:9">
      <c r="B35" s="1016">
        <v>2005</v>
      </c>
      <c r="C35" s="513">
        <f>[1]T25Manip!B34</f>
        <v>77</v>
      </c>
      <c r="D35" s="513">
        <f>[1]T25Manip!C34</f>
        <v>83</v>
      </c>
      <c r="E35" s="808" t="str">
        <f>[1]T25Manip!D34</f>
        <v>June 11–30</v>
      </c>
      <c r="F35" s="1017" t="str">
        <f>[1]T25Manip!E34</f>
        <v>LGO</v>
      </c>
      <c r="G35" s="1675"/>
      <c r="H35" s="1675"/>
      <c r="I35" s="1675"/>
    </row>
    <row r="36" spans="2:9">
      <c r="B36" s="1016">
        <v>2006</v>
      </c>
      <c r="C36" s="513">
        <f>[1]T25Manip!B35</f>
        <v>192</v>
      </c>
      <c r="D36" s="513">
        <f>[1]T25Manip!C35</f>
        <v>100</v>
      </c>
      <c r="E36" s="808" t="str">
        <f>[1]T25Manip!D35</f>
        <v>May 17– Jun 30</v>
      </c>
      <c r="F36" s="1017" t="str">
        <f>[1]T25Manip!E35</f>
        <v>LGO</v>
      </c>
      <c r="G36" s="1675"/>
      <c r="H36" s="1675"/>
      <c r="I36" s="1675"/>
    </row>
    <row r="37" spans="2:9">
      <c r="B37" s="1016">
        <v>2007</v>
      </c>
      <c r="C37" s="513">
        <f>[1]T25Manip!B36</f>
        <v>284</v>
      </c>
      <c r="D37" s="513">
        <f>[1]T25Manip!C36</f>
        <v>67</v>
      </c>
      <c r="E37" s="808" t="str">
        <f>[1]T25Manip!D36</f>
        <v>May 9–Jun 30</v>
      </c>
      <c r="F37" s="1017" t="str">
        <f>[1]T25Manip!E36</f>
        <v>LGO</v>
      </c>
      <c r="G37" s="1675"/>
      <c r="H37" s="1675"/>
      <c r="I37" s="1675"/>
    </row>
    <row r="38" spans="2:9">
      <c r="B38" s="1016">
        <v>2008</v>
      </c>
      <c r="C38" s="513">
        <f>[1]T25Manip!B37</f>
        <v>515</v>
      </c>
      <c r="D38" s="513">
        <f>[1]T25Manip!C37</f>
        <v>128</v>
      </c>
      <c r="E38" s="808" t="str">
        <f>[1]T25Manip!D37</f>
        <v>Apr 22/Apr 24–May 11</v>
      </c>
      <c r="F38" s="1017" t="str">
        <f>[1]T25Manip!E37</f>
        <v>Ice Harbor Dam (IHD)/LGO</v>
      </c>
      <c r="G38" s="1675"/>
      <c r="H38" s="1675"/>
      <c r="I38" s="1675"/>
    </row>
    <row r="39" spans="2:9">
      <c r="B39" s="1016">
        <v>2009</v>
      </c>
      <c r="C39" s="513">
        <f>[1]T25Manip!B38</f>
        <v>498</v>
      </c>
      <c r="D39" s="513">
        <f>[1]T25Manip!C38</f>
        <v>100</v>
      </c>
      <c r="E39" s="808" t="str">
        <f>[1]T25Manip!D38</f>
        <v>April 24–May 17</v>
      </c>
      <c r="F39" s="1017" t="str">
        <f>[1]T25Manip!E38</f>
        <v>LGO</v>
      </c>
      <c r="G39" s="1675"/>
      <c r="H39" s="1675"/>
      <c r="I39" s="1675"/>
    </row>
    <row r="40" spans="2:9">
      <c r="B40" s="1016">
        <v>2010</v>
      </c>
      <c r="C40" s="513">
        <f>[1]T25Manip!B39</f>
        <v>1663</v>
      </c>
      <c r="D40" s="513">
        <f>[1]T25Manip!C39</f>
        <v>199</v>
      </c>
      <c r="E40" s="808" t="str">
        <f>[1]T25Manip!D39</f>
        <v>April 20/24–May 21</v>
      </c>
      <c r="F40" s="1017" t="str">
        <f>[1]T25Manip!E39</f>
        <v>IHD/ LGO/Lower Granite Dam (LRG)/Clarkston</v>
      </c>
      <c r="G40" s="1675"/>
      <c r="H40" s="1675"/>
      <c r="I40" s="1675"/>
    </row>
    <row r="41" spans="2:9">
      <c r="B41" s="1016">
        <v>2011</v>
      </c>
      <c r="C41" s="513">
        <f>[1]T25Manip!B40</f>
        <v>1913</v>
      </c>
      <c r="D41" s="513">
        <f>[1]T25Manip!C40</f>
        <v>357</v>
      </c>
      <c r="E41" s="808" t="str">
        <f>[1]T25Manip!D40</f>
        <v>April 20/25–May 13/15,  May 28–Jun 2</v>
      </c>
      <c r="F41" s="1017" t="str">
        <f>[1]T25Manip!E40</f>
        <v>IHD/ LGO/Clarkston</v>
      </c>
      <c r="G41" s="1675"/>
      <c r="H41" s="1675"/>
      <c r="I41" s="1675"/>
    </row>
    <row r="42" spans="2:9">
      <c r="B42" s="1016">
        <v>2012</v>
      </c>
      <c r="C42" s="513">
        <f>[1]T25Manip!B41</f>
        <v>2338</v>
      </c>
      <c r="D42" s="513">
        <f>[1]T25Manip!C41</f>
        <v>448</v>
      </c>
      <c r="E42" s="808" t="str">
        <f>[1]T25Manip!D41</f>
        <v>April 20/25–May 18/20/22</v>
      </c>
      <c r="F42" s="1017" t="str">
        <f>[1]T25Manip!E41</f>
        <v>IHD/ LGO/LRG/Clarkston</v>
      </c>
      <c r="G42" s="1675"/>
      <c r="H42" s="1675"/>
      <c r="I42" s="1675"/>
    </row>
    <row r="43" spans="2:9">
      <c r="B43" s="1016">
        <v>2013</v>
      </c>
      <c r="C43" s="513">
        <f>[1]T25Manip!B42</f>
        <v>353</v>
      </c>
      <c r="D43" s="513">
        <f>[1]T25Manip!C42</f>
        <v>125</v>
      </c>
      <c r="E43" s="808" t="str">
        <f>[1]T25Manip!D42</f>
        <v>Apr 26/28–May 11/13/27, ~Jun 14–28 (days/wk)</v>
      </c>
      <c r="F43" s="1017" t="str">
        <f>[1]T25Manip!E42</f>
        <v>IHD/ LGO/Clarkston</v>
      </c>
      <c r="G43" s="1675"/>
      <c r="H43" s="1685"/>
      <c r="I43" s="1685"/>
    </row>
    <row r="44" spans="2:9">
      <c r="B44" s="1016">
        <v>2014</v>
      </c>
      <c r="C44" s="513">
        <f>[1]T25Manip!B43</f>
        <v>1454</v>
      </c>
      <c r="D44" s="513">
        <f>[1]T25Manip!C43</f>
        <v>553</v>
      </c>
      <c r="E44" s="808" t="str">
        <f>[1]T25Manip!D43</f>
        <v>Apr 24/27–May 14/25/27, ~Jun 4–28 (days/wk)</v>
      </c>
      <c r="F44" s="1017" t="str">
        <f>[1]T25Manip!E43</f>
        <v>IHD/ LGO/LRG/Clarkston</v>
      </c>
      <c r="G44" s="1675"/>
      <c r="H44" s="1685"/>
      <c r="I44" s="1685"/>
    </row>
    <row r="45" spans="2:9">
      <c r="B45" s="1016">
        <v>2015</v>
      </c>
      <c r="C45" s="513">
        <f>[1]T25Manip!B44</f>
        <v>1900</v>
      </c>
      <c r="D45" s="513">
        <f>[1]T25Manip!C44</f>
        <v>383</v>
      </c>
      <c r="E45" s="478" t="str">
        <f>[1]T25Manip!D44</f>
        <v>Apr 19/23–May 5/9/12, Jun 4–30 (days/wk)</v>
      </c>
      <c r="F45" s="1018" t="str">
        <f>[1]T25Manip!E44</f>
        <v>IHD/ LGO/LRG/Clarkston</v>
      </c>
      <c r="G45" s="1675"/>
      <c r="H45" s="1685"/>
      <c r="I45" s="1685"/>
    </row>
    <row r="46" spans="2:9">
      <c r="B46" s="1016">
        <v>2016</v>
      </c>
      <c r="C46" s="513">
        <f>[1]T25Manip!B45</f>
        <v>1328</v>
      </c>
      <c r="D46" s="513">
        <f>[1]T25Manip!C45</f>
        <v>343</v>
      </c>
      <c r="E46" s="478" t="str">
        <f>[1]T25Manip!D45</f>
        <v>Apr 29/May 1, May 25/30 closure, Reopen June 12–13 (days/wk)</v>
      </c>
      <c r="F46" s="1018" t="str">
        <f>[1]T25Manip!E45</f>
        <v>IHD/ LGO/LRG/Clarkston</v>
      </c>
      <c r="G46" s="1675"/>
      <c r="H46" s="1685"/>
      <c r="I46" s="1685"/>
    </row>
    <row r="47" spans="2:9">
      <c r="B47" s="1016">
        <v>2017</v>
      </c>
      <c r="C47" s="513">
        <f>[1]T25Manip!B46</f>
        <v>65</v>
      </c>
      <c r="D47" s="513">
        <f>[1]T25Manip!C46</f>
        <v>8</v>
      </c>
      <c r="E47" s="478" t="str">
        <f>[1]T25Manip!D46</f>
        <v>Apr 28–May 1, May 5–8, May 12–15</v>
      </c>
      <c r="F47" s="1018" t="str">
        <f>[1]T25Manip!E46</f>
        <v>IHD/ LGO/Clarkston</v>
      </c>
      <c r="G47" s="1675"/>
      <c r="H47" s="1685"/>
      <c r="I47" s="1685"/>
    </row>
    <row r="48" spans="2:9" ht="13.5" customHeight="1">
      <c r="B48" s="1016">
        <v>2018</v>
      </c>
      <c r="C48" s="513">
        <f>[1]T25Manip!B47</f>
        <v>742</v>
      </c>
      <c r="D48" s="513">
        <f>[1]T25Manip!C47</f>
        <v>308</v>
      </c>
      <c r="E48" s="478" t="str">
        <f>[1]T25Manip!D47</f>
        <v>Apr 20–June 11</v>
      </c>
      <c r="F48" s="1018" t="str">
        <f>[1]T25Manip!E47</f>
        <v>IHD/ LGO/Clarkston</v>
      </c>
      <c r="G48" s="1675"/>
      <c r="H48" s="1685"/>
      <c r="I48" s="1685"/>
    </row>
    <row r="49" spans="2:10" ht="13.5" customHeight="1">
      <c r="B49" s="1016">
        <v>2019</v>
      </c>
      <c r="C49" s="513">
        <f>[1]T25Manip!B48</f>
        <v>326</v>
      </c>
      <c r="D49" s="513">
        <f>[1]T25Manip!C48</f>
        <v>49</v>
      </c>
      <c r="E49" s="478" t="str">
        <f>[1]T25Manip!D48</f>
        <v>May 11–27</v>
      </c>
      <c r="F49" s="1018" t="str">
        <f>[1]T25Manip!E48</f>
        <v>LGO/Clarkston</v>
      </c>
      <c r="G49" s="1675"/>
      <c r="H49" s="1685"/>
      <c r="I49" s="1685"/>
      <c r="J49" s="1675"/>
    </row>
    <row r="50" spans="2:10" ht="13.5" customHeight="1">
      <c r="B50" s="1016">
        <v>2020</v>
      </c>
      <c r="C50" s="513">
        <f>[1]T25Manip!B49</f>
        <v>326</v>
      </c>
      <c r="D50" s="513">
        <f>[1]T25Manip!C49</f>
        <v>59</v>
      </c>
      <c r="E50" s="478" t="str">
        <f>[1]T25Manip!D49</f>
        <v>May 5–22</v>
      </c>
      <c r="F50" s="1018" t="str">
        <f>[1]T25Manip!E49</f>
        <v>LGO/Clarkston</v>
      </c>
      <c r="G50" s="1675"/>
      <c r="H50" s="1685"/>
      <c r="I50" s="1685"/>
      <c r="J50" s="1675"/>
    </row>
    <row r="51" spans="2:10" ht="13.5" customHeight="1">
      <c r="B51" s="1016">
        <v>2021</v>
      </c>
      <c r="C51" s="513">
        <f>[1]T25Manip!B50</f>
        <v>443</v>
      </c>
      <c r="D51" s="513">
        <f>[1]T25Manip!C50</f>
        <v>123</v>
      </c>
      <c r="E51" s="478" t="str">
        <f>[1]T25Manip!D50</f>
        <v>May 4, 7, 11, 25, 28; Jun 4, 6</v>
      </c>
      <c r="F51" s="1018" t="str">
        <f>[1]T25Manip!E50</f>
        <v>LGO</v>
      </c>
      <c r="G51" s="1675"/>
      <c r="H51" s="1685"/>
      <c r="I51" s="1685"/>
      <c r="J51" s="1675"/>
    </row>
    <row r="52" spans="2:10">
      <c r="B52" s="1016">
        <v>2022</v>
      </c>
      <c r="C52" s="513">
        <f>[1]T25Manip!B51</f>
        <v>1388</v>
      </c>
      <c r="D52" s="513">
        <f>[1]T25Manip!C51</f>
        <v>327</v>
      </c>
      <c r="E52" s="478" t="str">
        <f>[1]T25Manip!D51</f>
        <v>May 3–6, 10–13, 17–20, 24, 25 ,27, June 10</v>
      </c>
      <c r="F52" s="1018" t="str">
        <f>[1]T25Manip!E51</f>
        <v>LGO/IHD</v>
      </c>
      <c r="G52" s="1675"/>
      <c r="H52" s="1685"/>
      <c r="I52" s="1685"/>
      <c r="J52" s="1675"/>
    </row>
    <row r="53" spans="2:10">
      <c r="B53" s="1016">
        <v>2023</v>
      </c>
      <c r="C53" s="513">
        <f>[1]T25Manip!B52</f>
        <v>411</v>
      </c>
      <c r="D53" s="513">
        <f>[1]T25Manip!C52</f>
        <v>71</v>
      </c>
      <c r="E53" s="478" t="str">
        <f>[1]T25Manip!D52</f>
        <v>May 2– 5, 9–12, 23–26 (2 days/wk in each pool)</v>
      </c>
      <c r="F53" s="1018" t="str">
        <f>[1]T25Manip!E52</f>
        <v>IHR/LGO</v>
      </c>
      <c r="G53" s="1675"/>
      <c r="H53" s="1685"/>
      <c r="I53" s="1685"/>
      <c r="J53" s="1675"/>
    </row>
    <row r="54" spans="2:10" ht="16.5" customHeight="1">
      <c r="B54" s="1016">
        <v>2024</v>
      </c>
      <c r="C54" s="513">
        <f>[1]T25Manip!B53</f>
        <v>784</v>
      </c>
      <c r="D54" s="513">
        <f>[1]T25Manip!C53</f>
        <v>77</v>
      </c>
      <c r="E54" s="478" t="str">
        <f>[1]T25Manip!D53</f>
        <v>May 7–10 (2 days/wk in each pool)</v>
      </c>
      <c r="F54" s="1018" t="str">
        <f>[1]T25Manip!E53</f>
        <v>IHR/LGO</v>
      </c>
      <c r="G54" s="1675"/>
      <c r="H54" s="1685"/>
      <c r="I54" s="1685"/>
      <c r="J54" s="1675"/>
    </row>
    <row r="55" spans="2:10">
      <c r="B55" s="1016">
        <v>2025</v>
      </c>
      <c r="C55" s="513">
        <f>[1]T25Manip!B54</f>
        <v>768</v>
      </c>
      <c r="D55" s="513">
        <f>[1]T25Manip!C54</f>
        <v>167</v>
      </c>
      <c r="E55" s="478" t="str">
        <f>[1]T25Manip!D54</f>
        <v>May 6–June 6 (2 days/wk in each pool)</v>
      </c>
      <c r="F55" s="1018" t="str">
        <f>[1]T25Manip!E54</f>
        <v>IHR/LGO</v>
      </c>
      <c r="G55" s="1675"/>
      <c r="H55" s="1685"/>
      <c r="I55" s="1685"/>
      <c r="J55" s="1675"/>
    </row>
    <row r="56" spans="2:10">
      <c r="B56" s="1966" t="s">
        <v>1382</v>
      </c>
      <c r="C56" s="1956"/>
      <c r="D56" s="1956"/>
      <c r="E56" s="1956"/>
      <c r="F56" s="1967"/>
      <c r="G56" s="1675"/>
      <c r="H56" s="1685"/>
      <c r="I56" s="1685"/>
      <c r="J56" s="1675"/>
    </row>
    <row r="57" spans="2:10" ht="13.5" thickBot="1">
      <c r="B57" s="1019" t="s">
        <v>28</v>
      </c>
      <c r="C57" s="1703" t="s">
        <v>1302</v>
      </c>
      <c r="D57" s="1703" t="s">
        <v>1303</v>
      </c>
      <c r="E57" s="1703" t="s">
        <v>924</v>
      </c>
      <c r="F57" s="1020" t="s">
        <v>1317</v>
      </c>
      <c r="G57" s="1675"/>
      <c r="H57" s="1685"/>
      <c r="I57" s="1685"/>
      <c r="J57" s="1675"/>
    </row>
    <row r="58" spans="2:10">
      <c r="B58" s="1021">
        <v>2002</v>
      </c>
      <c r="C58" s="570">
        <f>[1]T25Manip!B57</f>
        <v>129</v>
      </c>
      <c r="D58" s="570">
        <f>[1]T25Manip!C57</f>
        <v>193.5</v>
      </c>
      <c r="E58" s="571" t="str">
        <f>[1]T25Manip!D57</f>
        <v>July 9–July 31</v>
      </c>
      <c r="F58" s="1022" t="str">
        <f>[1]T25Manip!E57</f>
        <v>BON–Hwy 395</v>
      </c>
      <c r="G58" s="1675"/>
      <c r="H58" s="1685"/>
      <c r="I58" s="1685"/>
      <c r="J58" s="1675"/>
    </row>
    <row r="59" spans="2:10">
      <c r="B59" s="1016">
        <v>2003</v>
      </c>
      <c r="C59" s="513">
        <f>[1]T25Manip!B58</f>
        <v>396</v>
      </c>
      <c r="D59" s="513">
        <f>[1]T25Manip!C58</f>
        <v>594</v>
      </c>
      <c r="E59" s="808" t="str">
        <f>[1]T25Manip!D58</f>
        <v>June 16–July 31</v>
      </c>
      <c r="F59" s="1017" t="str">
        <f>[1]T25Manip!E58</f>
        <v>BON–Hwy 395</v>
      </c>
      <c r="G59" s="1675"/>
      <c r="H59" s="1685"/>
      <c r="I59" s="1685"/>
      <c r="J59" s="1675"/>
    </row>
    <row r="60" spans="2:10">
      <c r="B60" s="1016">
        <v>2004</v>
      </c>
      <c r="C60" s="513">
        <f>[1]T25Manip!B59</f>
        <v>257</v>
      </c>
      <c r="D60" s="513">
        <f>[1]T25Manip!C59</f>
        <v>385.5</v>
      </c>
      <c r="E60" s="808" t="str">
        <f>[1]T25Manip!D59</f>
        <v>June 16–July 31</v>
      </c>
      <c r="F60" s="1017" t="str">
        <f>[1]T25Manip!E59</f>
        <v>BON–Hwy 395</v>
      </c>
      <c r="G60" s="1675"/>
      <c r="H60" s="1685"/>
      <c r="I60" s="1685"/>
      <c r="J60" s="1675"/>
    </row>
    <row r="61" spans="2:10">
      <c r="B61" s="1016">
        <v>2005</v>
      </c>
      <c r="C61" s="513">
        <f>[1]T25Manip!B60</f>
        <v>377</v>
      </c>
      <c r="D61" s="513">
        <f>[1]T25Manip!C60</f>
        <v>479.81818181818181</v>
      </c>
      <c r="E61" s="808" t="str">
        <f>[1]T25Manip!D60</f>
        <v>June 16–July 31</v>
      </c>
      <c r="F61" s="1017" t="str">
        <f>[1]T25Manip!E60</f>
        <v>BON–Hwy 395</v>
      </c>
      <c r="G61" s="1675"/>
      <c r="H61" s="1685"/>
      <c r="I61" s="1685"/>
      <c r="J61" s="246"/>
    </row>
    <row r="62" spans="2:10">
      <c r="B62" s="1016">
        <v>2006</v>
      </c>
      <c r="C62" s="513">
        <f>[1]T25Manip!B61</f>
        <v>295</v>
      </c>
      <c r="D62" s="513">
        <f>[1]T25Manip!C61</f>
        <v>0</v>
      </c>
      <c r="E62" s="808" t="str">
        <f>[1]T25Manip!D61</f>
        <v>June 16–July 31</v>
      </c>
      <c r="F62" s="1017" t="str">
        <f>[1]T25Manip!E61</f>
        <v>BON–Priest Rapids Dam (PRD)</v>
      </c>
      <c r="G62" s="1675"/>
      <c r="H62" s="1675"/>
      <c r="I62" s="1675"/>
      <c r="J62" s="1675"/>
    </row>
    <row r="63" spans="2:10">
      <c r="B63" s="1016">
        <v>2007</v>
      </c>
      <c r="C63" s="513">
        <f>[1]T25Manip!B62</f>
        <v>148</v>
      </c>
      <c r="D63" s="513">
        <f>[1]T25Manip!C62</f>
        <v>0</v>
      </c>
      <c r="E63" s="808" t="str">
        <f>[1]T25Manip!D62</f>
        <v>June 16–July 3</v>
      </c>
      <c r="F63" s="1017" t="str">
        <f>[1]T25Manip!E62</f>
        <v>BON–PRD</v>
      </c>
      <c r="G63" s="1675"/>
      <c r="H63" s="1675"/>
      <c r="I63" s="1675"/>
      <c r="J63" s="1675"/>
    </row>
    <row r="64" spans="2:10">
      <c r="B64" s="1016">
        <v>2008</v>
      </c>
      <c r="C64" s="513">
        <f>[1]T25Manip!B63</f>
        <v>997</v>
      </c>
      <c r="D64" s="513">
        <f>[1]T25Manip!C63</f>
        <v>0</v>
      </c>
      <c r="E64" s="808" t="str">
        <f>[1]T25Manip!D63</f>
        <v>June 16–July 1</v>
      </c>
      <c r="F64" s="1017" t="str">
        <f>[1]T25Manip!E63</f>
        <v>BON–PRD</v>
      </c>
      <c r="G64" s="1675"/>
      <c r="H64" s="1675"/>
      <c r="I64" s="1675"/>
      <c r="J64" s="1675"/>
    </row>
    <row r="65" spans="2:6">
      <c r="B65" s="1016">
        <v>2009</v>
      </c>
      <c r="C65" s="513">
        <f>[1]T25Manip!B64</f>
        <v>265</v>
      </c>
      <c r="D65" s="513">
        <f>[1]T25Manip!C64</f>
        <v>0</v>
      </c>
      <c r="E65" s="808" t="str">
        <f>[1]T25Manip!D64</f>
        <v>July 1–31</v>
      </c>
      <c r="F65" s="1017" t="str">
        <f>[1]T25Manip!E64</f>
        <v>BON–PRD</v>
      </c>
    </row>
    <row r="66" spans="2:6">
      <c r="B66" s="1016">
        <v>2010</v>
      </c>
      <c r="C66" s="513">
        <f>[1]T25Manip!B65</f>
        <v>811</v>
      </c>
      <c r="D66" s="513">
        <f>[1]T25Manip!C65</f>
        <v>497.06451612903231</v>
      </c>
      <c r="E66" s="808" t="str">
        <f>[1]T25Manip!D65</f>
        <v>June 16–July 31</v>
      </c>
      <c r="F66" s="1017" t="str">
        <f>[1]T25Manip!E65</f>
        <v>BON–PRD</v>
      </c>
    </row>
    <row r="67" spans="2:6">
      <c r="B67" s="1016">
        <v>2011</v>
      </c>
      <c r="C67" s="513">
        <f>[1]T25Manip!B66</f>
        <v>343</v>
      </c>
      <c r="D67" s="513">
        <f>[1]T25Manip!C66</f>
        <v>304.16981132075466</v>
      </c>
      <c r="E67" s="808" t="str">
        <f>[1]T25Manip!D66</f>
        <v>June 16–July 31</v>
      </c>
      <c r="F67" s="1017" t="str">
        <f>[1]T25Manip!E66</f>
        <v>BON–PRD</v>
      </c>
    </row>
    <row r="68" spans="2:6">
      <c r="B68" s="1016">
        <v>2012</v>
      </c>
      <c r="C68" s="513">
        <f>[1]T25Manip!B67</f>
        <v>268</v>
      </c>
      <c r="D68" s="513">
        <f>[1]T25Manip!C67</f>
        <v>186.23728813559325</v>
      </c>
      <c r="E68" s="808" t="str">
        <f>[1]T25Manip!D67</f>
        <v>June 16–July 31</v>
      </c>
      <c r="F68" s="1017" t="str">
        <f>[1]T25Manip!E67</f>
        <v>BON–PRD</v>
      </c>
    </row>
    <row r="69" spans="2:6">
      <c r="B69" s="1016">
        <v>2013</v>
      </c>
      <c r="C69" s="513">
        <f>[1]T25Manip!B68</f>
        <v>281</v>
      </c>
      <c r="D69" s="513">
        <f>[1]T25Manip!C68</f>
        <v>289.34693877551024</v>
      </c>
      <c r="E69" s="808" t="str">
        <f>[1]T25Manip!D68</f>
        <v>June 16–July 31</v>
      </c>
      <c r="F69" s="1017" t="str">
        <f>[1]T25Manip!E68</f>
        <v>BON–PRD</v>
      </c>
    </row>
    <row r="70" spans="2:6">
      <c r="B70" s="1016">
        <v>2014</v>
      </c>
      <c r="C70" s="513">
        <f>[1]T25Manip!B69</f>
        <v>361</v>
      </c>
      <c r="D70" s="513">
        <f>[1]T25Manip!C69</f>
        <v>614.67567567567573</v>
      </c>
      <c r="E70" s="808" t="str">
        <f>[1]T25Manip!D69</f>
        <v>June 16–July 31</v>
      </c>
      <c r="F70" s="1017" t="str">
        <f>[1]T25Manip!E69</f>
        <v>BON–PRD</v>
      </c>
    </row>
    <row r="71" spans="2:6">
      <c r="B71" s="1016">
        <v>2015</v>
      </c>
      <c r="C71" s="513">
        <f>[1]T25Manip!B70</f>
        <v>741</v>
      </c>
      <c r="D71" s="513">
        <f>[1]T25Manip!C70</f>
        <v>297</v>
      </c>
      <c r="E71" s="808" t="str">
        <f>[1]T25Manip!D70</f>
        <v>June 16–July 31</v>
      </c>
      <c r="F71" s="1017" t="str">
        <f>[1]T25Manip!E70</f>
        <v>BON–PRD</v>
      </c>
    </row>
    <row r="72" spans="2:6">
      <c r="B72" s="1016">
        <v>2016</v>
      </c>
      <c r="C72" s="513">
        <f>[1]T25Manip!B71</f>
        <v>470</v>
      </c>
      <c r="D72" s="513">
        <f>[1]T25Manip!C71</f>
        <v>636</v>
      </c>
      <c r="E72" s="808" t="str">
        <f>[1]T25Manip!D71</f>
        <v>June 16–July 31</v>
      </c>
      <c r="F72" s="1017" t="str">
        <f>[1]T25Manip!E71</f>
        <v>BON–PRD</v>
      </c>
    </row>
    <row r="73" spans="2:6">
      <c r="B73" s="1016">
        <v>2017</v>
      </c>
      <c r="C73" s="513">
        <f>[1]T25Manip!B72</f>
        <v>258</v>
      </c>
      <c r="D73" s="513">
        <f>[1]T25Manip!C72</f>
        <v>216</v>
      </c>
      <c r="E73" s="808" t="str">
        <f>[1]T25Manip!D72</f>
        <v>June 16–July 31 (BON-McN), June 16–August 15 (McN-PRD)</v>
      </c>
      <c r="F73" s="1017" t="str">
        <f>[1]T25Manip!E72</f>
        <v>BON–PRD</v>
      </c>
    </row>
    <row r="74" spans="2:6">
      <c r="B74" s="1016">
        <v>2018</v>
      </c>
      <c r="C74" s="513">
        <f>[1]T25Manip!B73</f>
        <v>120</v>
      </c>
      <c r="D74" s="513">
        <f>[1]T25Manip!C73</f>
        <v>92</v>
      </c>
      <c r="E74" s="808" t="str">
        <f>[1]T25Manip!D73</f>
        <v>June 16–July 6 (BON-McN), June 16–July 16 (McN-PRD)</v>
      </c>
      <c r="F74" s="1017" t="str">
        <f>[1]T25Manip!E73</f>
        <v>BON–PRD</v>
      </c>
    </row>
    <row r="75" spans="2:6">
      <c r="B75" s="1019">
        <v>2019</v>
      </c>
      <c r="C75" s="513">
        <f>[1]T25Manip!B74</f>
        <v>0</v>
      </c>
      <c r="D75" s="513">
        <f>[1]T25Manip!C74</f>
        <v>38</v>
      </c>
      <c r="E75" s="808" t="str">
        <f>[1]T25Manip!D74</f>
        <v>No target fishery</v>
      </c>
      <c r="F75" s="1017" t="str">
        <f>[1]T25Manip!E74</f>
        <v>BON–PRD</v>
      </c>
    </row>
    <row r="76" spans="2:6">
      <c r="B76" s="1016">
        <v>2020</v>
      </c>
      <c r="C76" s="513">
        <f>[1]T25Manip!B75</f>
        <v>140</v>
      </c>
      <c r="D76" s="513">
        <f>[1]T25Manip!C75</f>
        <v>215</v>
      </c>
      <c r="E76" s="808" t="str">
        <f>[1]T25Manip!D75</f>
        <v>July 4–31</v>
      </c>
      <c r="F76" s="1017" t="str">
        <f>[1]T25Manip!E75</f>
        <v>BON–PRD</v>
      </c>
    </row>
    <row r="77" spans="2:6">
      <c r="B77" s="1016">
        <v>2021</v>
      </c>
      <c r="C77" s="513">
        <f>[1]T25Manip!B76</f>
        <v>94</v>
      </c>
      <c r="D77" s="513">
        <f>[1]T25Manip!C76</f>
        <v>51</v>
      </c>
      <c r="E77" s="808" t="str">
        <f>[1]T25Manip!D76</f>
        <v>June 16–July 31</v>
      </c>
      <c r="F77" s="1017" t="str">
        <f>[1]T25Manip!E76</f>
        <v>BON–PRD</v>
      </c>
    </row>
    <row r="78" spans="2:6">
      <c r="B78" s="1016">
        <v>2022</v>
      </c>
      <c r="C78" s="513">
        <f>[1]T25Manip!B77</f>
        <v>284</v>
      </c>
      <c r="D78" s="513">
        <f>[1]T25Manip!C77</f>
        <v>120</v>
      </c>
      <c r="E78" s="808" t="str">
        <f>[1]T25Manip!D77</f>
        <v>June 16–July 31</v>
      </c>
      <c r="F78" s="1017" t="str">
        <f>[1]T25Manip!E77</f>
        <v>BON–PRD</v>
      </c>
    </row>
    <row r="79" spans="2:6">
      <c r="B79" s="1307">
        <v>2023</v>
      </c>
      <c r="C79" s="514">
        <f>[1]T25Manip!B78</f>
        <v>120</v>
      </c>
      <c r="D79" s="514">
        <f>[1]T25Manip!C78</f>
        <v>103</v>
      </c>
      <c r="E79" s="1308" t="str">
        <f>[1]T25Manip!D78</f>
        <v>June 16–July 31</v>
      </c>
      <c r="F79" s="1309" t="str">
        <f>[1]T25Manip!E77</f>
        <v>BON–PRD</v>
      </c>
    </row>
    <row r="80" spans="2:6">
      <c r="B80" s="1307">
        <v>2024</v>
      </c>
      <c r="C80" s="514">
        <f>[1]T25Manip!B79</f>
        <v>114</v>
      </c>
      <c r="D80" s="514">
        <f>[1]T25Manip!C79</f>
        <v>52</v>
      </c>
      <c r="E80" s="1308" t="str">
        <f>[1]T25Manip!D79</f>
        <v>June 16–June 30 (BON-Hwy.395), June 16-July 2 (Hwy.395-PRD)</v>
      </c>
      <c r="F80" s="1309" t="str">
        <f>[1]T25Manip!E78</f>
        <v>BON–PRD</v>
      </c>
    </row>
    <row r="81" spans="2:6">
      <c r="B81" s="1147">
        <v>2025</v>
      </c>
      <c r="C81" s="1146">
        <f>[1]T25Manip!B80</f>
        <v>0</v>
      </c>
      <c r="D81" s="1146">
        <f>[1]T25Manip!C80</f>
        <v>184</v>
      </c>
      <c r="E81" s="1145" t="str">
        <f>[1]T25Manip!D80</f>
        <v>No target fishery</v>
      </c>
      <c r="F81" s="1144" t="str">
        <f>[1]T25Manip!E79</f>
        <v>BON–PRD</v>
      </c>
    </row>
    <row r="82" spans="2:6" ht="15.75">
      <c r="B82" s="84"/>
      <c r="C82" s="1675"/>
      <c r="D82" s="1675"/>
      <c r="E82" s="1675"/>
      <c r="F82" s="1675"/>
    </row>
  </sheetData>
  <mergeCells count="3">
    <mergeCell ref="B4:F4"/>
    <mergeCell ref="B30:F30"/>
    <mergeCell ref="B56:F56"/>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66FF33"/>
  </sheetPr>
  <dimension ref="A1:K88"/>
  <sheetViews>
    <sheetView topLeftCell="A18" zoomScaleNormal="100" workbookViewId="0">
      <selection activeCell="C30" sqref="C30"/>
    </sheetView>
  </sheetViews>
  <sheetFormatPr defaultColWidth="9.33203125" defaultRowHeight="12.75"/>
  <cols>
    <col min="1" max="4" width="15.83203125" style="75" customWidth="1"/>
    <col min="5" max="16384" width="9.33203125" style="75"/>
  </cols>
  <sheetData>
    <row r="1" spans="1:8">
      <c r="A1" s="479" t="s">
        <v>1401</v>
      </c>
      <c r="B1" s="1645"/>
      <c r="C1" s="1645"/>
      <c r="D1" s="1645"/>
      <c r="E1" s="1645"/>
      <c r="F1" s="1645"/>
      <c r="G1" s="1645"/>
      <c r="H1" s="1645"/>
    </row>
    <row r="2" spans="1:8" ht="15.75">
      <c r="A2" s="434" t="s">
        <v>1402</v>
      </c>
      <c r="B2" s="434"/>
      <c r="C2" s="434"/>
      <c r="D2" s="434"/>
      <c r="E2" s="1645"/>
      <c r="F2" s="1645"/>
      <c r="G2" s="1645"/>
      <c r="H2" s="1645"/>
    </row>
    <row r="3" spans="1:8" ht="15.75">
      <c r="A3" s="434" t="s">
        <v>1403</v>
      </c>
      <c r="B3" s="434"/>
      <c r="C3" s="434"/>
      <c r="D3" s="434"/>
      <c r="E3" s="1645"/>
      <c r="F3" s="1645"/>
      <c r="G3" s="1645"/>
      <c r="H3" s="1645"/>
    </row>
    <row r="4" spans="1:8">
      <c r="A4" s="477" t="s">
        <v>28</v>
      </c>
      <c r="B4" s="477" t="s">
        <v>1404</v>
      </c>
      <c r="C4" s="477" t="s">
        <v>1302</v>
      </c>
      <c r="D4" s="477" t="s">
        <v>1303</v>
      </c>
      <c r="E4" s="1645"/>
      <c r="F4" s="1645"/>
      <c r="G4" s="1645"/>
      <c r="H4" s="1645"/>
    </row>
    <row r="5" spans="1:8">
      <c r="A5" s="477">
        <v>2000</v>
      </c>
      <c r="B5" s="498">
        <v>16039</v>
      </c>
      <c r="C5" s="499">
        <v>322</v>
      </c>
      <c r="D5" s="499">
        <v>92</v>
      </c>
      <c r="E5" s="1645"/>
      <c r="F5" s="1645"/>
      <c r="G5" s="1645"/>
      <c r="H5" s="1645"/>
    </row>
    <row r="6" spans="1:8">
      <c r="A6" s="477">
        <v>2001</v>
      </c>
      <c r="B6" s="498">
        <v>177642</v>
      </c>
      <c r="C6" s="498">
        <v>25711</v>
      </c>
      <c r="D6" s="498">
        <v>15517</v>
      </c>
      <c r="E6" s="1645"/>
      <c r="F6" s="1645"/>
      <c r="G6" s="1645"/>
      <c r="H6" s="1645"/>
    </row>
    <row r="7" spans="1:8">
      <c r="A7" s="477">
        <v>2002</v>
      </c>
      <c r="B7" s="498">
        <v>180127</v>
      </c>
      <c r="C7" s="785">
        <v>20464</v>
      </c>
      <c r="D7" s="498">
        <v>14221</v>
      </c>
      <c r="E7" s="1645"/>
      <c r="F7" s="1645"/>
      <c r="G7" s="1645"/>
      <c r="H7" s="1645"/>
    </row>
    <row r="8" spans="1:8">
      <c r="A8" s="477">
        <v>2003</v>
      </c>
      <c r="B8" s="529">
        <v>166640</v>
      </c>
      <c r="C8" s="529">
        <v>16892</v>
      </c>
      <c r="D8" s="529">
        <v>9267</v>
      </c>
      <c r="E8" s="1645"/>
      <c r="F8" s="292"/>
      <c r="G8" s="292"/>
      <c r="H8" s="292"/>
    </row>
    <row r="9" spans="1:8">
      <c r="A9" s="477">
        <v>2004</v>
      </c>
      <c r="B9" s="529">
        <v>161992</v>
      </c>
      <c r="C9" s="529">
        <v>23740</v>
      </c>
      <c r="D9" s="529">
        <v>7420</v>
      </c>
      <c r="E9" s="1645"/>
      <c r="F9" s="292"/>
      <c r="G9" s="1645"/>
      <c r="H9" s="1645"/>
    </row>
    <row r="10" spans="1:8">
      <c r="A10" s="477">
        <v>2005</v>
      </c>
      <c r="B10" s="292">
        <v>124695</v>
      </c>
      <c r="C10" s="292">
        <v>11315</v>
      </c>
      <c r="D10" s="292">
        <v>3560</v>
      </c>
      <c r="E10" s="1645"/>
      <c r="F10" s="292"/>
      <c r="G10" s="1645"/>
      <c r="H10" s="1645"/>
    </row>
    <row r="11" spans="1:8">
      <c r="A11" s="477">
        <v>2006</v>
      </c>
      <c r="B11" s="478">
        <v>86835</v>
      </c>
      <c r="C11" s="478">
        <v>6985</v>
      </c>
      <c r="D11" s="478">
        <v>2461</v>
      </c>
      <c r="E11" s="1645"/>
      <c r="F11" s="292"/>
      <c r="G11" s="1645"/>
      <c r="H11" s="1645"/>
    </row>
    <row r="12" spans="1:8">
      <c r="A12" s="477">
        <v>2007</v>
      </c>
      <c r="B12" s="478">
        <v>83010</v>
      </c>
      <c r="C12" s="478">
        <v>6476</v>
      </c>
      <c r="D12" s="478">
        <v>1648</v>
      </c>
      <c r="E12" s="1645"/>
      <c r="F12" s="1645"/>
      <c r="G12" s="1645"/>
      <c r="H12" s="1645"/>
    </row>
    <row r="13" spans="1:8">
      <c r="A13" s="477">
        <v>2008</v>
      </c>
      <c r="B13" s="478">
        <v>102972</v>
      </c>
      <c r="C13" s="478">
        <v>20040</v>
      </c>
      <c r="D13" s="478">
        <v>3132</v>
      </c>
      <c r="E13" s="1645"/>
      <c r="F13" s="1645"/>
      <c r="G13" s="1645"/>
      <c r="H13" s="1645"/>
    </row>
    <row r="14" spans="1:8">
      <c r="A14" s="477">
        <v>2009</v>
      </c>
      <c r="B14" s="478">
        <v>146402</v>
      </c>
      <c r="C14" s="478">
        <v>16923</v>
      </c>
      <c r="D14" s="478">
        <v>3396</v>
      </c>
      <c r="E14" s="1645"/>
      <c r="F14" s="1645"/>
      <c r="G14" s="1645"/>
      <c r="H14" s="1645"/>
    </row>
    <row r="15" spans="1:8">
      <c r="A15" s="477">
        <v>2010</v>
      </c>
      <c r="B15" s="478">
        <v>184976</v>
      </c>
      <c r="C15" s="478">
        <v>29247</v>
      </c>
      <c r="D15" s="478">
        <v>5355</v>
      </c>
      <c r="E15" s="1645"/>
      <c r="F15" s="1645"/>
      <c r="G15" s="1645"/>
      <c r="H15" s="1645"/>
    </row>
    <row r="16" spans="1:8">
      <c r="A16" s="477">
        <v>2011</v>
      </c>
      <c r="B16" s="478">
        <v>154895</v>
      </c>
      <c r="C16" s="478">
        <v>11694</v>
      </c>
      <c r="D16" s="478">
        <v>3154</v>
      </c>
      <c r="E16" s="1645"/>
      <c r="F16" s="1645"/>
      <c r="G16" s="1645"/>
      <c r="H16" s="1645"/>
    </row>
    <row r="17" spans="1:5">
      <c r="A17" s="477">
        <v>2012</v>
      </c>
      <c r="B17" s="478">
        <v>127919</v>
      </c>
      <c r="C17" s="478">
        <v>13332</v>
      </c>
      <c r="D17" s="478">
        <v>3476</v>
      </c>
      <c r="E17" s="1645"/>
    </row>
    <row r="18" spans="1:5">
      <c r="A18" s="477">
        <v>2013</v>
      </c>
      <c r="B18" s="478">
        <v>109655</v>
      </c>
      <c r="C18" s="478">
        <v>6950</v>
      </c>
      <c r="D18" s="478">
        <v>2666</v>
      </c>
      <c r="E18" s="1645"/>
    </row>
    <row r="19" spans="1:5">
      <c r="A19" s="477">
        <v>2014</v>
      </c>
      <c r="B19" s="478">
        <v>145642</v>
      </c>
      <c r="C19" s="478">
        <v>15728</v>
      </c>
      <c r="D19" s="478">
        <v>6776</v>
      </c>
      <c r="E19" s="1645"/>
    </row>
    <row r="20" spans="1:5">
      <c r="A20" s="477">
        <v>2015</v>
      </c>
      <c r="B20" s="478">
        <v>151173</v>
      </c>
      <c r="C20" s="478">
        <v>19586</v>
      </c>
      <c r="D20" s="478">
        <v>5052</v>
      </c>
      <c r="E20" s="1645"/>
    </row>
    <row r="21" spans="1:5">
      <c r="A21" s="477">
        <v>2016</v>
      </c>
      <c r="B21" s="478">
        <v>126826</v>
      </c>
      <c r="C21" s="478">
        <v>12666</v>
      </c>
      <c r="D21" s="478">
        <v>3776</v>
      </c>
      <c r="E21" s="292">
        <f>SUM(C21:D21)</f>
        <v>16442</v>
      </c>
    </row>
    <row r="22" spans="1:5">
      <c r="A22" s="477">
        <v>2017</v>
      </c>
      <c r="B22" s="478">
        <v>63303</v>
      </c>
      <c r="C22" s="478">
        <v>9047</v>
      </c>
      <c r="D22" s="478">
        <v>943</v>
      </c>
      <c r="E22" s="292"/>
    </row>
    <row r="23" spans="1:5">
      <c r="A23" s="477">
        <v>2018</v>
      </c>
      <c r="B23" s="478">
        <v>89882</v>
      </c>
      <c r="C23" s="478">
        <v>7509</v>
      </c>
      <c r="D23" s="478">
        <v>1530</v>
      </c>
      <c r="E23" s="292"/>
    </row>
    <row r="24" spans="1:5">
      <c r="A24" s="477">
        <v>2019</v>
      </c>
      <c r="B24" s="478">
        <v>39409</v>
      </c>
      <c r="C24" s="478">
        <v>1677</v>
      </c>
      <c r="D24" s="478">
        <v>480</v>
      </c>
      <c r="E24" s="292"/>
    </row>
    <row r="25" spans="1:5">
      <c r="A25" s="477">
        <v>2020</v>
      </c>
      <c r="B25" s="478">
        <v>36250</v>
      </c>
      <c r="C25" s="478">
        <v>1462</v>
      </c>
      <c r="D25" s="478">
        <v>1218</v>
      </c>
      <c r="E25" s="292"/>
    </row>
    <row r="26" spans="1:5">
      <c r="A26" s="477">
        <v>2021</v>
      </c>
      <c r="B26" s="478">
        <v>67219</v>
      </c>
      <c r="C26" s="478">
        <v>5385</v>
      </c>
      <c r="D26" s="478">
        <v>1428</v>
      </c>
      <c r="E26" s="292"/>
    </row>
    <row r="27" spans="1:5">
      <c r="A27" s="477">
        <v>2022</v>
      </c>
      <c r="B27" s="478">
        <v>88445</v>
      </c>
      <c r="C27" s="478">
        <v>12675</v>
      </c>
      <c r="D27" s="478">
        <v>4103</v>
      </c>
      <c r="E27" s="292"/>
    </row>
    <row r="28" spans="1:5">
      <c r="A28" s="477">
        <v>2023</v>
      </c>
      <c r="B28" s="478">
        <v>60477</v>
      </c>
      <c r="C28" s="478">
        <v>4691</v>
      </c>
      <c r="D28" s="478">
        <v>1119</v>
      </c>
      <c r="E28" s="292"/>
    </row>
    <row r="29" spans="1:5">
      <c r="A29" s="477">
        <v>2024</v>
      </c>
      <c r="B29" s="478">
        <v>73976</v>
      </c>
      <c r="C29" s="478">
        <v>5705</v>
      </c>
      <c r="D29" s="478">
        <v>1100</v>
      </c>
      <c r="E29" s="292"/>
    </row>
    <row r="30" spans="1:5">
      <c r="A30" s="477">
        <v>2025</v>
      </c>
      <c r="B30" s="478">
        <v>90201</v>
      </c>
      <c r="C30" s="478">
        <v>10086</v>
      </c>
      <c r="D30" s="478">
        <v>1576</v>
      </c>
      <c r="E30" s="292"/>
    </row>
    <row r="31" spans="1:5">
      <c r="A31" s="477"/>
      <c r="B31" s="478"/>
      <c r="C31" s="478"/>
      <c r="D31" s="478"/>
      <c r="E31" s="292"/>
    </row>
    <row r="32" spans="1:5" ht="15.75">
      <c r="A32" s="434" t="s">
        <v>1405</v>
      </c>
      <c r="B32" s="434"/>
      <c r="C32" s="434"/>
      <c r="D32" s="434"/>
      <c r="E32" s="1645"/>
    </row>
    <row r="33" spans="1:11">
      <c r="A33" s="477" t="s">
        <v>28</v>
      </c>
      <c r="B33" s="477" t="s">
        <v>1404</v>
      </c>
      <c r="C33" s="477" t="s">
        <v>1302</v>
      </c>
      <c r="D33" s="477" t="s">
        <v>1303</v>
      </c>
      <c r="E33" s="1645"/>
      <c r="F33" s="1645" t="s">
        <v>1406</v>
      </c>
      <c r="G33" s="1645" t="s">
        <v>1407</v>
      </c>
      <c r="H33" s="1645"/>
      <c r="I33" s="1645" t="s">
        <v>1408</v>
      </c>
      <c r="J33" s="1645"/>
      <c r="K33" s="479"/>
    </row>
    <row r="34" spans="1:11">
      <c r="A34" s="477">
        <v>2000</v>
      </c>
      <c r="B34" s="498">
        <v>28038</v>
      </c>
      <c r="C34" s="499">
        <v>0</v>
      </c>
      <c r="D34" s="499">
        <v>341</v>
      </c>
      <c r="E34" s="1645"/>
      <c r="F34" s="1645">
        <f>C34+D34</f>
        <v>341</v>
      </c>
      <c r="G34" s="1645" t="s">
        <v>56</v>
      </c>
      <c r="H34" s="1645"/>
      <c r="I34" s="1645" t="s">
        <v>56</v>
      </c>
      <c r="J34" s="1645"/>
      <c r="K34" s="476"/>
    </row>
    <row r="35" spans="1:11">
      <c r="A35" s="477">
        <v>2001</v>
      </c>
      <c r="B35" s="498">
        <v>32312</v>
      </c>
      <c r="C35" s="499">
        <v>0</v>
      </c>
      <c r="D35" s="499">
        <v>889</v>
      </c>
      <c r="E35" s="1645"/>
      <c r="F35" s="1645">
        <f t="shared" ref="F35:F53" si="0">C35+D35</f>
        <v>889</v>
      </c>
      <c r="G35" s="1645" t="s">
        <v>56</v>
      </c>
      <c r="H35" s="1645"/>
      <c r="I35" s="1645" t="s">
        <v>56</v>
      </c>
      <c r="J35" s="1645"/>
      <c r="K35" s="1645"/>
    </row>
    <row r="36" spans="1:11">
      <c r="A36" s="477">
        <v>2002</v>
      </c>
      <c r="B36" s="498">
        <v>54839</v>
      </c>
      <c r="C36" s="498">
        <v>1352</v>
      </c>
      <c r="D36" s="498">
        <v>1840</v>
      </c>
      <c r="E36" s="1645"/>
      <c r="F36" s="1645">
        <f t="shared" si="0"/>
        <v>3192</v>
      </c>
      <c r="G36" s="1645">
        <f>RANK(F36,$F$36:$F$59)</f>
        <v>12</v>
      </c>
      <c r="H36" s="1645"/>
      <c r="I36" s="1645">
        <f>RANK(C36,$C$36:$C$59)</f>
        <v>18</v>
      </c>
      <c r="J36" s="1645"/>
      <c r="K36" s="1645"/>
    </row>
    <row r="37" spans="1:11">
      <c r="A37" s="477">
        <v>2003</v>
      </c>
      <c r="B37" s="498">
        <v>46943</v>
      </c>
      <c r="C37" s="498">
        <v>1854</v>
      </c>
      <c r="D37" s="498">
        <v>1777</v>
      </c>
      <c r="E37" s="1645"/>
      <c r="F37" s="1645">
        <f t="shared" si="0"/>
        <v>3631</v>
      </c>
      <c r="G37" s="1645">
        <f t="shared" ref="G37:G59" si="1">RANK(F37,$F$36:$F$59)</f>
        <v>10</v>
      </c>
      <c r="H37" s="1645"/>
      <c r="I37" s="1645">
        <f t="shared" ref="I37:I59" si="2">RANK(C37,$C$36:$C$59)</f>
        <v>15</v>
      </c>
      <c r="J37" s="1645"/>
      <c r="K37" s="1645"/>
    </row>
    <row r="38" spans="1:11">
      <c r="A38" s="477">
        <v>2004</v>
      </c>
      <c r="B38" s="498">
        <v>41850</v>
      </c>
      <c r="C38" s="498">
        <v>1119</v>
      </c>
      <c r="D38" s="498">
        <v>1325</v>
      </c>
      <c r="E38" s="1645"/>
      <c r="F38" s="1645">
        <f t="shared" si="0"/>
        <v>2444</v>
      </c>
      <c r="G38" s="1645">
        <f t="shared" si="1"/>
        <v>18</v>
      </c>
      <c r="H38" s="1645"/>
      <c r="I38" s="1645">
        <f t="shared" si="2"/>
        <v>20</v>
      </c>
      <c r="J38" s="1645"/>
      <c r="K38" s="1645"/>
    </row>
    <row r="39" spans="1:11">
      <c r="A39" s="477">
        <v>2005</v>
      </c>
      <c r="B39" s="478">
        <v>38505</v>
      </c>
      <c r="C39" s="478">
        <v>1571</v>
      </c>
      <c r="D39" s="478">
        <v>500</v>
      </c>
      <c r="E39" s="1645"/>
      <c r="F39" s="1645">
        <f t="shared" si="0"/>
        <v>2071</v>
      </c>
      <c r="G39" s="1645">
        <f t="shared" si="1"/>
        <v>20</v>
      </c>
      <c r="H39" s="1645"/>
      <c r="I39" s="1645">
        <f t="shared" si="2"/>
        <v>17</v>
      </c>
      <c r="J39" s="1645"/>
      <c r="K39" s="1645"/>
    </row>
    <row r="40" spans="1:11">
      <c r="A40" s="477">
        <v>2006</v>
      </c>
      <c r="B40" s="478">
        <v>43802</v>
      </c>
      <c r="C40" s="478">
        <v>4924</v>
      </c>
      <c r="D40" s="478">
        <v>16</v>
      </c>
      <c r="E40" s="1645"/>
      <c r="F40" s="1645">
        <f t="shared" si="0"/>
        <v>4940</v>
      </c>
      <c r="G40" s="1645">
        <f t="shared" si="1"/>
        <v>7</v>
      </c>
      <c r="H40" s="1645"/>
      <c r="I40" s="1645">
        <f t="shared" si="2"/>
        <v>3</v>
      </c>
      <c r="J40" s="1645"/>
      <c r="K40" s="1645"/>
    </row>
    <row r="41" spans="1:11">
      <c r="A41" s="477">
        <v>2007</v>
      </c>
      <c r="B41" s="478">
        <v>39768</v>
      </c>
      <c r="C41" s="478">
        <v>2214</v>
      </c>
      <c r="D41" s="478">
        <v>219</v>
      </c>
      <c r="E41" s="1645"/>
      <c r="F41" s="1645">
        <f t="shared" si="0"/>
        <v>2433</v>
      </c>
      <c r="G41" s="1645">
        <f t="shared" si="1"/>
        <v>19</v>
      </c>
      <c r="H41" s="1645"/>
      <c r="I41" s="1645">
        <f t="shared" si="2"/>
        <v>10</v>
      </c>
      <c r="J41" s="1645"/>
      <c r="K41" s="1645"/>
    </row>
    <row r="42" spans="1:11">
      <c r="A42" s="477">
        <v>2008</v>
      </c>
      <c r="B42" s="478">
        <v>51288</v>
      </c>
      <c r="C42" s="478">
        <v>2051</v>
      </c>
      <c r="D42" s="478">
        <v>890</v>
      </c>
      <c r="E42" s="1645"/>
      <c r="F42" s="1645">
        <f t="shared" si="0"/>
        <v>2941</v>
      </c>
      <c r="G42" s="1645">
        <f t="shared" si="1"/>
        <v>16</v>
      </c>
      <c r="H42" s="1645"/>
      <c r="I42" s="1645">
        <f t="shared" si="2"/>
        <v>12</v>
      </c>
      <c r="J42" s="1645"/>
      <c r="K42" s="1645"/>
    </row>
    <row r="43" spans="1:11">
      <c r="A43" s="477">
        <v>2009</v>
      </c>
      <c r="B43" s="478">
        <v>63213</v>
      </c>
      <c r="C43" s="478">
        <v>2256</v>
      </c>
      <c r="D43" s="478">
        <v>850</v>
      </c>
      <c r="E43" s="1645"/>
      <c r="F43" s="1645">
        <f t="shared" si="0"/>
        <v>3106</v>
      </c>
      <c r="G43" s="1645">
        <f t="shared" si="1"/>
        <v>14</v>
      </c>
      <c r="H43" s="1645"/>
      <c r="I43" s="1645">
        <f t="shared" si="2"/>
        <v>9</v>
      </c>
      <c r="J43" s="1645"/>
      <c r="K43" s="1645"/>
    </row>
    <row r="44" spans="1:11">
      <c r="A44" s="477">
        <v>2010</v>
      </c>
      <c r="B44" s="478">
        <v>70661</v>
      </c>
      <c r="C44" s="478">
        <v>2539</v>
      </c>
      <c r="D44" s="478">
        <v>1328</v>
      </c>
      <c r="E44" s="1645"/>
      <c r="F44" s="1645">
        <f t="shared" si="0"/>
        <v>3867</v>
      </c>
      <c r="G44" s="1645">
        <f t="shared" si="1"/>
        <v>9</v>
      </c>
      <c r="H44" s="1645"/>
      <c r="I44" s="1645">
        <f t="shared" si="2"/>
        <v>8</v>
      </c>
      <c r="J44" s="1645"/>
      <c r="K44" s="1645"/>
    </row>
    <row r="45" spans="1:11">
      <c r="A45" s="477">
        <v>2011</v>
      </c>
      <c r="B45" s="478">
        <v>75818</v>
      </c>
      <c r="C45" s="478">
        <v>5160</v>
      </c>
      <c r="D45" s="478">
        <v>2771</v>
      </c>
      <c r="E45" s="1645"/>
      <c r="F45" s="1645">
        <f t="shared" si="0"/>
        <v>7931</v>
      </c>
      <c r="G45" s="1645">
        <f t="shared" si="1"/>
        <v>1</v>
      </c>
      <c r="H45" s="1645"/>
      <c r="I45" s="1645">
        <f t="shared" si="2"/>
        <v>2</v>
      </c>
      <c r="J45" s="1645"/>
      <c r="K45" s="1645"/>
    </row>
    <row r="46" spans="1:11">
      <c r="A46" s="477">
        <v>2012</v>
      </c>
      <c r="B46" s="478">
        <v>80733</v>
      </c>
      <c r="C46" s="478">
        <v>2897</v>
      </c>
      <c r="D46" s="478">
        <v>2558</v>
      </c>
      <c r="E46" s="1645"/>
      <c r="F46" s="1645">
        <f t="shared" si="0"/>
        <v>5455</v>
      </c>
      <c r="G46" s="1645">
        <f t="shared" si="1"/>
        <v>5</v>
      </c>
      <c r="H46" s="1645"/>
      <c r="I46" s="1645">
        <f t="shared" si="2"/>
        <v>7</v>
      </c>
      <c r="J46" s="1645"/>
      <c r="K46" s="1645"/>
    </row>
    <row r="47" spans="1:11">
      <c r="A47" s="477">
        <v>2013</v>
      </c>
      <c r="B47" s="478">
        <v>52037</v>
      </c>
      <c r="C47" s="478">
        <v>1832</v>
      </c>
      <c r="D47" s="478">
        <v>1508</v>
      </c>
      <c r="E47" s="1645"/>
      <c r="F47" s="1645">
        <f t="shared" si="0"/>
        <v>3340</v>
      </c>
      <c r="G47" s="1645">
        <f t="shared" si="1"/>
        <v>11</v>
      </c>
      <c r="H47" s="1645"/>
      <c r="I47" s="1645">
        <f t="shared" si="2"/>
        <v>16</v>
      </c>
      <c r="J47" s="1645"/>
      <c r="K47" s="1645"/>
    </row>
    <row r="48" spans="1:11">
      <c r="A48" s="477">
        <v>2014</v>
      </c>
      <c r="B48" s="478">
        <v>53661</v>
      </c>
      <c r="C48" s="478">
        <v>1980</v>
      </c>
      <c r="D48" s="478">
        <v>2703</v>
      </c>
      <c r="E48" s="1645"/>
      <c r="F48" s="1645">
        <f t="shared" si="0"/>
        <v>4683</v>
      </c>
      <c r="G48" s="1645">
        <f t="shared" si="1"/>
        <v>8</v>
      </c>
      <c r="H48" s="1645"/>
      <c r="I48" s="1645">
        <f t="shared" si="2"/>
        <v>14</v>
      </c>
      <c r="J48" s="1645"/>
      <c r="K48" s="1645"/>
    </row>
    <row r="49" spans="1:9">
      <c r="A49" s="477">
        <v>2015</v>
      </c>
      <c r="B49" s="478">
        <v>50555</v>
      </c>
      <c r="C49" s="478">
        <v>5928</v>
      </c>
      <c r="D49" s="478">
        <v>1491</v>
      </c>
      <c r="E49" s="1645"/>
      <c r="F49" s="1645">
        <f t="shared" si="0"/>
        <v>7419</v>
      </c>
      <c r="G49" s="1645">
        <f t="shared" si="1"/>
        <v>2</v>
      </c>
      <c r="H49" s="1645"/>
      <c r="I49" s="1645">
        <f t="shared" si="2"/>
        <v>1</v>
      </c>
    </row>
    <row r="50" spans="1:9">
      <c r="A50" s="477">
        <v>2016</v>
      </c>
      <c r="B50" s="478">
        <v>58067</v>
      </c>
      <c r="C50" s="478">
        <v>3080</v>
      </c>
      <c r="D50" s="478">
        <v>4170</v>
      </c>
      <c r="E50" s="1645"/>
      <c r="F50" s="1645">
        <f t="shared" si="0"/>
        <v>7250</v>
      </c>
      <c r="G50" s="1645">
        <f t="shared" si="1"/>
        <v>3</v>
      </c>
      <c r="H50" s="1645"/>
      <c r="I50" s="1645">
        <f t="shared" si="2"/>
        <v>6</v>
      </c>
    </row>
    <row r="51" spans="1:9">
      <c r="A51" s="1645">
        <v>2017</v>
      </c>
      <c r="B51" s="292">
        <v>41595</v>
      </c>
      <c r="C51" s="292">
        <v>3516</v>
      </c>
      <c r="D51" s="292">
        <v>2248</v>
      </c>
      <c r="E51" s="1645"/>
      <c r="F51" s="1645">
        <f t="shared" si="0"/>
        <v>5764</v>
      </c>
      <c r="G51" s="1645">
        <f t="shared" si="1"/>
        <v>4</v>
      </c>
      <c r="H51" s="1645"/>
      <c r="I51" s="1645">
        <f t="shared" si="2"/>
        <v>4</v>
      </c>
    </row>
    <row r="52" spans="1:9" ht="16.350000000000001" customHeight="1">
      <c r="A52" s="1645">
        <v>2018</v>
      </c>
      <c r="B52" s="292">
        <v>27475</v>
      </c>
      <c r="C52" s="292">
        <v>1027</v>
      </c>
      <c r="D52" s="292">
        <v>750</v>
      </c>
      <c r="E52" s="1645"/>
      <c r="F52" s="1645">
        <f t="shared" si="0"/>
        <v>1777</v>
      </c>
      <c r="G52" s="1645">
        <f t="shared" si="1"/>
        <v>21</v>
      </c>
      <c r="H52" s="1645"/>
      <c r="I52" s="1645">
        <f t="shared" si="2"/>
        <v>21</v>
      </c>
    </row>
    <row r="53" spans="1:9" ht="16.350000000000001" customHeight="1">
      <c r="A53" s="477">
        <v>2019</v>
      </c>
      <c r="B53" s="478">
        <v>19756</v>
      </c>
      <c r="C53" s="478">
        <v>0</v>
      </c>
      <c r="D53" s="478">
        <v>492</v>
      </c>
      <c r="E53" s="1645"/>
      <c r="F53" s="1645">
        <f t="shared" si="0"/>
        <v>492</v>
      </c>
      <c r="G53" s="1645">
        <f t="shared" si="1"/>
        <v>24</v>
      </c>
      <c r="H53" s="1645"/>
      <c r="I53" s="1645">
        <f t="shared" si="2"/>
        <v>24</v>
      </c>
    </row>
    <row r="54" spans="1:9" ht="16.350000000000001" customHeight="1">
      <c r="A54" s="477">
        <v>2020</v>
      </c>
      <c r="B54" s="478">
        <v>37099</v>
      </c>
      <c r="C54" s="478">
        <v>1191</v>
      </c>
      <c r="D54" s="478">
        <v>1504</v>
      </c>
      <c r="E54" s="1645"/>
      <c r="F54" s="1645">
        <f t="shared" ref="F54" si="3">C54+D54</f>
        <v>2695</v>
      </c>
      <c r="G54" s="1645">
        <f t="shared" si="1"/>
        <v>17</v>
      </c>
      <c r="H54" s="1645"/>
      <c r="I54" s="1645">
        <f t="shared" si="2"/>
        <v>19</v>
      </c>
    </row>
    <row r="55" spans="1:9" ht="16.350000000000001" customHeight="1">
      <c r="A55" s="477">
        <v>2021</v>
      </c>
      <c r="B55" s="478">
        <v>28868</v>
      </c>
      <c r="C55" s="478">
        <v>2134</v>
      </c>
      <c r="D55" s="478">
        <v>998</v>
      </c>
      <c r="E55" s="1645"/>
      <c r="F55" s="1645">
        <f t="shared" ref="F55:F59" si="4">C55+D55</f>
        <v>3132</v>
      </c>
      <c r="G55" s="1645">
        <f t="shared" si="1"/>
        <v>13</v>
      </c>
      <c r="H55" s="1645"/>
      <c r="I55" s="1645">
        <f t="shared" si="2"/>
        <v>11</v>
      </c>
    </row>
    <row r="56" spans="1:9">
      <c r="A56" s="1645">
        <v>2022</v>
      </c>
      <c r="B56" s="292">
        <v>31684</v>
      </c>
      <c r="C56" s="292">
        <v>3244</v>
      </c>
      <c r="D56" s="292">
        <v>2032</v>
      </c>
      <c r="E56" s="1645"/>
      <c r="F56" s="1645">
        <f t="shared" si="4"/>
        <v>5276</v>
      </c>
      <c r="G56" s="1645">
        <f t="shared" si="1"/>
        <v>6</v>
      </c>
      <c r="H56" s="1645"/>
      <c r="I56" s="1645">
        <f t="shared" si="2"/>
        <v>5</v>
      </c>
    </row>
    <row r="57" spans="1:9">
      <c r="A57" s="1645">
        <v>2023</v>
      </c>
      <c r="B57" s="292">
        <v>36044</v>
      </c>
      <c r="C57" s="292">
        <v>2019</v>
      </c>
      <c r="D57" s="292">
        <v>950</v>
      </c>
      <c r="E57" s="1645"/>
      <c r="F57" s="1645">
        <f t="shared" si="4"/>
        <v>2969</v>
      </c>
      <c r="G57" s="1645">
        <f t="shared" si="1"/>
        <v>15</v>
      </c>
      <c r="H57" s="1645"/>
      <c r="I57" s="1645">
        <f t="shared" si="2"/>
        <v>13</v>
      </c>
    </row>
    <row r="58" spans="1:9">
      <c r="A58" s="1645">
        <v>2024</v>
      </c>
      <c r="B58" s="292">
        <v>34996</v>
      </c>
      <c r="C58" s="292">
        <v>798</v>
      </c>
      <c r="D58" s="292">
        <v>670</v>
      </c>
      <c r="E58" s="1645"/>
      <c r="F58" s="1645">
        <f t="shared" si="4"/>
        <v>1468</v>
      </c>
      <c r="G58" s="1645">
        <f t="shared" si="1"/>
        <v>22</v>
      </c>
      <c r="H58" s="1645"/>
      <c r="I58" s="1645">
        <f t="shared" si="2"/>
        <v>22</v>
      </c>
    </row>
    <row r="59" spans="1:9">
      <c r="A59" s="1645">
        <v>2025</v>
      </c>
      <c r="B59" s="292">
        <v>27993</v>
      </c>
      <c r="C59" s="292">
        <v>461</v>
      </c>
      <c r="D59" s="292">
        <v>730</v>
      </c>
      <c r="E59" s="1645"/>
      <c r="F59" s="1645">
        <f t="shared" si="4"/>
        <v>1191</v>
      </c>
      <c r="G59" s="1645">
        <f t="shared" si="1"/>
        <v>23</v>
      </c>
      <c r="H59" s="1645"/>
      <c r="I59" s="1645">
        <f t="shared" si="2"/>
        <v>23</v>
      </c>
    </row>
    <row r="61" spans="1:9">
      <c r="A61" s="434" t="s">
        <v>1409</v>
      </c>
      <c r="B61" s="434"/>
      <c r="C61" s="434"/>
      <c r="D61" s="434"/>
      <c r="E61" s="1645"/>
      <c r="F61" s="1645"/>
      <c r="G61" s="1645"/>
      <c r="H61" s="1645"/>
      <c r="I61" s="1645"/>
    </row>
    <row r="62" spans="1:9">
      <c r="A62" s="477" t="s">
        <v>28</v>
      </c>
      <c r="B62" s="477" t="s">
        <v>1404</v>
      </c>
      <c r="C62" s="477" t="s">
        <v>1302</v>
      </c>
      <c r="D62" s="477" t="s">
        <v>1303</v>
      </c>
      <c r="E62" s="1645"/>
      <c r="F62" s="1645"/>
      <c r="G62" s="1645"/>
      <c r="H62" s="1645"/>
      <c r="I62" s="1645"/>
    </row>
    <row r="63" spans="1:9">
      <c r="A63" s="477">
        <v>2000</v>
      </c>
      <c r="B63" s="498">
        <f>B34+B5</f>
        <v>44077</v>
      </c>
      <c r="C63" s="498">
        <f>C34+C5</f>
        <v>322</v>
      </c>
      <c r="D63" s="498">
        <f>D34+D5</f>
        <v>433</v>
      </c>
      <c r="E63" s="1645"/>
      <c r="F63" s="1645"/>
      <c r="G63" s="1645"/>
      <c r="H63" s="1645"/>
      <c r="I63" s="1645"/>
    </row>
    <row r="64" spans="1:9">
      <c r="A64" s="477">
        <v>2001</v>
      </c>
      <c r="B64" s="498">
        <f t="shared" ref="B64:D64" si="5">B35+B6</f>
        <v>209954</v>
      </c>
      <c r="C64" s="498">
        <f t="shared" si="5"/>
        <v>25711</v>
      </c>
      <c r="D64" s="498">
        <f t="shared" si="5"/>
        <v>16406</v>
      </c>
      <c r="E64" s="1645"/>
      <c r="F64" s="1645"/>
      <c r="G64" s="1645"/>
      <c r="H64" s="1645"/>
      <c r="I64" s="1645"/>
    </row>
    <row r="65" spans="1:4">
      <c r="A65" s="477">
        <v>2002</v>
      </c>
      <c r="B65" s="498">
        <f t="shared" ref="B65:D65" si="6">B36+B7</f>
        <v>234966</v>
      </c>
      <c r="C65" s="498">
        <f t="shared" si="6"/>
        <v>21816</v>
      </c>
      <c r="D65" s="498">
        <f t="shared" si="6"/>
        <v>16061</v>
      </c>
    </row>
    <row r="66" spans="1:4">
      <c r="A66" s="477">
        <v>2003</v>
      </c>
      <c r="B66" s="498">
        <f t="shared" ref="B66:D66" si="7">B37+B8</f>
        <v>213583</v>
      </c>
      <c r="C66" s="498">
        <f t="shared" si="7"/>
        <v>18746</v>
      </c>
      <c r="D66" s="498">
        <f t="shared" si="7"/>
        <v>11044</v>
      </c>
    </row>
    <row r="67" spans="1:4">
      <c r="A67" s="477">
        <v>2004</v>
      </c>
      <c r="B67" s="498">
        <f t="shared" ref="B67:D67" si="8">B38+B9</f>
        <v>203842</v>
      </c>
      <c r="C67" s="498">
        <f t="shared" si="8"/>
        <v>24859</v>
      </c>
      <c r="D67" s="498">
        <f t="shared" si="8"/>
        <v>8745</v>
      </c>
    </row>
    <row r="68" spans="1:4">
      <c r="A68" s="477">
        <v>2005</v>
      </c>
      <c r="B68" s="498">
        <f t="shared" ref="B68:D68" si="9">B39+B10</f>
        <v>163200</v>
      </c>
      <c r="C68" s="498">
        <f t="shared" si="9"/>
        <v>12886</v>
      </c>
      <c r="D68" s="498">
        <f t="shared" si="9"/>
        <v>4060</v>
      </c>
    </row>
    <row r="69" spans="1:4">
      <c r="A69" s="477">
        <v>2006</v>
      </c>
      <c r="B69" s="478">
        <f t="shared" ref="B69:D69" si="10">B40+B11</f>
        <v>130637</v>
      </c>
      <c r="C69" s="478">
        <f t="shared" si="10"/>
        <v>11909</v>
      </c>
      <c r="D69" s="478">
        <f t="shared" si="10"/>
        <v>2477</v>
      </c>
    </row>
    <row r="70" spans="1:4">
      <c r="A70" s="477">
        <v>2007</v>
      </c>
      <c r="B70" s="478">
        <f t="shared" ref="B70:D70" si="11">B41+B12</f>
        <v>122778</v>
      </c>
      <c r="C70" s="478">
        <f t="shared" si="11"/>
        <v>8690</v>
      </c>
      <c r="D70" s="478">
        <f t="shared" si="11"/>
        <v>1867</v>
      </c>
    </row>
    <row r="71" spans="1:4">
      <c r="A71" s="477">
        <v>2008</v>
      </c>
      <c r="B71" s="478">
        <f t="shared" ref="B71:D71" si="12">B42+B13</f>
        <v>154260</v>
      </c>
      <c r="C71" s="478">
        <f t="shared" si="12"/>
        <v>22091</v>
      </c>
      <c r="D71" s="478">
        <f t="shared" si="12"/>
        <v>4022</v>
      </c>
    </row>
    <row r="72" spans="1:4">
      <c r="A72" s="477">
        <v>2009</v>
      </c>
      <c r="B72" s="478">
        <f t="shared" ref="B72:D72" si="13">B43+B14</f>
        <v>209615</v>
      </c>
      <c r="C72" s="478">
        <f t="shared" si="13"/>
        <v>19179</v>
      </c>
      <c r="D72" s="478">
        <f t="shared" si="13"/>
        <v>4246</v>
      </c>
    </row>
    <row r="73" spans="1:4">
      <c r="A73" s="477">
        <v>2010</v>
      </c>
      <c r="B73" s="478">
        <f t="shared" ref="B73:D73" si="14">B44+B15</f>
        <v>255637</v>
      </c>
      <c r="C73" s="478">
        <f t="shared" si="14"/>
        <v>31786</v>
      </c>
      <c r="D73" s="478">
        <f t="shared" si="14"/>
        <v>6683</v>
      </c>
    </row>
    <row r="74" spans="1:4">
      <c r="A74" s="477">
        <v>2011</v>
      </c>
      <c r="B74" s="478">
        <f t="shared" ref="B74:D74" si="15">B45+B16</f>
        <v>230713</v>
      </c>
      <c r="C74" s="478">
        <f t="shared" si="15"/>
        <v>16854</v>
      </c>
      <c r="D74" s="478">
        <f t="shared" si="15"/>
        <v>5925</v>
      </c>
    </row>
    <row r="75" spans="1:4">
      <c r="A75" s="477">
        <v>2012</v>
      </c>
      <c r="B75" s="478">
        <f t="shared" ref="B75:D75" si="16">B46+B17</f>
        <v>208652</v>
      </c>
      <c r="C75" s="478">
        <f t="shared" si="16"/>
        <v>16229</v>
      </c>
      <c r="D75" s="478">
        <f t="shared" si="16"/>
        <v>6034</v>
      </c>
    </row>
    <row r="76" spans="1:4">
      <c r="A76" s="477">
        <v>2013</v>
      </c>
      <c r="B76" s="478">
        <f t="shared" ref="B76:D76" si="17">B47+B18</f>
        <v>161692</v>
      </c>
      <c r="C76" s="478">
        <f t="shared" si="17"/>
        <v>8782</v>
      </c>
      <c r="D76" s="478">
        <f t="shared" si="17"/>
        <v>4174</v>
      </c>
    </row>
    <row r="77" spans="1:4">
      <c r="A77" s="477">
        <v>2014</v>
      </c>
      <c r="B77" s="478">
        <f t="shared" ref="B77:D77" si="18">B48+B19</f>
        <v>199303</v>
      </c>
      <c r="C77" s="478">
        <f t="shared" si="18"/>
        <v>17708</v>
      </c>
      <c r="D77" s="478">
        <f t="shared" si="18"/>
        <v>9479</v>
      </c>
    </row>
    <row r="78" spans="1:4">
      <c r="A78" s="477">
        <v>2015</v>
      </c>
      <c r="B78" s="478">
        <f t="shared" ref="B78:D78" si="19">B49+B20</f>
        <v>201728</v>
      </c>
      <c r="C78" s="478">
        <f t="shared" si="19"/>
        <v>25514</v>
      </c>
      <c r="D78" s="478">
        <f t="shared" si="19"/>
        <v>6543</v>
      </c>
    </row>
    <row r="79" spans="1:4">
      <c r="A79" s="477">
        <v>2016</v>
      </c>
      <c r="B79" s="478">
        <f t="shared" ref="B79:D79" si="20">B50+B21</f>
        <v>184893</v>
      </c>
      <c r="C79" s="478">
        <f t="shared" si="20"/>
        <v>15746</v>
      </c>
      <c r="D79" s="478">
        <f t="shared" si="20"/>
        <v>7946</v>
      </c>
    </row>
    <row r="80" spans="1:4">
      <c r="A80" s="1645">
        <v>2017</v>
      </c>
      <c r="B80" s="478">
        <f t="shared" ref="B80:D80" si="21">B51+B22</f>
        <v>104898</v>
      </c>
      <c r="C80" s="478">
        <f t="shared" si="21"/>
        <v>12563</v>
      </c>
      <c r="D80" s="478">
        <f t="shared" si="21"/>
        <v>3191</v>
      </c>
    </row>
    <row r="81" spans="1:4">
      <c r="A81" s="1645">
        <v>2018</v>
      </c>
      <c r="B81" s="478">
        <f t="shared" ref="B81:D81" si="22">B52+B23</f>
        <v>117357</v>
      </c>
      <c r="C81" s="478">
        <f t="shared" si="22"/>
        <v>8536</v>
      </c>
      <c r="D81" s="478">
        <f t="shared" si="22"/>
        <v>2280</v>
      </c>
    </row>
    <row r="82" spans="1:4">
      <c r="A82" s="477">
        <v>2019</v>
      </c>
      <c r="B82" s="478">
        <f t="shared" ref="B82:D82" si="23">B53+B24</f>
        <v>59165</v>
      </c>
      <c r="C82" s="478">
        <f t="shared" si="23"/>
        <v>1677</v>
      </c>
      <c r="D82" s="478">
        <f t="shared" si="23"/>
        <v>972</v>
      </c>
    </row>
    <row r="83" spans="1:4">
      <c r="A83" s="477">
        <v>2020</v>
      </c>
      <c r="B83" s="478">
        <f t="shared" ref="B83:D83" si="24">B54+B25</f>
        <v>73349</v>
      </c>
      <c r="C83" s="478">
        <f t="shared" si="24"/>
        <v>2653</v>
      </c>
      <c r="D83" s="478">
        <f t="shared" si="24"/>
        <v>2722</v>
      </c>
    </row>
    <row r="84" spans="1:4">
      <c r="A84" s="477">
        <v>2021</v>
      </c>
      <c r="B84" s="478">
        <f t="shared" ref="B84:D84" si="25">B55+B26</f>
        <v>96087</v>
      </c>
      <c r="C84" s="478">
        <f t="shared" si="25"/>
        <v>7519</v>
      </c>
      <c r="D84" s="478">
        <f t="shared" si="25"/>
        <v>2426</v>
      </c>
    </row>
    <row r="85" spans="1:4">
      <c r="A85" s="1645">
        <v>2022</v>
      </c>
      <c r="B85" s="478">
        <f t="shared" ref="B85:D88" si="26">B56+B27</f>
        <v>120129</v>
      </c>
      <c r="C85" s="478">
        <f t="shared" si="26"/>
        <v>15919</v>
      </c>
      <c r="D85" s="478">
        <f t="shared" si="26"/>
        <v>6135</v>
      </c>
    </row>
    <row r="86" spans="1:4">
      <c r="A86" s="1645">
        <v>2023</v>
      </c>
      <c r="B86" s="478">
        <f t="shared" si="26"/>
        <v>96521</v>
      </c>
      <c r="C86" s="478">
        <f t="shared" si="26"/>
        <v>6710</v>
      </c>
      <c r="D86" s="478">
        <f t="shared" si="26"/>
        <v>2069</v>
      </c>
    </row>
    <row r="87" spans="1:4">
      <c r="A87" s="1645">
        <v>2024</v>
      </c>
      <c r="B87" s="478">
        <f t="shared" si="26"/>
        <v>108972</v>
      </c>
      <c r="C87" s="478">
        <f t="shared" si="26"/>
        <v>6503</v>
      </c>
      <c r="D87" s="478">
        <f t="shared" si="26"/>
        <v>1770</v>
      </c>
    </row>
    <row r="88" spans="1:4">
      <c r="A88" s="1645">
        <v>2025</v>
      </c>
      <c r="B88" s="478">
        <f t="shared" si="26"/>
        <v>118194</v>
      </c>
      <c r="C88" s="478">
        <f t="shared" si="26"/>
        <v>10547</v>
      </c>
      <c r="D88" s="478">
        <f t="shared" si="26"/>
        <v>2306</v>
      </c>
    </row>
  </sheetData>
  <pageMargins left="0.7" right="0.7" top="0.75" bottom="0.75" header="0.3" footer="0.3"/>
  <pageSetup orientation="portrait" r:id="rId1"/>
  <legacy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66FF33"/>
  </sheetPr>
  <dimension ref="A1:I67"/>
  <sheetViews>
    <sheetView showGridLines="0" zoomScale="80" zoomScaleNormal="80" workbookViewId="0">
      <selection activeCell="AD62" sqref="AD62"/>
    </sheetView>
  </sheetViews>
  <sheetFormatPr defaultColWidth="9.33203125" defaultRowHeight="12.75"/>
  <cols>
    <col min="1" max="1" width="13.33203125" style="74" customWidth="1"/>
    <col min="2" max="3" width="20.83203125" style="74" customWidth="1"/>
    <col min="4" max="4" width="25.1640625" style="74" customWidth="1"/>
    <col min="5" max="16384" width="9.33203125" style="74"/>
  </cols>
  <sheetData>
    <row r="1" spans="1:6" ht="15.75">
      <c r="A1" s="107" t="s">
        <v>141</v>
      </c>
      <c r="B1" s="84"/>
      <c r="C1" s="84"/>
      <c r="D1" s="84"/>
      <c r="E1" s="1675"/>
      <c r="F1" s="1675"/>
    </row>
    <row r="2" spans="1:6" ht="18.75">
      <c r="A2" s="107" t="s">
        <v>1410</v>
      </c>
      <c r="B2" s="84"/>
      <c r="C2" s="84"/>
      <c r="D2" s="84"/>
      <c r="E2" s="1675"/>
      <c r="F2" s="1675"/>
    </row>
    <row r="3" spans="1:6" ht="15.75">
      <c r="A3" s="107"/>
      <c r="B3" s="84"/>
      <c r="C3" s="84"/>
      <c r="D3" s="84"/>
      <c r="E3" s="1675"/>
      <c r="F3" s="1675"/>
    </row>
    <row r="4" spans="1:6" ht="15" customHeight="1" thickBot="1">
      <c r="A4" s="1968" t="s">
        <v>1411</v>
      </c>
      <c r="B4" s="1969"/>
      <c r="C4" s="1969"/>
      <c r="D4" s="1970"/>
      <c r="E4" s="1675"/>
      <c r="F4" s="1645"/>
    </row>
    <row r="5" spans="1:6">
      <c r="A5" s="1026" t="s">
        <v>28</v>
      </c>
      <c r="B5" s="1027" t="s">
        <v>1404</v>
      </c>
      <c r="C5" s="1027" t="s">
        <v>1302</v>
      </c>
      <c r="D5" s="1028" t="s">
        <v>1303</v>
      </c>
      <c r="E5" s="1675"/>
      <c r="F5" s="1675"/>
    </row>
    <row r="6" spans="1:6" ht="13.5" customHeight="1">
      <c r="A6" s="914">
        <v>2000</v>
      </c>
      <c r="B6" s="683">
        <f>IF(T26Manip!B5="","",T26Manip!B5)</f>
        <v>16039</v>
      </c>
      <c r="C6" s="683">
        <f>IF(T26Manip!C5="","",T26Manip!C5)</f>
        <v>322</v>
      </c>
      <c r="D6" s="1023">
        <f>IF(T26Manip!D5="","",T26Manip!D5)</f>
        <v>92</v>
      </c>
      <c r="E6" s="1675"/>
      <c r="F6" s="1675"/>
    </row>
    <row r="7" spans="1:6" ht="13.5" customHeight="1">
      <c r="A7" s="914">
        <v>2001</v>
      </c>
      <c r="B7" s="683">
        <f>IF(T26Manip!B6="","",T26Manip!B6)</f>
        <v>177642</v>
      </c>
      <c r="C7" s="683">
        <f>IF(T26Manip!C6="","",T26Manip!C6)</f>
        <v>25711</v>
      </c>
      <c r="D7" s="1023">
        <f>IF(T26Manip!D6="","",T26Manip!D6)</f>
        <v>15517</v>
      </c>
      <c r="E7" s="1675"/>
      <c r="F7" s="1675"/>
    </row>
    <row r="8" spans="1:6" ht="13.5" customHeight="1">
      <c r="A8" s="914">
        <v>2002</v>
      </c>
      <c r="B8" s="683">
        <f>IF(T26Manip!B7="","",T26Manip!B7)</f>
        <v>180127</v>
      </c>
      <c r="C8" s="683">
        <f>IF(T26Manip!C7="","",T26Manip!C7)</f>
        <v>20464</v>
      </c>
      <c r="D8" s="1023">
        <f>IF(T26Manip!D7="","",T26Manip!D7)</f>
        <v>14221</v>
      </c>
      <c r="E8" s="1675"/>
      <c r="F8" s="1675"/>
    </row>
    <row r="9" spans="1:6" ht="13.5" customHeight="1">
      <c r="A9" s="914">
        <v>2003</v>
      </c>
      <c r="B9" s="683">
        <f>IF(T26Manip!B8="","",T26Manip!B8)</f>
        <v>166640</v>
      </c>
      <c r="C9" s="683">
        <f>IF(T26Manip!C8="","",T26Manip!C8)</f>
        <v>16892</v>
      </c>
      <c r="D9" s="1023">
        <f>IF(T26Manip!D8="","",T26Manip!D8)</f>
        <v>9267</v>
      </c>
      <c r="E9" s="1675"/>
      <c r="F9" s="1675"/>
    </row>
    <row r="10" spans="1:6" ht="13.5" customHeight="1">
      <c r="A10" s="914">
        <v>2004</v>
      </c>
      <c r="B10" s="683">
        <f>IF(T26Manip!B9="","",T26Manip!B9)</f>
        <v>161992</v>
      </c>
      <c r="C10" s="683">
        <f>IF(T26Manip!C9="","",T26Manip!C9)</f>
        <v>23740</v>
      </c>
      <c r="D10" s="1023">
        <f>IF(T26Manip!D9="","",T26Manip!D9)</f>
        <v>7420</v>
      </c>
      <c r="E10" s="1675"/>
      <c r="F10" s="1675"/>
    </row>
    <row r="11" spans="1:6" ht="13.5" customHeight="1">
      <c r="A11" s="914">
        <v>2005</v>
      </c>
      <c r="B11" s="683">
        <f>IF(T26Manip!B10="","",T26Manip!B10)</f>
        <v>124695</v>
      </c>
      <c r="C11" s="683">
        <f>IF(T26Manip!C10="","",T26Manip!C10)</f>
        <v>11315</v>
      </c>
      <c r="D11" s="1023">
        <f>IF(T26Manip!D10="","",T26Manip!D10)</f>
        <v>3560</v>
      </c>
      <c r="E11" s="1675"/>
      <c r="F11" s="1675"/>
    </row>
    <row r="12" spans="1:6" ht="13.5" customHeight="1">
      <c r="A12" s="914">
        <v>2006</v>
      </c>
      <c r="B12" s="683">
        <f>IF(T26Manip!B11="","",T26Manip!B11)</f>
        <v>86835</v>
      </c>
      <c r="C12" s="683">
        <f>IF(T26Manip!C11="","",T26Manip!C11)</f>
        <v>6985</v>
      </c>
      <c r="D12" s="1023">
        <f>IF(T26Manip!D11="","",T26Manip!D11)</f>
        <v>2461</v>
      </c>
      <c r="E12" s="1675"/>
      <c r="F12" s="1675"/>
    </row>
    <row r="13" spans="1:6" ht="13.5" customHeight="1">
      <c r="A13" s="914">
        <v>2007</v>
      </c>
      <c r="B13" s="683">
        <f>IF(T26Manip!B12="","",T26Manip!B12)</f>
        <v>83010</v>
      </c>
      <c r="C13" s="683">
        <f>IF(T26Manip!C12="","",T26Manip!C12)</f>
        <v>6476</v>
      </c>
      <c r="D13" s="1023">
        <f>IF(T26Manip!D12="","",T26Manip!D12)</f>
        <v>1648</v>
      </c>
      <c r="E13" s="1675"/>
      <c r="F13" s="1675"/>
    </row>
    <row r="14" spans="1:6" ht="13.5" customHeight="1">
      <c r="A14" s="914">
        <v>2008</v>
      </c>
      <c r="B14" s="683">
        <f>IF(T26Manip!B13="","",T26Manip!B13)</f>
        <v>102972</v>
      </c>
      <c r="C14" s="683">
        <f>IF(T26Manip!C13="","",T26Manip!C13)</f>
        <v>20040</v>
      </c>
      <c r="D14" s="1023">
        <f>IF(T26Manip!D13="","",T26Manip!D13)</f>
        <v>3132</v>
      </c>
      <c r="E14" s="1675"/>
      <c r="F14" s="1675"/>
    </row>
    <row r="15" spans="1:6" ht="13.5" customHeight="1">
      <c r="A15" s="914">
        <v>2009</v>
      </c>
      <c r="B15" s="683">
        <f>IF(T26Manip!B14="","",T26Manip!B14)</f>
        <v>146402</v>
      </c>
      <c r="C15" s="683">
        <f>IF(T26Manip!C14="","",T26Manip!C14)</f>
        <v>16923</v>
      </c>
      <c r="D15" s="1023">
        <f>IF(T26Manip!D14="","",T26Manip!D14)</f>
        <v>3396</v>
      </c>
      <c r="E15" s="1675"/>
      <c r="F15" s="1675"/>
    </row>
    <row r="16" spans="1:6" ht="13.5" customHeight="1">
      <c r="A16" s="914">
        <v>2010</v>
      </c>
      <c r="B16" s="683">
        <f>IF(T26Manip!B15="","",T26Manip!B15)</f>
        <v>184976</v>
      </c>
      <c r="C16" s="683">
        <f>IF(T26Manip!C15="","",T26Manip!C15)</f>
        <v>29247</v>
      </c>
      <c r="D16" s="1023">
        <f>IF(T26Manip!D15="","",T26Manip!D15)</f>
        <v>5355</v>
      </c>
      <c r="E16" s="1675"/>
      <c r="F16" s="1675"/>
    </row>
    <row r="17" spans="1:5" ht="13.5" customHeight="1">
      <c r="A17" s="914">
        <v>2011</v>
      </c>
      <c r="B17" s="683">
        <f>IF(T26Manip!B16="","",T26Manip!B16)</f>
        <v>154895</v>
      </c>
      <c r="C17" s="683">
        <f>IF(T26Manip!C16="","",T26Manip!C16)</f>
        <v>11694</v>
      </c>
      <c r="D17" s="1023">
        <f>IF(T26Manip!D16="","",T26Manip!D16)</f>
        <v>3154</v>
      </c>
      <c r="E17" s="1675"/>
    </row>
    <row r="18" spans="1:5" ht="13.5" customHeight="1">
      <c r="A18" s="914">
        <v>2012</v>
      </c>
      <c r="B18" s="683">
        <f>IF(T26Manip!B17="","",T26Manip!B17)</f>
        <v>127919</v>
      </c>
      <c r="C18" s="683">
        <f>IF(T26Manip!C17="","",T26Manip!C17)</f>
        <v>13332</v>
      </c>
      <c r="D18" s="1023">
        <f>IF(T26Manip!D17="","",T26Manip!D17)</f>
        <v>3476</v>
      </c>
      <c r="E18" s="1675"/>
    </row>
    <row r="19" spans="1:5" ht="13.5" customHeight="1">
      <c r="A19" s="914">
        <v>2013</v>
      </c>
      <c r="B19" s="683">
        <f>IF(T26Manip!B18="","",T26Manip!B18)</f>
        <v>109655</v>
      </c>
      <c r="C19" s="683">
        <f>IF(T26Manip!C18="","",T26Manip!C18)</f>
        <v>6950</v>
      </c>
      <c r="D19" s="1023">
        <f>IF(T26Manip!D18="","",T26Manip!D18)</f>
        <v>2666</v>
      </c>
      <c r="E19" s="1675"/>
    </row>
    <row r="20" spans="1:5" ht="13.5" customHeight="1">
      <c r="A20" s="914">
        <v>2014</v>
      </c>
      <c r="B20" s="683">
        <f>IF(T26Manip!B19="","",T26Manip!B19)</f>
        <v>145642</v>
      </c>
      <c r="C20" s="683">
        <f>IF(T26Manip!C19="","",T26Manip!C19)</f>
        <v>15728</v>
      </c>
      <c r="D20" s="1023">
        <f>IF(T26Manip!D19="","",T26Manip!D19)</f>
        <v>6776</v>
      </c>
      <c r="E20" s="1675"/>
    </row>
    <row r="21" spans="1:5" ht="13.5" customHeight="1">
      <c r="A21" s="914">
        <v>2015</v>
      </c>
      <c r="B21" s="683">
        <f>IF(T26Manip!B20="","",T26Manip!B20)</f>
        <v>151173</v>
      </c>
      <c r="C21" s="683">
        <f>IF(T26Manip!C20="","",T26Manip!C20)</f>
        <v>19586</v>
      </c>
      <c r="D21" s="1023">
        <f>IF(T26Manip!D20="","",T26Manip!D20)</f>
        <v>5052</v>
      </c>
      <c r="E21" s="1675"/>
    </row>
    <row r="22" spans="1:5" ht="13.5" customHeight="1">
      <c r="A22" s="914">
        <v>2016</v>
      </c>
      <c r="B22" s="683">
        <f>IF(T26Manip!B21="","",T26Manip!B21)</f>
        <v>126826</v>
      </c>
      <c r="C22" s="683">
        <f>IF(T26Manip!C21="","",T26Manip!C21)</f>
        <v>12666</v>
      </c>
      <c r="D22" s="1023">
        <f>IF(T26Manip!D21="","",T26Manip!D21)</f>
        <v>3776</v>
      </c>
      <c r="E22" s="246"/>
    </row>
    <row r="23" spans="1:5" ht="13.5" customHeight="1">
      <c r="A23" s="914">
        <v>2017</v>
      </c>
      <c r="B23" s="683">
        <f>IF(T26Manip!B22="","",T26Manip!B22)</f>
        <v>63303</v>
      </c>
      <c r="C23" s="683">
        <f>IF(T26Manip!C22="","",T26Manip!C22)</f>
        <v>9047</v>
      </c>
      <c r="D23" s="1023">
        <f>IF(T26Manip!D22="","",T26Manip!D22)</f>
        <v>943</v>
      </c>
      <c r="E23" s="246"/>
    </row>
    <row r="24" spans="1:5" ht="13.5" customHeight="1">
      <c r="A24" s="914">
        <v>2018</v>
      </c>
      <c r="B24" s="683">
        <f>IF(T26Manip!B23="","",T26Manip!B23)</f>
        <v>89882</v>
      </c>
      <c r="C24" s="683">
        <f>IF(T26Manip!C23="","",T26Manip!C23)</f>
        <v>7509</v>
      </c>
      <c r="D24" s="1023">
        <f>IF(T26Manip!D23="","",T26Manip!D23)</f>
        <v>1530</v>
      </c>
      <c r="E24" s="246"/>
    </row>
    <row r="25" spans="1:5" ht="13.5" customHeight="1">
      <c r="A25" s="914">
        <v>2019</v>
      </c>
      <c r="B25" s="683">
        <f>IF(T26Manip!B24="","",T26Manip!B24)</f>
        <v>39409</v>
      </c>
      <c r="C25" s="683">
        <f>IF(T26Manip!C24="","",T26Manip!C24)</f>
        <v>1677</v>
      </c>
      <c r="D25" s="1023">
        <f>IF(T26Manip!D24="","",T26Manip!D24)</f>
        <v>480</v>
      </c>
      <c r="E25" s="246"/>
    </row>
    <row r="26" spans="1:5" ht="13.5" customHeight="1">
      <c r="A26" s="914">
        <v>2020</v>
      </c>
      <c r="B26" s="683">
        <f>IF(T26Manip!B25="","",T26Manip!B25)</f>
        <v>36250</v>
      </c>
      <c r="C26" s="683">
        <f>IF(T26Manip!C25="","",T26Manip!C25)</f>
        <v>1462</v>
      </c>
      <c r="D26" s="1023">
        <f>IF(T26Manip!D25="","",T26Manip!D25)</f>
        <v>1218</v>
      </c>
      <c r="E26" s="246"/>
    </row>
    <row r="27" spans="1:5" ht="13.5" customHeight="1">
      <c r="A27" s="914">
        <v>2021</v>
      </c>
      <c r="B27" s="683">
        <f>IF(T26Manip!B26="","",T26Manip!B26)</f>
        <v>67219</v>
      </c>
      <c r="C27" s="683">
        <f>IF(T26Manip!C26="","",T26Manip!C26)</f>
        <v>5385</v>
      </c>
      <c r="D27" s="1023">
        <f>IF(T26Manip!D26="","",T26Manip!D26)</f>
        <v>1428</v>
      </c>
      <c r="E27" s="246"/>
    </row>
    <row r="28" spans="1:5" ht="13.5" customHeight="1">
      <c r="A28" s="914">
        <v>2022</v>
      </c>
      <c r="B28" s="683">
        <f>IF(T26Manip!B27="","",T26Manip!B27)</f>
        <v>88445</v>
      </c>
      <c r="C28" s="683">
        <f>IF(T26Manip!C27="","",T26Manip!C27)</f>
        <v>12675</v>
      </c>
      <c r="D28" s="1023">
        <f>IF(T26Manip!D27="","",T26Manip!D27)</f>
        <v>4103</v>
      </c>
      <c r="E28" s="246"/>
    </row>
    <row r="29" spans="1:5" ht="13.5" customHeight="1">
      <c r="A29" s="914">
        <v>2023</v>
      </c>
      <c r="B29" s="683">
        <f>IF(T26Manip!B28="","",T26Manip!B28)</f>
        <v>60477</v>
      </c>
      <c r="C29" s="683">
        <f>IF(T26Manip!C28="","",T26Manip!C28)</f>
        <v>4691</v>
      </c>
      <c r="D29" s="1023">
        <f>IF(T26Manip!D28="","",T26Manip!D28)</f>
        <v>1119</v>
      </c>
      <c r="E29" s="246"/>
    </row>
    <row r="30" spans="1:5" ht="13.5" customHeight="1">
      <c r="A30" s="914">
        <v>2024</v>
      </c>
      <c r="B30" s="683">
        <f>IF(T26Manip!B29="","",T26Manip!B29)</f>
        <v>73976</v>
      </c>
      <c r="C30" s="683">
        <f>IF(T26Manip!C29="","",T26Manip!C29)</f>
        <v>5705</v>
      </c>
      <c r="D30" s="1023">
        <f>IF(T26Manip!D29="","",T26Manip!D29)</f>
        <v>1100</v>
      </c>
      <c r="E30" s="246"/>
    </row>
    <row r="31" spans="1:5" ht="13.5" customHeight="1">
      <c r="A31" s="919">
        <v>2025</v>
      </c>
      <c r="B31" s="1024">
        <f>IF(T26Manip!B30="","",T26Manip!B30)</f>
        <v>90201</v>
      </c>
      <c r="C31" s="1024">
        <f>IF(T26Manip!C30="","",T26Manip!C30)</f>
        <v>10086</v>
      </c>
      <c r="D31" s="1025">
        <f>IF(T26Manip!D30="","",T26Manip!D30)</f>
        <v>1576</v>
      </c>
      <c r="E31" s="246"/>
    </row>
    <row r="32" spans="1:5" ht="23.25" customHeight="1">
      <c r="A32" s="1971" t="s">
        <v>1412</v>
      </c>
      <c r="B32" s="1972"/>
      <c r="C32" s="1972"/>
      <c r="D32" s="1973"/>
      <c r="E32" s="1675"/>
    </row>
    <row r="33" spans="1:9">
      <c r="A33" s="1029" t="s">
        <v>28</v>
      </c>
      <c r="B33" s="1030" t="s">
        <v>1404</v>
      </c>
      <c r="C33" s="1030" t="s">
        <v>1302</v>
      </c>
      <c r="D33" s="1031" t="s">
        <v>1303</v>
      </c>
      <c r="E33" s="1675"/>
      <c r="F33" s="1675"/>
      <c r="G33" s="1675"/>
      <c r="H33" s="1675"/>
      <c r="I33" s="1675"/>
    </row>
    <row r="34" spans="1:9" ht="13.5" customHeight="1">
      <c r="A34" s="1094">
        <v>2000</v>
      </c>
      <c r="B34" s="1095">
        <f>IF(T26Manip!B34="","",T26Manip!B34)</f>
        <v>28038</v>
      </c>
      <c r="C34" s="1095">
        <f>IF(T26Manip!C34="","",T26Manip!C34)</f>
        <v>0</v>
      </c>
      <c r="D34" s="1096">
        <f>IF(T26Manip!D34="","",T26Manip!D34)</f>
        <v>341</v>
      </c>
      <c r="E34" s="1675"/>
      <c r="F34" s="1675"/>
      <c r="G34" s="1675"/>
      <c r="H34" s="1675"/>
      <c r="I34" s="1675"/>
    </row>
    <row r="35" spans="1:9" ht="13.5" customHeight="1">
      <c r="A35" s="914">
        <v>2001</v>
      </c>
      <c r="B35" s="683">
        <f>IF(T26Manip!B35="","",T26Manip!B35)</f>
        <v>32312</v>
      </c>
      <c r="C35" s="683">
        <f>IF(T26Manip!C35="","",T26Manip!C35)</f>
        <v>0</v>
      </c>
      <c r="D35" s="1023">
        <f>IF(T26Manip!D35="","",T26Manip!D35)</f>
        <v>889</v>
      </c>
      <c r="E35" s="1675"/>
      <c r="F35" s="1675"/>
      <c r="G35" s="1675"/>
      <c r="H35" s="1675"/>
      <c r="I35" s="1675"/>
    </row>
    <row r="36" spans="1:9" ht="13.5" customHeight="1">
      <c r="A36" s="914">
        <v>2002</v>
      </c>
      <c r="B36" s="683">
        <f>IF(T26Manip!B36="","",T26Manip!B36)</f>
        <v>54839</v>
      </c>
      <c r="C36" s="683">
        <f>IF(T26Manip!C36="","",T26Manip!C36)</f>
        <v>1352</v>
      </c>
      <c r="D36" s="1023">
        <f>IF(T26Manip!D36="","",T26Manip!D36)</f>
        <v>1840</v>
      </c>
      <c r="E36" s="1675"/>
      <c r="F36" s="1675"/>
      <c r="G36" s="1675"/>
      <c r="H36" s="1675"/>
      <c r="I36" s="1675"/>
    </row>
    <row r="37" spans="1:9" ht="13.5" customHeight="1">
      <c r="A37" s="914">
        <v>2003</v>
      </c>
      <c r="B37" s="683">
        <f>IF(T26Manip!B37="","",T26Manip!B37)</f>
        <v>46943</v>
      </c>
      <c r="C37" s="683">
        <f>IF(T26Manip!C37="","",T26Manip!C37)</f>
        <v>1854</v>
      </c>
      <c r="D37" s="1023">
        <f>IF(T26Manip!D37="","",T26Manip!D37)</f>
        <v>1777</v>
      </c>
      <c r="E37" s="1675"/>
      <c r="F37" s="1675"/>
      <c r="G37" s="1675"/>
      <c r="H37" s="1675"/>
      <c r="I37" s="1675"/>
    </row>
    <row r="38" spans="1:9" ht="13.5" customHeight="1">
      <c r="A38" s="914">
        <v>2004</v>
      </c>
      <c r="B38" s="683">
        <f>IF(T26Manip!B38="","",T26Manip!B38)</f>
        <v>41850</v>
      </c>
      <c r="C38" s="683">
        <f>IF(T26Manip!C38="","",T26Manip!C38)</f>
        <v>1119</v>
      </c>
      <c r="D38" s="1023">
        <f>IF(T26Manip!D38="","",T26Manip!D38)</f>
        <v>1325</v>
      </c>
      <c r="E38" s="1675"/>
      <c r="F38" s="1675"/>
      <c r="G38" s="1675"/>
      <c r="H38" s="1675"/>
      <c r="I38" s="1675"/>
    </row>
    <row r="39" spans="1:9" ht="13.5" customHeight="1">
      <c r="A39" s="914">
        <v>2005</v>
      </c>
      <c r="B39" s="683">
        <f>IF(T26Manip!B39="","",T26Manip!B39)</f>
        <v>38505</v>
      </c>
      <c r="C39" s="683">
        <f>IF(T26Manip!C39="","",T26Manip!C39)</f>
        <v>1571</v>
      </c>
      <c r="D39" s="1023">
        <f>IF(T26Manip!D39="","",T26Manip!D39)</f>
        <v>500</v>
      </c>
      <c r="E39" s="1675"/>
      <c r="F39" s="1675"/>
      <c r="G39" s="1675"/>
      <c r="H39" s="1675"/>
      <c r="I39" s="1675"/>
    </row>
    <row r="40" spans="1:9" ht="13.5" customHeight="1">
      <c r="A40" s="914">
        <v>2006</v>
      </c>
      <c r="B40" s="683">
        <f>IF(T26Manip!B40="","",T26Manip!B40)</f>
        <v>43802</v>
      </c>
      <c r="C40" s="683">
        <f>IF(T26Manip!C40="","",T26Manip!C40)</f>
        <v>4924</v>
      </c>
      <c r="D40" s="1023">
        <f>IF(T26Manip!D40="","",T26Manip!D40)</f>
        <v>16</v>
      </c>
      <c r="E40" s="1675"/>
      <c r="F40" s="1675"/>
      <c r="G40" s="1675"/>
      <c r="H40" s="1675"/>
      <c r="I40" s="1675"/>
    </row>
    <row r="41" spans="1:9" ht="13.5" customHeight="1">
      <c r="A41" s="914">
        <v>2007</v>
      </c>
      <c r="B41" s="683">
        <f>IF(T26Manip!B41="","",T26Manip!B41)</f>
        <v>39768</v>
      </c>
      <c r="C41" s="683">
        <f>IF(T26Manip!C41="","",T26Manip!C41)</f>
        <v>2214</v>
      </c>
      <c r="D41" s="1023">
        <f>IF(T26Manip!D41="","",T26Manip!D41)</f>
        <v>219</v>
      </c>
      <c r="E41" s="1675"/>
      <c r="F41" s="1675"/>
      <c r="G41" s="1675"/>
      <c r="H41" s="1675"/>
      <c r="I41" s="1675" t="s">
        <v>153</v>
      </c>
    </row>
    <row r="42" spans="1:9" ht="13.5" customHeight="1">
      <c r="A42" s="914">
        <v>2008</v>
      </c>
      <c r="B42" s="683">
        <f>IF(T26Manip!B42="","",T26Manip!B42)</f>
        <v>51288</v>
      </c>
      <c r="C42" s="683">
        <f>IF(T26Manip!C42="","",T26Manip!C42)</f>
        <v>2051</v>
      </c>
      <c r="D42" s="1023">
        <f>IF(T26Manip!D42="","",T26Manip!D42)</f>
        <v>890</v>
      </c>
      <c r="E42" s="1675"/>
      <c r="F42" s="1675"/>
      <c r="G42" s="1675"/>
      <c r="H42" s="1675"/>
      <c r="I42" s="1675"/>
    </row>
    <row r="43" spans="1:9" ht="13.5" customHeight="1">
      <c r="A43" s="914">
        <v>2009</v>
      </c>
      <c r="B43" s="683">
        <f>IF(T26Manip!B43="","",T26Manip!B43)</f>
        <v>63213</v>
      </c>
      <c r="C43" s="683">
        <f>IF(T26Manip!C43="","",T26Manip!C43)</f>
        <v>2256</v>
      </c>
      <c r="D43" s="1023">
        <f>IF(T26Manip!D43="","",T26Manip!D43)</f>
        <v>850</v>
      </c>
      <c r="E43" s="1675"/>
      <c r="F43" s="1675"/>
      <c r="G43" s="1675"/>
      <c r="H43" s="1675"/>
      <c r="I43" s="1675"/>
    </row>
    <row r="44" spans="1:9" ht="13.5" customHeight="1">
      <c r="A44" s="914">
        <v>2010</v>
      </c>
      <c r="B44" s="683">
        <f>IF(T26Manip!B44="","",T26Manip!B44)</f>
        <v>70661</v>
      </c>
      <c r="C44" s="683">
        <f>IF(T26Manip!C44="","",T26Manip!C44)</f>
        <v>2539</v>
      </c>
      <c r="D44" s="1023">
        <f>IF(T26Manip!D44="","",T26Manip!D44)</f>
        <v>1328</v>
      </c>
      <c r="E44" s="1675"/>
      <c r="F44" s="1675"/>
      <c r="G44" s="1675"/>
      <c r="H44" s="1675"/>
      <c r="I44" s="1675"/>
    </row>
    <row r="45" spans="1:9" ht="13.5" customHeight="1">
      <c r="A45" s="914">
        <v>2011</v>
      </c>
      <c r="B45" s="683">
        <f>IF(T26Manip!B45="","",T26Manip!B45)</f>
        <v>75818</v>
      </c>
      <c r="C45" s="683">
        <f>IF(T26Manip!C45="","",T26Manip!C45)</f>
        <v>5160</v>
      </c>
      <c r="D45" s="1023">
        <f>IF(T26Manip!D45="","",T26Manip!D45)</f>
        <v>2771</v>
      </c>
      <c r="E45" s="1675"/>
      <c r="F45" s="1675"/>
      <c r="G45" s="1675"/>
      <c r="H45" s="1675"/>
      <c r="I45" s="1675"/>
    </row>
    <row r="46" spans="1:9" ht="13.5" customHeight="1">
      <c r="A46" s="914">
        <v>2012</v>
      </c>
      <c r="B46" s="683">
        <f>IF(T26Manip!B46="","",T26Manip!B46)</f>
        <v>80733</v>
      </c>
      <c r="C46" s="683">
        <f>IF(T26Manip!C46="","",T26Manip!C46)</f>
        <v>2897</v>
      </c>
      <c r="D46" s="1023">
        <f>IF(T26Manip!D46="","",T26Manip!D46)</f>
        <v>2558</v>
      </c>
      <c r="E46" s="1675"/>
      <c r="F46" s="1675"/>
      <c r="G46" s="1675"/>
      <c r="H46" s="1675"/>
      <c r="I46" s="1675"/>
    </row>
    <row r="47" spans="1:9" ht="13.5" customHeight="1">
      <c r="A47" s="914">
        <v>2013</v>
      </c>
      <c r="B47" s="683">
        <f>IF(T26Manip!B47="","",T26Manip!B47)</f>
        <v>52037</v>
      </c>
      <c r="C47" s="683">
        <f>IF(T26Manip!C47="","",T26Manip!C47)</f>
        <v>1832</v>
      </c>
      <c r="D47" s="1023">
        <f>IF(T26Manip!D47="","",T26Manip!D47)</f>
        <v>1508</v>
      </c>
      <c r="E47" s="1675"/>
      <c r="F47" s="1675"/>
      <c r="G47" s="1675"/>
      <c r="H47" s="1675"/>
      <c r="I47" s="1675"/>
    </row>
    <row r="48" spans="1:9" ht="13.5" customHeight="1">
      <c r="A48" s="914">
        <v>2014</v>
      </c>
      <c r="B48" s="683">
        <f>IF(T26Manip!B48="","",T26Manip!B48)</f>
        <v>53661</v>
      </c>
      <c r="C48" s="683">
        <f>IF(T26Manip!C48="","",T26Manip!C48)</f>
        <v>1980</v>
      </c>
      <c r="D48" s="1023">
        <f>IF(T26Manip!D48="","",T26Manip!D48)</f>
        <v>2703</v>
      </c>
      <c r="E48" s="1675"/>
      <c r="F48" s="1675"/>
      <c r="G48" s="1675"/>
      <c r="H48" s="1675"/>
      <c r="I48" s="1675"/>
    </row>
    <row r="49" spans="1:6" ht="13.5" customHeight="1">
      <c r="A49" s="914">
        <v>2015</v>
      </c>
      <c r="B49" s="683">
        <f>IF(T26Manip!B49="","",T26Manip!B49)</f>
        <v>50555</v>
      </c>
      <c r="C49" s="683">
        <f>IF(T26Manip!C49="","",T26Manip!C49)</f>
        <v>5928</v>
      </c>
      <c r="D49" s="1023">
        <f>IF(T26Manip!D49="","",T26Manip!D49)</f>
        <v>1491</v>
      </c>
      <c r="E49" s="1675"/>
      <c r="F49" s="1675"/>
    </row>
    <row r="50" spans="1:6" ht="13.5" customHeight="1">
      <c r="A50" s="914">
        <v>2016</v>
      </c>
      <c r="B50" s="683">
        <f>IF(T26Manip!B50="","",T26Manip!B50)</f>
        <v>58067</v>
      </c>
      <c r="C50" s="683">
        <f>IF(T26Manip!C50="","",T26Manip!C50)</f>
        <v>3080</v>
      </c>
      <c r="D50" s="1023">
        <f>IF(T26Manip!D50="","",T26Manip!D50)</f>
        <v>4170</v>
      </c>
      <c r="E50" s="1675"/>
      <c r="F50" s="1675"/>
    </row>
    <row r="51" spans="1:6" ht="13.5" customHeight="1">
      <c r="A51" s="914">
        <v>2017</v>
      </c>
      <c r="B51" s="683">
        <f>IF(T26Manip!B51="","",T26Manip!B51)</f>
        <v>41595</v>
      </c>
      <c r="C51" s="683">
        <f>IF(T26Manip!C51="","",T26Manip!C51)</f>
        <v>3516</v>
      </c>
      <c r="D51" s="1023">
        <f>IF(T26Manip!D51="","",T26Manip!D51)</f>
        <v>2248</v>
      </c>
      <c r="E51" s="1675"/>
      <c r="F51" s="1675"/>
    </row>
    <row r="52" spans="1:6" ht="13.5" customHeight="1">
      <c r="A52" s="914">
        <v>2018</v>
      </c>
      <c r="B52" s="683">
        <f>IF(T26Manip!B52="","",T26Manip!B52)</f>
        <v>27475</v>
      </c>
      <c r="C52" s="683">
        <f>IF(T26Manip!C52="","",T26Manip!C52)</f>
        <v>1027</v>
      </c>
      <c r="D52" s="1023">
        <f>IF(T26Manip!D52="","",T26Manip!D52)</f>
        <v>750</v>
      </c>
      <c r="E52" s="1675"/>
      <c r="F52" s="107"/>
    </row>
    <row r="53" spans="1:6" ht="13.5" customHeight="1">
      <c r="A53" s="914">
        <v>2019</v>
      </c>
      <c r="B53" s="683">
        <f>IF(T26Manip!B53="","",T26Manip!B53)</f>
        <v>19756</v>
      </c>
      <c r="C53" s="683">
        <f>IF(T26Manip!C53="","",T26Manip!C53)</f>
        <v>0</v>
      </c>
      <c r="D53" s="1023">
        <f>IF(T26Manip!D53="","",T26Manip!D53)</f>
        <v>492</v>
      </c>
      <c r="E53" s="1675"/>
      <c r="F53" s="107"/>
    </row>
    <row r="54" spans="1:6" ht="13.5" customHeight="1">
      <c r="A54" s="914">
        <v>2020</v>
      </c>
      <c r="B54" s="683">
        <f>IF(T26Manip!B54="","",T26Manip!B54)</f>
        <v>37099</v>
      </c>
      <c r="C54" s="683">
        <f>IF(T26Manip!C54="","",T26Manip!C54)</f>
        <v>1191</v>
      </c>
      <c r="D54" s="1023">
        <f>IF(T26Manip!D54="","",T26Manip!D54)</f>
        <v>1504</v>
      </c>
      <c r="E54" s="1675"/>
      <c r="F54" s="107"/>
    </row>
    <row r="55" spans="1:6" ht="13.5" customHeight="1">
      <c r="A55" s="914">
        <v>2021</v>
      </c>
      <c r="B55" s="683">
        <f>IF(T26Manip!B55="","",T26Manip!B55)</f>
        <v>28868</v>
      </c>
      <c r="C55" s="683">
        <f>IF(T26Manip!C55="","",T26Manip!C55)</f>
        <v>2134</v>
      </c>
      <c r="D55" s="1023">
        <f>IF(T26Manip!D55="","",T26Manip!D55)</f>
        <v>998</v>
      </c>
      <c r="E55" s="1675"/>
      <c r="F55" s="107"/>
    </row>
    <row r="56" spans="1:6" ht="13.5" customHeight="1">
      <c r="A56" s="914">
        <v>2022</v>
      </c>
      <c r="B56" s="683">
        <f>IF(T26Manip!B56="","",T26Manip!B56)</f>
        <v>31684</v>
      </c>
      <c r="C56" s="683">
        <f>IF(T26Manip!C56="","",T26Manip!C56)</f>
        <v>3244</v>
      </c>
      <c r="D56" s="1023">
        <f>IF(T26Manip!D56="","",T26Manip!D56)</f>
        <v>2032</v>
      </c>
      <c r="E56" s="1675"/>
      <c r="F56" s="107"/>
    </row>
    <row r="57" spans="1:6" ht="13.5" customHeight="1">
      <c r="A57" s="914">
        <v>2023</v>
      </c>
      <c r="B57" s="683">
        <f>IF(T26Manip!B57="","",T26Manip!B57)</f>
        <v>36044</v>
      </c>
      <c r="C57" s="683">
        <f>IF(T26Manip!C57="","",T26Manip!C57)</f>
        <v>2019</v>
      </c>
      <c r="D57" s="1023">
        <f>IF(T26Manip!D57="","",T26Manip!D57)</f>
        <v>950</v>
      </c>
      <c r="E57" s="1675"/>
      <c r="F57" s="107"/>
    </row>
    <row r="58" spans="1:6" ht="13.5" customHeight="1">
      <c r="A58" s="914">
        <v>2024</v>
      </c>
      <c r="B58" s="683">
        <f>IF(T26Manip!B58="","",T26Manip!B58)</f>
        <v>34996</v>
      </c>
      <c r="C58" s="683">
        <f>IF(T26Manip!C58="","",T26Manip!C58)</f>
        <v>798</v>
      </c>
      <c r="D58" s="1023">
        <f>IF(T26Manip!D58="","",T26Manip!D58)</f>
        <v>670</v>
      </c>
      <c r="E58" s="1675"/>
      <c r="F58" s="107"/>
    </row>
    <row r="59" spans="1:6" ht="13.5" customHeight="1">
      <c r="A59" s="919">
        <v>2025</v>
      </c>
      <c r="B59" s="1024">
        <f>IF(T26Manip!B59="","",T26Manip!B59)</f>
        <v>27993</v>
      </c>
      <c r="C59" s="1024">
        <f>IF(T26Manip!C59="","",T26Manip!C59)</f>
        <v>461</v>
      </c>
      <c r="D59" s="1025">
        <f>IF(T26Manip!D59="","",T26Manip!D59)</f>
        <v>730</v>
      </c>
      <c r="E59" s="1675"/>
      <c r="F59" s="107"/>
    </row>
    <row r="60" spans="1:6" ht="22.5" customHeight="1">
      <c r="A60" s="1466" t="s">
        <v>1413</v>
      </c>
      <c r="B60" s="1466"/>
      <c r="C60" s="1466"/>
      <c r="D60" s="1466"/>
      <c r="E60" s="1675"/>
      <c r="F60" s="1675"/>
    </row>
    <row r="61" spans="1:6" ht="18.75" customHeight="1">
      <c r="A61" s="1974" t="s">
        <v>1414</v>
      </c>
      <c r="B61" s="1974"/>
      <c r="C61" s="1974"/>
      <c r="D61" s="1974"/>
      <c r="E61" s="1675"/>
      <c r="F61" s="1675"/>
    </row>
    <row r="62" spans="1:6" ht="38.25" customHeight="1">
      <c r="A62" s="1974" t="s">
        <v>1415</v>
      </c>
      <c r="B62" s="1974"/>
      <c r="C62" s="1974"/>
      <c r="D62" s="1974"/>
      <c r="E62" s="1675"/>
      <c r="F62" s="1675"/>
    </row>
    <row r="63" spans="1:6" ht="33.75" customHeight="1">
      <c r="A63" s="1974" t="s">
        <v>1416</v>
      </c>
      <c r="B63" s="1974"/>
      <c r="C63" s="1974"/>
      <c r="D63" s="1974"/>
      <c r="E63" s="1675"/>
      <c r="F63" s="1675"/>
    </row>
    <row r="64" spans="1:6" ht="15.75">
      <c r="A64" s="84"/>
      <c r="B64" s="84"/>
      <c r="C64" s="84"/>
      <c r="D64" s="84"/>
      <c r="E64" s="1675"/>
      <c r="F64" s="1675"/>
    </row>
    <row r="65" spans="1:4" ht="15.75">
      <c r="A65" s="84"/>
      <c r="B65" s="84"/>
      <c r="C65" s="84"/>
      <c r="D65" s="84"/>
    </row>
    <row r="66" spans="1:4" ht="15.75">
      <c r="A66" s="84"/>
      <c r="B66" s="84"/>
      <c r="C66" s="84"/>
      <c r="D66" s="84"/>
    </row>
    <row r="67" spans="1:4" ht="15.75">
      <c r="A67" s="84"/>
      <c r="B67" s="84"/>
      <c r="C67" s="84"/>
      <c r="D67" s="84"/>
    </row>
  </sheetData>
  <mergeCells count="5">
    <mergeCell ref="A4:D4"/>
    <mergeCell ref="A32:D32"/>
    <mergeCell ref="A61:D61"/>
    <mergeCell ref="A62:D62"/>
    <mergeCell ref="A63:D63"/>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66FF33"/>
  </sheetPr>
  <dimension ref="A1:W43"/>
  <sheetViews>
    <sheetView zoomScale="120" zoomScaleNormal="120" workbookViewId="0">
      <pane ySplit="3" topLeftCell="A7" activePane="bottomLeft" state="frozen"/>
      <selection pane="bottomLeft" activeCell="I39" activeCellId="1" sqref="C39 I39"/>
      <selection activeCell="J33" sqref="J33"/>
    </sheetView>
  </sheetViews>
  <sheetFormatPr defaultColWidth="10.1640625" defaultRowHeight="12.75"/>
  <cols>
    <col min="1" max="16384" width="10.1640625" style="74"/>
  </cols>
  <sheetData>
    <row r="1" spans="1:23" ht="14.25" customHeight="1" thickTop="1" thickBot="1">
      <c r="A1" s="1629"/>
      <c r="B1" s="1978" t="s">
        <v>1143</v>
      </c>
      <c r="C1" s="1978"/>
      <c r="D1" s="1978"/>
      <c r="E1" s="1978"/>
      <c r="F1" s="1978"/>
      <c r="G1" s="1624"/>
      <c r="H1" s="1978" t="s">
        <v>1144</v>
      </c>
      <c r="I1" s="1978"/>
      <c r="J1" s="1978"/>
      <c r="K1" s="1978"/>
      <c r="L1" s="1979"/>
      <c r="M1" s="1675"/>
      <c r="N1" s="1645"/>
      <c r="O1" s="1675"/>
      <c r="P1" s="1675"/>
      <c r="Q1" s="1675"/>
      <c r="R1" s="1675"/>
      <c r="S1" s="1675"/>
      <c r="T1" s="1675"/>
      <c r="U1" s="1675"/>
      <c r="V1" s="1675"/>
      <c r="W1" s="1675"/>
    </row>
    <row r="2" spans="1:23" ht="12.75" customHeight="1">
      <c r="A2" s="1756" t="s">
        <v>28</v>
      </c>
      <c r="B2" s="1975" t="s">
        <v>121</v>
      </c>
      <c r="C2" s="1975" t="s">
        <v>1146</v>
      </c>
      <c r="D2" s="1975" t="s">
        <v>177</v>
      </c>
      <c r="E2" s="1975" t="s">
        <v>1417</v>
      </c>
      <c r="F2" s="1975" t="s">
        <v>1418</v>
      </c>
      <c r="G2" s="1744"/>
      <c r="H2" s="1975" t="s">
        <v>121</v>
      </c>
      <c r="I2" s="1975" t="s">
        <v>1146</v>
      </c>
      <c r="J2" s="1975" t="s">
        <v>177</v>
      </c>
      <c r="K2" s="1975" t="s">
        <v>1417</v>
      </c>
      <c r="L2" s="1976" t="s">
        <v>1419</v>
      </c>
      <c r="M2" s="1675"/>
      <c r="N2" s="1975" t="s">
        <v>121</v>
      </c>
      <c r="O2" s="1975" t="s">
        <v>1146</v>
      </c>
      <c r="P2" s="1975" t="s">
        <v>177</v>
      </c>
      <c r="Q2" s="1975" t="s">
        <v>1417</v>
      </c>
      <c r="R2" s="1975" t="s">
        <v>1420</v>
      </c>
      <c r="S2" s="1675"/>
      <c r="T2" s="1675"/>
      <c r="U2" s="1675"/>
      <c r="V2" s="1675"/>
      <c r="W2" s="1675"/>
    </row>
    <row r="3" spans="1:23" ht="13.5" thickBot="1">
      <c r="A3" s="1980"/>
      <c r="B3" s="1763"/>
      <c r="C3" s="1763"/>
      <c r="D3" s="1763"/>
      <c r="E3" s="1763"/>
      <c r="F3" s="1763"/>
      <c r="G3" s="1763"/>
      <c r="H3" s="1763"/>
      <c r="I3" s="1763"/>
      <c r="J3" s="1763"/>
      <c r="K3" s="1763"/>
      <c r="L3" s="1977"/>
      <c r="M3" s="1675"/>
      <c r="N3" s="1763"/>
      <c r="O3" s="1763"/>
      <c r="P3" s="1763"/>
      <c r="Q3" s="1763"/>
      <c r="R3" s="1763"/>
      <c r="S3" s="1675"/>
      <c r="T3" s="1675"/>
      <c r="U3" s="1675"/>
      <c r="V3" s="1675"/>
      <c r="W3" s="1675"/>
    </row>
    <row r="4" spans="1:23">
      <c r="A4" s="1630">
        <v>1990</v>
      </c>
      <c r="B4" s="83">
        <v>6.8</v>
      </c>
      <c r="C4" s="83">
        <v>0.3</v>
      </c>
      <c r="D4" s="83">
        <v>2</v>
      </c>
      <c r="E4" s="83" t="s">
        <v>97</v>
      </c>
      <c r="F4" s="83">
        <f t="shared" ref="F4:F20" si="0">SUM(B4:E4)</f>
        <v>9.1</v>
      </c>
      <c r="G4" s="86"/>
      <c r="H4" s="83">
        <v>2</v>
      </c>
      <c r="I4" s="83" t="s">
        <v>795</v>
      </c>
      <c r="J4" s="83">
        <v>1.1000000000000001</v>
      </c>
      <c r="K4" s="83"/>
      <c r="L4" s="83">
        <f t="shared" ref="L4:L29" si="1">SUM(H4:K4)</f>
        <v>3.1</v>
      </c>
      <c r="M4" s="87">
        <f t="shared" ref="M4:M30" si="2">SUM(L4,F4)</f>
        <v>12.2</v>
      </c>
      <c r="N4" s="87">
        <f>B4+H4</f>
        <v>8.8000000000000007</v>
      </c>
      <c r="O4" s="87">
        <f>+R4-P4-N4</f>
        <v>0.29999999999999893</v>
      </c>
      <c r="P4" s="87">
        <f>D4+J4</f>
        <v>3.1</v>
      </c>
      <c r="Q4" s="88" t="s">
        <v>97</v>
      </c>
      <c r="R4" s="89">
        <f>+L4+F4</f>
        <v>12.2</v>
      </c>
      <c r="S4" s="1675"/>
      <c r="T4" s="1675" t="s">
        <v>1421</v>
      </c>
      <c r="U4" s="1675"/>
      <c r="V4" s="1675"/>
      <c r="W4" s="1675"/>
    </row>
    <row r="5" spans="1:23">
      <c r="A5" s="1630">
        <v>1991</v>
      </c>
      <c r="B5" s="83">
        <v>3.5</v>
      </c>
      <c r="C5" s="83">
        <v>0.6</v>
      </c>
      <c r="D5" s="83">
        <v>1.5</v>
      </c>
      <c r="E5" s="83" t="s">
        <v>97</v>
      </c>
      <c r="F5" s="83">
        <f t="shared" si="0"/>
        <v>5.6</v>
      </c>
      <c r="G5" s="86"/>
      <c r="H5" s="83" t="s">
        <v>97</v>
      </c>
      <c r="I5" s="83" t="s">
        <v>97</v>
      </c>
      <c r="J5" s="83" t="s">
        <v>97</v>
      </c>
      <c r="K5" s="83" t="s">
        <v>97</v>
      </c>
      <c r="L5" s="83">
        <f t="shared" si="1"/>
        <v>0</v>
      </c>
      <c r="M5" s="87">
        <f t="shared" si="2"/>
        <v>5.6</v>
      </c>
      <c r="N5" s="87">
        <f>B5</f>
        <v>3.5</v>
      </c>
      <c r="O5" s="87">
        <f>C5</f>
        <v>0.6</v>
      </c>
      <c r="P5" s="87">
        <f>D5</f>
        <v>1.5</v>
      </c>
      <c r="Q5" s="88" t="s">
        <v>97</v>
      </c>
      <c r="R5" s="87">
        <f t="shared" ref="R5:R13" si="3">+L5+F5</f>
        <v>5.6</v>
      </c>
      <c r="S5" s="1675">
        <v>5.5970000000000004</v>
      </c>
      <c r="T5" s="1675"/>
      <c r="U5" s="1675"/>
      <c r="V5" s="1675"/>
      <c r="W5" s="1675"/>
    </row>
    <row r="6" spans="1:23">
      <c r="A6" s="1630">
        <v>1992</v>
      </c>
      <c r="B6" s="83">
        <v>3.1</v>
      </c>
      <c r="C6" s="83">
        <v>1</v>
      </c>
      <c r="D6" s="83">
        <v>1.2</v>
      </c>
      <c r="E6" s="83" t="s">
        <v>97</v>
      </c>
      <c r="F6" s="83">
        <f t="shared" si="0"/>
        <v>5.3</v>
      </c>
      <c r="G6" s="86"/>
      <c r="H6" s="83" t="s">
        <v>97</v>
      </c>
      <c r="I6" s="83" t="s">
        <v>97</v>
      </c>
      <c r="J6" s="83" t="s">
        <v>97</v>
      </c>
      <c r="K6" s="83" t="s">
        <v>97</v>
      </c>
      <c r="L6" s="83">
        <f t="shared" si="1"/>
        <v>0</v>
      </c>
      <c r="M6" s="87">
        <f t="shared" si="2"/>
        <v>5.3</v>
      </c>
      <c r="N6" s="87">
        <v>3.1</v>
      </c>
      <c r="O6" s="87">
        <f t="shared" ref="O6:O13" si="4">+R6-P6-N6</f>
        <v>0.99999999999999956</v>
      </c>
      <c r="P6" s="87">
        <v>1.2</v>
      </c>
      <c r="Q6" s="88" t="s">
        <v>97</v>
      </c>
      <c r="R6" s="87">
        <f t="shared" si="3"/>
        <v>5.3</v>
      </c>
      <c r="S6" s="1675">
        <v>5.2770000000000001</v>
      </c>
      <c r="T6" s="1675"/>
      <c r="U6" s="1675"/>
      <c r="V6" s="1675"/>
      <c r="W6" s="1675"/>
    </row>
    <row r="7" spans="1:23">
      <c r="A7" s="1630">
        <v>1993</v>
      </c>
      <c r="B7" s="83">
        <v>0.3</v>
      </c>
      <c r="C7" s="83">
        <v>0.2</v>
      </c>
      <c r="D7" s="83">
        <v>0.1</v>
      </c>
      <c r="E7" s="83" t="s">
        <v>97</v>
      </c>
      <c r="F7" s="83">
        <f t="shared" si="0"/>
        <v>0.6</v>
      </c>
      <c r="G7" s="86"/>
      <c r="H7" s="83">
        <v>0.6</v>
      </c>
      <c r="I7" s="83">
        <v>0.3</v>
      </c>
      <c r="J7" s="83">
        <v>0.3</v>
      </c>
      <c r="K7" s="83"/>
      <c r="L7" s="83">
        <f t="shared" si="1"/>
        <v>1.2</v>
      </c>
      <c r="M7" s="87">
        <f t="shared" si="2"/>
        <v>1.7999999999999998</v>
      </c>
      <c r="N7" s="87">
        <f>B7+H7</f>
        <v>0.89999999999999991</v>
      </c>
      <c r="O7" s="87">
        <f t="shared" si="4"/>
        <v>0.5</v>
      </c>
      <c r="P7" s="87">
        <f>D7+J7</f>
        <v>0.4</v>
      </c>
      <c r="Q7" s="88" t="s">
        <v>97</v>
      </c>
      <c r="R7" s="87">
        <f t="shared" si="3"/>
        <v>1.7999999999999998</v>
      </c>
      <c r="S7" s="1675">
        <v>1.8620000000000001</v>
      </c>
      <c r="T7" s="1675"/>
      <c r="U7" s="1675"/>
      <c r="V7" s="1675"/>
      <c r="W7" s="1675"/>
    </row>
    <row r="8" spans="1:23">
      <c r="A8" s="1630">
        <v>1994</v>
      </c>
      <c r="B8" s="83">
        <v>1</v>
      </c>
      <c r="C8" s="83">
        <v>0.3</v>
      </c>
      <c r="D8" s="83">
        <v>0.2</v>
      </c>
      <c r="E8" s="83" t="s">
        <v>97</v>
      </c>
      <c r="F8" s="83">
        <f t="shared" si="0"/>
        <v>1.5</v>
      </c>
      <c r="G8" s="86"/>
      <c r="H8" s="83">
        <v>0.3</v>
      </c>
      <c r="I8" s="83">
        <v>0.1</v>
      </c>
      <c r="J8" s="83">
        <v>0.2</v>
      </c>
      <c r="K8" s="83"/>
      <c r="L8" s="83">
        <f t="shared" si="1"/>
        <v>0.60000000000000009</v>
      </c>
      <c r="M8" s="87">
        <f t="shared" si="2"/>
        <v>2.1</v>
      </c>
      <c r="N8" s="87">
        <f>B8+H8</f>
        <v>1.3</v>
      </c>
      <c r="O8" s="87">
        <f t="shared" si="4"/>
        <v>0.40000000000000013</v>
      </c>
      <c r="P8" s="87">
        <f>D8+J8</f>
        <v>0.4</v>
      </c>
      <c r="Q8" s="88" t="s">
        <v>97</v>
      </c>
      <c r="R8" s="87">
        <f t="shared" si="3"/>
        <v>2.1</v>
      </c>
      <c r="S8" s="1675">
        <v>2.004</v>
      </c>
      <c r="T8" s="1675"/>
      <c r="U8" s="1675"/>
      <c r="V8" s="1675"/>
      <c r="W8" s="1675"/>
    </row>
    <row r="9" spans="1:23">
      <c r="A9" s="1630">
        <v>1995</v>
      </c>
      <c r="B9" s="83" t="s">
        <v>97</v>
      </c>
      <c r="C9" s="83" t="s">
        <v>97</v>
      </c>
      <c r="D9" s="83" t="s">
        <v>97</v>
      </c>
      <c r="E9" s="83" t="s">
        <v>97</v>
      </c>
      <c r="F9" s="83">
        <f t="shared" si="0"/>
        <v>0</v>
      </c>
      <c r="G9" s="86"/>
      <c r="H9" s="83" t="s">
        <v>97</v>
      </c>
      <c r="I9" s="83" t="s">
        <v>97</v>
      </c>
      <c r="J9" s="83" t="s">
        <v>97</v>
      </c>
      <c r="K9" s="83" t="s">
        <v>97</v>
      </c>
      <c r="L9" s="83">
        <f t="shared" si="1"/>
        <v>0</v>
      </c>
      <c r="M9" s="87">
        <f t="shared" si="2"/>
        <v>0</v>
      </c>
      <c r="N9" s="87">
        <v>0</v>
      </c>
      <c r="O9" s="87">
        <v>0</v>
      </c>
      <c r="P9" s="87">
        <v>0</v>
      </c>
      <c r="Q9" s="88" t="s">
        <v>97</v>
      </c>
      <c r="R9" s="87">
        <f t="shared" si="3"/>
        <v>0</v>
      </c>
      <c r="S9" s="1675">
        <v>0</v>
      </c>
      <c r="T9" s="1675"/>
      <c r="U9" s="1675"/>
      <c r="V9" s="1675"/>
      <c r="W9" s="1675"/>
    </row>
    <row r="10" spans="1:23">
      <c r="A10" s="1630">
        <v>1996</v>
      </c>
      <c r="B10" s="83">
        <v>0</v>
      </c>
      <c r="C10" s="83">
        <v>0</v>
      </c>
      <c r="D10" s="83">
        <v>0</v>
      </c>
      <c r="E10" s="83" t="s">
        <v>97</v>
      </c>
      <c r="F10" s="83">
        <f t="shared" si="0"/>
        <v>0</v>
      </c>
      <c r="G10" s="86"/>
      <c r="H10" s="83" t="s">
        <v>97</v>
      </c>
      <c r="I10" s="83" t="s">
        <v>97</v>
      </c>
      <c r="J10" s="83" t="s">
        <v>97</v>
      </c>
      <c r="K10" s="83" t="s">
        <v>97</v>
      </c>
      <c r="L10" s="83">
        <f t="shared" si="1"/>
        <v>0</v>
      </c>
      <c r="M10" s="87">
        <f t="shared" si="2"/>
        <v>0</v>
      </c>
      <c r="N10" s="87">
        <f>B10</f>
        <v>0</v>
      </c>
      <c r="O10" s="87">
        <f t="shared" si="4"/>
        <v>0</v>
      </c>
      <c r="P10" s="87">
        <v>0</v>
      </c>
      <c r="Q10" s="88" t="s">
        <v>97</v>
      </c>
      <c r="R10" s="87">
        <f t="shared" si="3"/>
        <v>0</v>
      </c>
      <c r="S10" s="1675">
        <v>0</v>
      </c>
      <c r="T10" s="1675"/>
      <c r="U10" s="1675"/>
      <c r="V10" s="1675"/>
      <c r="W10" s="1675"/>
    </row>
    <row r="11" spans="1:23">
      <c r="A11" s="1630">
        <v>1997</v>
      </c>
      <c r="B11" s="83">
        <v>0</v>
      </c>
      <c r="C11" s="83">
        <v>0</v>
      </c>
      <c r="D11" s="83">
        <v>0</v>
      </c>
      <c r="E11" s="83" t="s">
        <v>97</v>
      </c>
      <c r="F11" s="83">
        <f t="shared" si="0"/>
        <v>0</v>
      </c>
      <c r="G11" s="86"/>
      <c r="H11" s="83" t="s">
        <v>97</v>
      </c>
      <c r="I11" s="83" t="s">
        <v>97</v>
      </c>
      <c r="J11" s="83" t="s">
        <v>97</v>
      </c>
      <c r="K11" s="83" t="s">
        <v>97</v>
      </c>
      <c r="L11" s="83">
        <f t="shared" si="1"/>
        <v>0</v>
      </c>
      <c r="M11" s="87">
        <f t="shared" si="2"/>
        <v>0</v>
      </c>
      <c r="N11" s="87">
        <f>B11</f>
        <v>0</v>
      </c>
      <c r="O11" s="87">
        <f t="shared" si="4"/>
        <v>0</v>
      </c>
      <c r="P11" s="87">
        <v>0</v>
      </c>
      <c r="Q11" s="88" t="s">
        <v>97</v>
      </c>
      <c r="R11" s="87">
        <f t="shared" si="3"/>
        <v>0</v>
      </c>
      <c r="S11" s="1675">
        <v>0</v>
      </c>
      <c r="T11" s="1675"/>
      <c r="U11" s="1675"/>
      <c r="V11" s="1675"/>
      <c r="W11" s="1675"/>
    </row>
    <row r="12" spans="1:23" ht="13.5" thickBot="1">
      <c r="A12" s="1630">
        <v>1998</v>
      </c>
      <c r="B12" s="83" t="s">
        <v>795</v>
      </c>
      <c r="C12" s="83" t="s">
        <v>795</v>
      </c>
      <c r="D12" s="83">
        <v>0</v>
      </c>
      <c r="E12" s="83" t="s">
        <v>97</v>
      </c>
      <c r="F12" s="83">
        <f t="shared" si="0"/>
        <v>0</v>
      </c>
      <c r="G12" s="86"/>
      <c r="H12" s="83" t="s">
        <v>97</v>
      </c>
      <c r="I12" s="83" t="s">
        <v>97</v>
      </c>
      <c r="J12" s="83" t="s">
        <v>97</v>
      </c>
      <c r="K12" s="83" t="s">
        <v>97</v>
      </c>
      <c r="L12" s="83">
        <f t="shared" si="1"/>
        <v>0</v>
      </c>
      <c r="M12" s="87">
        <f t="shared" si="2"/>
        <v>0</v>
      </c>
      <c r="N12" s="87" t="str">
        <f>B12</f>
        <v>&lt;0.1</v>
      </c>
      <c r="O12" s="87" t="str">
        <f>+C12</f>
        <v>&lt;0.1</v>
      </c>
      <c r="P12" s="87">
        <v>0</v>
      </c>
      <c r="Q12" s="88" t="s">
        <v>97</v>
      </c>
      <c r="R12" s="87">
        <v>5.5E-2</v>
      </c>
      <c r="S12" s="1675">
        <v>5.5E-2</v>
      </c>
      <c r="T12" s="1869" t="s">
        <v>1422</v>
      </c>
      <c r="U12" s="1869"/>
      <c r="V12" s="1869"/>
      <c r="W12" s="1675"/>
    </row>
    <row r="13" spans="1:23" ht="13.5" customHeight="1">
      <c r="A13" s="1630">
        <v>1999</v>
      </c>
      <c r="B13" s="83">
        <v>0</v>
      </c>
      <c r="C13" s="83">
        <v>0</v>
      </c>
      <c r="D13" s="83">
        <v>0</v>
      </c>
      <c r="E13" s="83" t="s">
        <v>97</v>
      </c>
      <c r="F13" s="83">
        <f t="shared" si="0"/>
        <v>0</v>
      </c>
      <c r="G13" s="86"/>
      <c r="H13" s="83" t="s">
        <v>97</v>
      </c>
      <c r="I13" s="83" t="s">
        <v>97</v>
      </c>
      <c r="J13" s="83" t="s">
        <v>97</v>
      </c>
      <c r="K13" s="83" t="s">
        <v>97</v>
      </c>
      <c r="L13" s="83">
        <f t="shared" si="1"/>
        <v>0</v>
      </c>
      <c r="M13" s="87">
        <f t="shared" si="2"/>
        <v>0</v>
      </c>
      <c r="N13" s="87">
        <f>B13</f>
        <v>0</v>
      </c>
      <c r="O13" s="87">
        <f t="shared" si="4"/>
        <v>0</v>
      </c>
      <c r="P13" s="87">
        <v>0</v>
      </c>
      <c r="Q13" s="88" t="s">
        <v>97</v>
      </c>
      <c r="R13" s="87">
        <f t="shared" si="3"/>
        <v>0</v>
      </c>
      <c r="S13" s="1675">
        <v>0</v>
      </c>
      <c r="T13" s="1975" t="s">
        <v>121</v>
      </c>
      <c r="U13" s="1975" t="s">
        <v>1146</v>
      </c>
      <c r="V13" s="1975" t="s">
        <v>177</v>
      </c>
      <c r="W13" s="1675"/>
    </row>
    <row r="14" spans="1:23" ht="13.5" customHeight="1" thickBot="1">
      <c r="A14" s="1630">
        <v>2000</v>
      </c>
      <c r="B14" s="83">
        <v>0.2</v>
      </c>
      <c r="C14" s="83" t="s">
        <v>795</v>
      </c>
      <c r="D14" s="83">
        <v>0.1</v>
      </c>
      <c r="E14" s="83" t="s">
        <v>97</v>
      </c>
      <c r="F14" s="83">
        <f t="shared" si="0"/>
        <v>0.30000000000000004</v>
      </c>
      <c r="G14" s="86"/>
      <c r="H14" s="83" t="s">
        <v>97</v>
      </c>
      <c r="I14" s="83" t="s">
        <v>97</v>
      </c>
      <c r="J14" s="83" t="s">
        <v>97</v>
      </c>
      <c r="K14" s="83" t="s">
        <v>97</v>
      </c>
      <c r="L14" s="83">
        <f t="shared" si="1"/>
        <v>0</v>
      </c>
      <c r="M14" s="87">
        <f t="shared" si="2"/>
        <v>0.30000000000000004</v>
      </c>
      <c r="N14" s="87">
        <f>B14</f>
        <v>0.2</v>
      </c>
      <c r="O14" s="87">
        <v>2.1999999999999999E-2</v>
      </c>
      <c r="P14" s="87">
        <v>0.1</v>
      </c>
      <c r="Q14" s="88" t="s">
        <v>97</v>
      </c>
      <c r="R14" s="87">
        <v>0.32200000000000001</v>
      </c>
      <c r="S14" s="1675">
        <v>0.32200000000000001</v>
      </c>
      <c r="T14" s="1763"/>
      <c r="U14" s="1763"/>
      <c r="V14" s="1763"/>
      <c r="W14" s="509"/>
    </row>
    <row r="15" spans="1:23">
      <c r="A15" s="90">
        <v>2001</v>
      </c>
      <c r="B15" s="88">
        <v>0.82299999999999995</v>
      </c>
      <c r="C15" s="81">
        <v>0.123</v>
      </c>
      <c r="D15" s="81">
        <v>3.6880000000000002</v>
      </c>
      <c r="E15" s="83" t="s">
        <v>97</v>
      </c>
      <c r="F15" s="91">
        <f t="shared" si="0"/>
        <v>4.6340000000000003</v>
      </c>
      <c r="G15" s="92"/>
      <c r="H15" s="88">
        <v>2.74</v>
      </c>
      <c r="I15" s="88">
        <v>0.46200000000000002</v>
      </c>
      <c r="J15" s="88">
        <v>17.875</v>
      </c>
      <c r="K15" s="88" t="s">
        <v>97</v>
      </c>
      <c r="L15" s="93">
        <f t="shared" si="1"/>
        <v>21.077000000000002</v>
      </c>
      <c r="M15" s="87">
        <f t="shared" si="2"/>
        <v>25.711000000000002</v>
      </c>
      <c r="N15" s="87">
        <f t="shared" ref="N15:Q39" si="5">B15+H15</f>
        <v>3.5630000000000002</v>
      </c>
      <c r="O15" s="87">
        <f t="shared" si="5"/>
        <v>0.58499999999999996</v>
      </c>
      <c r="P15" s="87">
        <f>D15+J15</f>
        <v>21.562999999999999</v>
      </c>
      <c r="Q15" s="88" t="s">
        <v>97</v>
      </c>
      <c r="R15" s="87">
        <f t="shared" ref="R15:R30" si="6">SUM(N15:Q15)</f>
        <v>25.710999999999999</v>
      </c>
      <c r="S15" s="1675">
        <v>25.710999999999999</v>
      </c>
      <c r="T15" s="94">
        <f t="shared" ref="T15:V30" si="7">N15/$R15</f>
        <v>0.13857881840457392</v>
      </c>
      <c r="U15" s="94">
        <f t="shared" si="7"/>
        <v>2.2752907315934812E-2</v>
      </c>
      <c r="V15" s="94">
        <f t="shared" si="7"/>
        <v>0.83866827427949131</v>
      </c>
      <c r="W15" s="510"/>
    </row>
    <row r="16" spans="1:23">
      <c r="A16" s="90">
        <v>2002</v>
      </c>
      <c r="B16" s="88">
        <v>0.56200000000000006</v>
      </c>
      <c r="C16" s="88">
        <v>6.2E-2</v>
      </c>
      <c r="D16" s="88">
        <v>1.43</v>
      </c>
      <c r="E16" s="83" t="s">
        <v>97</v>
      </c>
      <c r="F16" s="91">
        <f t="shared" si="0"/>
        <v>2.0540000000000003</v>
      </c>
      <c r="G16" s="95"/>
      <c r="H16" s="88">
        <v>4.4649999999999999</v>
      </c>
      <c r="I16" s="88">
        <v>0.46700000000000003</v>
      </c>
      <c r="J16" s="88">
        <v>13.478</v>
      </c>
      <c r="K16" s="88" t="s">
        <v>97</v>
      </c>
      <c r="L16" s="93">
        <f t="shared" si="1"/>
        <v>18.41</v>
      </c>
      <c r="M16" s="87">
        <f t="shared" si="2"/>
        <v>20.463999999999999</v>
      </c>
      <c r="N16" s="87">
        <f t="shared" si="5"/>
        <v>5.0270000000000001</v>
      </c>
      <c r="O16" s="87">
        <f t="shared" si="5"/>
        <v>0.52900000000000003</v>
      </c>
      <c r="P16" s="87">
        <f t="shared" si="5"/>
        <v>14.907999999999999</v>
      </c>
      <c r="Q16" s="88" t="s">
        <v>97</v>
      </c>
      <c r="R16" s="87">
        <f t="shared" si="6"/>
        <v>20.463999999999999</v>
      </c>
      <c r="S16" s="1675">
        <v>20.463999999999999</v>
      </c>
      <c r="T16" s="94">
        <f t="shared" si="7"/>
        <v>0.24565089913995311</v>
      </c>
      <c r="U16" s="94">
        <f t="shared" si="7"/>
        <v>2.5850273651290074E-2</v>
      </c>
      <c r="V16" s="94">
        <f t="shared" si="7"/>
        <v>0.72849882720875692</v>
      </c>
      <c r="W16" s="510"/>
    </row>
    <row r="17" spans="1:23">
      <c r="A17" s="90">
        <v>2003</v>
      </c>
      <c r="B17" s="88">
        <v>1.0940000000000001</v>
      </c>
      <c r="C17" s="88">
        <v>0.16900000000000001</v>
      </c>
      <c r="D17" s="88">
        <v>4.5430000000000001</v>
      </c>
      <c r="E17" s="83" t="s">
        <v>97</v>
      </c>
      <c r="F17" s="91">
        <f t="shared" si="0"/>
        <v>5.806</v>
      </c>
      <c r="G17" s="95"/>
      <c r="H17" s="88">
        <v>5.9119999999999999</v>
      </c>
      <c r="I17" s="88">
        <v>0.88300000000000001</v>
      </c>
      <c r="J17" s="88">
        <v>4.2910000000000004</v>
      </c>
      <c r="K17" s="88" t="s">
        <v>97</v>
      </c>
      <c r="L17" s="93">
        <f t="shared" si="1"/>
        <v>11.086</v>
      </c>
      <c r="M17" s="87">
        <f t="shared" si="2"/>
        <v>16.891999999999999</v>
      </c>
      <c r="N17" s="87">
        <f t="shared" si="5"/>
        <v>7.0060000000000002</v>
      </c>
      <c r="O17" s="87">
        <f t="shared" si="5"/>
        <v>1.052</v>
      </c>
      <c r="P17" s="87">
        <f t="shared" si="5"/>
        <v>8.8339999999999996</v>
      </c>
      <c r="Q17" s="88" t="s">
        <v>97</v>
      </c>
      <c r="R17" s="87">
        <f t="shared" si="6"/>
        <v>16.891999999999999</v>
      </c>
      <c r="S17" s="1675">
        <v>16.891999999999999</v>
      </c>
      <c r="T17" s="94">
        <f t="shared" si="7"/>
        <v>0.41475254558370828</v>
      </c>
      <c r="U17" s="94">
        <f t="shared" si="7"/>
        <v>6.2278001420790909E-2</v>
      </c>
      <c r="V17" s="94">
        <f t="shared" si="7"/>
        <v>0.52296945299550079</v>
      </c>
      <c r="W17" s="510"/>
    </row>
    <row r="18" spans="1:23">
      <c r="A18" s="90">
        <v>2004</v>
      </c>
      <c r="B18" s="88">
        <v>1.0109999999999999</v>
      </c>
      <c r="C18" s="88">
        <v>0.3</v>
      </c>
      <c r="D18" s="88">
        <v>1.351</v>
      </c>
      <c r="E18" s="83" t="s">
        <v>97</v>
      </c>
      <c r="F18" s="91">
        <f t="shared" si="0"/>
        <v>2.6619999999999999</v>
      </c>
      <c r="G18" s="95"/>
      <c r="H18" s="88">
        <v>4.5019999999999998</v>
      </c>
      <c r="I18" s="88">
        <v>1.3480000000000001</v>
      </c>
      <c r="J18" s="88">
        <v>15.228</v>
      </c>
      <c r="K18" s="88" t="s">
        <v>97</v>
      </c>
      <c r="L18" s="93">
        <f t="shared" si="1"/>
        <v>21.077999999999999</v>
      </c>
      <c r="M18" s="87">
        <f t="shared" si="2"/>
        <v>23.74</v>
      </c>
      <c r="N18" s="87">
        <f t="shared" si="5"/>
        <v>5.5129999999999999</v>
      </c>
      <c r="O18" s="87">
        <f t="shared" si="5"/>
        <v>1.6480000000000001</v>
      </c>
      <c r="P18" s="87">
        <f t="shared" si="5"/>
        <v>16.579000000000001</v>
      </c>
      <c r="Q18" s="88" t="s">
        <v>97</v>
      </c>
      <c r="R18" s="87">
        <f t="shared" si="6"/>
        <v>23.740000000000002</v>
      </c>
      <c r="S18" s="1675">
        <v>23.74</v>
      </c>
      <c r="T18" s="94">
        <f t="shared" si="7"/>
        <v>0.23222409435551808</v>
      </c>
      <c r="U18" s="94">
        <f t="shared" si="7"/>
        <v>6.9418702611625943E-2</v>
      </c>
      <c r="V18" s="94">
        <f t="shared" si="7"/>
        <v>0.69835720303285587</v>
      </c>
      <c r="W18" s="510"/>
    </row>
    <row r="19" spans="1:23">
      <c r="A19" s="1630">
        <v>2005</v>
      </c>
      <c r="B19" s="88">
        <v>0.73399999999999999</v>
      </c>
      <c r="C19" s="88">
        <v>0.39500000000000002</v>
      </c>
      <c r="D19" s="88">
        <v>0.80900000000000005</v>
      </c>
      <c r="E19" s="88" t="s">
        <v>97</v>
      </c>
      <c r="F19" s="88">
        <f t="shared" si="0"/>
        <v>1.9380000000000002</v>
      </c>
      <c r="G19" s="96"/>
      <c r="H19" s="97">
        <v>2.1</v>
      </c>
      <c r="I19" s="97">
        <v>1.2</v>
      </c>
      <c r="J19" s="97">
        <v>6.1</v>
      </c>
      <c r="K19" s="88" t="s">
        <v>97</v>
      </c>
      <c r="L19" s="88">
        <v>9.3770000000000007</v>
      </c>
      <c r="M19" s="87">
        <f t="shared" si="2"/>
        <v>11.315000000000001</v>
      </c>
      <c r="N19" s="98">
        <f t="shared" si="5"/>
        <v>2.8340000000000001</v>
      </c>
      <c r="O19" s="98">
        <f t="shared" si="5"/>
        <v>1.595</v>
      </c>
      <c r="P19" s="98">
        <f t="shared" si="5"/>
        <v>6.9089999999999998</v>
      </c>
      <c r="Q19" s="97" t="s">
        <v>97</v>
      </c>
      <c r="R19" s="98">
        <f t="shared" si="6"/>
        <v>11.338000000000001</v>
      </c>
      <c r="S19" s="1675">
        <v>11.315</v>
      </c>
      <c r="T19" s="94">
        <f t="shared" si="7"/>
        <v>0.24995590051155406</v>
      </c>
      <c r="U19" s="94">
        <f t="shared" si="7"/>
        <v>0.14067736814252954</v>
      </c>
      <c r="V19" s="94">
        <f t="shared" si="7"/>
        <v>0.60936673134591635</v>
      </c>
      <c r="W19" s="510"/>
    </row>
    <row r="20" spans="1:23">
      <c r="A20" s="90">
        <v>2006</v>
      </c>
      <c r="B20" s="88">
        <v>0.64400000000000002</v>
      </c>
      <c r="C20" s="88">
        <v>0.32400000000000001</v>
      </c>
      <c r="D20" s="88">
        <v>0.86099999999999999</v>
      </c>
      <c r="E20" s="83" t="s">
        <v>1423</v>
      </c>
      <c r="F20" s="91">
        <f t="shared" si="0"/>
        <v>1.829</v>
      </c>
      <c r="G20" s="95"/>
      <c r="H20" s="88">
        <v>1.34</v>
      </c>
      <c r="I20" s="88">
        <v>0.68799999999999994</v>
      </c>
      <c r="J20" s="88">
        <v>3.1280000000000001</v>
      </c>
      <c r="K20" s="88" t="s">
        <v>1423</v>
      </c>
      <c r="L20" s="93">
        <f t="shared" si="1"/>
        <v>5.1560000000000006</v>
      </c>
      <c r="M20" s="87">
        <f t="shared" si="2"/>
        <v>6.9850000000000003</v>
      </c>
      <c r="N20" s="87">
        <f t="shared" si="5"/>
        <v>1.984</v>
      </c>
      <c r="O20" s="87">
        <f t="shared" si="5"/>
        <v>1.012</v>
      </c>
      <c r="P20" s="87">
        <f t="shared" si="5"/>
        <v>3.9889999999999999</v>
      </c>
      <c r="Q20" s="88" t="s">
        <v>97</v>
      </c>
      <c r="R20" s="87">
        <f t="shared" si="6"/>
        <v>6.9849999999999994</v>
      </c>
      <c r="S20" s="1675">
        <v>6985</v>
      </c>
      <c r="T20" s="94">
        <f t="shared" si="7"/>
        <v>0.28403722261989983</v>
      </c>
      <c r="U20" s="94">
        <f t="shared" si="7"/>
        <v>0.14488188976377955</v>
      </c>
      <c r="V20" s="94">
        <f t="shared" si="7"/>
        <v>0.5710808876163207</v>
      </c>
      <c r="W20" s="510"/>
    </row>
    <row r="21" spans="1:23">
      <c r="A21" s="90">
        <v>2007</v>
      </c>
      <c r="B21" s="88">
        <v>0.36</v>
      </c>
      <c r="C21" s="81">
        <v>0.23699999999999999</v>
      </c>
      <c r="D21" s="81">
        <v>0.50600000000000001</v>
      </c>
      <c r="E21" s="81">
        <v>3.1E-2</v>
      </c>
      <c r="F21" s="91">
        <f t="shared" ref="F21:F30" si="8">SUM(B21:E21)</f>
        <v>1.1339999999999999</v>
      </c>
      <c r="G21" s="92"/>
      <c r="H21" s="81">
        <v>1.2030000000000001</v>
      </c>
      <c r="I21" s="81">
        <v>0.79200000000000004</v>
      </c>
      <c r="J21" s="88">
        <v>3.31</v>
      </c>
      <c r="K21" s="81">
        <v>3.6999999999999998E-2</v>
      </c>
      <c r="L21" s="93">
        <f t="shared" si="1"/>
        <v>5.3419999999999996</v>
      </c>
      <c r="M21" s="87">
        <f t="shared" si="2"/>
        <v>6.4759999999999991</v>
      </c>
      <c r="N21" s="87">
        <f t="shared" si="5"/>
        <v>1.5630000000000002</v>
      </c>
      <c r="O21" s="87">
        <f t="shared" si="5"/>
        <v>1.0289999999999999</v>
      </c>
      <c r="P21" s="87">
        <f t="shared" si="5"/>
        <v>3.8159999999999998</v>
      </c>
      <c r="Q21" s="87">
        <f t="shared" si="5"/>
        <v>6.8000000000000005E-2</v>
      </c>
      <c r="R21" s="87">
        <f t="shared" si="6"/>
        <v>6.4759999999999991</v>
      </c>
      <c r="S21" s="1675">
        <v>6476</v>
      </c>
      <c r="T21" s="94">
        <f t="shared" si="7"/>
        <v>0.24135268684373076</v>
      </c>
      <c r="U21" s="94">
        <f t="shared" si="7"/>
        <v>0.15889437924644845</v>
      </c>
      <c r="V21" s="94">
        <f t="shared" si="7"/>
        <v>0.58925262507720821</v>
      </c>
      <c r="W21" s="510"/>
    </row>
    <row r="22" spans="1:23">
      <c r="A22" s="90">
        <v>2008</v>
      </c>
      <c r="B22" s="81">
        <v>0.123</v>
      </c>
      <c r="C22" s="81">
        <v>0.30299999999999999</v>
      </c>
      <c r="D22" s="81">
        <v>3.6840000000000002</v>
      </c>
      <c r="E22" s="88">
        <v>0</v>
      </c>
      <c r="F22" s="91">
        <f t="shared" si="8"/>
        <v>4.1100000000000003</v>
      </c>
      <c r="G22" s="92"/>
      <c r="H22" s="81">
        <v>7.1999999999999995E-2</v>
      </c>
      <c r="I22" s="81">
        <v>0.22600000000000001</v>
      </c>
      <c r="J22" s="81">
        <v>15.632</v>
      </c>
      <c r="K22" s="88">
        <v>0</v>
      </c>
      <c r="L22" s="93">
        <f t="shared" si="1"/>
        <v>15.93</v>
      </c>
      <c r="M22" s="87">
        <f t="shared" si="2"/>
        <v>20.04</v>
      </c>
      <c r="N22" s="87">
        <f t="shared" si="5"/>
        <v>0.19500000000000001</v>
      </c>
      <c r="O22" s="87">
        <f t="shared" si="5"/>
        <v>0.52900000000000003</v>
      </c>
      <c r="P22" s="87">
        <f t="shared" si="5"/>
        <v>19.315999999999999</v>
      </c>
      <c r="Q22" s="87">
        <f t="shared" si="5"/>
        <v>0</v>
      </c>
      <c r="R22" s="87">
        <f t="shared" si="6"/>
        <v>20.04</v>
      </c>
      <c r="S22" s="1675"/>
      <c r="T22" s="94">
        <f t="shared" si="7"/>
        <v>9.730538922155689E-3</v>
      </c>
      <c r="U22" s="94">
        <f t="shared" si="7"/>
        <v>2.6397205588822359E-2</v>
      </c>
      <c r="V22" s="94">
        <f t="shared" si="7"/>
        <v>0.96387225548902189</v>
      </c>
      <c r="W22" s="510"/>
    </row>
    <row r="23" spans="1:23">
      <c r="A23" s="90">
        <v>2009</v>
      </c>
      <c r="B23" s="81">
        <v>0.42899999999999999</v>
      </c>
      <c r="C23" s="88">
        <v>0.16</v>
      </c>
      <c r="D23" s="81">
        <v>3.3439999999999999</v>
      </c>
      <c r="E23" s="81">
        <v>7.0000000000000001E-3</v>
      </c>
      <c r="F23" s="91">
        <f t="shared" si="8"/>
        <v>3.94</v>
      </c>
      <c r="G23" s="92"/>
      <c r="H23" s="81">
        <v>0.95499999999999996</v>
      </c>
      <c r="I23" s="81">
        <v>0.41499999999999998</v>
      </c>
      <c r="J23" s="81">
        <v>11.613</v>
      </c>
      <c r="K23" s="88">
        <v>0</v>
      </c>
      <c r="L23" s="93">
        <f t="shared" si="1"/>
        <v>12.982999999999999</v>
      </c>
      <c r="M23" s="87">
        <f t="shared" si="2"/>
        <v>16.922999999999998</v>
      </c>
      <c r="N23" s="87">
        <f t="shared" si="5"/>
        <v>1.3839999999999999</v>
      </c>
      <c r="O23" s="87">
        <f t="shared" si="5"/>
        <v>0.57499999999999996</v>
      </c>
      <c r="P23" s="87">
        <f t="shared" si="5"/>
        <v>14.956999999999999</v>
      </c>
      <c r="Q23" s="87">
        <f t="shared" si="5"/>
        <v>7.0000000000000001E-3</v>
      </c>
      <c r="R23" s="87">
        <f t="shared" si="6"/>
        <v>16.923000000000002</v>
      </c>
      <c r="S23" s="1675"/>
      <c r="T23" s="94">
        <f t="shared" si="7"/>
        <v>8.1782189919045067E-2</v>
      </c>
      <c r="U23" s="94">
        <f t="shared" si="7"/>
        <v>3.3977427170123496E-2</v>
      </c>
      <c r="V23" s="94">
        <f t="shared" si="7"/>
        <v>0.88382674466702105</v>
      </c>
      <c r="W23" s="510"/>
    </row>
    <row r="24" spans="1:23">
      <c r="A24" s="90">
        <v>2010</v>
      </c>
      <c r="B24" s="81">
        <v>1.9139999999999999</v>
      </c>
      <c r="C24" s="81">
        <v>0.42799999999999999</v>
      </c>
      <c r="D24" s="81">
        <v>4.4320000000000004</v>
      </c>
      <c r="E24" s="88">
        <v>0</v>
      </c>
      <c r="F24" s="91">
        <f t="shared" si="8"/>
        <v>6.7740000000000009</v>
      </c>
      <c r="G24" s="92"/>
      <c r="H24" s="81">
        <v>3.0230000000000001</v>
      </c>
      <c r="I24" s="81">
        <v>0.67600000000000005</v>
      </c>
      <c r="J24" s="81">
        <v>18.774000000000001</v>
      </c>
      <c r="K24" s="88">
        <v>0</v>
      </c>
      <c r="L24" s="93">
        <f t="shared" si="1"/>
        <v>22.473000000000003</v>
      </c>
      <c r="M24" s="87">
        <f t="shared" si="2"/>
        <v>29.247000000000003</v>
      </c>
      <c r="N24" s="87">
        <f t="shared" si="5"/>
        <v>4.9370000000000003</v>
      </c>
      <c r="O24" s="87">
        <f t="shared" si="5"/>
        <v>1.1040000000000001</v>
      </c>
      <c r="P24" s="87">
        <f t="shared" si="5"/>
        <v>23.206000000000003</v>
      </c>
      <c r="Q24" s="87">
        <f t="shared" si="5"/>
        <v>0</v>
      </c>
      <c r="R24" s="87">
        <f t="shared" si="6"/>
        <v>29.247000000000003</v>
      </c>
      <c r="S24" s="1675"/>
      <c r="T24" s="94">
        <f t="shared" si="7"/>
        <v>0.16880363797996376</v>
      </c>
      <c r="U24" s="94">
        <f t="shared" si="7"/>
        <v>3.7747461278079805E-2</v>
      </c>
      <c r="V24" s="94">
        <f t="shared" si="7"/>
        <v>0.7934489007419564</v>
      </c>
      <c r="W24" s="510"/>
    </row>
    <row r="25" spans="1:23">
      <c r="A25" s="90">
        <v>2011</v>
      </c>
      <c r="B25" s="81">
        <v>0.47599999999999998</v>
      </c>
      <c r="C25" s="81">
        <v>0.10199999999999999</v>
      </c>
      <c r="D25" s="81">
        <v>3.0510000000000002</v>
      </c>
      <c r="E25" s="88">
        <v>0</v>
      </c>
      <c r="F25" s="91">
        <f t="shared" si="8"/>
        <v>3.629</v>
      </c>
      <c r="G25" s="92"/>
      <c r="H25" s="81">
        <v>1.5820000000000001</v>
      </c>
      <c r="I25" s="81">
        <v>0.28100000000000003</v>
      </c>
      <c r="J25" s="81">
        <v>6.1890000000000001</v>
      </c>
      <c r="K25" s="81">
        <v>1.2999999999999999E-2</v>
      </c>
      <c r="L25" s="93">
        <f t="shared" si="1"/>
        <v>8.0649999999999995</v>
      </c>
      <c r="M25" s="87">
        <f t="shared" si="2"/>
        <v>11.693999999999999</v>
      </c>
      <c r="N25" s="87">
        <f t="shared" si="5"/>
        <v>2.0579999999999998</v>
      </c>
      <c r="O25" s="87">
        <f t="shared" si="5"/>
        <v>0.38300000000000001</v>
      </c>
      <c r="P25" s="87">
        <f t="shared" si="5"/>
        <v>9.24</v>
      </c>
      <c r="Q25" s="87">
        <f t="shared" si="5"/>
        <v>1.2999999999999999E-2</v>
      </c>
      <c r="R25" s="87">
        <f t="shared" si="6"/>
        <v>11.694000000000001</v>
      </c>
      <c r="S25" s="1675"/>
      <c r="T25" s="94">
        <f t="shared" si="7"/>
        <v>0.17598768599281681</v>
      </c>
      <c r="U25" s="94">
        <f t="shared" si="7"/>
        <v>3.2751838549683596E-2</v>
      </c>
      <c r="V25" s="94">
        <f t="shared" si="7"/>
        <v>0.79014879425346329</v>
      </c>
      <c r="W25" s="510"/>
    </row>
    <row r="26" spans="1:23">
      <c r="A26" s="90">
        <v>2012</v>
      </c>
      <c r="B26" s="81">
        <v>0.505</v>
      </c>
      <c r="C26" s="81">
        <v>6.3E-2</v>
      </c>
      <c r="D26" s="81">
        <v>1.0289999999999999</v>
      </c>
      <c r="E26" s="88">
        <v>0</v>
      </c>
      <c r="F26" s="91">
        <f t="shared" si="8"/>
        <v>1.597</v>
      </c>
      <c r="G26" s="92"/>
      <c r="H26" s="81">
        <v>2.5049999999999999</v>
      </c>
      <c r="I26" s="81">
        <v>6.4000000000000001E-2</v>
      </c>
      <c r="J26" s="81">
        <v>9.1280000000000001</v>
      </c>
      <c r="K26" s="81">
        <v>3.7999999999999999E-2</v>
      </c>
      <c r="L26" s="93">
        <f t="shared" si="1"/>
        <v>11.734999999999999</v>
      </c>
      <c r="M26" s="87">
        <f t="shared" si="2"/>
        <v>13.331999999999999</v>
      </c>
      <c r="N26" s="87">
        <f t="shared" si="5"/>
        <v>3.01</v>
      </c>
      <c r="O26" s="87">
        <f t="shared" si="5"/>
        <v>0.127</v>
      </c>
      <c r="P26" s="87">
        <f t="shared" si="5"/>
        <v>10.157</v>
      </c>
      <c r="Q26" s="87">
        <f t="shared" si="5"/>
        <v>3.7999999999999999E-2</v>
      </c>
      <c r="R26" s="87">
        <f t="shared" si="6"/>
        <v>13.332000000000001</v>
      </c>
      <c r="S26" s="1675"/>
      <c r="T26" s="94">
        <f t="shared" si="7"/>
        <v>0.22577257725772573</v>
      </c>
      <c r="U26" s="94">
        <f t="shared" si="7"/>
        <v>9.5259525952595264E-3</v>
      </c>
      <c r="V26" s="94">
        <f t="shared" si="7"/>
        <v>0.7618511851185118</v>
      </c>
      <c r="W26" s="510"/>
    </row>
    <row r="27" spans="1:23">
      <c r="A27" s="90">
        <v>2013</v>
      </c>
      <c r="B27" s="81">
        <v>0.443</v>
      </c>
      <c r="C27" s="88">
        <v>0.03</v>
      </c>
      <c r="D27" s="81">
        <v>1.0349999999999999</v>
      </c>
      <c r="E27" s="88">
        <v>0</v>
      </c>
      <c r="F27" s="91">
        <f t="shared" si="8"/>
        <v>1.508</v>
      </c>
      <c r="G27" s="92"/>
      <c r="H27" s="81">
        <v>1.2090000000000001</v>
      </c>
      <c r="I27" s="81">
        <v>7.6999999999999999E-2</v>
      </c>
      <c r="J27" s="88">
        <v>4.07</v>
      </c>
      <c r="K27" s="81">
        <v>8.5999999999999993E-2</v>
      </c>
      <c r="L27" s="93">
        <f t="shared" si="1"/>
        <v>5.4420000000000002</v>
      </c>
      <c r="M27" s="87">
        <f t="shared" si="2"/>
        <v>6.95</v>
      </c>
      <c r="N27" s="87">
        <f t="shared" si="5"/>
        <v>1.6520000000000001</v>
      </c>
      <c r="O27" s="87">
        <f t="shared" si="5"/>
        <v>0.107</v>
      </c>
      <c r="P27" s="87">
        <f t="shared" si="5"/>
        <v>5.1050000000000004</v>
      </c>
      <c r="Q27" s="87">
        <f t="shared" si="5"/>
        <v>8.5999999999999993E-2</v>
      </c>
      <c r="R27" s="87">
        <f t="shared" si="6"/>
        <v>6.9500000000000011</v>
      </c>
      <c r="S27" s="1675"/>
      <c r="T27" s="94">
        <f t="shared" si="7"/>
        <v>0.23769784172661867</v>
      </c>
      <c r="U27" s="94">
        <f t="shared" si="7"/>
        <v>1.5395683453237408E-2</v>
      </c>
      <c r="V27" s="94">
        <f t="shared" si="7"/>
        <v>0.73453237410071937</v>
      </c>
      <c r="W27" s="510"/>
    </row>
    <row r="28" spans="1:23">
      <c r="A28" s="90">
        <v>2014</v>
      </c>
      <c r="B28" s="81">
        <v>0.19400000000000001</v>
      </c>
      <c r="C28" s="81">
        <v>0.107</v>
      </c>
      <c r="D28" s="81">
        <v>0.58499999999999996</v>
      </c>
      <c r="E28" s="81">
        <v>2.4E-2</v>
      </c>
      <c r="F28" s="91">
        <f t="shared" si="8"/>
        <v>0.90999999999999992</v>
      </c>
      <c r="G28" s="92"/>
      <c r="H28" s="88">
        <v>2.036</v>
      </c>
      <c r="I28" s="88">
        <v>0.26900000000000002</v>
      </c>
      <c r="J28" s="88">
        <v>12.356999999999999</v>
      </c>
      <c r="K28" s="88">
        <v>0.156</v>
      </c>
      <c r="L28" s="93">
        <f t="shared" si="1"/>
        <v>14.818</v>
      </c>
      <c r="M28" s="87">
        <f t="shared" si="2"/>
        <v>15.728</v>
      </c>
      <c r="N28" s="87">
        <f t="shared" si="5"/>
        <v>2.23</v>
      </c>
      <c r="O28" s="87">
        <f t="shared" si="5"/>
        <v>0.376</v>
      </c>
      <c r="P28" s="87">
        <f t="shared" si="5"/>
        <v>12.942</v>
      </c>
      <c r="Q28" s="87">
        <f t="shared" si="5"/>
        <v>0.18</v>
      </c>
      <c r="R28" s="87">
        <f t="shared" si="6"/>
        <v>15.728</v>
      </c>
      <c r="S28" s="1675"/>
      <c r="T28" s="94">
        <f t="shared" si="7"/>
        <v>0.1417853509664293</v>
      </c>
      <c r="U28" s="94">
        <f t="shared" si="7"/>
        <v>2.3906408952187184E-2</v>
      </c>
      <c r="V28" s="94">
        <f t="shared" si="7"/>
        <v>0.82286368260427267</v>
      </c>
      <c r="W28" s="510"/>
    </row>
    <row r="29" spans="1:23">
      <c r="A29" s="90">
        <v>2015</v>
      </c>
      <c r="B29" s="88">
        <v>0.59799999999999998</v>
      </c>
      <c r="C29" s="88">
        <v>0.223</v>
      </c>
      <c r="D29" s="88">
        <v>1.7569999999999999</v>
      </c>
      <c r="E29" s="88">
        <v>0.04</v>
      </c>
      <c r="F29" s="91">
        <f t="shared" si="8"/>
        <v>2.6179999999999999</v>
      </c>
      <c r="G29" s="95"/>
      <c r="H29" s="88">
        <v>2.8050000000000002</v>
      </c>
      <c r="I29" s="88">
        <v>0.60599999999999998</v>
      </c>
      <c r="J29" s="88">
        <v>13.474</v>
      </c>
      <c r="K29" s="88">
        <v>8.3000000000000004E-2</v>
      </c>
      <c r="L29" s="93">
        <f t="shared" si="1"/>
        <v>16.968</v>
      </c>
      <c r="M29" s="87">
        <f t="shared" si="2"/>
        <v>19.585999999999999</v>
      </c>
      <c r="N29" s="87">
        <f t="shared" si="5"/>
        <v>3.403</v>
      </c>
      <c r="O29" s="87">
        <f t="shared" si="5"/>
        <v>0.82899999999999996</v>
      </c>
      <c r="P29" s="87">
        <f t="shared" si="5"/>
        <v>15.231</v>
      </c>
      <c r="Q29" s="87">
        <f t="shared" si="5"/>
        <v>0.123</v>
      </c>
      <c r="R29" s="87">
        <f t="shared" si="6"/>
        <v>19.586000000000002</v>
      </c>
      <c r="S29" s="1675"/>
      <c r="T29" s="94">
        <f t="shared" si="7"/>
        <v>0.1737465536607781</v>
      </c>
      <c r="U29" s="94">
        <f t="shared" si="7"/>
        <v>4.2326151332584494E-2</v>
      </c>
      <c r="V29" s="94">
        <f t="shared" si="7"/>
        <v>0.77764729909118746</v>
      </c>
      <c r="W29" s="510"/>
    </row>
    <row r="30" spans="1:23">
      <c r="A30" s="90">
        <v>2016</v>
      </c>
      <c r="B30" s="81">
        <v>0.91500000000000004</v>
      </c>
      <c r="C30" s="81">
        <v>0.74199999999999999</v>
      </c>
      <c r="D30" s="81">
        <v>2.3849999999999998</v>
      </c>
      <c r="E30" s="81">
        <v>5.8999999999999997E-2</v>
      </c>
      <c r="F30" s="99">
        <f t="shared" si="8"/>
        <v>4.101</v>
      </c>
      <c r="G30" s="92"/>
      <c r="H30" s="88">
        <v>0.47</v>
      </c>
      <c r="I30" s="81">
        <v>0.48899999999999999</v>
      </c>
      <c r="J30" s="81">
        <v>7.4349999999999996</v>
      </c>
      <c r="K30" s="81">
        <v>0.17100000000000001</v>
      </c>
      <c r="L30" s="93">
        <f t="shared" ref="L30:L39" si="9">SUM(H30:K30)</f>
        <v>8.5649999999999995</v>
      </c>
      <c r="M30" s="87">
        <f t="shared" si="2"/>
        <v>12.666</v>
      </c>
      <c r="N30" s="87">
        <f t="shared" si="5"/>
        <v>1.385</v>
      </c>
      <c r="O30" s="87">
        <f t="shared" si="5"/>
        <v>1.2309999999999999</v>
      </c>
      <c r="P30" s="87">
        <f t="shared" si="5"/>
        <v>9.82</v>
      </c>
      <c r="Q30" s="87">
        <f t="shared" si="5"/>
        <v>0.23</v>
      </c>
      <c r="R30" s="87">
        <f t="shared" si="6"/>
        <v>12.666</v>
      </c>
      <c r="S30" s="1675"/>
      <c r="T30" s="94">
        <f t="shared" si="7"/>
        <v>0.10934786041370598</v>
      </c>
      <c r="U30" s="94">
        <f t="shared" si="7"/>
        <v>9.7189325753987033E-2</v>
      </c>
      <c r="V30" s="94">
        <f t="shared" si="7"/>
        <v>0.77530396336649299</v>
      </c>
      <c r="W30" s="510"/>
    </row>
    <row r="31" spans="1:23">
      <c r="A31" s="90">
        <v>2017</v>
      </c>
      <c r="B31" s="88">
        <v>1.4E-2</v>
      </c>
      <c r="C31" s="88">
        <v>2.1999999999999999E-2</v>
      </c>
      <c r="D31" s="88">
        <v>1.7000000000000001E-2</v>
      </c>
      <c r="E31" s="88">
        <v>0</v>
      </c>
      <c r="F31" s="91">
        <f>SUM(B31:E31)</f>
        <v>5.2999999999999999E-2</v>
      </c>
      <c r="G31" s="404"/>
      <c r="H31" s="88">
        <v>1.2290000000000001</v>
      </c>
      <c r="I31" s="88">
        <v>0.45600000000000002</v>
      </c>
      <c r="J31" s="88">
        <v>7.1020000000000003</v>
      </c>
      <c r="K31" s="88">
        <v>0.20699999999999999</v>
      </c>
      <c r="L31" s="93">
        <f t="shared" si="9"/>
        <v>8.9940000000000015</v>
      </c>
      <c r="M31" s="87">
        <f t="shared" ref="M31:M39" si="10">SUM(L31,F31)</f>
        <v>9.0470000000000024</v>
      </c>
      <c r="N31" s="87">
        <f t="shared" si="5"/>
        <v>1.2430000000000001</v>
      </c>
      <c r="O31" s="87">
        <f t="shared" si="5"/>
        <v>0.47800000000000004</v>
      </c>
      <c r="P31" s="87">
        <f t="shared" si="5"/>
        <v>7.1190000000000007</v>
      </c>
      <c r="Q31" s="87">
        <f t="shared" si="5"/>
        <v>0.20699999999999999</v>
      </c>
      <c r="R31" s="87">
        <f t="shared" ref="R31:R39" si="11">SUM(N31:Q31)</f>
        <v>9.0470000000000006</v>
      </c>
      <c r="S31" s="1675"/>
      <c r="T31" s="94">
        <f t="shared" ref="T31:V39" si="12">N31/$R31</f>
        <v>0.13739361114181498</v>
      </c>
      <c r="U31" s="94">
        <f t="shared" si="12"/>
        <v>5.2835193986957005E-2</v>
      </c>
      <c r="V31" s="94">
        <f t="shared" si="12"/>
        <v>0.78689068199403123</v>
      </c>
      <c r="W31" s="510"/>
    </row>
    <row r="32" spans="1:23">
      <c r="A32" s="90">
        <v>2018</v>
      </c>
      <c r="B32" s="88">
        <v>0.59499999999999997</v>
      </c>
      <c r="C32" s="88">
        <v>0.10299999999999999</v>
      </c>
      <c r="D32" s="88">
        <v>1.1479999999999999</v>
      </c>
      <c r="E32" s="88">
        <v>4.2999999999999997E-2</v>
      </c>
      <c r="F32" s="91">
        <f t="shared" ref="F32:F36" si="13">SUM(B32:E32)</f>
        <v>1.8889999999999998</v>
      </c>
      <c r="G32" s="404"/>
      <c r="H32" s="88">
        <v>0.63</v>
      </c>
      <c r="I32" s="88">
        <v>0.218</v>
      </c>
      <c r="J32" s="88">
        <v>4.5949999999999998</v>
      </c>
      <c r="K32" s="88">
        <v>0.17699999999999999</v>
      </c>
      <c r="L32" s="93">
        <f t="shared" si="9"/>
        <v>5.6199999999999992</v>
      </c>
      <c r="M32" s="87">
        <f t="shared" si="10"/>
        <v>7.5089999999999986</v>
      </c>
      <c r="N32" s="87">
        <f t="shared" si="5"/>
        <v>1.2250000000000001</v>
      </c>
      <c r="O32" s="87">
        <f t="shared" si="5"/>
        <v>0.32100000000000001</v>
      </c>
      <c r="P32" s="87">
        <f t="shared" si="5"/>
        <v>5.7429999999999994</v>
      </c>
      <c r="Q32" s="87">
        <f t="shared" si="5"/>
        <v>0.21999999999999997</v>
      </c>
      <c r="R32" s="87">
        <f t="shared" si="11"/>
        <v>7.5089999999999995</v>
      </c>
      <c r="S32" s="1675"/>
      <c r="T32" s="94">
        <f t="shared" si="12"/>
        <v>0.16313756825143164</v>
      </c>
      <c r="U32" s="94">
        <f t="shared" si="12"/>
        <v>4.274870155813025E-2</v>
      </c>
      <c r="V32" s="94">
        <f t="shared" si="12"/>
        <v>0.76481555466773199</v>
      </c>
      <c r="W32" s="510"/>
    </row>
    <row r="33" spans="1:23">
      <c r="A33" s="90">
        <v>2019</v>
      </c>
      <c r="B33" s="88">
        <v>5.7000000000000002E-2</v>
      </c>
      <c r="C33" s="88">
        <v>2.7E-2</v>
      </c>
      <c r="D33" s="88">
        <v>0.23699999999999999</v>
      </c>
      <c r="E33" s="88">
        <v>0</v>
      </c>
      <c r="F33" s="91">
        <f t="shared" si="13"/>
        <v>0.32100000000000001</v>
      </c>
      <c r="G33" s="404"/>
      <c r="H33" s="88">
        <v>0.13900000000000001</v>
      </c>
      <c r="I33" s="88">
        <v>1.2E-2</v>
      </c>
      <c r="J33" s="88">
        <v>1.2050000000000001</v>
      </c>
      <c r="K33" s="88">
        <v>0</v>
      </c>
      <c r="L33" s="93">
        <f t="shared" si="9"/>
        <v>1.3560000000000001</v>
      </c>
      <c r="M33" s="87">
        <f t="shared" si="10"/>
        <v>1.677</v>
      </c>
      <c r="N33" s="87">
        <f t="shared" si="5"/>
        <v>0.19600000000000001</v>
      </c>
      <c r="O33" s="87">
        <f t="shared" si="5"/>
        <v>3.9E-2</v>
      </c>
      <c r="P33" s="87">
        <f t="shared" si="5"/>
        <v>1.4420000000000002</v>
      </c>
      <c r="Q33" s="87">
        <f t="shared" si="5"/>
        <v>0</v>
      </c>
      <c r="R33" s="87">
        <f t="shared" si="11"/>
        <v>1.6770000000000003</v>
      </c>
      <c r="S33" s="1675"/>
      <c r="T33" s="94">
        <f t="shared" si="12"/>
        <v>0.11687537268932616</v>
      </c>
      <c r="U33" s="94">
        <f t="shared" si="12"/>
        <v>2.3255813953488368E-2</v>
      </c>
      <c r="V33" s="94">
        <f t="shared" si="12"/>
        <v>0.85986881335718546</v>
      </c>
      <c r="W33" s="510"/>
    </row>
    <row r="34" spans="1:23">
      <c r="A34" s="90">
        <v>2020</v>
      </c>
      <c r="B34" s="88">
        <v>8.9999999999999993E-3</v>
      </c>
      <c r="C34" s="88">
        <v>1E-3</v>
      </c>
      <c r="D34" s="88">
        <v>7.9000000000000001E-2</v>
      </c>
      <c r="E34" s="88">
        <v>0</v>
      </c>
      <c r="F34" s="91">
        <f t="shared" si="13"/>
        <v>8.8999999999999996E-2</v>
      </c>
      <c r="G34" s="404"/>
      <c r="H34" s="88">
        <v>9.1999999999999998E-2</v>
      </c>
      <c r="I34" s="88">
        <v>7.4999999999999997E-2</v>
      </c>
      <c r="J34" s="88">
        <v>1.206</v>
      </c>
      <c r="K34" s="88">
        <v>0</v>
      </c>
      <c r="L34" s="93">
        <f t="shared" si="9"/>
        <v>1.373</v>
      </c>
      <c r="M34" s="87">
        <f t="shared" si="10"/>
        <v>1.462</v>
      </c>
      <c r="N34" s="87">
        <f t="shared" si="5"/>
        <v>0.10099999999999999</v>
      </c>
      <c r="O34" s="87">
        <f t="shared" si="5"/>
        <v>7.5999999999999998E-2</v>
      </c>
      <c r="P34" s="87">
        <f t="shared" si="5"/>
        <v>1.2849999999999999</v>
      </c>
      <c r="Q34" s="87">
        <f t="shared" si="5"/>
        <v>0</v>
      </c>
      <c r="R34" s="87">
        <f t="shared" si="11"/>
        <v>1.462</v>
      </c>
      <c r="S34" s="1675"/>
      <c r="T34" s="94">
        <f t="shared" si="12"/>
        <v>6.9083447332421333E-2</v>
      </c>
      <c r="U34" s="94">
        <f t="shared" si="12"/>
        <v>5.1983584131326949E-2</v>
      </c>
      <c r="V34" s="94">
        <f t="shared" si="12"/>
        <v>0.87893296853625169</v>
      </c>
      <c r="W34" s="510"/>
    </row>
    <row r="35" spans="1:23">
      <c r="A35" s="90">
        <v>2021</v>
      </c>
      <c r="B35" s="88">
        <v>0.57199999999999995</v>
      </c>
      <c r="C35" s="88">
        <v>0</v>
      </c>
      <c r="D35" s="88">
        <v>0.92900000000000005</v>
      </c>
      <c r="E35" s="88">
        <v>3.9E-2</v>
      </c>
      <c r="F35" s="91">
        <f>SUM(B35:E35)</f>
        <v>1.5399999999999998</v>
      </c>
      <c r="G35" s="404"/>
      <c r="H35" s="88">
        <v>0.501</v>
      </c>
      <c r="I35" s="88">
        <v>0.309</v>
      </c>
      <c r="J35" s="88">
        <v>3.0350000000000001</v>
      </c>
      <c r="K35" s="88">
        <v>0</v>
      </c>
      <c r="L35" s="93">
        <f t="shared" si="9"/>
        <v>3.8450000000000002</v>
      </c>
      <c r="M35" s="87">
        <f t="shared" si="10"/>
        <v>5.3849999999999998</v>
      </c>
      <c r="N35" s="87">
        <f t="shared" si="5"/>
        <v>1.073</v>
      </c>
      <c r="O35" s="87">
        <f t="shared" si="5"/>
        <v>0.309</v>
      </c>
      <c r="P35" s="87">
        <f t="shared" si="5"/>
        <v>3.9640000000000004</v>
      </c>
      <c r="Q35" s="87">
        <f t="shared" si="5"/>
        <v>3.9E-2</v>
      </c>
      <c r="R35" s="87">
        <f t="shared" si="11"/>
        <v>5.3849999999999998</v>
      </c>
      <c r="S35" s="1675"/>
      <c r="T35" s="94">
        <f t="shared" si="12"/>
        <v>0.19925719591457752</v>
      </c>
      <c r="U35" s="94">
        <f t="shared" si="12"/>
        <v>5.7381615598885799E-2</v>
      </c>
      <c r="V35" s="94">
        <f t="shared" si="12"/>
        <v>0.73611884865366772</v>
      </c>
      <c r="W35" s="510"/>
    </row>
    <row r="36" spans="1:23">
      <c r="A36" s="90">
        <v>2022</v>
      </c>
      <c r="B36" s="88">
        <v>0.41</v>
      </c>
      <c r="C36" s="88">
        <v>2.9000000000000001E-2</v>
      </c>
      <c r="D36" s="88">
        <v>1.484</v>
      </c>
      <c r="E36" s="88">
        <v>7.1999999999999995E-2</v>
      </c>
      <c r="F36" s="91">
        <f t="shared" si="13"/>
        <v>1.9950000000000001</v>
      </c>
      <c r="G36" s="404"/>
      <c r="H36" s="88">
        <v>1.381</v>
      </c>
      <c r="I36" s="88">
        <v>0.20699999999999999</v>
      </c>
      <c r="J36" s="88">
        <v>8.5039999999999996</v>
      </c>
      <c r="K36" s="88">
        <v>0.498</v>
      </c>
      <c r="L36" s="93">
        <f t="shared" si="9"/>
        <v>10.589999999999998</v>
      </c>
      <c r="M36" s="87">
        <f t="shared" si="10"/>
        <v>12.584999999999997</v>
      </c>
      <c r="N36" s="87">
        <f t="shared" ref="N36:N38" si="14">B36+H36</f>
        <v>1.7909999999999999</v>
      </c>
      <c r="O36" s="87">
        <f t="shared" ref="O36:O38" si="15">C36+I36</f>
        <v>0.23599999999999999</v>
      </c>
      <c r="P36" s="87">
        <f t="shared" ref="P36:P38" si="16">D36+J36</f>
        <v>9.9879999999999995</v>
      </c>
      <c r="Q36" s="87">
        <f t="shared" ref="Q36:Q38" si="17">E36+K36</f>
        <v>0.56999999999999995</v>
      </c>
      <c r="R36" s="87">
        <f t="shared" ref="R36" si="18">SUM(N36:Q36)</f>
        <v>12.585000000000001</v>
      </c>
      <c r="S36" s="1675"/>
      <c r="T36" s="94">
        <f t="shared" ref="T36:T38" si="19">N36/$R36</f>
        <v>0.14231227651966624</v>
      </c>
      <c r="U36" s="94">
        <f t="shared" ref="U36:U38" si="20">O36/$R36</f>
        <v>1.8752483114819227E-2</v>
      </c>
      <c r="V36" s="94">
        <f t="shared" ref="V36:V38" si="21">P36/$R36</f>
        <v>0.79364322606277304</v>
      </c>
      <c r="W36" s="510"/>
    </row>
    <row r="37" spans="1:23">
      <c r="A37" s="90">
        <v>2023</v>
      </c>
      <c r="B37" s="88">
        <f>126/1000</f>
        <v>0.126</v>
      </c>
      <c r="C37" s="88">
        <f>158/1000</f>
        <v>0.158</v>
      </c>
      <c r="D37" s="88">
        <v>0.17299999999999999</v>
      </c>
      <c r="E37" s="88">
        <v>0</v>
      </c>
      <c r="F37" s="91">
        <f>SUM(B37:E37)</f>
        <v>0.45700000000000002</v>
      </c>
      <c r="G37" s="404"/>
      <c r="H37" s="88">
        <f>577/1000</f>
        <v>0.57699999999999996</v>
      </c>
      <c r="I37" s="88">
        <f>247/1000</f>
        <v>0.247</v>
      </c>
      <c r="J37" s="88">
        <f>3090/1000</f>
        <v>3.09</v>
      </c>
      <c r="K37" s="88">
        <f>320/1000</f>
        <v>0.32</v>
      </c>
      <c r="L37" s="93">
        <f t="shared" ref="L37:L38" si="22">SUM(H37:K37)</f>
        <v>4.234</v>
      </c>
      <c r="M37" s="87">
        <f t="shared" ref="M37:M38" si="23">SUM(L37,F37)</f>
        <v>4.6909999999999998</v>
      </c>
      <c r="N37" s="87">
        <f t="shared" si="14"/>
        <v>0.70299999999999996</v>
      </c>
      <c r="O37" s="87">
        <f t="shared" si="15"/>
        <v>0.40500000000000003</v>
      </c>
      <c r="P37" s="87">
        <f t="shared" si="16"/>
        <v>3.2629999999999999</v>
      </c>
      <c r="Q37" s="87">
        <f t="shared" si="17"/>
        <v>0.32</v>
      </c>
      <c r="R37" s="87">
        <f t="shared" ref="R37:R38" si="24">SUM(N37:Q37)</f>
        <v>4.6910000000000007</v>
      </c>
      <c r="S37" s="1675"/>
      <c r="T37" s="94">
        <f t="shared" si="19"/>
        <v>0.14986143679386055</v>
      </c>
      <c r="U37" s="94">
        <f t="shared" si="20"/>
        <v>8.6335536133020668E-2</v>
      </c>
      <c r="V37" s="94">
        <f t="shared" si="21"/>
        <v>0.6955872948198677</v>
      </c>
      <c r="W37" s="510"/>
    </row>
    <row r="38" spans="1:23">
      <c r="A38" s="90">
        <v>2024</v>
      </c>
      <c r="B38" s="88">
        <f>351/1000</f>
        <v>0.35099999999999998</v>
      </c>
      <c r="C38" s="88">
        <v>5.2999999999999999E-2</v>
      </c>
      <c r="D38" s="88">
        <v>0.28699999999999998</v>
      </c>
      <c r="E38" s="88">
        <v>0</v>
      </c>
      <c r="F38" s="91">
        <f>SUM(B38:E38)</f>
        <v>0.69099999999999995</v>
      </c>
      <c r="G38" s="404"/>
      <c r="H38" s="88">
        <f>711/1000</f>
        <v>0.71099999999999997</v>
      </c>
      <c r="I38" s="88">
        <f>158/1000</f>
        <v>0.158</v>
      </c>
      <c r="J38" s="88">
        <f>3936/1000</f>
        <v>3.9359999999999999</v>
      </c>
      <c r="K38" s="88">
        <f>209/1000</f>
        <v>0.20899999999999999</v>
      </c>
      <c r="L38" s="93">
        <f t="shared" si="22"/>
        <v>5.0139999999999993</v>
      </c>
      <c r="M38" s="87">
        <f t="shared" si="23"/>
        <v>5.7049999999999992</v>
      </c>
      <c r="N38" s="87">
        <f t="shared" si="14"/>
        <v>1.0619999999999998</v>
      </c>
      <c r="O38" s="87">
        <f t="shared" si="15"/>
        <v>0.21099999999999999</v>
      </c>
      <c r="P38" s="87">
        <f t="shared" si="16"/>
        <v>4.2229999999999999</v>
      </c>
      <c r="Q38" s="87">
        <f t="shared" si="17"/>
        <v>0.20899999999999999</v>
      </c>
      <c r="R38" s="87">
        <f t="shared" si="24"/>
        <v>5.7049999999999992</v>
      </c>
      <c r="S38" s="1675"/>
      <c r="T38" s="94">
        <f t="shared" si="19"/>
        <v>0.18615249780893953</v>
      </c>
      <c r="U38" s="94">
        <f t="shared" si="20"/>
        <v>3.6985100788781776E-2</v>
      </c>
      <c r="V38" s="94">
        <f t="shared" si="21"/>
        <v>0.7402278702892201</v>
      </c>
      <c r="W38" s="510"/>
    </row>
    <row r="39" spans="1:23" ht="13.5" thickBot="1">
      <c r="A39" s="100">
        <v>2025</v>
      </c>
      <c r="B39" s="101">
        <f>49/1000</f>
        <v>4.9000000000000002E-2</v>
      </c>
      <c r="C39" s="101">
        <v>0.03</v>
      </c>
      <c r="D39" s="101">
        <v>0.111</v>
      </c>
      <c r="E39" s="101">
        <v>2.4E-2</v>
      </c>
      <c r="F39" s="102">
        <f>SUM(B39:E39)</f>
        <v>0.214</v>
      </c>
      <c r="G39" s="103"/>
      <c r="H39" s="101">
        <f>1359/1000</f>
        <v>1.359</v>
      </c>
      <c r="I39" s="101">
        <f>981/1000</f>
        <v>0.98099999999999998</v>
      </c>
      <c r="J39" s="101">
        <f>7174/1000</f>
        <v>7.1740000000000004</v>
      </c>
      <c r="K39" s="101">
        <f>358/1000</f>
        <v>0.35799999999999998</v>
      </c>
      <c r="L39" s="104">
        <f t="shared" si="9"/>
        <v>9.8719999999999999</v>
      </c>
      <c r="M39" s="87">
        <f t="shared" si="10"/>
        <v>10.086</v>
      </c>
      <c r="N39" s="87">
        <f t="shared" si="5"/>
        <v>1.4079999999999999</v>
      </c>
      <c r="O39" s="87">
        <f t="shared" si="5"/>
        <v>1.0109999999999999</v>
      </c>
      <c r="P39" s="87">
        <f t="shared" si="5"/>
        <v>7.2850000000000001</v>
      </c>
      <c r="Q39" s="87">
        <f t="shared" si="5"/>
        <v>0.38200000000000001</v>
      </c>
      <c r="R39" s="87">
        <f t="shared" si="11"/>
        <v>10.086</v>
      </c>
      <c r="S39" s="1675"/>
      <c r="T39" s="94">
        <f t="shared" si="12"/>
        <v>0.13959944477493555</v>
      </c>
      <c r="U39" s="94">
        <f t="shared" si="12"/>
        <v>0.10023795359904818</v>
      </c>
      <c r="V39" s="94">
        <f t="shared" si="12"/>
        <v>0.72228832044418001</v>
      </c>
      <c r="W39" s="510"/>
    </row>
    <row r="40" spans="1:23" ht="13.5" thickTop="1">
      <c r="A40" s="1675"/>
      <c r="B40" s="1675"/>
      <c r="C40" s="1675"/>
      <c r="D40" s="1675"/>
      <c r="E40" s="1675"/>
      <c r="F40" s="1675"/>
      <c r="G40" s="1675"/>
      <c r="H40" s="1675"/>
      <c r="I40" s="1675"/>
      <c r="J40" s="1675"/>
      <c r="K40" s="1675"/>
      <c r="L40" s="1675"/>
      <c r="M40" s="1675"/>
      <c r="N40" s="1675"/>
      <c r="O40" s="1675"/>
      <c r="P40" s="1675"/>
      <c r="Q40" s="1675"/>
      <c r="R40" s="1675"/>
      <c r="S40" s="1675"/>
      <c r="T40" s="1675"/>
      <c r="U40" s="1675"/>
      <c r="V40" s="1675"/>
      <c r="W40" s="509"/>
    </row>
    <row r="41" spans="1:23" ht="15.75">
      <c r="A41" s="84"/>
      <c r="B41" s="84"/>
      <c r="C41" s="84"/>
      <c r="D41" s="84"/>
      <c r="E41" s="84"/>
      <c r="F41" s="84"/>
      <c r="G41" s="84"/>
      <c r="H41" s="84"/>
      <c r="I41" s="84"/>
      <c r="J41" s="84"/>
      <c r="K41" s="84"/>
      <c r="L41" s="1675"/>
      <c r="M41" s="1675"/>
      <c r="N41" s="1675"/>
      <c r="O41" s="1675"/>
      <c r="P41" s="1675"/>
      <c r="Q41" s="1675"/>
      <c r="R41" s="1675"/>
      <c r="S41" s="1675" t="s">
        <v>1424</v>
      </c>
      <c r="T41" s="55">
        <f>AVERAGE(T25:T34)</f>
        <v>0.15508278694330685</v>
      </c>
      <c r="U41" s="55">
        <f t="shared" ref="U41:V41" si="25">AVERAGE(U25:U34)</f>
        <v>3.919186542668418E-2</v>
      </c>
      <c r="V41" s="55">
        <f t="shared" si="25"/>
        <v>0.79528553170898486</v>
      </c>
      <c r="W41" s="509"/>
    </row>
    <row r="42" spans="1:23" ht="15.75">
      <c r="A42" s="105" t="s">
        <v>1425</v>
      </c>
      <c r="B42" s="84"/>
      <c r="C42" s="84"/>
      <c r="D42" s="84"/>
      <c r="E42" s="84"/>
      <c r="F42" s="84"/>
      <c r="G42" s="84"/>
      <c r="H42" s="84"/>
      <c r="I42" s="84"/>
      <c r="J42" s="84"/>
      <c r="K42" s="84"/>
      <c r="L42" s="1675"/>
      <c r="M42" s="1675"/>
      <c r="N42" s="1675"/>
      <c r="O42" s="1675"/>
      <c r="P42" s="1675"/>
      <c r="Q42" s="1675"/>
      <c r="R42" s="1675"/>
      <c r="S42" s="1675"/>
      <c r="T42" s="1675"/>
      <c r="U42" s="1675"/>
      <c r="V42" s="1675"/>
      <c r="W42" s="1675"/>
    </row>
    <row r="43" spans="1:23" ht="15.75">
      <c r="A43" s="84"/>
      <c r="B43" s="84"/>
      <c r="C43" s="84"/>
      <c r="D43" s="84"/>
      <c r="E43" s="84"/>
      <c r="F43" s="84"/>
      <c r="G43" s="84"/>
      <c r="H43" s="84"/>
      <c r="I43" s="84"/>
      <c r="J43" s="84"/>
      <c r="K43" s="84"/>
      <c r="L43" s="1675"/>
      <c r="M43" s="1675"/>
      <c r="N43" s="1675"/>
      <c r="O43" s="1675"/>
      <c r="P43" s="1675"/>
      <c r="Q43" s="1675"/>
      <c r="R43" s="1675"/>
      <c r="S43" s="1675"/>
      <c r="T43" s="1675"/>
      <c r="U43" s="1675"/>
      <c r="V43" s="1675"/>
      <c r="W43" s="1675"/>
    </row>
  </sheetData>
  <mergeCells count="23">
    <mergeCell ref="B1:F1"/>
    <mergeCell ref="H1:L1"/>
    <mergeCell ref="A2:A3"/>
    <mergeCell ref="B2:B3"/>
    <mergeCell ref="C2:C3"/>
    <mergeCell ref="D2:D3"/>
    <mergeCell ref="E2:E3"/>
    <mergeCell ref="F2:F3"/>
    <mergeCell ref="G2:G3"/>
    <mergeCell ref="H2:H3"/>
    <mergeCell ref="V13:V14"/>
    <mergeCell ref="I2:I3"/>
    <mergeCell ref="J2:J3"/>
    <mergeCell ref="K2:K3"/>
    <mergeCell ref="L2:L3"/>
    <mergeCell ref="N2:N3"/>
    <mergeCell ref="O2:O3"/>
    <mergeCell ref="P2:P3"/>
    <mergeCell ref="Q2:Q3"/>
    <mergeCell ref="R2:R3"/>
    <mergeCell ref="T13:T14"/>
    <mergeCell ref="U13:U14"/>
    <mergeCell ref="T12:V12"/>
  </mergeCells>
  <pageMargins left="0.7" right="0.7" top="0.75" bottom="0.75" header="0.3" footer="0.3"/>
  <pageSetup orientation="portrait" r:id="rId1"/>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66FF33"/>
  </sheetPr>
  <dimension ref="B1:I47"/>
  <sheetViews>
    <sheetView showGridLines="0" zoomScaleNormal="100" workbookViewId="0">
      <selection activeCell="D41" sqref="D41"/>
    </sheetView>
  </sheetViews>
  <sheetFormatPr defaultColWidth="8.83203125" defaultRowHeight="12.75"/>
  <cols>
    <col min="1" max="1" width="8.83203125" style="74"/>
    <col min="2" max="7" width="13.83203125" style="74" customWidth="1"/>
    <col min="8" max="16384" width="8.83203125" style="74"/>
  </cols>
  <sheetData>
    <row r="1" spans="2:8" ht="15.75">
      <c r="B1" s="84" t="s">
        <v>141</v>
      </c>
      <c r="C1" s="84"/>
      <c r="D1" s="84"/>
      <c r="E1" s="84"/>
      <c r="F1" s="84"/>
      <c r="G1" s="84"/>
      <c r="H1" s="1675"/>
    </row>
    <row r="2" spans="2:8" ht="15.75">
      <c r="B2" s="84" t="s">
        <v>1426</v>
      </c>
      <c r="C2" s="84"/>
      <c r="D2" s="84"/>
      <c r="E2" s="84"/>
      <c r="F2" s="84"/>
      <c r="G2" s="84"/>
      <c r="H2" s="1675"/>
    </row>
    <row r="3" spans="2:8" ht="15.75">
      <c r="B3" s="84"/>
      <c r="C3" s="84"/>
      <c r="D3" s="84"/>
      <c r="E3" s="84"/>
      <c r="F3" s="84"/>
      <c r="G3" s="84"/>
      <c r="H3" s="1675"/>
    </row>
    <row r="4" spans="2:8" ht="14.25" customHeight="1">
      <c r="B4" s="1633"/>
      <c r="C4" s="1762" t="s">
        <v>1166</v>
      </c>
      <c r="D4" s="1762"/>
      <c r="E4" s="1762"/>
      <c r="F4" s="1762"/>
      <c r="G4" s="1982"/>
      <c r="H4" s="1675"/>
    </row>
    <row r="5" spans="2:8" ht="12.75" customHeight="1">
      <c r="B5" s="1760" t="s">
        <v>28</v>
      </c>
      <c r="C5" s="1762" t="s">
        <v>121</v>
      </c>
      <c r="D5" s="1762" t="s">
        <v>1146</v>
      </c>
      <c r="E5" s="1762" t="s">
        <v>177</v>
      </c>
      <c r="F5" s="1762" t="s">
        <v>1147</v>
      </c>
      <c r="G5" s="1982" t="s">
        <v>36</v>
      </c>
      <c r="H5" s="1675"/>
    </row>
    <row r="6" spans="2:8">
      <c r="B6" s="1983"/>
      <c r="C6" s="1984"/>
      <c r="D6" s="1984"/>
      <c r="E6" s="1984"/>
      <c r="F6" s="1984"/>
      <c r="G6" s="1985"/>
      <c r="H6" s="1675"/>
    </row>
    <row r="7" spans="2:8">
      <c r="B7" s="1634">
        <v>1990</v>
      </c>
      <c r="C7" s="83">
        <f>IF(AND(T27CompManip!N4&lt;0.05,T27CompManip!N4&gt;0),"&lt;0.1",((IF(T27CompManip!N4="","",T27CompManip!N4))))</f>
        <v>8.8000000000000007</v>
      </c>
      <c r="D7" s="83">
        <f>IF(AND(T27CompManip!O4&lt;0.05,T27CompManip!O4&gt;0),"&lt;0.1",((IF(T27CompManip!O4="","",T27CompManip!O4))))</f>
        <v>0.29999999999999893</v>
      </c>
      <c r="E7" s="83">
        <f>IF(AND(T27CompManip!P4&lt;0.05,T27CompManip!P4&gt;0),"&lt;0.1",((IF(T27CompManip!P4="","",T27CompManip!P4))))</f>
        <v>3.1</v>
      </c>
      <c r="F7" s="83" t="str">
        <f>IF(AND(T27CompManip!Q4&lt;0.05,T27CompManip!Q4&gt;0),"&lt;0.1",((IF(T27CompManip!Q4="","",T27CompManip!Q4))))</f>
        <v>—</v>
      </c>
      <c r="G7" s="1032">
        <f>IF(AND(T27CompManip!R4&lt;0.05,T27CompManip!R4&gt;0),"&lt;0.1",((IF(T27CompManip!R4="","",T27CompManip!R4))))</f>
        <v>12.2</v>
      </c>
      <c r="H7" s="106"/>
    </row>
    <row r="8" spans="2:8">
      <c r="B8" s="1634">
        <v>1991</v>
      </c>
      <c r="C8" s="83">
        <f>IF(AND(T27CompManip!N5&lt;0.05,T27CompManip!N5&gt;0),"&lt;0.1",((IF(T27CompManip!N5="","",T27CompManip!N5))))</f>
        <v>3.5</v>
      </c>
      <c r="D8" s="83">
        <f>IF(AND(T27CompManip!O5&lt;0.05,T27CompManip!O5&gt;0),"&lt;0.1",((IF(T27CompManip!O5="","",T27CompManip!O5))))</f>
        <v>0.6</v>
      </c>
      <c r="E8" s="83">
        <f>IF(AND(T27CompManip!P5&lt;0.05,T27CompManip!P5&gt;0),"&lt;0.1",((IF(T27CompManip!P5="","",T27CompManip!P5))))</f>
        <v>1.5</v>
      </c>
      <c r="F8" s="83" t="str">
        <f>IF(AND(T27CompManip!Q5&lt;0.05,T27CompManip!Q5&gt;0),"&lt;0.1",((IF(T27CompManip!Q5="","",T27CompManip!Q5))))</f>
        <v>—</v>
      </c>
      <c r="G8" s="917">
        <f>IF(AND(T27CompManip!R5&lt;0.05,T27CompManip!R5&gt;0),"&lt;0.1",((IF(T27CompManip!R5="","",T27CompManip!R5))))</f>
        <v>5.6</v>
      </c>
      <c r="H8" s="106"/>
    </row>
    <row r="9" spans="2:8">
      <c r="B9" s="1634">
        <v>1992</v>
      </c>
      <c r="C9" s="83">
        <f>IF(AND(T27CompManip!N6&lt;0.05,T27CompManip!N6&gt;0),"&lt;0.1",((IF(T27CompManip!N6="","",T27CompManip!N6))))</f>
        <v>3.1</v>
      </c>
      <c r="D9" s="83">
        <f>IF(AND(T27CompManip!O6&lt;0.05,T27CompManip!O6&gt;0),"&lt;0.1",((IF(T27CompManip!O6="","",T27CompManip!O6))))</f>
        <v>0.99999999999999956</v>
      </c>
      <c r="E9" s="83">
        <f>IF(AND(T27CompManip!P6&lt;0.05,T27CompManip!P6&gt;0),"&lt;0.1",((IF(T27CompManip!P6="","",T27CompManip!P6))))</f>
        <v>1.2</v>
      </c>
      <c r="F9" s="83" t="str">
        <f>IF(AND(T27CompManip!Q6&lt;0.05,T27CompManip!Q6&gt;0),"&lt;0.1",((IF(T27CompManip!Q6="","",T27CompManip!Q6))))</f>
        <v>—</v>
      </c>
      <c r="G9" s="917">
        <f>IF(AND(T27CompManip!R6&lt;0.05,T27CompManip!R6&gt;0),"&lt;0.1",((IF(T27CompManip!R6="","",T27CompManip!R6))))</f>
        <v>5.3</v>
      </c>
      <c r="H9" s="106"/>
    </row>
    <row r="10" spans="2:8">
      <c r="B10" s="1634">
        <v>1993</v>
      </c>
      <c r="C10" s="83">
        <f>IF(AND(T27CompManip!N7&lt;0.05,T27CompManip!N7&gt;0),"&lt;0.1",((IF(T27CompManip!N7="","",T27CompManip!N7))))</f>
        <v>0.89999999999999991</v>
      </c>
      <c r="D10" s="83">
        <f>IF(AND(T27CompManip!O7&lt;0.05,T27CompManip!O7&gt;0),"&lt;0.1",((IF(T27CompManip!O7="","",T27CompManip!O7))))</f>
        <v>0.5</v>
      </c>
      <c r="E10" s="83">
        <f>IF(AND(T27CompManip!P7&lt;0.05,T27CompManip!P7&gt;0),"&lt;0.1",((IF(T27CompManip!P7="","",T27CompManip!P7))))</f>
        <v>0.4</v>
      </c>
      <c r="F10" s="83" t="str">
        <f>IF(AND(T27CompManip!Q7&lt;0.05,T27CompManip!Q7&gt;0),"&lt;0.1",((IF(T27CompManip!Q7="","",T27CompManip!Q7))))</f>
        <v>—</v>
      </c>
      <c r="G10" s="917">
        <f>IF(AND(T27CompManip!R7&lt;0.05,T27CompManip!R7&gt;0),"&lt;0.1",((IF(T27CompManip!R7="","",T27CompManip!R7))))</f>
        <v>1.7999999999999998</v>
      </c>
      <c r="H10" s="106"/>
    </row>
    <row r="11" spans="2:8">
      <c r="B11" s="1634">
        <v>1994</v>
      </c>
      <c r="C11" s="83">
        <f>IF(AND(T27CompManip!N8&lt;0.05,T27CompManip!N8&gt;0),"&lt;0.1",((IF(T27CompManip!N8="","",T27CompManip!N8))))</f>
        <v>1.3</v>
      </c>
      <c r="D11" s="83">
        <f>IF(AND(T27CompManip!O8&lt;0.05,T27CompManip!O8&gt;0),"&lt;0.1",((IF(T27CompManip!O8="","",T27CompManip!O8))))</f>
        <v>0.40000000000000013</v>
      </c>
      <c r="E11" s="83">
        <f>IF(AND(T27CompManip!P8&lt;0.05,T27CompManip!P8&gt;0),"&lt;0.1",((IF(T27CompManip!P8="","",T27CompManip!P8))))</f>
        <v>0.4</v>
      </c>
      <c r="F11" s="83" t="str">
        <f>IF(AND(T27CompManip!Q8&lt;0.05,T27CompManip!Q8&gt;0),"&lt;0.1",((IF(T27CompManip!Q8="","",T27CompManip!Q8))))</f>
        <v>—</v>
      </c>
      <c r="G11" s="917">
        <f>IF(AND(T27CompManip!R8&lt;0.05,T27CompManip!R8&gt;0),"&lt;0.1",((IF(T27CompManip!R8="","",T27CompManip!R8))))</f>
        <v>2.1</v>
      </c>
      <c r="H11" s="106"/>
    </row>
    <row r="12" spans="2:8">
      <c r="B12" s="1634">
        <v>1995</v>
      </c>
      <c r="C12" s="83">
        <f>IF(AND(T27CompManip!N9&lt;0.05,T27CompManip!N9&gt;0),"&lt;0.1",((IF(T27CompManip!N9="","",T27CompManip!N9))))</f>
        <v>0</v>
      </c>
      <c r="D12" s="83">
        <f>IF(AND(T27CompManip!O9&lt;0.05,T27CompManip!O9&gt;0),"&lt;0.1",((IF(T27CompManip!O9="","",T27CompManip!O9))))</f>
        <v>0</v>
      </c>
      <c r="E12" s="83">
        <f>IF(AND(T27CompManip!P9&lt;0.05,T27CompManip!P9&gt;0),"&lt;0.1",((IF(T27CompManip!P9="","",T27CompManip!P9))))</f>
        <v>0</v>
      </c>
      <c r="F12" s="83" t="str">
        <f>IF(AND(T27CompManip!Q9&lt;0.05,T27CompManip!Q9&gt;0),"&lt;0.1",((IF(T27CompManip!Q9="","",T27CompManip!Q9))))</f>
        <v>—</v>
      </c>
      <c r="G12" s="917">
        <f>IF(AND(T27CompManip!R9&lt;0.05,T27CompManip!R9&gt;0),"&lt;0.1",((IF(T27CompManip!R9="","",T27CompManip!R9))))</f>
        <v>0</v>
      </c>
      <c r="H12" s="106"/>
    </row>
    <row r="13" spans="2:8">
      <c r="B13" s="1634">
        <v>1996</v>
      </c>
      <c r="C13" s="83">
        <f>IF(AND(T27CompManip!N10&lt;0.05,T27CompManip!N10&gt;0),"&lt;0.1",((IF(T27CompManip!N10="","",T27CompManip!N10))))</f>
        <v>0</v>
      </c>
      <c r="D13" s="83">
        <f>IF(AND(T27CompManip!O10&lt;0.05,T27CompManip!O10&gt;0),"&lt;0.1",((IF(T27CompManip!O10="","",T27CompManip!O10))))</f>
        <v>0</v>
      </c>
      <c r="E13" s="83">
        <f>IF(AND(T27CompManip!P10&lt;0.05,T27CompManip!P10&gt;0),"&lt;0.1",((IF(T27CompManip!P10="","",T27CompManip!P10))))</f>
        <v>0</v>
      </c>
      <c r="F13" s="83" t="str">
        <f>IF(AND(T27CompManip!Q10&lt;0.05,T27CompManip!Q10&gt;0),"&lt;0.1",((IF(T27CompManip!Q10="","",T27CompManip!Q10))))</f>
        <v>—</v>
      </c>
      <c r="G13" s="917">
        <f>IF(AND(T27CompManip!R10&lt;0.05,T27CompManip!R10&gt;0),"&lt;0.1",((IF(T27CompManip!R10="","",T27CompManip!R10))))</f>
        <v>0</v>
      </c>
      <c r="H13" s="106"/>
    </row>
    <row r="14" spans="2:8">
      <c r="B14" s="1634">
        <v>1997</v>
      </c>
      <c r="C14" s="83">
        <f>IF(AND(T27CompManip!N11&lt;0.05,T27CompManip!N11&gt;0),"&lt;0.1",((IF(T27CompManip!N11="","",T27CompManip!N11))))</f>
        <v>0</v>
      </c>
      <c r="D14" s="83">
        <f>IF(AND(T27CompManip!O11&lt;0.05,T27CompManip!O11&gt;0),"&lt;0.1",((IF(T27CompManip!O11="","",T27CompManip!O11))))</f>
        <v>0</v>
      </c>
      <c r="E14" s="83">
        <f>IF(AND(T27CompManip!P11&lt;0.05,T27CompManip!P11&gt;0),"&lt;0.1",((IF(T27CompManip!P11="","",T27CompManip!P11))))</f>
        <v>0</v>
      </c>
      <c r="F14" s="83" t="str">
        <f>IF(AND(T27CompManip!Q11&lt;0.05,T27CompManip!Q11&gt;0),"&lt;0.1",((IF(T27CompManip!Q11="","",T27CompManip!Q11))))</f>
        <v>—</v>
      </c>
      <c r="G14" s="917">
        <f>IF(AND(T27CompManip!R11&lt;0.05,T27CompManip!R11&gt;0),"&lt;0.1",((IF(T27CompManip!R11="","",T27CompManip!R11))))</f>
        <v>0</v>
      </c>
      <c r="H14" s="106"/>
    </row>
    <row r="15" spans="2:8">
      <c r="B15" s="1634">
        <v>1998</v>
      </c>
      <c r="C15" s="83" t="str">
        <f>IF(AND(T27CompManip!N12&lt;0.05,T27CompManip!N12&gt;0),"&lt;0.1",((IF(T27CompManip!N12="","",T27CompManip!N12))))</f>
        <v>&lt;0.1</v>
      </c>
      <c r="D15" s="83" t="str">
        <f>IF(AND(T27CompManip!O12&lt;0.05,T27CompManip!O12&gt;0),"&lt;0.1",((IF(T27CompManip!O12="","",T27CompManip!O12))))</f>
        <v>&lt;0.1</v>
      </c>
      <c r="E15" s="83">
        <f>IF(AND(T27CompManip!P12&lt;0.05,T27CompManip!P12&gt;0),"&lt;0.1",((IF(T27CompManip!P12="","",T27CompManip!P12))))</f>
        <v>0</v>
      </c>
      <c r="F15" s="83" t="str">
        <f>IF(AND(T27CompManip!Q12&lt;0.05,T27CompManip!Q12&gt;0),"&lt;0.1",((IF(T27CompManip!Q12="","",T27CompManip!Q12))))</f>
        <v>—</v>
      </c>
      <c r="G15" s="917">
        <f>IF(AND(T27CompManip!R12&lt;0.05,T27CompManip!R12&gt;0),"&lt;0.1",((IF(T27CompManip!R12="","",T27CompManip!R12))))</f>
        <v>5.5E-2</v>
      </c>
      <c r="H15" s="106"/>
    </row>
    <row r="16" spans="2:8" ht="13.5" customHeight="1">
      <c r="B16" s="1634">
        <v>1999</v>
      </c>
      <c r="C16" s="83">
        <f>IF(AND(T27CompManip!N13&lt;0.05,T27CompManip!N13&gt;0),"&lt;0.1",((IF(T27CompManip!N13="","",T27CompManip!N13))))</f>
        <v>0</v>
      </c>
      <c r="D16" s="83">
        <f>IF(AND(T27CompManip!O13&lt;0.05,T27CompManip!O13&gt;0),"&lt;0.1",((IF(T27CompManip!O13="","",T27CompManip!O13))))</f>
        <v>0</v>
      </c>
      <c r="E16" s="83">
        <f>IF(AND(T27CompManip!P13&lt;0.05,T27CompManip!P13&gt;0),"&lt;0.1",((IF(T27CompManip!P13="","",T27CompManip!P13))))</f>
        <v>0</v>
      </c>
      <c r="F16" s="83" t="str">
        <f>IF(AND(T27CompManip!Q13&lt;0.05,T27CompManip!Q13&gt;0),"&lt;0.1",((IF(T27CompManip!Q13="","",T27CompManip!Q13))))</f>
        <v>—</v>
      </c>
      <c r="G16" s="917">
        <f>IF(AND(T27CompManip!R13&lt;0.05,T27CompManip!R13&gt;0),"&lt;0.1",((IF(T27CompManip!R13="","",T27CompManip!R13))))</f>
        <v>0</v>
      </c>
      <c r="H16" s="106"/>
    </row>
    <row r="17" spans="2:8" ht="13.5" customHeight="1">
      <c r="B17" s="1634">
        <v>2000</v>
      </c>
      <c r="C17" s="83">
        <f>IF(AND(T27CompManip!N14&lt;0.05,T27CompManip!N14&gt;0),"&lt;0.1",((IF(T27CompManip!N14="","",T27CompManip!N14))))</f>
        <v>0.2</v>
      </c>
      <c r="D17" s="83" t="str">
        <f>IF(AND(T27CompManip!O14&lt;0.05,T27CompManip!O14&gt;0),"&lt;0.1",((IF(T27CompManip!O14="","",T27CompManip!O14))))</f>
        <v>&lt;0.1</v>
      </c>
      <c r="E17" s="83">
        <f>IF(AND(T27CompManip!P14&lt;0.05,T27CompManip!P14&gt;0),"&lt;0.1",((IF(T27CompManip!P14="","",T27CompManip!P14))))</f>
        <v>0.1</v>
      </c>
      <c r="F17" s="83" t="str">
        <f>IF(AND(T27CompManip!Q14&lt;0.05,T27CompManip!Q14&gt;0),"&lt;0.1",((IF(T27CompManip!Q14="","",T27CompManip!Q14))))</f>
        <v>—</v>
      </c>
      <c r="G17" s="917">
        <f>IF(AND(T27CompManip!R14&lt;0.05,T27CompManip!R14&gt;0),"&lt;0.1",((IF(T27CompManip!R14="","",T27CompManip!R14))))</f>
        <v>0.32200000000000001</v>
      </c>
      <c r="H17" s="106"/>
    </row>
    <row r="18" spans="2:8">
      <c r="B18" s="1634">
        <v>2001</v>
      </c>
      <c r="C18" s="83">
        <f>IF(AND(T27CompManip!N15&lt;0.05,T27CompManip!N15&gt;0),"&lt;0.1",((IF(T27CompManip!N15="","",T27CompManip!N15))))</f>
        <v>3.5630000000000002</v>
      </c>
      <c r="D18" s="83">
        <f>IF(AND(T27CompManip!O15&lt;0.05,T27CompManip!O15&gt;0),"&lt;0.1",((IF(T27CompManip!O15="","",T27CompManip!O15))))</f>
        <v>0.58499999999999996</v>
      </c>
      <c r="E18" s="83">
        <f>IF(AND(T27CompManip!P15&lt;0.05,T27CompManip!P15&gt;0),"&lt;0.1",((IF(T27CompManip!P15="","",T27CompManip!P15))))</f>
        <v>21.562999999999999</v>
      </c>
      <c r="F18" s="83" t="str">
        <f>IF(AND(T27CompManip!Q15&lt;0.05,T27CompManip!Q15&gt;0),"&lt;0.1",((IF(T27CompManip!Q15="","",T27CompManip!Q15))))</f>
        <v>—</v>
      </c>
      <c r="G18" s="917">
        <f>IF(AND(T27CompManip!R15&lt;0.05,T27CompManip!R15&gt;0),"&lt;0.1",((IF(T27CompManip!R15="","",T27CompManip!R15))))</f>
        <v>25.710999999999999</v>
      </c>
      <c r="H18" s="106"/>
    </row>
    <row r="19" spans="2:8">
      <c r="B19" s="1634">
        <v>2002</v>
      </c>
      <c r="C19" s="83">
        <f>IF(AND(T27CompManip!N16&lt;0.05,T27CompManip!N16&gt;0),"&lt;0.1",((IF(T27CompManip!N16="","",T27CompManip!N16))))</f>
        <v>5.0270000000000001</v>
      </c>
      <c r="D19" s="83">
        <f>IF(AND(T27CompManip!O16&lt;0.05,T27CompManip!O16&gt;0),"&lt;0.1",((IF(T27CompManip!O16="","",T27CompManip!O16))))</f>
        <v>0.52900000000000003</v>
      </c>
      <c r="E19" s="83">
        <f>IF(AND(T27CompManip!P16&lt;0.05,T27CompManip!P16&gt;0),"&lt;0.1",((IF(T27CompManip!P16="","",T27CompManip!P16))))</f>
        <v>14.907999999999999</v>
      </c>
      <c r="F19" s="83" t="str">
        <f>IF(AND(T27CompManip!Q16&lt;0.05,T27CompManip!Q16&gt;0),"&lt;0.1",((IF(T27CompManip!Q16="","",T27CompManip!Q16))))</f>
        <v>—</v>
      </c>
      <c r="G19" s="917">
        <f>IF(AND(T27CompManip!R16&lt;0.05,T27CompManip!R16&gt;0),"&lt;0.1",((IF(T27CompManip!R16="","",T27CompManip!R16))))</f>
        <v>20.463999999999999</v>
      </c>
      <c r="H19" s="106"/>
    </row>
    <row r="20" spans="2:8">
      <c r="B20" s="1634">
        <v>2003</v>
      </c>
      <c r="C20" s="83">
        <f>IF(AND(T27CompManip!N17&lt;0.05,T27CompManip!N17&gt;0),"&lt;0.1",((IF(T27CompManip!N17="","",T27CompManip!N17))))</f>
        <v>7.0060000000000002</v>
      </c>
      <c r="D20" s="83">
        <f>IF(AND(T27CompManip!O17&lt;0.05,T27CompManip!O17&gt;0),"&lt;0.1",((IF(T27CompManip!O17="","",T27CompManip!O17))))</f>
        <v>1.052</v>
      </c>
      <c r="E20" s="83">
        <f>IF(AND(T27CompManip!P17&lt;0.05,T27CompManip!P17&gt;0),"&lt;0.1",((IF(T27CompManip!P17="","",T27CompManip!P17))))</f>
        <v>8.8339999999999996</v>
      </c>
      <c r="F20" s="83" t="str">
        <f>IF(AND(T27CompManip!Q17&lt;0.05,T27CompManip!Q17&gt;0),"&lt;0.1",((IF(T27CompManip!Q17="","",T27CompManip!Q17))))</f>
        <v>—</v>
      </c>
      <c r="G20" s="917">
        <f>IF(AND(T27CompManip!R17&lt;0.05,T27CompManip!R17&gt;0),"&lt;0.1",((IF(T27CompManip!R17="","",T27CompManip!R17))))</f>
        <v>16.891999999999999</v>
      </c>
      <c r="H20" s="106"/>
    </row>
    <row r="21" spans="2:8">
      <c r="B21" s="1634">
        <v>2004</v>
      </c>
      <c r="C21" s="83">
        <f>IF(AND(T27CompManip!N18&lt;0.05,T27CompManip!N18&gt;0),"&lt;0.1",((IF(T27CompManip!N18="","",T27CompManip!N18))))</f>
        <v>5.5129999999999999</v>
      </c>
      <c r="D21" s="83">
        <f>IF(AND(T27CompManip!O18&lt;0.05,T27CompManip!O18&gt;0),"&lt;0.1",((IF(T27CompManip!O18="","",T27CompManip!O18))))</f>
        <v>1.6480000000000001</v>
      </c>
      <c r="E21" s="83">
        <f>IF(AND(T27CompManip!P18&lt;0.05,T27CompManip!P18&gt;0),"&lt;0.1",((IF(T27CompManip!P18="","",T27CompManip!P18))))</f>
        <v>16.579000000000001</v>
      </c>
      <c r="F21" s="83" t="str">
        <f>IF(AND(T27CompManip!Q18&lt;0.05,T27CompManip!Q18&gt;0),"&lt;0.1",((IF(T27CompManip!Q18="","",T27CompManip!Q18))))</f>
        <v>—</v>
      </c>
      <c r="G21" s="917">
        <f>IF(AND(T27CompManip!R18&lt;0.05,T27CompManip!R18&gt;0),"&lt;0.1",((IF(T27CompManip!R18="","",T27CompManip!R18))))</f>
        <v>23.740000000000002</v>
      </c>
      <c r="H21" s="106"/>
    </row>
    <row r="22" spans="2:8">
      <c r="B22" s="1634">
        <v>2005</v>
      </c>
      <c r="C22" s="83">
        <f>IF(AND(T27CompManip!N19&lt;0.05,T27CompManip!N19&gt;0),"&lt;0.1",((IF(T27CompManip!N19="","",T27CompManip!N19))))</f>
        <v>2.8340000000000001</v>
      </c>
      <c r="D22" s="83">
        <f>IF(AND(T27CompManip!O19&lt;0.05,T27CompManip!O19&gt;0),"&lt;0.1",((IF(T27CompManip!O19="","",T27CompManip!O19))))</f>
        <v>1.595</v>
      </c>
      <c r="E22" s="83">
        <f>IF(AND(T27CompManip!P19&lt;0.05,T27CompManip!P19&gt;0),"&lt;0.1",((IF(T27CompManip!P19="","",T27CompManip!P19))))</f>
        <v>6.9089999999999998</v>
      </c>
      <c r="F22" s="83" t="str">
        <f>IF(AND(T27CompManip!Q19&lt;0.05,T27CompManip!Q19&gt;0),"&lt;0.1",((IF(T27CompManip!Q19="","",T27CompManip!Q19))))</f>
        <v>—</v>
      </c>
      <c r="G22" s="917">
        <f>IF(AND(T27CompManip!R19&lt;0.05,T27CompManip!R19&gt;0),"&lt;0.1",((IF(T27CompManip!R19="","",T27CompManip!R19))))</f>
        <v>11.338000000000001</v>
      </c>
      <c r="H22" s="106"/>
    </row>
    <row r="23" spans="2:8">
      <c r="B23" s="1634">
        <v>2006</v>
      </c>
      <c r="C23" s="83">
        <f>IF(AND(T27CompManip!N20&lt;0.05,T27CompManip!N20&gt;0),"&lt;0.1",((IF(T27CompManip!N20="","",T27CompManip!N20))))</f>
        <v>1.984</v>
      </c>
      <c r="D23" s="83">
        <f>IF(AND(T27CompManip!O20&lt;0.05,T27CompManip!O20&gt;0),"&lt;0.1",((IF(T27CompManip!O20="","",T27CompManip!O20))))</f>
        <v>1.012</v>
      </c>
      <c r="E23" s="83">
        <f>IF(AND(T27CompManip!P20&lt;0.05,T27CompManip!P20&gt;0),"&lt;0.1",((IF(T27CompManip!P20="","",T27CompManip!P20))))</f>
        <v>3.9889999999999999</v>
      </c>
      <c r="F23" s="83" t="str">
        <f>IF(AND(T27CompManip!Q20&lt;0.05,T27CompManip!Q20&gt;0),"&lt;0.1",((IF(T27CompManip!Q20="","",T27CompManip!Q20))))</f>
        <v>—</v>
      </c>
      <c r="G23" s="1032">
        <f>IF(AND(T27CompManip!R20&lt;0.05,T27CompManip!R20&gt;0),"&lt;0.1",((IF(T27CompManip!R20="","",T27CompManip!R20))))</f>
        <v>6.9849999999999994</v>
      </c>
      <c r="H23" s="106"/>
    </row>
    <row r="24" spans="2:8">
      <c r="B24" s="1634">
        <v>2007</v>
      </c>
      <c r="C24" s="83">
        <f>IF(AND(T27CompManip!N21&lt;0.05,T27CompManip!N21&gt;0),"&lt;0.1",((IF(T27CompManip!N21="","",T27CompManip!N21))))</f>
        <v>1.5630000000000002</v>
      </c>
      <c r="D24" s="83">
        <f>IF(AND(T27CompManip!O21&lt;0.05,T27CompManip!O21&gt;0),"&lt;0.1",((IF(T27CompManip!O21="","",T27CompManip!O21))))</f>
        <v>1.0289999999999999</v>
      </c>
      <c r="E24" s="83">
        <f>IF(AND(T27CompManip!P21&lt;0.05,T27CompManip!P21&gt;0),"&lt;0.1",((IF(T27CompManip!P21="","",T27CompManip!P21))))</f>
        <v>3.8159999999999998</v>
      </c>
      <c r="F24" s="83">
        <f>IF(AND(T27CompManip!Q21&lt;0.05,T27CompManip!Q21&gt;0),"&lt;0.1",((IF(T27CompManip!Q21="","",T27CompManip!Q21))))</f>
        <v>6.8000000000000005E-2</v>
      </c>
      <c r="G24" s="1032">
        <f>IF(AND(T27CompManip!R21&lt;0.05,T27CompManip!R21&gt;0),"&lt;0.1",((IF(T27CompManip!R21="","",T27CompManip!R21))))</f>
        <v>6.4759999999999991</v>
      </c>
      <c r="H24" s="106"/>
    </row>
    <row r="25" spans="2:8">
      <c r="B25" s="1634">
        <v>2008</v>
      </c>
      <c r="C25" s="83">
        <f>IF(AND(T27CompManip!N22&lt;0.05,T27CompManip!N22&gt;0),"&lt;0.1",((IF(T27CompManip!N22="","",T27CompManip!N22))))</f>
        <v>0.19500000000000001</v>
      </c>
      <c r="D25" s="83">
        <f>IF(AND(T27CompManip!O22&lt;0.05,T27CompManip!O22&gt;0),"&lt;0.1",((IF(T27CompManip!O22="","",T27CompManip!O22))))</f>
        <v>0.52900000000000003</v>
      </c>
      <c r="E25" s="83">
        <f>IF(AND(T27CompManip!P22&lt;0.05,T27CompManip!P22&gt;0),"&lt;0.1",((IF(T27CompManip!P22="","",T27CompManip!P22))))</f>
        <v>19.315999999999999</v>
      </c>
      <c r="F25" s="83">
        <f>IF(AND(T27CompManip!Q22&lt;0.05,T27CompManip!Q22&gt;0),"&lt;0.1",((IF(T27CompManip!Q22="","",T27CompManip!Q22))))</f>
        <v>0</v>
      </c>
      <c r="G25" s="1032">
        <f>IF(AND(T27CompManip!R22&lt;0.05,T27CompManip!R22&gt;0),"&lt;0.1",((IF(T27CompManip!R22="","",T27CompManip!R22))))</f>
        <v>20.04</v>
      </c>
      <c r="H25" s="106"/>
    </row>
    <row r="26" spans="2:8">
      <c r="B26" s="1634">
        <v>2009</v>
      </c>
      <c r="C26" s="83">
        <f>IF(AND(T27CompManip!N23&lt;0.05,T27CompManip!N23&gt;0),"&lt;0.1",((IF(T27CompManip!N23="","",T27CompManip!N23))))</f>
        <v>1.3839999999999999</v>
      </c>
      <c r="D26" s="83">
        <f>IF(AND(T27CompManip!O23&lt;0.05,T27CompManip!O23&gt;0),"&lt;0.1",((IF(T27CompManip!O23="","",T27CompManip!O23))))</f>
        <v>0.57499999999999996</v>
      </c>
      <c r="E26" s="83">
        <f>IF(AND(T27CompManip!P23&lt;0.05,T27CompManip!P23&gt;0),"&lt;0.1",((IF(T27CompManip!P23="","",T27CompManip!P23))))</f>
        <v>14.956999999999999</v>
      </c>
      <c r="F26" s="83" t="str">
        <f>IF(AND(T27CompManip!Q23&lt;0.05,T27CompManip!Q23&gt;0),"&lt;0.1",((IF(T27CompManip!Q23="","",T27CompManip!Q23))))</f>
        <v>&lt;0.1</v>
      </c>
      <c r="G26" s="1032">
        <f>IF(AND(T27CompManip!R23&lt;0.05,T27CompManip!R23&gt;0),"&lt;0.1",((IF(T27CompManip!R23="","",T27CompManip!R23))))</f>
        <v>16.923000000000002</v>
      </c>
      <c r="H26" s="106"/>
    </row>
    <row r="27" spans="2:8">
      <c r="B27" s="1634">
        <v>2010</v>
      </c>
      <c r="C27" s="83">
        <f>IF(AND(T27CompManip!N24&lt;0.05,T27CompManip!N24&gt;0),"&lt;0.1",((IF(T27CompManip!N24="","",T27CompManip!N24))))</f>
        <v>4.9370000000000003</v>
      </c>
      <c r="D27" s="83">
        <f>IF(AND(T27CompManip!O24&lt;0.05,T27CompManip!O24&gt;0),"&lt;0.1",((IF(T27CompManip!O24="","",T27CompManip!O24))))</f>
        <v>1.1040000000000001</v>
      </c>
      <c r="E27" s="83">
        <f>IF(AND(T27CompManip!P24&lt;0.05,T27CompManip!P24&gt;0),"&lt;0.1",((IF(T27CompManip!P24="","",T27CompManip!P24))))</f>
        <v>23.206000000000003</v>
      </c>
      <c r="F27" s="83">
        <f>IF(AND(T27CompManip!Q24&lt;0.05,T27CompManip!Q24&gt;0),"&lt;0.1",((IF(T27CompManip!Q24="","",T27CompManip!Q24))))</f>
        <v>0</v>
      </c>
      <c r="G27" s="1032">
        <f>IF(AND(T27CompManip!R24&lt;0.05,T27CompManip!R24&gt;0),"&lt;0.1",((IF(T27CompManip!R24="","",T27CompManip!R24))))</f>
        <v>29.247000000000003</v>
      </c>
      <c r="H27" s="106"/>
    </row>
    <row r="28" spans="2:8">
      <c r="B28" s="1634">
        <v>2011</v>
      </c>
      <c r="C28" s="83">
        <f>IF(AND(T27CompManip!N25&lt;0.05,T27CompManip!N25&gt;0),"&lt;0.1",((IF(T27CompManip!N25="","",T27CompManip!N25))))</f>
        <v>2.0579999999999998</v>
      </c>
      <c r="D28" s="83">
        <f>IF(AND(T27CompManip!O25&lt;0.05,T27CompManip!O25&gt;0),"&lt;0.1",((IF(T27CompManip!O25="","",T27CompManip!O25))))</f>
        <v>0.38300000000000001</v>
      </c>
      <c r="E28" s="83">
        <f>IF(AND(T27CompManip!P25&lt;0.05,T27CompManip!P25&gt;0),"&lt;0.1",((IF(T27CompManip!P25="","",T27CompManip!P25))))</f>
        <v>9.24</v>
      </c>
      <c r="F28" s="83" t="str">
        <f>IF(AND(T27CompManip!Q25&lt;0.05,T27CompManip!Q25&gt;0),"&lt;0.1",((IF(T27CompManip!Q25="","",T27CompManip!Q25))))</f>
        <v>&lt;0.1</v>
      </c>
      <c r="G28" s="1032">
        <f>IF(AND(T27CompManip!R25&lt;0.05,T27CompManip!R25&gt;0),"&lt;0.1",((IF(T27CompManip!R25="","",T27CompManip!R25))))</f>
        <v>11.694000000000001</v>
      </c>
      <c r="H28" s="106"/>
    </row>
    <row r="29" spans="2:8">
      <c r="B29" s="1634">
        <v>2012</v>
      </c>
      <c r="C29" s="83">
        <f>IF(AND(T27CompManip!N26&lt;0.05,T27CompManip!N26&gt;0),"&lt;0.1",((IF(T27CompManip!N26="","",T27CompManip!N26))))</f>
        <v>3.01</v>
      </c>
      <c r="D29" s="83">
        <f>IF(AND(T27CompManip!O26&lt;0.05,T27CompManip!O26&gt;0),"&lt;0.1",((IF(T27CompManip!O26="","",T27CompManip!O26))))</f>
        <v>0.127</v>
      </c>
      <c r="E29" s="83">
        <f>IF(AND(T27CompManip!P26&lt;0.05,T27CompManip!P26&gt;0),"&lt;0.1",((IF(T27CompManip!P26="","",T27CompManip!P26))))</f>
        <v>10.157</v>
      </c>
      <c r="F29" s="83" t="str">
        <f>IF(AND(T27CompManip!Q26&lt;0.05,T27CompManip!Q26&gt;0),"&lt;0.1",((IF(T27CompManip!Q26="","",T27CompManip!Q26))))</f>
        <v>&lt;0.1</v>
      </c>
      <c r="G29" s="1032">
        <f>IF(AND(T27CompManip!R26&lt;0.05,T27CompManip!R26&gt;0),"&lt;0.1",((IF(T27CompManip!R26="","",T27CompManip!R26))))</f>
        <v>13.332000000000001</v>
      </c>
      <c r="H29" s="106"/>
    </row>
    <row r="30" spans="2:8">
      <c r="B30" s="1634">
        <v>2013</v>
      </c>
      <c r="C30" s="83">
        <f>IF(AND(T27CompManip!N27&lt;0.05,T27CompManip!N27&gt;0),"&lt;0.1",((IF(T27CompManip!N27="","",T27CompManip!N27))))</f>
        <v>1.6520000000000001</v>
      </c>
      <c r="D30" s="83">
        <f>IF(AND(T27CompManip!O27&lt;0.05,T27CompManip!O27&gt;0),"&lt;0.1",((IF(T27CompManip!O27="","",T27CompManip!O27))))</f>
        <v>0.107</v>
      </c>
      <c r="E30" s="83">
        <f>IF(AND(T27CompManip!P27&lt;0.05,T27CompManip!P27&gt;0),"&lt;0.1",((IF(T27CompManip!P27="","",T27CompManip!P27))))</f>
        <v>5.1050000000000004</v>
      </c>
      <c r="F30" s="83">
        <f>IF(AND(T27CompManip!Q27&lt;0.05,T27CompManip!Q27&gt;0),"&lt;0.1",((IF(T27CompManip!Q27="","",T27CompManip!Q27))))</f>
        <v>8.5999999999999993E-2</v>
      </c>
      <c r="G30" s="1032">
        <f>IF(AND(T27CompManip!R27&lt;0.05,T27CompManip!R27&gt;0),"&lt;0.1",((IF(T27CompManip!R27="","",T27CompManip!R27))))</f>
        <v>6.9500000000000011</v>
      </c>
      <c r="H30" s="106"/>
    </row>
    <row r="31" spans="2:8">
      <c r="B31" s="1634">
        <v>2014</v>
      </c>
      <c r="C31" s="83">
        <f>IF(AND(T27CompManip!N28&lt;0.05,T27CompManip!N28&gt;0),"&lt;0.1",((IF(T27CompManip!N28="","",T27CompManip!N28))))</f>
        <v>2.23</v>
      </c>
      <c r="D31" s="83">
        <f>IF(AND(T27CompManip!O28&lt;0.05,T27CompManip!O28&gt;0),"&lt;0.1",((IF(T27CompManip!O28="","",T27CompManip!O28))))</f>
        <v>0.376</v>
      </c>
      <c r="E31" s="83">
        <f>IF(AND(T27CompManip!P28&lt;0.05,T27CompManip!P28&gt;0),"&lt;0.1",((IF(T27CompManip!P28="","",T27CompManip!P28))))</f>
        <v>12.942</v>
      </c>
      <c r="F31" s="83">
        <f>IF(AND(T27CompManip!Q28&lt;0.05,T27CompManip!Q28&gt;0),"&lt;0.1",((IF(T27CompManip!Q28="","",T27CompManip!Q28))))</f>
        <v>0.18</v>
      </c>
      <c r="G31" s="1032">
        <f>IF(AND(T27CompManip!R28&lt;0.05,T27CompManip!R28&gt;0),"&lt;0.1",((IF(T27CompManip!R28="","",T27CompManip!R28))))</f>
        <v>15.728</v>
      </c>
      <c r="H31" s="106"/>
    </row>
    <row r="32" spans="2:8">
      <c r="B32" s="1634">
        <v>2015</v>
      </c>
      <c r="C32" s="83">
        <f>IF(AND(T27CompManip!N29&lt;0.05,T27CompManip!N29&gt;0),"&lt;0.1",((IF(T27CompManip!N29="","",T27CompManip!N29))))</f>
        <v>3.403</v>
      </c>
      <c r="D32" s="83">
        <f>IF(AND(T27CompManip!O29&lt;0.05,T27CompManip!O29&gt;0),"&lt;0.1",((IF(T27CompManip!O29="","",T27CompManip!O29))))</f>
        <v>0.82899999999999996</v>
      </c>
      <c r="E32" s="83">
        <f>IF(AND(T27CompManip!P29&lt;0.05,T27CompManip!P29&gt;0),"&lt;0.1",((IF(T27CompManip!P29="","",T27CompManip!P29))))</f>
        <v>15.231</v>
      </c>
      <c r="F32" s="83">
        <f>IF(AND(T27CompManip!Q29&lt;0.05,T27CompManip!Q29&gt;0),"&lt;0.1",((IF(T27CompManip!Q29="","",T27CompManip!Q29))))</f>
        <v>0.123</v>
      </c>
      <c r="G32" s="1032">
        <f>IF(AND(T27CompManip!R29&lt;0.05,T27CompManip!R29&gt;0),"&lt;0.1",((IF(T27CompManip!R29="","",T27CompManip!R29))))</f>
        <v>19.586000000000002</v>
      </c>
      <c r="H32" s="106"/>
    </row>
    <row r="33" spans="2:9">
      <c r="B33" s="1634">
        <v>2016</v>
      </c>
      <c r="C33" s="83">
        <f>IF(AND(T27CompManip!N30&lt;0.05,T27CompManip!N30&gt;0),"&lt;0.1",((IF(T27CompManip!N30="","",T27CompManip!N30))))</f>
        <v>1.385</v>
      </c>
      <c r="D33" s="83">
        <f>IF(AND(T27CompManip!O30&lt;0.05,T27CompManip!O30&gt;0),"&lt;0.1",((IF(T27CompManip!O30="","",T27CompManip!O30))))</f>
        <v>1.2309999999999999</v>
      </c>
      <c r="E33" s="83">
        <f>IF(AND(T27CompManip!P30&lt;0.05,T27CompManip!P30&gt;0),"&lt;0.1",((IF(T27CompManip!P30="","",T27CompManip!P30))))</f>
        <v>9.82</v>
      </c>
      <c r="F33" s="83">
        <f>IF(AND(T27CompManip!Q30&lt;0.05,T27CompManip!Q30&gt;0),"&lt;0.1",((IF(T27CompManip!Q30="","",T27CompManip!Q30))))</f>
        <v>0.23</v>
      </c>
      <c r="G33" s="1032">
        <f>IF(AND(T27CompManip!R30&lt;0.05,T27CompManip!R30&gt;0),"&lt;0.1",((IF(T27CompManip!R30="","",T27CompManip!R30))))</f>
        <v>12.666</v>
      </c>
      <c r="H33" s="106"/>
      <c r="I33" s="1675"/>
    </row>
    <row r="34" spans="2:9">
      <c r="B34" s="1634">
        <v>2017</v>
      </c>
      <c r="C34" s="83">
        <f>IF(AND(T27CompManip!N31&lt;0.05,T27CompManip!N31&gt;0),"&lt;0.1",((IF(T27CompManip!N31="","",T27CompManip!N31))))</f>
        <v>1.2430000000000001</v>
      </c>
      <c r="D34" s="83">
        <f>IF(AND(T27CompManip!O31&lt;0.05,T27CompManip!O31&gt;0),"&lt;0.1",((IF(T27CompManip!O31="","",T27CompManip!O31))))</f>
        <v>0.47800000000000004</v>
      </c>
      <c r="E34" s="83">
        <f>IF(AND(T27CompManip!P31&lt;0.05,T27CompManip!P31&gt;0),"&lt;0.1",((IF(T27CompManip!P31="","",T27CompManip!P31))))</f>
        <v>7.1190000000000007</v>
      </c>
      <c r="F34" s="83">
        <f>IF(AND(T27CompManip!Q31&lt;0.05,T27CompManip!Q31&gt;0),"&lt;0.1",((IF(T27CompManip!Q31="","",T27CompManip!Q31))))</f>
        <v>0.20699999999999999</v>
      </c>
      <c r="G34" s="1032">
        <f>IF(AND(T27CompManip!R31&lt;0.05,T27CompManip!R31&gt;0),"&lt;0.1",((IF(T27CompManip!R31="","",T27CompManip!R31))))</f>
        <v>9.0470000000000006</v>
      </c>
      <c r="H34" s="106"/>
      <c r="I34" s="1675"/>
    </row>
    <row r="35" spans="2:9" ht="13.5" customHeight="1">
      <c r="B35" s="1634">
        <v>2018</v>
      </c>
      <c r="C35" s="83">
        <f>IF(AND(T27CompManip!N32&lt;0.05,T27CompManip!N32&gt;0),"&lt;0.1",((IF(T27CompManip!N32="","",T27CompManip!N32))))</f>
        <v>1.2250000000000001</v>
      </c>
      <c r="D35" s="83">
        <f>IF(AND(T27CompManip!O32&lt;0.05,T27CompManip!O32&gt;0),"&lt;0.1",((IF(T27CompManip!O32="","",T27CompManip!O32))))</f>
        <v>0.32100000000000001</v>
      </c>
      <c r="E35" s="83">
        <f>IF(AND(T27CompManip!P32&lt;0.05,T27CompManip!P32&gt;0),"&lt;0.1",((IF(T27CompManip!P32="","",T27CompManip!P32))))</f>
        <v>5.7429999999999994</v>
      </c>
      <c r="F35" s="83">
        <f>IF(AND(T27CompManip!Q32&lt;0.05,T27CompManip!Q32&gt;0),"&lt;0.1",((IF(T27CompManip!Q32="","",T27CompManip!Q32))))</f>
        <v>0.21999999999999997</v>
      </c>
      <c r="G35" s="1032">
        <f>IF(AND(T27CompManip!R32&lt;0.05,T27CompManip!R32&gt;0),"&lt;0.1",((IF(T27CompManip!R32="","",T27CompManip!R32))))</f>
        <v>7.5089999999999995</v>
      </c>
      <c r="H35" s="106"/>
      <c r="I35" s="84"/>
    </row>
    <row r="36" spans="2:9" ht="13.5" customHeight="1">
      <c r="B36" s="1634">
        <v>2019</v>
      </c>
      <c r="C36" s="83">
        <f>IF(AND(T27CompManip!N33&lt;0.05,T27CompManip!N33&gt;0),"&lt;0.1",((IF(T27CompManip!N33="","",T27CompManip!N33))))</f>
        <v>0.19600000000000001</v>
      </c>
      <c r="D36" s="83" t="str">
        <f>IF(AND(T27CompManip!O33&lt;0.05,T27CompManip!O33&gt;0),"&lt;0.1",((IF(T27CompManip!O33="","",T27CompManip!O33))))</f>
        <v>&lt;0.1</v>
      </c>
      <c r="E36" s="83">
        <f>IF(AND(T27CompManip!P33&lt;0.05,T27CompManip!P33&gt;0),"&lt;0.1",((IF(T27CompManip!P33="","",T27CompManip!P33))))</f>
        <v>1.4420000000000002</v>
      </c>
      <c r="F36" s="83">
        <f>IF(AND(T27CompManip!Q33&lt;0.05,T27CompManip!Q33&gt;0),"&lt;0.1",((IF(T27CompManip!Q33="","",T27CompManip!Q33))))</f>
        <v>0</v>
      </c>
      <c r="G36" s="1032">
        <f>IF(AND(T27CompManip!R33&lt;0.05,T27CompManip!R33&gt;0),"&lt;0.1",((IF(T27CompManip!R33="","",T27CompManip!R33))))</f>
        <v>1.6770000000000003</v>
      </c>
      <c r="H36" s="106"/>
      <c r="I36" s="84"/>
    </row>
    <row r="37" spans="2:9" ht="13.5" customHeight="1">
      <c r="B37" s="1634">
        <v>2020</v>
      </c>
      <c r="C37" s="83">
        <f>IF(AND(T27CompManip!N34&lt;0.05,T27CompManip!N34&gt;0),"&lt;0.1",((IF(T27CompManip!N34="","",T27CompManip!N34))))</f>
        <v>0.10099999999999999</v>
      </c>
      <c r="D37" s="83">
        <f>IF(AND(T27CompManip!O34&lt;0.05,T27CompManip!O34&gt;0),"&lt;0.1",((IF(T27CompManip!O34="","",T27CompManip!O34))))</f>
        <v>7.5999999999999998E-2</v>
      </c>
      <c r="E37" s="83">
        <f>IF(AND(T27CompManip!P34&lt;0.05,T27CompManip!P34&gt;0),"&lt;0.1",((IF(T27CompManip!P34="","",T27CompManip!P34))))</f>
        <v>1.2849999999999999</v>
      </c>
      <c r="F37" s="83">
        <f>IF(AND(T27CompManip!Q34&lt;0.05,T27CompManip!Q34&gt;0),"&lt;0.1",((IF(T27CompManip!Q34="","",T27CompManip!Q34))))</f>
        <v>0</v>
      </c>
      <c r="G37" s="1032">
        <f>IF(AND(T27CompManip!R34&lt;0.05,T27CompManip!R34&gt;0),"&lt;0.1",((IF(T27CompManip!R34="","",T27CompManip!R34))))</f>
        <v>1.462</v>
      </c>
      <c r="H37" s="106"/>
      <c r="I37" s="84"/>
    </row>
    <row r="38" spans="2:9" ht="13.5" customHeight="1">
      <c r="B38" s="1634">
        <v>2021</v>
      </c>
      <c r="C38" s="83">
        <f>IF(AND(T27CompManip!N35&lt;0.05,T27CompManip!N35&gt;0),"&lt;0.1",((IF(T27CompManip!N35="","",T27CompManip!N35))))</f>
        <v>1.073</v>
      </c>
      <c r="D38" s="83">
        <f>IF(AND(T27CompManip!O35&lt;0.05,T27CompManip!O35&gt;0),"&lt;0.1",((IF(T27CompManip!O35="","",T27CompManip!O35))))</f>
        <v>0.309</v>
      </c>
      <c r="E38" s="83">
        <f>IF(AND(T27CompManip!P35&lt;0.05,T27CompManip!P35&gt;0),"&lt;0.1",((IF(T27CompManip!P35="","",T27CompManip!P35))))</f>
        <v>3.9640000000000004</v>
      </c>
      <c r="F38" s="83" t="str">
        <f>IF(AND(T27CompManip!Q35&lt;0.05,T27CompManip!Q35&gt;0),"&lt;0.1",((IF(T27CompManip!Q35="","",T27CompManip!Q35))))</f>
        <v>&lt;0.1</v>
      </c>
      <c r="G38" s="1032">
        <f>IF(AND(T27CompManip!R35&lt;0.05,T27CompManip!R35&gt;0),"&lt;0.1",((IF(T27CompManip!R35="","",T27CompManip!R35))))</f>
        <v>5.3849999999999998</v>
      </c>
      <c r="H38" s="106"/>
      <c r="I38" s="84"/>
    </row>
    <row r="39" spans="2:9" ht="13.5" customHeight="1">
      <c r="B39" s="1634">
        <v>2022</v>
      </c>
      <c r="C39" s="83">
        <f>IF(AND(T27CompManip!N36&lt;0.05,T27CompManip!N36&gt;0),"&lt;0.1",((IF(T27CompManip!N36="","",T27CompManip!N36))))</f>
        <v>1.7909999999999999</v>
      </c>
      <c r="D39" s="83">
        <f>IF(AND(T27CompManip!O36&lt;0.05,T27CompManip!O36&gt;0),"&lt;0.1",((IF(T27CompManip!O36="","",T27CompManip!O36))))</f>
        <v>0.23599999999999999</v>
      </c>
      <c r="E39" s="83">
        <f>IF(AND(T27CompManip!P36&lt;0.05,T27CompManip!P36&gt;0),"&lt;0.1",((IF(T27CompManip!P36="","",T27CompManip!P36))))</f>
        <v>9.9879999999999995</v>
      </c>
      <c r="F39" s="83">
        <f>IF(AND(T27CompManip!Q36&lt;0.05,T27CompManip!Q36&gt;0),"&lt;0.1",((IF(T27CompManip!Q36="","",T27CompManip!Q36))))</f>
        <v>0.56999999999999995</v>
      </c>
      <c r="G39" s="1032">
        <f>IF(AND(T27CompManip!R36&lt;0.05,T27CompManip!R36&gt;0),"&lt;0.1",((IF(T27CompManip!R36="","",T27CompManip!R36))))</f>
        <v>12.585000000000001</v>
      </c>
      <c r="H39" s="106"/>
      <c r="I39" s="84"/>
    </row>
    <row r="40" spans="2:9" ht="13.5" customHeight="1">
      <c r="B40" s="1634">
        <v>2023</v>
      </c>
      <c r="C40" s="83">
        <f>IF(AND(T27CompManip!N37&lt;0.05,T27CompManip!N37&gt;0),"&lt;0.1",((IF(T27CompManip!N37="","",T27CompManip!N37))))</f>
        <v>0.70299999999999996</v>
      </c>
      <c r="D40" s="83">
        <f>IF(AND(T27CompManip!O37&lt;0.05,T27CompManip!O37&gt;0),"&lt;0.1",((IF(T27CompManip!O37="","",T27CompManip!O37))))</f>
        <v>0.40500000000000003</v>
      </c>
      <c r="E40" s="83">
        <f>IF(AND(T27CompManip!P37&lt;0.05,T27CompManip!P37&gt;0),"&lt;0.1",((IF(T27CompManip!P37="","",T27CompManip!P37))))</f>
        <v>3.2629999999999999</v>
      </c>
      <c r="F40" s="83">
        <f>IF(AND(T27CompManip!Q37&lt;0.05,T27CompManip!Q37&gt;0),"&lt;0.1",((IF(T27CompManip!Q37="","",T27CompManip!Q37))))</f>
        <v>0.32</v>
      </c>
      <c r="G40" s="1032">
        <f>IF(AND(T27CompManip!R37&lt;0.05,T27CompManip!R37&gt;0),"&lt;0.1",((IF(T27CompManip!R37="","",T27CompManip!R37))))</f>
        <v>4.6910000000000007</v>
      </c>
      <c r="H40" s="106"/>
      <c r="I40" s="84"/>
    </row>
    <row r="41" spans="2:9" ht="13.5" customHeight="1">
      <c r="B41" s="1700">
        <v>2024</v>
      </c>
      <c r="C41" s="1033">
        <f>IF(AND(T27CompManip!N39&lt;0.05,T27CompManip!N39&gt;0),"&lt;0.1",((IF(T27CompManip!N39="","",T27CompManip!N39))))</f>
        <v>1.4079999999999999</v>
      </c>
      <c r="D41" s="1033">
        <f>IF(AND(T27CompManip!O39&lt;0.05,T27CompManip!O39&gt;0),"&lt;0.1",((IF(T27CompManip!O39="","",T27CompManip!O39))))</f>
        <v>1.0109999999999999</v>
      </c>
      <c r="E41" s="1033">
        <f>IF(AND(T27CompManip!P39&lt;0.05,T27CompManip!P39&gt;0),"&lt;0.1",((IF(T27CompManip!P39="","",T27CompManip!P39))))</f>
        <v>7.2850000000000001</v>
      </c>
      <c r="F41" s="1033">
        <f>IF(AND(T27CompManip!Q39&lt;0.05,T27CompManip!Q39&gt;0),"&lt;0.1",((IF(T27CompManip!Q39="","",T27CompManip!Q39))))</f>
        <v>0.38200000000000001</v>
      </c>
      <c r="G41" s="1034">
        <f>IF(AND(T27CompManip!R39&lt;0.05,T27CompManip!R39&gt;0),"&lt;0.1",((IF(T27CompManip!R39="","",T27CompManip!R39))))</f>
        <v>10.086</v>
      </c>
      <c r="H41" s="106"/>
      <c r="I41" s="84"/>
    </row>
    <row r="42" spans="2:9" ht="34.35" customHeight="1">
      <c r="B42" s="1981" t="s">
        <v>1427</v>
      </c>
      <c r="C42" s="1981"/>
      <c r="D42" s="1981"/>
      <c r="E42" s="1981"/>
      <c r="F42" s="1981"/>
      <c r="G42" s="1981"/>
      <c r="H42" s="1675"/>
      <c r="I42" s="1675"/>
    </row>
    <row r="43" spans="2:9" ht="18.75" customHeight="1">
      <c r="B43" s="445" t="s">
        <v>1428</v>
      </c>
      <c r="C43" s="1632"/>
      <c r="D43" s="1632"/>
      <c r="E43" s="1632"/>
      <c r="F43" s="1632"/>
      <c r="G43" s="1632"/>
      <c r="H43" s="1675"/>
      <c r="I43" s="1675"/>
    </row>
    <row r="44" spans="2:9" ht="15.75">
      <c r="B44" s="107"/>
      <c r="C44" s="84"/>
      <c r="D44" s="84"/>
      <c r="E44" s="84"/>
      <c r="F44" s="84"/>
      <c r="G44" s="84"/>
      <c r="H44" s="1675"/>
      <c r="I44" s="1675"/>
    </row>
    <row r="45" spans="2:9" ht="15.75">
      <c r="B45" s="84" t="s">
        <v>87</v>
      </c>
      <c r="C45" s="84"/>
      <c r="D45" s="84"/>
      <c r="E45" s="84"/>
      <c r="F45" s="84"/>
      <c r="G45" s="84"/>
      <c r="H45" s="1675"/>
      <c r="I45" s="1675"/>
    </row>
    <row r="46" spans="2:9" ht="15.75">
      <c r="B46" s="84"/>
      <c r="C46" s="84"/>
      <c r="D46" s="84"/>
      <c r="E46" s="84"/>
      <c r="F46" s="84"/>
      <c r="G46" s="84"/>
      <c r="H46" s="1675"/>
      <c r="I46" s="1675"/>
    </row>
    <row r="47" spans="2:9" ht="15.75">
      <c r="B47" s="84"/>
      <c r="C47" s="84"/>
      <c r="D47" s="84"/>
      <c r="E47" s="84"/>
      <c r="F47" s="84"/>
      <c r="G47" s="84"/>
      <c r="H47" s="1675"/>
      <c r="I47" s="1675"/>
    </row>
  </sheetData>
  <mergeCells count="8">
    <mergeCell ref="B42:G42"/>
    <mergeCell ref="C4:G4"/>
    <mergeCell ref="B5:B6"/>
    <mergeCell ref="C5:C6"/>
    <mergeCell ref="D5:D6"/>
    <mergeCell ref="E5:E6"/>
    <mergeCell ref="F5:F6"/>
    <mergeCell ref="G5:G6"/>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EEB25-5BB5-4EE6-A1A0-7FF36385EC8D}">
  <sheetPr>
    <tabColor rgb="FF66FF33"/>
  </sheetPr>
  <dimension ref="A1:V59"/>
  <sheetViews>
    <sheetView zoomScale="90" zoomScaleNormal="90" workbookViewId="0">
      <selection activeCell="H59" sqref="H59"/>
    </sheetView>
  </sheetViews>
  <sheetFormatPr defaultColWidth="9.33203125" defaultRowHeight="12.75"/>
  <cols>
    <col min="1" max="1" width="12.6640625" style="486" bestFit="1" customWidth="1"/>
    <col min="2" max="11" width="9.83203125" style="486" customWidth="1"/>
    <col min="12" max="13" width="9.33203125" style="486"/>
    <col min="14" max="14" width="13.1640625" style="486" bestFit="1" customWidth="1"/>
    <col min="15" max="15" width="13.33203125" style="486" bestFit="1" customWidth="1"/>
    <col min="16" max="18" width="12" style="486" bestFit="1" customWidth="1"/>
    <col min="19" max="19" width="7.83203125" style="486" customWidth="1"/>
    <col min="20" max="20" width="10.33203125" style="486" customWidth="1"/>
    <col min="21" max="16384" width="9.33203125" style="486"/>
  </cols>
  <sheetData>
    <row r="1" spans="1:22" ht="17.25" customHeight="1">
      <c r="A1" s="572"/>
      <c r="B1" s="1987" t="s">
        <v>1429</v>
      </c>
      <c r="C1" s="1987"/>
      <c r="D1" s="1987"/>
      <c r="E1" s="1987"/>
      <c r="F1" s="1987"/>
      <c r="G1" s="1987"/>
      <c r="H1" s="1987"/>
      <c r="I1" s="1987"/>
      <c r="J1" s="1987"/>
      <c r="K1" s="1987"/>
      <c r="M1" s="457" t="s">
        <v>1430</v>
      </c>
    </row>
    <row r="2" spans="1:22" ht="13.5" customHeight="1">
      <c r="A2" s="1705"/>
      <c r="B2" s="1988" t="s">
        <v>1431</v>
      </c>
      <c r="C2" s="1988"/>
      <c r="D2" s="1988" t="s">
        <v>1432</v>
      </c>
      <c r="E2" s="1988"/>
      <c r="F2" s="1988" t="s">
        <v>1433</v>
      </c>
      <c r="G2" s="1988"/>
      <c r="H2" s="1988" t="s">
        <v>1434</v>
      </c>
      <c r="I2" s="1988"/>
      <c r="J2" s="1988" t="s">
        <v>36</v>
      </c>
      <c r="K2" s="1988"/>
    </row>
    <row r="3" spans="1:22" ht="12.75" customHeight="1">
      <c r="A3" s="1705"/>
      <c r="B3" s="1705" t="s">
        <v>1302</v>
      </c>
      <c r="C3" s="1705" t="s">
        <v>1435</v>
      </c>
      <c r="D3" s="1705" t="s">
        <v>1302</v>
      </c>
      <c r="E3" s="1705" t="s">
        <v>1435</v>
      </c>
      <c r="F3" s="1705" t="s">
        <v>1302</v>
      </c>
      <c r="G3" s="1705" t="s">
        <v>1435</v>
      </c>
      <c r="H3" s="1705" t="s">
        <v>1302</v>
      </c>
      <c r="I3" s="1705" t="s">
        <v>1435</v>
      </c>
      <c r="J3" s="1705" t="s">
        <v>1302</v>
      </c>
      <c r="K3" s="1705" t="s">
        <v>1435</v>
      </c>
    </row>
    <row r="4" spans="1:22" ht="13.5" customHeight="1">
      <c r="A4" s="1705" t="s">
        <v>1436</v>
      </c>
      <c r="B4" s="1705" t="s">
        <v>1437</v>
      </c>
      <c r="C4" s="1705" t="s">
        <v>1438</v>
      </c>
      <c r="D4" s="1705" t="s">
        <v>1437</v>
      </c>
      <c r="E4" s="1705" t="s">
        <v>1438</v>
      </c>
      <c r="F4" s="1705" t="s">
        <v>1437</v>
      </c>
      <c r="G4" s="1705" t="s">
        <v>1438</v>
      </c>
      <c r="H4" s="1705" t="s">
        <v>1437</v>
      </c>
      <c r="I4" s="1705" t="s">
        <v>1438</v>
      </c>
      <c r="J4" s="1705" t="s">
        <v>1437</v>
      </c>
      <c r="K4" s="1705" t="s">
        <v>1438</v>
      </c>
    </row>
    <row r="5" spans="1:22" ht="13.5" customHeight="1">
      <c r="A5" s="1705"/>
      <c r="B5" s="1705"/>
      <c r="C5" s="1705"/>
      <c r="D5" s="1704"/>
      <c r="E5" s="1704"/>
      <c r="F5" s="1704"/>
      <c r="G5" s="1704"/>
      <c r="H5" s="1705"/>
      <c r="I5" s="1705"/>
      <c r="J5" s="1704"/>
      <c r="K5" s="1704"/>
    </row>
    <row r="6" spans="1:22" ht="26.25" customHeight="1">
      <c r="A6" s="1705" t="s">
        <v>50</v>
      </c>
      <c r="B6" s="573">
        <v>7094</v>
      </c>
      <c r="C6" s="485">
        <v>0.32</v>
      </c>
      <c r="D6" s="487">
        <v>1292</v>
      </c>
      <c r="E6" s="485">
        <v>0.32</v>
      </c>
      <c r="F6" s="487">
        <v>2554</v>
      </c>
      <c r="G6" s="485">
        <v>0.65</v>
      </c>
      <c r="H6" s="573">
        <v>1269</v>
      </c>
      <c r="I6" s="485">
        <v>0.62</v>
      </c>
      <c r="J6" s="487">
        <v>12215</v>
      </c>
      <c r="K6" s="485">
        <v>0.32</v>
      </c>
      <c r="M6" s="486" t="s">
        <v>1439</v>
      </c>
    </row>
    <row r="7" spans="1:22" ht="13.5" customHeight="1">
      <c r="A7" s="1705"/>
      <c r="B7" s="574"/>
      <c r="C7" s="575"/>
      <c r="D7" s="576"/>
      <c r="E7" s="577"/>
      <c r="F7" s="576"/>
      <c r="G7" s="577"/>
      <c r="H7" s="574"/>
      <c r="I7" s="575"/>
      <c r="J7" s="576"/>
      <c r="K7" s="577"/>
      <c r="M7" s="1705"/>
      <c r="N7" s="572" t="s">
        <v>1431</v>
      </c>
      <c r="O7" s="572" t="s">
        <v>1432</v>
      </c>
      <c r="P7" s="572" t="s">
        <v>1433</v>
      </c>
      <c r="Q7" s="572" t="s">
        <v>1434</v>
      </c>
      <c r="R7" s="1705" t="s">
        <v>1440</v>
      </c>
      <c r="S7" s="1705"/>
      <c r="T7" s="1986" t="s">
        <v>1441</v>
      </c>
      <c r="U7" s="1986"/>
      <c r="V7" s="1986"/>
    </row>
    <row r="8" spans="1:22" ht="24" customHeight="1">
      <c r="A8" s="1705" t="s">
        <v>54</v>
      </c>
      <c r="B8" s="573">
        <v>2888</v>
      </c>
      <c r="C8" s="485">
        <v>0.26</v>
      </c>
      <c r="D8" s="576">
        <v>568</v>
      </c>
      <c r="E8" s="485">
        <v>0.43</v>
      </c>
      <c r="F8" s="487">
        <v>6262</v>
      </c>
      <c r="G8" s="485">
        <v>0.64</v>
      </c>
      <c r="H8" s="574">
        <v>815</v>
      </c>
      <c r="I8" s="485">
        <v>0.43</v>
      </c>
      <c r="J8" s="487">
        <v>10549</v>
      </c>
      <c r="K8" s="485">
        <v>0.42</v>
      </c>
      <c r="M8" s="1705"/>
      <c r="N8" s="1705"/>
      <c r="O8" s="1705"/>
      <c r="P8" s="1705"/>
      <c r="Q8" s="1705"/>
      <c r="R8" s="1705"/>
      <c r="S8" s="1705"/>
      <c r="T8" s="486" t="s">
        <v>1442</v>
      </c>
      <c r="U8" s="486" t="s">
        <v>745</v>
      </c>
      <c r="V8" s="486" t="s">
        <v>753</v>
      </c>
    </row>
    <row r="9" spans="1:22" ht="13.5" customHeight="1">
      <c r="A9" s="1705"/>
      <c r="B9" s="574"/>
      <c r="C9" s="575"/>
      <c r="D9" s="576"/>
      <c r="E9" s="577"/>
      <c r="F9" s="576"/>
      <c r="G9" s="577"/>
      <c r="H9" s="574"/>
      <c r="I9" s="575"/>
      <c r="J9" s="576"/>
      <c r="K9" s="577"/>
      <c r="M9" s="1705" t="s">
        <v>28</v>
      </c>
      <c r="N9" s="1705" t="s">
        <v>367</v>
      </c>
      <c r="O9" s="1705" t="s">
        <v>367</v>
      </c>
      <c r="P9" s="1705" t="s">
        <v>367</v>
      </c>
      <c r="Q9" s="1705" t="s">
        <v>367</v>
      </c>
      <c r="R9" s="1705" t="s">
        <v>367</v>
      </c>
      <c r="S9" s="1705"/>
    </row>
    <row r="10" spans="1:22" ht="13.5" customHeight="1">
      <c r="A10" s="1705">
        <v>1990</v>
      </c>
      <c r="B10" s="578">
        <v>2636</v>
      </c>
      <c r="C10" s="485">
        <f>B10/N10</f>
        <v>0.34890800794176041</v>
      </c>
      <c r="D10" s="578">
        <v>887</v>
      </c>
      <c r="E10" s="485">
        <f>D10/O10</f>
        <v>0.44640161046804228</v>
      </c>
      <c r="F10" s="578">
        <v>7143</v>
      </c>
      <c r="G10" s="485">
        <f>F10/P10</f>
        <v>0.76814711259275192</v>
      </c>
      <c r="H10" s="578">
        <v>2058</v>
      </c>
      <c r="I10" s="485">
        <f>H10/Q10</f>
        <v>0.58349872412815429</v>
      </c>
      <c r="J10" s="487">
        <f>B10+D10+F10+H10</f>
        <v>12724</v>
      </c>
      <c r="K10" s="485">
        <f>J10/R10</f>
        <v>0.5688483547925608</v>
      </c>
      <c r="M10" s="1705">
        <v>1990</v>
      </c>
      <c r="N10" s="489">
        <f>[2]T1Manip!C16</f>
        <v>7555</v>
      </c>
      <c r="O10" s="489">
        <f>[2]T1Manip!D16</f>
        <v>1987</v>
      </c>
      <c r="P10" s="489">
        <f>[2]T1Manip!E16</f>
        <v>9299</v>
      </c>
      <c r="Q10" s="489">
        <f>[2]T1Manip!F16</f>
        <v>3527</v>
      </c>
      <c r="R10" s="489">
        <f>N10+O10+P10+Q10</f>
        <v>22368</v>
      </c>
      <c r="S10" s="489"/>
    </row>
    <row r="11" spans="1:22" ht="13.5" customHeight="1">
      <c r="A11" s="1705">
        <v>1991</v>
      </c>
      <c r="B11" s="578">
        <v>3417</v>
      </c>
      <c r="C11" s="485">
        <f>B11/N11</f>
        <v>0.38200111794298491</v>
      </c>
      <c r="D11" s="578">
        <v>1404</v>
      </c>
      <c r="E11" s="485">
        <f>D11/O11</f>
        <v>0.53731343283582089</v>
      </c>
      <c r="F11" s="578">
        <v>6201</v>
      </c>
      <c r="G11" s="485">
        <f>F11/P11</f>
        <v>0.74406047516198703</v>
      </c>
      <c r="H11" s="579">
        <v>1950</v>
      </c>
      <c r="I11" s="485">
        <f>H11/Q11</f>
        <v>0.53395399780941954</v>
      </c>
      <c r="J11" s="487">
        <f>B11+D11+F11+H11</f>
        <v>12972</v>
      </c>
      <c r="K11" s="485">
        <f>J11/R11</f>
        <v>0.55096839959225286</v>
      </c>
      <c r="M11" s="1705">
        <v>1991</v>
      </c>
      <c r="N11" s="489">
        <f>[2]T1Manip!C17</f>
        <v>8945</v>
      </c>
      <c r="O11" s="489">
        <f>[2]T1Manip!D17</f>
        <v>2613</v>
      </c>
      <c r="P11" s="489">
        <f>[2]T1Manip!E17</f>
        <v>8334</v>
      </c>
      <c r="Q11" s="489">
        <f>[2]T1Manip!F17</f>
        <v>3652</v>
      </c>
      <c r="R11" s="489">
        <f>N11+O11+P11+Q11</f>
        <v>23544</v>
      </c>
      <c r="S11" s="489"/>
    </row>
    <row r="12" spans="1:22" ht="13.5" customHeight="1">
      <c r="A12" s="1705">
        <v>1992</v>
      </c>
      <c r="B12" s="578">
        <v>2134</v>
      </c>
      <c r="C12" s="485">
        <f>B12/N12</f>
        <v>0.20612382884188157</v>
      </c>
      <c r="D12" s="580">
        <v>749</v>
      </c>
      <c r="E12" s="485">
        <f>D12/O12</f>
        <v>0.30823045267489713</v>
      </c>
      <c r="F12" s="578">
        <v>4385</v>
      </c>
      <c r="G12" s="485">
        <f>F12/P12</f>
        <v>0.72780082987551864</v>
      </c>
      <c r="H12" s="579">
        <v>2223</v>
      </c>
      <c r="I12" s="485">
        <f>H12/Q12</f>
        <v>0.25996959419950882</v>
      </c>
      <c r="J12" s="487">
        <f>B12+D12+F12+H12</f>
        <v>9491</v>
      </c>
      <c r="K12" s="485">
        <f>J12/R12</f>
        <v>0.34690595416499143</v>
      </c>
      <c r="M12" s="1705">
        <v>1992</v>
      </c>
      <c r="N12" s="489">
        <f>[2]T1Manip!C18</f>
        <v>10353</v>
      </c>
      <c r="O12" s="489">
        <f>[2]T1Manip!D18</f>
        <v>2430</v>
      </c>
      <c r="P12" s="489">
        <f>[2]T1Manip!E18</f>
        <v>6025</v>
      </c>
      <c r="Q12" s="489">
        <f>[2]T1Manip!F18</f>
        <v>8551</v>
      </c>
      <c r="R12" s="489">
        <f>N12+O12+P12+Q12</f>
        <v>27359</v>
      </c>
      <c r="S12" s="489"/>
    </row>
    <row r="13" spans="1:22" ht="13.5" customHeight="1">
      <c r="A13" s="1705">
        <v>1993</v>
      </c>
      <c r="B13" s="578">
        <v>2897</v>
      </c>
      <c r="C13" s="485">
        <f>B13/N13</f>
        <v>0.30630154366673717</v>
      </c>
      <c r="D13" s="578">
        <v>1472</v>
      </c>
      <c r="E13" s="485">
        <f>D13/O13</f>
        <v>0.51217814892136393</v>
      </c>
      <c r="F13" s="578">
        <v>6102</v>
      </c>
      <c r="G13" s="485">
        <f>F13/P13</f>
        <v>0.74460036607687619</v>
      </c>
      <c r="H13" s="579">
        <v>2416</v>
      </c>
      <c r="I13" s="485">
        <f>H13/Q13</f>
        <v>0.37933741560684564</v>
      </c>
      <c r="J13" s="487">
        <f>B13+D13+F13+H13</f>
        <v>12887</v>
      </c>
      <c r="K13" s="485">
        <f>J13/R13</f>
        <v>0.47914187983343248</v>
      </c>
      <c r="M13" s="1705">
        <v>1993</v>
      </c>
      <c r="N13" s="489">
        <f>[2]T1Manip!C19</f>
        <v>9458</v>
      </c>
      <c r="O13" s="489">
        <f>[2]T1Manip!D19</f>
        <v>2874</v>
      </c>
      <c r="P13" s="489">
        <f>[2]T1Manip!E19</f>
        <v>8195</v>
      </c>
      <c r="Q13" s="489">
        <f>[2]T1Manip!F19</f>
        <v>6369</v>
      </c>
      <c r="R13" s="489">
        <f>N13+O13+P13+Q13</f>
        <v>26896</v>
      </c>
      <c r="S13" s="489"/>
    </row>
    <row r="14" spans="1:22" ht="13.5" customHeight="1">
      <c r="A14" s="1705">
        <v>1994</v>
      </c>
      <c r="B14" s="578">
        <v>1076</v>
      </c>
      <c r="C14" s="485">
        <f>B14/N14</f>
        <v>0.34169577643696414</v>
      </c>
      <c r="D14" s="580">
        <v>229</v>
      </c>
      <c r="E14" s="485">
        <f>D14/O14</f>
        <v>0.18102766798418973</v>
      </c>
      <c r="F14" s="578">
        <v>1942</v>
      </c>
      <c r="G14" s="485">
        <f>F14/P14</f>
        <v>0.63298565840938725</v>
      </c>
      <c r="H14" s="579">
        <v>1322</v>
      </c>
      <c r="I14" s="485">
        <f>H14/Q14</f>
        <v>0.37793024585477414</v>
      </c>
      <c r="J14" s="487">
        <f>B14+D14+F14+H14</f>
        <v>4569</v>
      </c>
      <c r="K14" s="485">
        <f>J14/R14</f>
        <v>0.41612021857923498</v>
      </c>
      <c r="M14" s="1705">
        <v>1994</v>
      </c>
      <c r="N14" s="489">
        <f>[2]T1Manip!C20</f>
        <v>3149</v>
      </c>
      <c r="O14" s="489">
        <f>[2]T1Manip!D20</f>
        <v>1265</v>
      </c>
      <c r="P14" s="489">
        <f>[2]T1Manip!E20</f>
        <v>3068</v>
      </c>
      <c r="Q14" s="489">
        <f>[2]T1Manip!F20</f>
        <v>3498</v>
      </c>
      <c r="R14" s="489">
        <f>N14+O14+P14+Q14</f>
        <v>10980</v>
      </c>
      <c r="S14" s="489"/>
    </row>
    <row r="15" spans="1:22" ht="13.5" customHeight="1">
      <c r="A15" s="1705" t="s">
        <v>1443</v>
      </c>
      <c r="B15" s="573">
        <f t="shared" ref="B15:K15" si="0">AVERAGE(B10:B14)</f>
        <v>2432</v>
      </c>
      <c r="C15" s="485">
        <f t="shared" si="0"/>
        <v>0.31700605496606565</v>
      </c>
      <c r="D15" s="573">
        <f t="shared" si="0"/>
        <v>948.2</v>
      </c>
      <c r="E15" s="485">
        <f t="shared" si="0"/>
        <v>0.3970302625768628</v>
      </c>
      <c r="F15" s="573">
        <f t="shared" si="0"/>
        <v>5154.6000000000004</v>
      </c>
      <c r="G15" s="485">
        <f t="shared" si="0"/>
        <v>0.72351888842330414</v>
      </c>
      <c r="H15" s="573">
        <f t="shared" si="0"/>
        <v>1993.8</v>
      </c>
      <c r="I15" s="485">
        <f t="shared" si="0"/>
        <v>0.42693799551974043</v>
      </c>
      <c r="J15" s="573">
        <f t="shared" si="0"/>
        <v>10528.6</v>
      </c>
      <c r="K15" s="485">
        <f t="shared" si="0"/>
        <v>0.47239696139249449</v>
      </c>
    </row>
    <row r="16" spans="1:22" ht="13.5" customHeight="1">
      <c r="A16" s="1705"/>
      <c r="B16" s="574"/>
      <c r="C16" s="575"/>
      <c r="D16" s="576"/>
      <c r="E16" s="577"/>
      <c r="F16" s="576"/>
      <c r="G16" s="577"/>
      <c r="H16" s="574"/>
      <c r="I16" s="575"/>
      <c r="J16" s="576"/>
      <c r="K16" s="577"/>
    </row>
    <row r="17" spans="1:22" ht="13.5" customHeight="1">
      <c r="A17" s="1705">
        <v>1995</v>
      </c>
      <c r="B17" s="578">
        <v>33</v>
      </c>
      <c r="C17" s="485">
        <f>B17/N17</f>
        <v>1.5699333967649859E-2</v>
      </c>
      <c r="D17" s="578">
        <v>3</v>
      </c>
      <c r="E17" s="485">
        <f>D17/O17</f>
        <v>4.30416068866571E-3</v>
      </c>
      <c r="F17" s="578">
        <v>2437</v>
      </c>
      <c r="G17" s="485">
        <f>F17/P17</f>
        <v>0.65405260332796566</v>
      </c>
      <c r="H17" s="578">
        <v>1134</v>
      </c>
      <c r="I17" s="485">
        <f>H17/Q17</f>
        <v>0.44839857651245552</v>
      </c>
      <c r="J17" s="487">
        <f>B17+D17+F17+H17</f>
        <v>3607</v>
      </c>
      <c r="K17" s="485">
        <f>J17/R17</f>
        <v>0.39838745305942125</v>
      </c>
      <c r="M17" s="1705">
        <v>1995</v>
      </c>
      <c r="N17" s="489">
        <f>[2]T1Manip!C21</f>
        <v>2102</v>
      </c>
      <c r="O17" s="489">
        <f>[2]T1Manip!D21</f>
        <v>697</v>
      </c>
      <c r="P17" s="489">
        <f>[2]T1Manip!E21</f>
        <v>3726</v>
      </c>
      <c r="Q17" s="489">
        <f>[2]T1Manip!F21</f>
        <v>2529</v>
      </c>
      <c r="R17" s="489">
        <f>N17+O17+P17+Q17</f>
        <v>9054</v>
      </c>
      <c r="S17" s="489"/>
    </row>
    <row r="18" spans="1:22" ht="13.5" customHeight="1">
      <c r="A18" s="1705">
        <v>1996</v>
      </c>
      <c r="B18" s="578">
        <v>29</v>
      </c>
      <c r="C18" s="485">
        <f>B18/N18</f>
        <v>1.6228315612758813E-2</v>
      </c>
      <c r="D18" s="578">
        <v>190</v>
      </c>
      <c r="E18" s="485">
        <f>D18/O18</f>
        <v>0.30303030303030304</v>
      </c>
      <c r="F18" s="578">
        <v>351</v>
      </c>
      <c r="G18" s="485">
        <f>F18/P18</f>
        <v>0.20289017341040463</v>
      </c>
      <c r="H18" s="578">
        <v>1290</v>
      </c>
      <c r="I18" s="485">
        <f>H18/Q18</f>
        <v>0.33938437253354381</v>
      </c>
      <c r="J18" s="487">
        <f>B18+D18+F18+H18</f>
        <v>1860</v>
      </c>
      <c r="K18" s="485">
        <f>J18/R18</f>
        <v>0.2341095028319698</v>
      </c>
      <c r="M18" s="1705">
        <v>1996</v>
      </c>
      <c r="N18" s="489">
        <f>[2]T1Manip!C22</f>
        <v>1787</v>
      </c>
      <c r="O18" s="489">
        <f>[2]T1Manip!D22</f>
        <v>627</v>
      </c>
      <c r="P18" s="489">
        <f>[2]T1Manip!E22</f>
        <v>1730</v>
      </c>
      <c r="Q18" s="489">
        <f>[2]T1Manip!F22</f>
        <v>3801</v>
      </c>
      <c r="R18" s="489">
        <f>N18+O18+P18+Q18</f>
        <v>7945</v>
      </c>
      <c r="S18" s="489"/>
    </row>
    <row r="19" spans="1:22" ht="13.5" customHeight="1">
      <c r="A19" s="1705">
        <v>1997</v>
      </c>
      <c r="B19" s="578">
        <v>144</v>
      </c>
      <c r="C19" s="485">
        <f>B19/N19</f>
        <v>7.6718167288225891E-2</v>
      </c>
      <c r="D19" s="578">
        <v>5</v>
      </c>
      <c r="E19" s="485">
        <f>D19/O19</f>
        <v>9.9009900990099011E-3</v>
      </c>
      <c r="F19" s="578">
        <v>781</v>
      </c>
      <c r="G19" s="485">
        <f>F19/P19</f>
        <v>0.35564663023679416</v>
      </c>
      <c r="H19" s="578">
        <v>1186</v>
      </c>
      <c r="I19" s="485">
        <f>H19/Q19</f>
        <v>0.26893424036281177</v>
      </c>
      <c r="J19" s="487">
        <f>B19+D19+F19+H19</f>
        <v>2116</v>
      </c>
      <c r="K19" s="485">
        <f>J19/R19</f>
        <v>0.23542501112594572</v>
      </c>
      <c r="M19" s="1705">
        <v>1997</v>
      </c>
      <c r="N19" s="489">
        <f>[2]T1Manip!C23</f>
        <v>1877</v>
      </c>
      <c r="O19" s="489">
        <f>[2]T1Manip!D23</f>
        <v>505</v>
      </c>
      <c r="P19" s="489">
        <f>[2]T1Manip!E23</f>
        <v>2196</v>
      </c>
      <c r="Q19" s="489">
        <f>[2]T1Manip!F23</f>
        <v>4410</v>
      </c>
      <c r="R19" s="489">
        <f>N19+O19+P19+Q19</f>
        <v>8988</v>
      </c>
      <c r="S19" s="489"/>
    </row>
    <row r="20" spans="1:22" ht="13.5" customHeight="1">
      <c r="A20" s="1705">
        <v>1998</v>
      </c>
      <c r="B20" s="578">
        <v>0</v>
      </c>
      <c r="C20" s="485">
        <f>B20/N20</f>
        <v>0</v>
      </c>
      <c r="D20" s="578">
        <v>0</v>
      </c>
      <c r="E20" s="485">
        <f>D20/O20</f>
        <v>0</v>
      </c>
      <c r="F20" s="578">
        <v>228</v>
      </c>
      <c r="G20" s="485">
        <f>F20/P20</f>
        <v>0.14152700186219738</v>
      </c>
      <c r="H20" s="578">
        <v>998</v>
      </c>
      <c r="I20" s="485">
        <f>H20/Q20</f>
        <v>0.27900475258596591</v>
      </c>
      <c r="J20" s="487">
        <f>B20+D20+F20+H20</f>
        <v>1226</v>
      </c>
      <c r="K20" s="485">
        <f>J20/R20</f>
        <v>0.18436090225563909</v>
      </c>
      <c r="M20" s="1705">
        <v>1998</v>
      </c>
      <c r="N20" s="489">
        <f>[2]T1Manip!C24</f>
        <v>1055</v>
      </c>
      <c r="O20" s="489">
        <f>[2]T1Manip!D24</f>
        <v>407</v>
      </c>
      <c r="P20" s="489">
        <f>[2]T1Manip!E24</f>
        <v>1611</v>
      </c>
      <c r="Q20" s="489">
        <f>[2]T1Manip!F24</f>
        <v>3577</v>
      </c>
      <c r="R20" s="489">
        <f>N20+O20+P20+Q20</f>
        <v>6650</v>
      </c>
      <c r="S20" s="489"/>
    </row>
    <row r="21" spans="1:22" ht="13.5" customHeight="1">
      <c r="A21" s="1705">
        <v>1999</v>
      </c>
      <c r="B21" s="578">
        <v>491</v>
      </c>
      <c r="C21" s="485">
        <f>B21/N21</f>
        <v>0.23731271145480909</v>
      </c>
      <c r="D21" s="578">
        <v>8</v>
      </c>
      <c r="E21" s="485">
        <f>D21/O21</f>
        <v>8.1883316274309111E-3</v>
      </c>
      <c r="F21" s="578">
        <v>692</v>
      </c>
      <c r="G21" s="485">
        <f>F21/P21</f>
        <v>0.39475185396463208</v>
      </c>
      <c r="H21" s="578">
        <v>1481</v>
      </c>
      <c r="I21" s="485">
        <f>H21/Q21</f>
        <v>0.41311018131101812</v>
      </c>
      <c r="J21" s="487">
        <f>B21+D21+F21+H21</f>
        <v>2672</v>
      </c>
      <c r="K21" s="485">
        <f>J21/R21</f>
        <v>0.31870229007633588</v>
      </c>
      <c r="M21" s="1705">
        <v>1999</v>
      </c>
      <c r="N21" s="489">
        <f>[2]T1Manip!C25</f>
        <v>2069</v>
      </c>
      <c r="O21" s="489">
        <f>[2]T1Manip!D25</f>
        <v>977</v>
      </c>
      <c r="P21" s="489">
        <f>[2]T1Manip!E25</f>
        <v>1753</v>
      </c>
      <c r="Q21" s="489">
        <f>[2]T1Manip!F25</f>
        <v>3585</v>
      </c>
      <c r="R21" s="489">
        <f>N21+O21+P21+Q21</f>
        <v>8384</v>
      </c>
      <c r="S21" s="489"/>
    </row>
    <row r="22" spans="1:22" ht="13.5" customHeight="1">
      <c r="A22" s="1705" t="s">
        <v>1443</v>
      </c>
      <c r="B22" s="573">
        <f t="shared" ref="B22:K22" si="1">AVERAGE(B17:B21)</f>
        <v>139.4</v>
      </c>
      <c r="C22" s="485">
        <f t="shared" si="1"/>
        <v>6.9191705664688727E-2</v>
      </c>
      <c r="D22" s="573">
        <f t="shared" si="1"/>
        <v>41.2</v>
      </c>
      <c r="E22" s="485">
        <f t="shared" si="1"/>
        <v>6.5084757089081929E-2</v>
      </c>
      <c r="F22" s="573">
        <f t="shared" si="1"/>
        <v>897.8</v>
      </c>
      <c r="G22" s="485">
        <f t="shared" si="1"/>
        <v>0.34977365256039877</v>
      </c>
      <c r="H22" s="573">
        <f t="shared" si="1"/>
        <v>1217.8</v>
      </c>
      <c r="I22" s="485">
        <f t="shared" si="1"/>
        <v>0.34976642466115904</v>
      </c>
      <c r="J22" s="573">
        <f t="shared" si="1"/>
        <v>2296.1999999999998</v>
      </c>
      <c r="K22" s="485">
        <f t="shared" si="1"/>
        <v>0.27419703186986238</v>
      </c>
    </row>
    <row r="23" spans="1:22" ht="13.5" customHeight="1">
      <c r="A23" s="1705"/>
      <c r="B23" s="574"/>
      <c r="C23" s="575"/>
      <c r="D23" s="576"/>
      <c r="E23" s="577"/>
      <c r="F23" s="576"/>
      <c r="G23" s="577"/>
      <c r="H23" s="574"/>
      <c r="I23" s="575"/>
      <c r="J23" s="576"/>
      <c r="K23" s="577"/>
    </row>
    <row r="24" spans="1:22" ht="13.5" customHeight="1">
      <c r="A24" s="1705">
        <v>2000</v>
      </c>
      <c r="B24" s="578">
        <v>538</v>
      </c>
      <c r="C24" s="485">
        <f>B24/N24</f>
        <v>0.24465666211914508</v>
      </c>
      <c r="D24" s="581">
        <v>397</v>
      </c>
      <c r="E24" s="485">
        <f>D24/O24</f>
        <v>0.27997179125528915</v>
      </c>
      <c r="F24" s="579">
        <v>1260</v>
      </c>
      <c r="G24" s="485">
        <f>F24/P24</f>
        <v>0.50099403578528823</v>
      </c>
      <c r="H24" s="581">
        <v>1268</v>
      </c>
      <c r="I24" s="485">
        <f>H24/Q24</f>
        <v>0.34825597363361716</v>
      </c>
      <c r="J24" s="487">
        <f>B24+D24+F24+H24</f>
        <v>3463</v>
      </c>
      <c r="K24" s="485">
        <f>J24/R24</f>
        <v>0.35434359971349638</v>
      </c>
      <c r="M24" s="1705">
        <v>2000</v>
      </c>
      <c r="N24" s="489">
        <f>[2]T1Manip!C26</f>
        <v>2199</v>
      </c>
      <c r="O24" s="489">
        <f>[2]T1Manip!D26</f>
        <v>1418</v>
      </c>
      <c r="P24" s="489">
        <f>[2]T1Manip!E26</f>
        <v>2515</v>
      </c>
      <c r="Q24" s="489">
        <f>[2]T1Manip!F26</f>
        <v>3641</v>
      </c>
      <c r="R24" s="489">
        <f>N24+O24+P24+Q24</f>
        <v>9773</v>
      </c>
      <c r="S24" s="489"/>
    </row>
    <row r="25" spans="1:22" ht="13.5" customHeight="1">
      <c r="A25" s="1705">
        <v>2001</v>
      </c>
      <c r="B25" s="578">
        <v>54</v>
      </c>
      <c r="C25" s="485">
        <f>B25/N25</f>
        <v>3.3561218147917959E-2</v>
      </c>
      <c r="D25" s="581">
        <v>407</v>
      </c>
      <c r="E25" s="485">
        <f>D25/O25</f>
        <v>0.22661469933184855</v>
      </c>
      <c r="F25" s="579">
        <v>2020</v>
      </c>
      <c r="G25" s="485">
        <f>F25/P25</f>
        <v>0.53481599152766746</v>
      </c>
      <c r="H25" s="581">
        <v>1580</v>
      </c>
      <c r="I25" s="485">
        <f>H25/Q25</f>
        <v>0.29649089885531993</v>
      </c>
      <c r="J25" s="487">
        <f>B25+D25+F25+H25</f>
        <v>4061</v>
      </c>
      <c r="K25" s="485">
        <f>J25/R25</f>
        <v>0.32459435696587002</v>
      </c>
      <c r="M25" s="1705">
        <v>2001</v>
      </c>
      <c r="N25" s="489">
        <f>[2]T1Manip!C27</f>
        <v>1609</v>
      </c>
      <c r="O25" s="489">
        <f>[2]T1Manip!D27</f>
        <v>1796</v>
      </c>
      <c r="P25" s="489">
        <f>[2]T1Manip!E27</f>
        <v>3777</v>
      </c>
      <c r="Q25" s="489">
        <f>[2]T1Manip!F27</f>
        <v>5329</v>
      </c>
      <c r="R25" s="489">
        <f>N25+O25+P25+Q25</f>
        <v>12511</v>
      </c>
      <c r="S25" s="489"/>
    </row>
    <row r="26" spans="1:22" ht="13.5" customHeight="1">
      <c r="A26" s="1705">
        <v>2002</v>
      </c>
      <c r="B26" s="582">
        <v>1575</v>
      </c>
      <c r="C26" s="485">
        <f>B26/N26</f>
        <v>0.30707740300253461</v>
      </c>
      <c r="D26" s="583">
        <v>539</v>
      </c>
      <c r="E26" s="485">
        <f>D26/O26</f>
        <v>0.18509615384615385</v>
      </c>
      <c r="F26" s="579">
        <v>1363</v>
      </c>
      <c r="G26" s="485">
        <f>F26/P26</f>
        <v>0.38787706317586795</v>
      </c>
      <c r="H26" s="581">
        <v>1588</v>
      </c>
      <c r="I26" s="485">
        <f>H26/Q26</f>
        <v>0.2689246401354784</v>
      </c>
      <c r="J26" s="487">
        <f>B26+D26+F26+H26</f>
        <v>5065</v>
      </c>
      <c r="K26" s="485">
        <f>J26/R26</f>
        <v>0.29009163802978238</v>
      </c>
      <c r="M26" s="1705">
        <v>2002</v>
      </c>
      <c r="N26" s="489">
        <f>[2]T1Manip!C28</f>
        <v>5129</v>
      </c>
      <c r="O26" s="489">
        <f>[2]T1Manip!D28</f>
        <v>2912</v>
      </c>
      <c r="P26" s="489">
        <f>[2]T1Manip!E28</f>
        <v>3514</v>
      </c>
      <c r="Q26" s="489">
        <f>[2]T1Manip!F28</f>
        <v>5905</v>
      </c>
      <c r="R26" s="489">
        <f>N26+O26+P26+Q26</f>
        <v>17460</v>
      </c>
      <c r="S26" s="489"/>
    </row>
    <row r="27" spans="1:22" ht="13.5" customHeight="1">
      <c r="A27" s="1705">
        <v>2003</v>
      </c>
      <c r="B27" s="582">
        <v>2996</v>
      </c>
      <c r="C27" s="485">
        <f>B27/N27</f>
        <v>0.18778989595085871</v>
      </c>
      <c r="D27" s="583">
        <v>833</v>
      </c>
      <c r="E27" s="485">
        <f>D27/O27</f>
        <v>0.18283582089552239</v>
      </c>
      <c r="F27" s="579">
        <v>1903</v>
      </c>
      <c r="G27" s="485">
        <f>F27/P27</f>
        <v>0.37757936507936507</v>
      </c>
      <c r="H27" s="581">
        <v>1595</v>
      </c>
      <c r="I27" s="485">
        <f>H27/Q27</f>
        <v>0.29148391812865498</v>
      </c>
      <c r="J27" s="487">
        <f>B27+D27+F27+H27</f>
        <v>7327</v>
      </c>
      <c r="K27" s="485">
        <f>J27/R27</f>
        <v>0.2361872219715041</v>
      </c>
      <c r="M27" s="1705">
        <v>2003</v>
      </c>
      <c r="N27" s="489">
        <f>[2]T1Manip!C29</f>
        <v>15954</v>
      </c>
      <c r="O27" s="489">
        <f>[2]T1Manip!D29</f>
        <v>4556</v>
      </c>
      <c r="P27" s="489">
        <f>[2]T1Manip!E29</f>
        <v>5040</v>
      </c>
      <c r="Q27" s="489">
        <f>[2]T1Manip!F29</f>
        <v>5472</v>
      </c>
      <c r="R27" s="489">
        <f>N27+O27+P27+Q27</f>
        <v>31022</v>
      </c>
      <c r="S27" s="489"/>
      <c r="T27" s="488">
        <f>J27-H27</f>
        <v>5732</v>
      </c>
      <c r="U27" s="488">
        <f>R27-Q27</f>
        <v>25550</v>
      </c>
      <c r="V27" s="1148">
        <f>T27/U27</f>
        <v>0.22434442270058708</v>
      </c>
    </row>
    <row r="28" spans="1:22" ht="13.5" customHeight="1">
      <c r="A28" s="1705">
        <v>2004</v>
      </c>
      <c r="B28" s="582">
        <v>1945</v>
      </c>
      <c r="C28" s="485">
        <f>B28/N28</f>
        <v>0.117664851784634</v>
      </c>
      <c r="D28" s="583">
        <v>921</v>
      </c>
      <c r="E28" s="485">
        <f>D28/O28</f>
        <v>0.21488567428838076</v>
      </c>
      <c r="F28" s="579">
        <v>3015</v>
      </c>
      <c r="G28" s="485">
        <f>F28/P28</f>
        <v>0.40334448160535119</v>
      </c>
      <c r="H28" s="581">
        <v>4452</v>
      </c>
      <c r="I28" s="485">
        <f>H28/Q28</f>
        <v>0.35110410094637223</v>
      </c>
      <c r="J28" s="487">
        <f>B28+D28+F28+H28</f>
        <v>10333</v>
      </c>
      <c r="K28" s="485">
        <f>J28/R28</f>
        <v>0.25220277757438186</v>
      </c>
      <c r="M28" s="1705">
        <v>2004</v>
      </c>
      <c r="N28" s="489">
        <f>[2]T1Manip!C30</f>
        <v>16530</v>
      </c>
      <c r="O28" s="489">
        <f>[2]T1Manip!D30</f>
        <v>4286</v>
      </c>
      <c r="P28" s="489">
        <f>[2]T1Manip!E30</f>
        <v>7475</v>
      </c>
      <c r="Q28" s="489">
        <f>[2]T1Manip!F30</f>
        <v>12680</v>
      </c>
      <c r="R28" s="489">
        <f>N28+O28+P28+Q28</f>
        <v>40971</v>
      </c>
      <c r="S28" s="489"/>
      <c r="T28" s="488">
        <f>J28-H28</f>
        <v>5881</v>
      </c>
      <c r="U28" s="488">
        <f>R28-Q28</f>
        <v>28291</v>
      </c>
      <c r="V28" s="1148">
        <f>T28/U28</f>
        <v>0.20787529603053975</v>
      </c>
    </row>
    <row r="29" spans="1:22" ht="13.5" customHeight="1">
      <c r="A29" s="1705" t="s">
        <v>1443</v>
      </c>
      <c r="B29" s="584">
        <f t="shared" ref="B29:K29" si="2">AVERAGE(B24:B28)</f>
        <v>1421.6</v>
      </c>
      <c r="C29" s="485">
        <f t="shared" si="2"/>
        <v>0.17815000620101809</v>
      </c>
      <c r="D29" s="584">
        <f t="shared" si="2"/>
        <v>619.4</v>
      </c>
      <c r="E29" s="485">
        <f t="shared" si="2"/>
        <v>0.21788082792343894</v>
      </c>
      <c r="F29" s="573">
        <f t="shared" si="2"/>
        <v>1912.2</v>
      </c>
      <c r="G29" s="485">
        <f t="shared" si="2"/>
        <v>0.44092218743470796</v>
      </c>
      <c r="H29" s="573">
        <f t="shared" si="2"/>
        <v>2096.6</v>
      </c>
      <c r="I29" s="485">
        <f t="shared" si="2"/>
        <v>0.31125190633988853</v>
      </c>
      <c r="J29" s="573">
        <f t="shared" si="2"/>
        <v>6049.8</v>
      </c>
      <c r="K29" s="485">
        <f t="shared" si="2"/>
        <v>0.29148391885100694</v>
      </c>
      <c r="V29" s="1148"/>
    </row>
    <row r="30" spans="1:22" ht="13.5" customHeight="1">
      <c r="A30" s="1705"/>
      <c r="B30" s="585"/>
      <c r="C30" s="575"/>
      <c r="D30" s="586"/>
      <c r="E30" s="577"/>
      <c r="F30" s="576"/>
      <c r="G30" s="577"/>
      <c r="H30" s="574"/>
      <c r="I30" s="575"/>
      <c r="J30" s="576"/>
      <c r="K30" s="577"/>
      <c r="V30" s="1148"/>
    </row>
    <row r="31" spans="1:22" ht="13.5" customHeight="1">
      <c r="A31" s="1705">
        <v>2005</v>
      </c>
      <c r="B31" s="587">
        <v>1346</v>
      </c>
      <c r="C31" s="485">
        <f>B31/N31</f>
        <v>0.14322196211959992</v>
      </c>
      <c r="D31" s="587">
        <v>1044</v>
      </c>
      <c r="E31" s="485">
        <f>D31/O31</f>
        <v>0.31006831006831009</v>
      </c>
      <c r="F31" s="579">
        <v>1558</v>
      </c>
      <c r="G31" s="485">
        <f>F31/P31</f>
        <v>0.44362186788154895</v>
      </c>
      <c r="H31" s="579">
        <v>1845</v>
      </c>
      <c r="I31" s="485">
        <f>H31/Q31</f>
        <v>0.24070450097847357</v>
      </c>
      <c r="J31" s="487">
        <f>B31+D31+F31+H31</f>
        <v>5793</v>
      </c>
      <c r="K31" s="485">
        <f>J31/R31</f>
        <v>0.24195973602873611</v>
      </c>
      <c r="M31" s="1705">
        <v>2005</v>
      </c>
      <c r="N31" s="489">
        <f>[2]T1Manip!C31</f>
        <v>9398</v>
      </c>
      <c r="O31" s="489">
        <f>[2]T1Manip!D31</f>
        <v>3367</v>
      </c>
      <c r="P31" s="489">
        <f>[2]T1Manip!E31</f>
        <v>3512</v>
      </c>
      <c r="Q31" s="489">
        <f>[2]T1Manip!F31</f>
        <v>7665</v>
      </c>
      <c r="R31" s="489">
        <f>N31+O31+P31+Q31</f>
        <v>23942</v>
      </c>
      <c r="S31" s="489"/>
      <c r="T31" s="488">
        <f>J31-H31</f>
        <v>3948</v>
      </c>
      <c r="U31" s="488">
        <f>R31-Q31</f>
        <v>16277</v>
      </c>
      <c r="V31" s="1148">
        <f>T31/U31</f>
        <v>0.24255083860662285</v>
      </c>
    </row>
    <row r="32" spans="1:22" ht="13.5" customHeight="1">
      <c r="A32" s="1705">
        <v>2006</v>
      </c>
      <c r="B32" s="587">
        <v>876</v>
      </c>
      <c r="C32" s="485">
        <f>B32/N32</f>
        <v>0.12512498214540779</v>
      </c>
      <c r="D32" s="587">
        <v>1385</v>
      </c>
      <c r="E32" s="485">
        <f>D32/O32</f>
        <v>0.25375595456211064</v>
      </c>
      <c r="F32" s="579">
        <v>2707</v>
      </c>
      <c r="G32" s="485">
        <f>F32/P32</f>
        <v>0.37077112724284345</v>
      </c>
      <c r="H32" s="579">
        <v>925</v>
      </c>
      <c r="I32" s="485">
        <f>H32/Q32</f>
        <v>0.21109082610680055</v>
      </c>
      <c r="J32" s="487">
        <f>B32+D32+F32+H32</f>
        <v>5893</v>
      </c>
      <c r="K32" s="485">
        <f>J32/R32</f>
        <v>0.24409742357716843</v>
      </c>
      <c r="M32" s="1705">
        <v>2006</v>
      </c>
      <c r="N32" s="489">
        <f>[2]T1Manip!C32</f>
        <v>7001</v>
      </c>
      <c r="O32" s="489">
        <f>[2]T1Manip!D32</f>
        <v>5458</v>
      </c>
      <c r="P32" s="489">
        <f>[2]T1Manip!E32</f>
        <v>7301</v>
      </c>
      <c r="Q32" s="489">
        <f>[2]T1Manip!F32</f>
        <v>4382</v>
      </c>
      <c r="R32" s="489">
        <f>N32+O32+P32+Q32</f>
        <v>24142</v>
      </c>
      <c r="S32" s="489"/>
      <c r="T32" s="488">
        <f>J32-H32</f>
        <v>4968</v>
      </c>
      <c r="U32" s="488">
        <f>R32-Q32</f>
        <v>19760</v>
      </c>
      <c r="V32" s="1148">
        <f>T32/U32</f>
        <v>0.25141700404858297</v>
      </c>
    </row>
    <row r="33" spans="1:22" ht="13.5" customHeight="1">
      <c r="A33" s="1705">
        <v>2007</v>
      </c>
      <c r="B33" s="587">
        <v>733</v>
      </c>
      <c r="C33" s="485">
        <f>B33/N33</f>
        <v>0.18505427922241857</v>
      </c>
      <c r="D33" s="587">
        <v>2050</v>
      </c>
      <c r="E33" s="485">
        <f>D33/O33</f>
        <v>0.25529265255292655</v>
      </c>
      <c r="F33" s="579">
        <v>3521</v>
      </c>
      <c r="G33" s="485">
        <f>F33/P33</f>
        <v>0.46353343865192209</v>
      </c>
      <c r="H33" s="579">
        <v>393</v>
      </c>
      <c r="I33" s="485">
        <f>H33/Q33</f>
        <v>0.13833157338965152</v>
      </c>
      <c r="J33" s="487">
        <f>B33+D33+F33+H33</f>
        <v>6697</v>
      </c>
      <c r="K33" s="485">
        <f>J33/R33</f>
        <v>0.29859996433030139</v>
      </c>
      <c r="M33" s="1705">
        <v>2007</v>
      </c>
      <c r="N33" s="489">
        <f>[2]T1Manip!C33</f>
        <v>3961</v>
      </c>
      <c r="O33" s="489">
        <f>[2]T1Manip!D33</f>
        <v>8030</v>
      </c>
      <c r="P33" s="489">
        <f>[2]T1Manip!E33</f>
        <v>7596</v>
      </c>
      <c r="Q33" s="489">
        <f>[2]T1Manip!F33</f>
        <v>2841</v>
      </c>
      <c r="R33" s="489">
        <f>N33+O33+P33+Q33</f>
        <v>22428</v>
      </c>
      <c r="S33" s="489"/>
      <c r="T33" s="488">
        <f>J33-H33</f>
        <v>6304</v>
      </c>
      <c r="U33" s="488">
        <f>R33-Q33</f>
        <v>19587</v>
      </c>
      <c r="V33" s="1148">
        <f>T33/U33</f>
        <v>0.32184612242814109</v>
      </c>
    </row>
    <row r="34" spans="1:22" ht="13.5" customHeight="1">
      <c r="A34" s="1705">
        <v>2008</v>
      </c>
      <c r="B34" s="587">
        <v>599</v>
      </c>
      <c r="C34" s="485">
        <f>B34/N34</f>
        <v>0.20114170584284755</v>
      </c>
      <c r="D34" s="587">
        <v>249</v>
      </c>
      <c r="E34" s="485">
        <f>D34/O34</f>
        <v>0.15341959334565619</v>
      </c>
      <c r="F34" s="579">
        <v>813</v>
      </c>
      <c r="G34" s="485">
        <f>F34/P34</f>
        <v>0.36704288939051921</v>
      </c>
      <c r="H34" s="579">
        <v>724</v>
      </c>
      <c r="I34" s="485">
        <f>H34/Q34</f>
        <v>0.1238030095759234</v>
      </c>
      <c r="J34" s="487">
        <f>B34+D34+F34+H34</f>
        <v>2385</v>
      </c>
      <c r="K34" s="485">
        <f>J34/R34</f>
        <v>0.1883291219204043</v>
      </c>
      <c r="M34" s="1705">
        <v>2008</v>
      </c>
      <c r="N34" s="489">
        <f>[2]T1Manip!C34</f>
        <v>2978</v>
      </c>
      <c r="O34" s="489">
        <f>[2]T1Manip!D34</f>
        <v>1623</v>
      </c>
      <c r="P34" s="489">
        <f>[2]T1Manip!E34</f>
        <v>2215</v>
      </c>
      <c r="Q34" s="489">
        <f>[2]T1Manip!F34</f>
        <v>5848</v>
      </c>
      <c r="R34" s="489">
        <f>N34+O34+P34+Q34</f>
        <v>12664</v>
      </c>
      <c r="S34" s="489"/>
      <c r="T34" s="488">
        <f>J34-H34</f>
        <v>1661</v>
      </c>
      <c r="U34" s="488">
        <f>R34-Q34</f>
        <v>6816</v>
      </c>
      <c r="V34" s="1148">
        <f>T34/U34</f>
        <v>0.24369131455399062</v>
      </c>
    </row>
    <row r="35" spans="1:22" ht="13.5" customHeight="1">
      <c r="A35" s="1705">
        <v>2009</v>
      </c>
      <c r="B35" s="587">
        <v>1900</v>
      </c>
      <c r="C35" s="485">
        <f>B35/N35</f>
        <v>0.3138420878757846</v>
      </c>
      <c r="D35" s="587">
        <v>115</v>
      </c>
      <c r="E35" s="485">
        <f>D35/O35</f>
        <v>0.28465346534653463</v>
      </c>
      <c r="F35" s="587">
        <v>402</v>
      </c>
      <c r="G35" s="485">
        <f>F35/P35</f>
        <v>0.26925653047555259</v>
      </c>
      <c r="H35" s="579">
        <v>292</v>
      </c>
      <c r="I35" s="485">
        <f>H35/Q35</f>
        <v>0.1244141457179378</v>
      </c>
      <c r="J35" s="487">
        <f>B35+D35+F35+H35</f>
        <v>2709</v>
      </c>
      <c r="K35" s="485">
        <f>J35/R35</f>
        <v>0.26306078850262188</v>
      </c>
      <c r="M35" s="1705">
        <v>2009</v>
      </c>
      <c r="N35" s="489">
        <f>[2]T1Manip!C35</f>
        <v>6054</v>
      </c>
      <c r="O35" s="489">
        <f>[2]T1Manip!D35</f>
        <v>404</v>
      </c>
      <c r="P35" s="489">
        <f>[2]T1Manip!E35</f>
        <v>1493</v>
      </c>
      <c r="Q35" s="489">
        <f>[2]T1Manip!F35</f>
        <v>2347</v>
      </c>
      <c r="R35" s="489">
        <f>N35+O35+P35+Q35</f>
        <v>10298</v>
      </c>
      <c r="S35" s="489"/>
      <c r="T35" s="488">
        <f>J35-H35</f>
        <v>2417</v>
      </c>
      <c r="U35" s="488">
        <f>R35-Q35</f>
        <v>7951</v>
      </c>
      <c r="V35" s="1148">
        <f>T35/U35</f>
        <v>0.30398691988429127</v>
      </c>
    </row>
    <row r="36" spans="1:22" ht="13.5" customHeight="1">
      <c r="A36" s="1705" t="s">
        <v>1443</v>
      </c>
      <c r="B36" s="584">
        <f t="shared" ref="B36:K36" si="3">AVERAGE(B31:B35)</f>
        <v>1090.8</v>
      </c>
      <c r="C36" s="485">
        <f t="shared" si="3"/>
        <v>0.19367700344121169</v>
      </c>
      <c r="D36" s="584">
        <f t="shared" si="3"/>
        <v>968.6</v>
      </c>
      <c r="E36" s="485">
        <f t="shared" si="3"/>
        <v>0.25143799517510768</v>
      </c>
      <c r="F36" s="584">
        <f t="shared" si="3"/>
        <v>1800.2</v>
      </c>
      <c r="G36" s="485">
        <f t="shared" si="3"/>
        <v>0.38284517072847729</v>
      </c>
      <c r="H36" s="573">
        <f t="shared" si="3"/>
        <v>835.8</v>
      </c>
      <c r="I36" s="485">
        <f t="shared" si="3"/>
        <v>0.16766881115375737</v>
      </c>
      <c r="J36" s="573">
        <f t="shared" si="3"/>
        <v>4695.3999999999996</v>
      </c>
      <c r="K36" s="485">
        <f t="shared" si="3"/>
        <v>0.24720940687184639</v>
      </c>
      <c r="V36" s="1148"/>
    </row>
    <row r="37" spans="1:22" ht="13.5" customHeight="1">
      <c r="A37" s="1705"/>
      <c r="B37" s="585"/>
      <c r="C37" s="575"/>
      <c r="D37" s="585"/>
      <c r="E37" s="575"/>
      <c r="F37" s="585"/>
      <c r="G37" s="575"/>
      <c r="H37" s="574"/>
      <c r="I37" s="575"/>
      <c r="J37" s="574"/>
      <c r="K37" s="577"/>
      <c r="V37" s="1148"/>
    </row>
    <row r="38" spans="1:22" ht="13.5" customHeight="1">
      <c r="A38" s="588" t="s">
        <v>871</v>
      </c>
      <c r="B38" s="587">
        <v>2184</v>
      </c>
      <c r="C38" s="485">
        <f>B38/N38</f>
        <v>0.25351131746952987</v>
      </c>
      <c r="D38" s="587">
        <v>417</v>
      </c>
      <c r="E38" s="485">
        <f>D38/O38</f>
        <v>0.42681678607983625</v>
      </c>
      <c r="F38" s="587">
        <v>520</v>
      </c>
      <c r="G38" s="485">
        <f>F38/P38</f>
        <v>0.22155943757988922</v>
      </c>
      <c r="H38" s="579">
        <v>788</v>
      </c>
      <c r="I38" s="485">
        <f>H38/Q38</f>
        <v>0.10731308729402152</v>
      </c>
      <c r="J38" s="487">
        <f>B38+D38+F38+H38</f>
        <v>3909</v>
      </c>
      <c r="K38" s="485">
        <f>J38/R38</f>
        <v>0.20272793278705528</v>
      </c>
      <c r="M38" s="1705">
        <v>2010</v>
      </c>
      <c r="N38" s="489">
        <f>[2]T1Manip!C36</f>
        <v>8615</v>
      </c>
      <c r="O38" s="489">
        <f>[2]T1Manip!D36</f>
        <v>977</v>
      </c>
      <c r="P38" s="489">
        <f>[2]T1Manip!E36</f>
        <v>2347</v>
      </c>
      <c r="Q38" s="489">
        <f>[2]T1Manip!F36</f>
        <v>7343</v>
      </c>
      <c r="R38" s="489">
        <f>N38+O38+P38+Q38</f>
        <v>19282</v>
      </c>
      <c r="S38" s="489"/>
      <c r="T38" s="488">
        <f>J38-H38</f>
        <v>3121</v>
      </c>
      <c r="U38" s="488">
        <f>R38-Q38</f>
        <v>11939</v>
      </c>
      <c r="V38" s="1148">
        <f>T38/U38</f>
        <v>0.26141217857441995</v>
      </c>
    </row>
    <row r="39" spans="1:22" ht="13.5" customHeight="1">
      <c r="A39" s="588" t="s">
        <v>874</v>
      </c>
      <c r="B39" s="587">
        <v>2629</v>
      </c>
      <c r="C39" s="485">
        <f>B39/N39</f>
        <v>0.4887525562372188</v>
      </c>
      <c r="D39" s="587">
        <v>222</v>
      </c>
      <c r="E39" s="485">
        <f>D39/O39</f>
        <v>0.28608247422680411</v>
      </c>
      <c r="F39" s="587">
        <v>253</v>
      </c>
      <c r="G39" s="485">
        <f>F39/P39</f>
        <v>0.19312977099236642</v>
      </c>
      <c r="H39" s="579">
        <v>1352</v>
      </c>
      <c r="I39" s="485">
        <f>H39/Q39</f>
        <v>0.28753721820501915</v>
      </c>
      <c r="J39" s="487">
        <f>B39+D39+F39+H39</f>
        <v>4456</v>
      </c>
      <c r="K39" s="485">
        <f>J39/R39</f>
        <v>0.36623654146461743</v>
      </c>
      <c r="M39" s="1705">
        <v>2011</v>
      </c>
      <c r="N39" s="489">
        <f>[2]T1Manip!C37</f>
        <v>5379</v>
      </c>
      <c r="O39" s="489">
        <f>[2]T1Manip!D37</f>
        <v>776</v>
      </c>
      <c r="P39" s="489">
        <f>[2]T1Manip!E37</f>
        <v>1310</v>
      </c>
      <c r="Q39" s="489">
        <f>[2]T1Manip!F37</f>
        <v>4702</v>
      </c>
      <c r="R39" s="489">
        <f>N39+O39+P39+Q39</f>
        <v>12167</v>
      </c>
      <c r="S39" s="489"/>
      <c r="T39" s="488">
        <f>J39-H39</f>
        <v>3104</v>
      </c>
      <c r="U39" s="488">
        <f>R39-Q39</f>
        <v>7465</v>
      </c>
      <c r="V39" s="1148">
        <f>T39/U39</f>
        <v>0.41580709979906227</v>
      </c>
    </row>
    <row r="40" spans="1:22" ht="13.5" customHeight="1">
      <c r="A40" s="588" t="s">
        <v>878</v>
      </c>
      <c r="B40" s="587">
        <v>5534</v>
      </c>
      <c r="C40" s="485">
        <f>B40/N40</f>
        <v>0.45312921175168591</v>
      </c>
      <c r="D40" s="587">
        <v>521</v>
      </c>
      <c r="E40" s="485">
        <f>D40/O40</f>
        <v>0.58603440640619964</v>
      </c>
      <c r="F40" s="587">
        <v>381</v>
      </c>
      <c r="G40" s="485">
        <f>F40/P40</f>
        <v>0.20105540897097626</v>
      </c>
      <c r="H40" s="579">
        <v>1159</v>
      </c>
      <c r="I40" s="485">
        <f>H40/Q40</f>
        <v>0.25372154115586693</v>
      </c>
      <c r="J40" s="487">
        <f>B40+D40+F40+H40</f>
        <v>7595</v>
      </c>
      <c r="K40" s="485">
        <f>J40/R40</f>
        <v>0.38819561683652287</v>
      </c>
      <c r="M40" s="1705">
        <v>2012</v>
      </c>
      <c r="N40" s="489">
        <f>[2]T1Manip!C38</f>
        <v>12212.851999999999</v>
      </c>
      <c r="O40" s="489">
        <f>[2]T1Manip!D38</f>
        <v>889.02629999999999</v>
      </c>
      <c r="P40" s="489">
        <f>[2]T1Manip!E38</f>
        <v>1895</v>
      </c>
      <c r="Q40" s="489">
        <f>[2]T1Manip!F38</f>
        <v>4568</v>
      </c>
      <c r="R40" s="489">
        <f>N40+O40+P40+Q40</f>
        <v>19564.878299999997</v>
      </c>
      <c r="S40" s="489"/>
      <c r="T40" s="488">
        <f>J40-H40</f>
        <v>6436</v>
      </c>
      <c r="U40" s="488">
        <f>R40-Q40</f>
        <v>14996.878299999997</v>
      </c>
      <c r="V40" s="1148">
        <f>T40/U40</f>
        <v>0.42915597974813208</v>
      </c>
    </row>
    <row r="41" spans="1:22" ht="13.5" customHeight="1">
      <c r="A41" s="588" t="s">
        <v>881</v>
      </c>
      <c r="B41" s="587">
        <v>3352</v>
      </c>
      <c r="C41" s="485">
        <f>B41/N41</f>
        <v>0.41219872110181999</v>
      </c>
      <c r="D41" s="587">
        <v>0</v>
      </c>
      <c r="E41" s="485">
        <f>D41/O41</f>
        <v>0</v>
      </c>
      <c r="F41" s="587">
        <v>103</v>
      </c>
      <c r="G41" s="485">
        <f>F41/P41</f>
        <v>6.5605095541401273E-2</v>
      </c>
      <c r="H41" s="579">
        <v>506</v>
      </c>
      <c r="I41" s="485">
        <f>H41/Q41</f>
        <v>0.13591189900617781</v>
      </c>
      <c r="J41" s="487">
        <f>B41+D41+F41+H41</f>
        <v>3961</v>
      </c>
      <c r="K41" s="485">
        <f>J41/R41</f>
        <v>0.27432647690283263</v>
      </c>
      <c r="M41" s="1705">
        <v>2013</v>
      </c>
      <c r="N41" s="489">
        <f>[2]T1Manip!C39</f>
        <v>8132</v>
      </c>
      <c r="O41" s="489">
        <f>[2]T1Manip!D39</f>
        <v>1014</v>
      </c>
      <c r="P41" s="489">
        <f>[2]T1Manip!E39</f>
        <v>1570</v>
      </c>
      <c r="Q41" s="489">
        <f>[2]T1Manip!F39</f>
        <v>3723</v>
      </c>
      <c r="R41" s="489">
        <f>N41+O41+P41+Q41</f>
        <v>14439</v>
      </c>
      <c r="S41" s="489"/>
      <c r="T41" s="488">
        <f>J41-H41</f>
        <v>3455</v>
      </c>
      <c r="U41" s="488">
        <f>R41-Q41</f>
        <v>10716</v>
      </c>
      <c r="V41" s="1148">
        <f>T41/U41</f>
        <v>0.32241508025382604</v>
      </c>
    </row>
    <row r="42" spans="1:22" ht="13.5" customHeight="1">
      <c r="A42" s="588">
        <v>2014</v>
      </c>
      <c r="B42" s="587">
        <v>2801</v>
      </c>
      <c r="C42" s="485">
        <f>B42/N42</f>
        <v>0.33771401012780322</v>
      </c>
      <c r="D42" s="587">
        <v>0</v>
      </c>
      <c r="E42" s="485">
        <f>D42/O42</f>
        <v>0</v>
      </c>
      <c r="F42" s="587">
        <v>14</v>
      </c>
      <c r="G42" s="485">
        <f>F42/P42</f>
        <v>1.0028653295128941E-2</v>
      </c>
      <c r="H42" s="579">
        <v>380</v>
      </c>
      <c r="I42" s="485">
        <f>H42/Q42</f>
        <v>0.12234385061171925</v>
      </c>
      <c r="J42" s="487">
        <f>B42+D42+F42+H42</f>
        <v>3195</v>
      </c>
      <c r="K42" s="485">
        <f>J42/R42</f>
        <v>0.23137084510102107</v>
      </c>
      <c r="M42" s="1705">
        <v>2014</v>
      </c>
      <c r="N42" s="489">
        <f>[2]T1Manip!C40</f>
        <v>8294</v>
      </c>
      <c r="O42" s="489">
        <f>[2]T1Manip!D40</f>
        <v>1013</v>
      </c>
      <c r="P42" s="489">
        <f>[2]T1Manip!E40</f>
        <v>1396</v>
      </c>
      <c r="Q42" s="489">
        <f>[2]T1Manip!F40</f>
        <v>3106</v>
      </c>
      <c r="R42" s="489">
        <f>N42+O42+P42+Q42</f>
        <v>13809</v>
      </c>
      <c r="S42" s="489"/>
      <c r="T42" s="488">
        <f>J42-H42</f>
        <v>2815</v>
      </c>
      <c r="U42" s="488">
        <f>R42-Q42</f>
        <v>10703</v>
      </c>
      <c r="V42" s="1148">
        <f>T42/U42</f>
        <v>0.26301037092404</v>
      </c>
    </row>
    <row r="43" spans="1:22" ht="13.5" customHeight="1">
      <c r="A43" s="1705" t="s">
        <v>1443</v>
      </c>
      <c r="B43" s="584">
        <f t="shared" ref="B43:K43" si="4">AVERAGE(B38:B42)</f>
        <v>3300</v>
      </c>
      <c r="C43" s="485">
        <f t="shared" si="4"/>
        <v>0.38906116333761148</v>
      </c>
      <c r="D43" s="584">
        <f t="shared" si="4"/>
        <v>232</v>
      </c>
      <c r="E43" s="485">
        <f t="shared" si="4"/>
        <v>0.25978673334256797</v>
      </c>
      <c r="F43" s="584">
        <f t="shared" si="4"/>
        <v>254.2</v>
      </c>
      <c r="G43" s="485">
        <f t="shared" si="4"/>
        <v>0.13827567327595242</v>
      </c>
      <c r="H43" s="573">
        <f t="shared" si="4"/>
        <v>837</v>
      </c>
      <c r="I43" s="485">
        <f t="shared" si="4"/>
        <v>0.18136551925456093</v>
      </c>
      <c r="J43" s="573">
        <f t="shared" si="4"/>
        <v>4623.2</v>
      </c>
      <c r="K43" s="485">
        <f t="shared" si="4"/>
        <v>0.29257148261840987</v>
      </c>
      <c r="V43" s="1148"/>
    </row>
    <row r="44" spans="1:22" ht="13.5" customHeight="1">
      <c r="B44" s="589"/>
      <c r="C44" s="590"/>
      <c r="D44" s="589"/>
      <c r="F44" s="589"/>
      <c r="H44" s="589"/>
      <c r="J44" s="589"/>
      <c r="V44" s="1148"/>
    </row>
    <row r="45" spans="1:22" ht="13.5" customHeight="1">
      <c r="A45" s="1705">
        <v>2015</v>
      </c>
      <c r="B45" s="587">
        <v>8410</v>
      </c>
      <c r="C45" s="485">
        <f>B45/N45</f>
        <v>0.31731059462722611</v>
      </c>
      <c r="D45" s="587">
        <v>1088</v>
      </c>
      <c r="E45" s="485">
        <f>D45/O45</f>
        <v>0.33611368551127585</v>
      </c>
      <c r="F45" s="587">
        <v>104</v>
      </c>
      <c r="G45" s="485">
        <f>F45/P45</f>
        <v>9.3862815884476536E-2</v>
      </c>
      <c r="H45" s="579">
        <v>160</v>
      </c>
      <c r="I45" s="485">
        <f>H45/Q45</f>
        <v>4.6056419113413932E-2</v>
      </c>
      <c r="J45" s="487">
        <f>B45+D45+F45+H45</f>
        <v>9762</v>
      </c>
      <c r="K45" s="485">
        <f>J45/R45</f>
        <v>0.28441569792850274</v>
      </c>
      <c r="M45" s="486">
        <v>2015</v>
      </c>
      <c r="N45" s="488">
        <f>[2]T1Manip!C41</f>
        <v>26504</v>
      </c>
      <c r="O45" s="488">
        <f>[2]T1Manip!D41</f>
        <v>3237</v>
      </c>
      <c r="P45" s="488">
        <f>[2]T1Manip!E41</f>
        <v>1108</v>
      </c>
      <c r="Q45" s="488">
        <f>[2]T1Manip!F41</f>
        <v>3474</v>
      </c>
      <c r="R45" s="489">
        <f>N45+O45+P45+Q45</f>
        <v>34323</v>
      </c>
      <c r="S45" s="489"/>
      <c r="T45" s="488">
        <f>J45-H45</f>
        <v>9602</v>
      </c>
      <c r="U45" s="488">
        <f>R45-Q45</f>
        <v>30849</v>
      </c>
      <c r="V45" s="1148">
        <f>T45/U45</f>
        <v>0.31125806347045287</v>
      </c>
    </row>
    <row r="46" spans="1:22" ht="13.5" customHeight="1">
      <c r="A46" s="588" t="s">
        <v>898</v>
      </c>
      <c r="B46" s="587">
        <v>9386</v>
      </c>
      <c r="C46" s="485">
        <f>B46/N46</f>
        <v>0.38225950965219518</v>
      </c>
      <c r="D46" s="587">
        <v>1588</v>
      </c>
      <c r="E46" s="485">
        <f>D46/O46</f>
        <v>0.35589421783953384</v>
      </c>
      <c r="F46" s="587">
        <v>124</v>
      </c>
      <c r="G46" s="485">
        <f>F46/P46</f>
        <v>0.20770519262981574</v>
      </c>
      <c r="H46" s="579">
        <v>227</v>
      </c>
      <c r="I46" s="485">
        <f>H46/Q46</f>
        <v>5.7265388496468214E-2</v>
      </c>
      <c r="J46" s="487">
        <f>B46+D46+F46+H46</f>
        <v>11325</v>
      </c>
      <c r="K46" s="485">
        <f>J46/R46</f>
        <v>0.33728445066563423</v>
      </c>
      <c r="M46" s="1705">
        <v>2016</v>
      </c>
      <c r="N46" s="488">
        <f>[2]T1Manip!C42</f>
        <v>24554</v>
      </c>
      <c r="O46" s="488">
        <f>[2]T1Manip!D42</f>
        <v>4462</v>
      </c>
      <c r="P46" s="488">
        <f>[2]T1Manip!E42</f>
        <v>597</v>
      </c>
      <c r="Q46" s="488">
        <f>[2]T1Manip!F42</f>
        <v>3964</v>
      </c>
      <c r="R46" s="489">
        <f>N46+O46+P46+Q46</f>
        <v>33577</v>
      </c>
      <c r="S46" s="489"/>
      <c r="T46" s="488">
        <f>J46-H46</f>
        <v>11098</v>
      </c>
      <c r="U46" s="488">
        <f>R46-Q46</f>
        <v>29613</v>
      </c>
      <c r="V46" s="1148">
        <f>T46/U46</f>
        <v>0.3747678384493297</v>
      </c>
    </row>
    <row r="47" spans="1:22">
      <c r="A47" s="591" t="s">
        <v>903</v>
      </c>
      <c r="B47" s="587">
        <v>5594</v>
      </c>
      <c r="C47" s="485">
        <f>B47/N47</f>
        <v>0.38267888904090847</v>
      </c>
      <c r="D47" s="587">
        <v>1615</v>
      </c>
      <c r="E47" s="485">
        <f>D47/O47</f>
        <v>0.4607703281027104</v>
      </c>
      <c r="F47" s="587">
        <v>244</v>
      </c>
      <c r="G47" s="485">
        <f>F47/P47</f>
        <v>0.10436270316509838</v>
      </c>
      <c r="H47" s="579">
        <v>461</v>
      </c>
      <c r="I47" s="485">
        <f>H47/Q47</f>
        <v>6.0602077034310503E-2</v>
      </c>
      <c r="J47" s="487">
        <f>B47+D47+F47+H47</f>
        <v>7914</v>
      </c>
      <c r="K47" s="485">
        <f>J47/R47</f>
        <v>0.28195810175288583</v>
      </c>
      <c r="M47" s="486">
        <v>2017</v>
      </c>
      <c r="N47" s="488">
        <f>[2]T1Manip!C43</f>
        <v>14618</v>
      </c>
      <c r="O47" s="488">
        <f>[2]T1Manip!D43</f>
        <v>3505</v>
      </c>
      <c r="P47" s="488">
        <f>[2]T1Manip!E43</f>
        <v>2338</v>
      </c>
      <c r="Q47" s="488">
        <f>[2]T1Manip!F43</f>
        <v>7607</v>
      </c>
      <c r="R47" s="489">
        <f>N47+O47+P47+Q47</f>
        <v>28068</v>
      </c>
      <c r="T47" s="488">
        <f>J47-H47</f>
        <v>7453</v>
      </c>
      <c r="U47" s="488">
        <f>R47-Q47</f>
        <v>20461</v>
      </c>
      <c r="V47" s="1148">
        <f>T47/U47</f>
        <v>0.36425394653242754</v>
      </c>
    </row>
    <row r="48" spans="1:22">
      <c r="A48" s="591" t="s">
        <v>905</v>
      </c>
      <c r="B48" s="484">
        <v>1073</v>
      </c>
      <c r="C48" s="485">
        <f>B48/N48</f>
        <v>0.25571973307912299</v>
      </c>
      <c r="D48" s="484">
        <v>595</v>
      </c>
      <c r="E48" s="485">
        <f>D48/O48</f>
        <v>0.31498147167813656</v>
      </c>
      <c r="F48" s="484">
        <v>536</v>
      </c>
      <c r="G48" s="485">
        <f>F48/P48</f>
        <v>0.17080943275971958</v>
      </c>
      <c r="H48" s="579">
        <v>408</v>
      </c>
      <c r="I48" s="485">
        <f>H48/Q48</f>
        <v>8.4332368747416286E-2</v>
      </c>
      <c r="J48" s="487">
        <f>B48+D48+F48+H48</f>
        <v>2612</v>
      </c>
      <c r="K48" s="485">
        <f>J48/R48</f>
        <v>0.18576203683948511</v>
      </c>
      <c r="M48" s="486">
        <v>2018</v>
      </c>
      <c r="N48" s="488">
        <f>[2]T1Manip!C44</f>
        <v>4196</v>
      </c>
      <c r="O48" s="488">
        <f>[2]T1Manip!D44</f>
        <v>1889</v>
      </c>
      <c r="P48" s="488">
        <f>[2]T1Manip!E44</f>
        <v>3138</v>
      </c>
      <c r="Q48" s="488">
        <f>[2]T1Manip!F44</f>
        <v>4838</v>
      </c>
      <c r="R48" s="489">
        <f>N48+O48+P48+Q48</f>
        <v>14061</v>
      </c>
      <c r="T48" s="488">
        <f>J48-H48</f>
        <v>2204</v>
      </c>
      <c r="U48" s="488">
        <f>R48-Q48</f>
        <v>9223</v>
      </c>
      <c r="V48" s="1148">
        <f>T48/U48</f>
        <v>0.23896779789656294</v>
      </c>
    </row>
    <row r="49" spans="1:22">
      <c r="A49" s="486">
        <v>2019</v>
      </c>
      <c r="B49" s="484">
        <v>3</v>
      </c>
      <c r="C49" s="485">
        <f>B49/N49</f>
        <v>1.9071837253655435E-3</v>
      </c>
      <c r="D49" s="484">
        <v>97</v>
      </c>
      <c r="E49" s="485">
        <f>D49/O49</f>
        <v>0.11990111248454882</v>
      </c>
      <c r="F49" s="484">
        <v>17</v>
      </c>
      <c r="G49" s="485">
        <f>F49/P49</f>
        <v>1.7051153460381142E-2</v>
      </c>
      <c r="H49" s="579">
        <v>383</v>
      </c>
      <c r="I49" s="485">
        <f>H49/Q49</f>
        <v>0.11185747663551401</v>
      </c>
      <c r="J49" s="487">
        <f>B49+D49+F49+H49</f>
        <v>500</v>
      </c>
      <c r="K49" s="485">
        <f>J49/R49</f>
        <v>7.3496986623548435E-2</v>
      </c>
      <c r="M49" s="486">
        <v>2019</v>
      </c>
      <c r="N49" s="488">
        <f>[2]T1Manip!C45</f>
        <v>1573</v>
      </c>
      <c r="O49" s="488">
        <f>[2]T1Manip!D45</f>
        <v>809</v>
      </c>
      <c r="P49" s="488">
        <f>[2]T1Manip!E45</f>
        <v>997</v>
      </c>
      <c r="Q49" s="488">
        <f>[2]T1Manip!F45</f>
        <v>3424</v>
      </c>
      <c r="R49" s="489">
        <f>N49+O49+P49+Q49</f>
        <v>6803</v>
      </c>
      <c r="T49" s="488">
        <f>J49-H49</f>
        <v>117</v>
      </c>
      <c r="U49" s="488">
        <f>R49-Q49</f>
        <v>3379</v>
      </c>
      <c r="V49" s="1148">
        <f>T49/U49</f>
        <v>3.4625628884285289E-2</v>
      </c>
    </row>
    <row r="50" spans="1:22">
      <c r="A50" s="1705" t="s">
        <v>1443</v>
      </c>
      <c r="B50" s="584">
        <f>AVERAGE(B45:B49)</f>
        <v>4893.2</v>
      </c>
      <c r="C50" s="485">
        <f>AVERAGE(C45:C49)</f>
        <v>0.26797518202496368</v>
      </c>
      <c r="D50" s="584">
        <f t="shared" ref="D50:K50" si="5">AVERAGE(D45:D49)</f>
        <v>996.6</v>
      </c>
      <c r="E50" s="485">
        <f t="shared" si="5"/>
        <v>0.31753216312324112</v>
      </c>
      <c r="F50" s="584">
        <f t="shared" si="5"/>
        <v>205</v>
      </c>
      <c r="G50" s="485">
        <f t="shared" si="5"/>
        <v>0.11875825957989827</v>
      </c>
      <c r="H50" s="573">
        <f t="shared" si="5"/>
        <v>327.8</v>
      </c>
      <c r="I50" s="485">
        <f t="shared" si="5"/>
        <v>7.2022746005424604E-2</v>
      </c>
      <c r="J50" s="573">
        <f t="shared" si="5"/>
        <v>6422.6</v>
      </c>
      <c r="K50" s="485">
        <f t="shared" si="5"/>
        <v>0.23258345476201128</v>
      </c>
      <c r="V50" s="1148"/>
    </row>
    <row r="51" spans="1:22">
      <c r="V51" s="1148"/>
    </row>
    <row r="52" spans="1:22">
      <c r="A52" s="486">
        <v>2020</v>
      </c>
      <c r="B52" s="484">
        <v>0</v>
      </c>
      <c r="C52" s="485">
        <f>B52/N52</f>
        <v>0</v>
      </c>
      <c r="D52" s="484">
        <v>246</v>
      </c>
      <c r="E52" s="485">
        <f>D52/O52</f>
        <v>0.21243523316062177</v>
      </c>
      <c r="F52" s="484">
        <v>82</v>
      </c>
      <c r="G52" s="485">
        <f>F52/P52</f>
        <v>4.3157894736842103E-2</v>
      </c>
      <c r="H52" s="1564">
        <v>906</v>
      </c>
      <c r="I52" s="485">
        <f>H52/Q52</f>
        <v>0.11642251349267541</v>
      </c>
      <c r="J52" s="487">
        <f>B52+D52+F52+H52</f>
        <v>1234</v>
      </c>
      <c r="K52" s="485">
        <f>J52/R52</f>
        <v>0.10503915560095335</v>
      </c>
      <c r="M52" s="486">
        <v>2020</v>
      </c>
      <c r="N52" s="488">
        <f>[2]T1Manip!C46</f>
        <v>908</v>
      </c>
      <c r="O52" s="488">
        <f>[2]T1Manip!D46</f>
        <v>1158</v>
      </c>
      <c r="P52" s="488">
        <f>[2]T1Manip!E46</f>
        <v>1900</v>
      </c>
      <c r="Q52" s="488">
        <f>[2]T1Manip!F46</f>
        <v>7782</v>
      </c>
      <c r="R52" s="489">
        <f>N52+O52+P52+Q52</f>
        <v>11748</v>
      </c>
      <c r="T52" s="488">
        <f>J52-H52</f>
        <v>328</v>
      </c>
      <c r="U52" s="488">
        <f>R52-Q52</f>
        <v>3966</v>
      </c>
      <c r="V52" s="1148">
        <f>T52/U52</f>
        <v>8.2702975289964703E-2</v>
      </c>
    </row>
    <row r="53" spans="1:22">
      <c r="A53" s="486">
        <v>2021</v>
      </c>
      <c r="B53" s="484">
        <v>345</v>
      </c>
      <c r="C53" s="485">
        <f>B53/N53</f>
        <v>9.3243243243243248E-2</v>
      </c>
      <c r="D53" s="484">
        <v>641</v>
      </c>
      <c r="E53" s="485">
        <f>D53/O53</f>
        <v>0.34518039849219173</v>
      </c>
      <c r="F53" s="484">
        <v>269</v>
      </c>
      <c r="G53" s="485">
        <f>F53/P53</f>
        <v>9.1558883594281826E-2</v>
      </c>
      <c r="H53" s="484">
        <v>594</v>
      </c>
      <c r="I53" s="485">
        <f>H53/Q53</f>
        <v>0.10465116279069768</v>
      </c>
      <c r="J53" s="487">
        <f>B53+D53+F53+H53</f>
        <v>1849</v>
      </c>
      <c r="K53" s="485">
        <f>J53/R53</f>
        <v>0.13047773622186154</v>
      </c>
      <c r="M53" s="486">
        <v>2021</v>
      </c>
      <c r="N53" s="488">
        <f>[2]T1Manip!C47</f>
        <v>3700</v>
      </c>
      <c r="O53" s="488">
        <f>[2]T1Manip!D47</f>
        <v>1857</v>
      </c>
      <c r="P53" s="488">
        <f>[2]T1Manip!E47</f>
        <v>2938</v>
      </c>
      <c r="Q53" s="488">
        <f>[2]T1Manip!F47</f>
        <v>5676</v>
      </c>
      <c r="R53" s="489">
        <f>N53+O53+P53+Q53</f>
        <v>14171</v>
      </c>
      <c r="T53" s="488">
        <f>J53-H53</f>
        <v>1255</v>
      </c>
      <c r="U53" s="488">
        <f>R53-Q53</f>
        <v>8495</v>
      </c>
      <c r="V53" s="1148">
        <f>T53/U53</f>
        <v>0.14773396115361978</v>
      </c>
    </row>
    <row r="54" spans="1:22">
      <c r="A54" s="486">
        <v>2022</v>
      </c>
      <c r="B54" s="484">
        <v>924</v>
      </c>
      <c r="C54" s="485">
        <f>B54/N54</f>
        <v>0.12930310663308145</v>
      </c>
      <c r="D54" s="484">
        <v>692</v>
      </c>
      <c r="E54" s="485">
        <f>D54/O54</f>
        <v>0.21982210927573062</v>
      </c>
      <c r="F54" s="484">
        <v>960</v>
      </c>
      <c r="G54" s="485">
        <f>F54/P54</f>
        <v>0.13963636363636364</v>
      </c>
      <c r="H54" s="484">
        <v>1148</v>
      </c>
      <c r="I54" s="485">
        <f>H54/Q54</f>
        <v>0.11157546894741957</v>
      </c>
      <c r="J54" s="487">
        <f>B54+D54+F54+H54</f>
        <v>3724</v>
      </c>
      <c r="K54" s="485">
        <f>J54/R54</f>
        <v>0.13562531866851191</v>
      </c>
      <c r="M54" s="486">
        <v>2022</v>
      </c>
      <c r="N54" s="488">
        <f>[2]T1Manip!C48</f>
        <v>7146</v>
      </c>
      <c r="O54" s="488">
        <f>[2]T1Manip!D48</f>
        <v>3148</v>
      </c>
      <c r="P54" s="488">
        <f>[2]T1Manip!E48</f>
        <v>6875</v>
      </c>
      <c r="Q54" s="488">
        <f>[2]T1Manip!F48</f>
        <v>10289</v>
      </c>
      <c r="R54" s="489">
        <f>N54+O54+P54+Q54</f>
        <v>27458</v>
      </c>
      <c r="T54" s="488">
        <f>J54-H54</f>
        <v>2576</v>
      </c>
      <c r="U54" s="488">
        <f>R54-Q54</f>
        <v>17169</v>
      </c>
      <c r="V54" s="1148">
        <f>T54/U54</f>
        <v>0.15003785893179566</v>
      </c>
    </row>
    <row r="55" spans="1:22">
      <c r="A55" s="486">
        <v>2023</v>
      </c>
      <c r="B55" s="484">
        <v>1364</v>
      </c>
      <c r="C55" s="485">
        <f>B55/N55</f>
        <v>0.21939842367701465</v>
      </c>
      <c r="D55" s="484">
        <v>1135</v>
      </c>
      <c r="E55" s="485">
        <f>D55/O55</f>
        <v>0.44950495049504952</v>
      </c>
      <c r="F55" s="484">
        <v>1319</v>
      </c>
      <c r="G55" s="485">
        <f>F55/P55</f>
        <v>0.41335004700720779</v>
      </c>
      <c r="H55" s="484">
        <v>1005</v>
      </c>
      <c r="I55" s="485">
        <f>H55/Q55</f>
        <v>0.15922053231939162</v>
      </c>
      <c r="J55" s="487">
        <f>B55+D55+F55+H55</f>
        <v>4823</v>
      </c>
      <c r="K55" s="485">
        <f>J55/R55</f>
        <v>0.26434639627295148</v>
      </c>
      <c r="M55" s="486">
        <v>2023</v>
      </c>
      <c r="N55" s="488">
        <f>[1]T1Manip!C49</f>
        <v>6217</v>
      </c>
      <c r="O55" s="488">
        <f>[1]T1Manip!D49</f>
        <v>2525</v>
      </c>
      <c r="P55" s="488">
        <f>[1]T1Manip!E49</f>
        <v>3191</v>
      </c>
      <c r="Q55" s="488">
        <f>[1]T1Manip!F49</f>
        <v>6312</v>
      </c>
      <c r="R55" s="489">
        <f>N55+O55+P55+Q55</f>
        <v>18245</v>
      </c>
      <c r="S55" s="488"/>
      <c r="T55" s="488">
        <f>J55-H55</f>
        <v>3818</v>
      </c>
      <c r="U55" s="488">
        <f>R55-Q55</f>
        <v>11933</v>
      </c>
      <c r="V55" s="1148">
        <f>T55/U55</f>
        <v>0.31995307131484119</v>
      </c>
    </row>
    <row r="56" spans="1:22">
      <c r="A56" s="486">
        <v>2024</v>
      </c>
      <c r="B56" s="484">
        <v>549</v>
      </c>
      <c r="C56" s="485">
        <f>B56/N56</f>
        <v>6.1115440276077036E-2</v>
      </c>
      <c r="D56" s="484">
        <v>1738</v>
      </c>
      <c r="E56" s="485">
        <f>D56/O56</f>
        <v>0.70250606305578012</v>
      </c>
      <c r="F56" s="484">
        <v>1590</v>
      </c>
      <c r="G56" s="485">
        <f>F56/P56</f>
        <v>0.58412931667891255</v>
      </c>
      <c r="H56" s="484">
        <v>443</v>
      </c>
      <c r="I56" s="485">
        <f>H56/Q56</f>
        <v>8.2680104516610675E-2</v>
      </c>
      <c r="J56" s="487">
        <f>B56+D56+F56+H56</f>
        <v>4320</v>
      </c>
      <c r="K56" s="485">
        <f>J56/R56</f>
        <v>0.22111890259507602</v>
      </c>
      <c r="M56" s="486">
        <v>2024</v>
      </c>
      <c r="N56" s="488">
        <f>[1]T1Manip!C50</f>
        <v>8983</v>
      </c>
      <c r="O56" s="488">
        <f>[1]T1Manip!D50</f>
        <v>2474</v>
      </c>
      <c r="P56" s="488">
        <f>[1]T1Manip!E50</f>
        <v>2722</v>
      </c>
      <c r="Q56" s="488">
        <f>[1]T1Manip!F50</f>
        <v>5358</v>
      </c>
      <c r="R56" s="489">
        <f>N56+O56+P56+Q56</f>
        <v>19537</v>
      </c>
      <c r="T56" s="488">
        <f>J56-H56</f>
        <v>3877</v>
      </c>
      <c r="U56" s="488">
        <f>R56-Q56</f>
        <v>14179</v>
      </c>
      <c r="V56" s="1148">
        <f>T56/U56</f>
        <v>0.27343254108188164</v>
      </c>
    </row>
    <row r="57" spans="1:22">
      <c r="A57" s="486" t="s">
        <v>1443</v>
      </c>
      <c r="B57" s="1565">
        <f>AVERAGE(B52:B56)</f>
        <v>636.4</v>
      </c>
      <c r="C57" s="1566">
        <f>AVERAGE(C52:C56)</f>
        <v>0.10061204276588329</v>
      </c>
      <c r="D57" s="1565">
        <f t="shared" ref="D57:K57" si="6">AVERAGE(D52:D56)</f>
        <v>890.4</v>
      </c>
      <c r="E57" s="1566">
        <f t="shared" si="6"/>
        <v>0.38588975089587479</v>
      </c>
      <c r="F57" s="1565">
        <f t="shared" si="6"/>
        <v>844</v>
      </c>
      <c r="G57" s="1566">
        <f t="shared" si="6"/>
        <v>0.25436650113072157</v>
      </c>
      <c r="H57" s="1565">
        <f t="shared" si="6"/>
        <v>819.2</v>
      </c>
      <c r="I57" s="1566">
        <f t="shared" si="6"/>
        <v>0.11490995641335899</v>
      </c>
      <c r="J57" s="487">
        <f t="shared" si="6"/>
        <v>3190</v>
      </c>
      <c r="K57" s="1566">
        <f t="shared" si="6"/>
        <v>0.17132150187187084</v>
      </c>
    </row>
    <row r="59" spans="1:22">
      <c r="A59" s="486">
        <v>2025</v>
      </c>
      <c r="B59" s="484">
        <v>2236</v>
      </c>
      <c r="C59" s="485" t="e">
        <f>B59/N59</f>
        <v>#DIV/0!</v>
      </c>
      <c r="D59" s="484">
        <v>1145</v>
      </c>
      <c r="E59" s="485" t="e">
        <f>D59/O59</f>
        <v>#DIV/0!</v>
      </c>
      <c r="F59" s="484">
        <v>1675</v>
      </c>
      <c r="G59" s="485" t="e">
        <f>F59/P59</f>
        <v>#DIV/0!</v>
      </c>
      <c r="H59" s="1567"/>
      <c r="I59" s="485" t="e">
        <f>H59/Q59</f>
        <v>#DIV/0!</v>
      </c>
      <c r="J59" s="487">
        <f>B59+D59+F59+H59</f>
        <v>5056</v>
      </c>
      <c r="K59" s="485" t="e">
        <f>J59/R59</f>
        <v>#DIV/0!</v>
      </c>
      <c r="M59" s="486">
        <v>2025</v>
      </c>
      <c r="N59" s="488">
        <f>[1]T1Manip!C51</f>
        <v>0</v>
      </c>
      <c r="O59" s="488">
        <f>[1]T1Manip!D51</f>
        <v>0</v>
      </c>
      <c r="P59" s="488">
        <f>[1]T1Manip!E51</f>
        <v>0</v>
      </c>
      <c r="Q59" s="488">
        <f>[1]T1Manip!F51</f>
        <v>0</v>
      </c>
      <c r="R59" s="488">
        <f>[1]T1Manip!G51</f>
        <v>0</v>
      </c>
      <c r="T59" s="488">
        <f>J59-H59</f>
        <v>5056</v>
      </c>
      <c r="U59" s="488">
        <f>R59-Q59</f>
        <v>0</v>
      </c>
      <c r="V59" s="1148" t="e">
        <f>T59/U59</f>
        <v>#DIV/0!</v>
      </c>
    </row>
  </sheetData>
  <mergeCells count="7">
    <mergeCell ref="T7:V7"/>
    <mergeCell ref="B1:K1"/>
    <mergeCell ref="B2:C2"/>
    <mergeCell ref="D2:E2"/>
    <mergeCell ref="F2:G2"/>
    <mergeCell ref="H2:I2"/>
    <mergeCell ref="J2:K2"/>
  </mergeCells>
  <pageMargins left="0.75" right="0.75" top="1" bottom="1" header="0.5" footer="0.5"/>
  <pageSetup orientation="portrait" r:id="rId1"/>
  <headerFooter alignWithMargins="0"/>
  <legacy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C8624-8F43-4820-BCF8-9562C9BEFDD0}">
  <sheetPr>
    <tabColor rgb="FF66FF33"/>
  </sheetPr>
  <dimension ref="B1:N65"/>
  <sheetViews>
    <sheetView showGridLines="0" zoomScale="90" zoomScaleNormal="90" workbookViewId="0">
      <pane ySplit="7" topLeftCell="A8" activePane="bottomLeft" state="frozen"/>
      <selection pane="bottomLeft" activeCell="K60" sqref="K60"/>
      <selection activeCell="J33" sqref="J33"/>
    </sheetView>
  </sheetViews>
  <sheetFormatPr defaultColWidth="9.33203125" defaultRowHeight="12.75"/>
  <cols>
    <col min="1" max="1" width="9.33203125" style="296"/>
    <col min="2" max="2" width="12.1640625" style="296" bestFit="1" customWidth="1"/>
    <col min="3" max="11" width="9.83203125" style="296" customWidth="1"/>
    <col min="12" max="12" width="10.33203125" style="296" customWidth="1"/>
    <col min="13" max="16384" width="9.33203125" style="296"/>
  </cols>
  <sheetData>
    <row r="1" spans="2:14" ht="15.75">
      <c r="B1" s="297" t="s">
        <v>141</v>
      </c>
    </row>
    <row r="2" spans="2:14" ht="15.75">
      <c r="B2" s="297" t="s">
        <v>1444</v>
      </c>
    </row>
    <row r="3" spans="2:14" ht="15.75">
      <c r="B3" s="297"/>
    </row>
    <row r="4" spans="2:14" ht="13.5" customHeight="1">
      <c r="B4" s="1035"/>
      <c r="C4" s="1989" t="s">
        <v>1431</v>
      </c>
      <c r="D4" s="1989"/>
      <c r="E4" s="1989" t="s">
        <v>1432</v>
      </c>
      <c r="F4" s="1989"/>
      <c r="G4" s="1989" t="s">
        <v>1433</v>
      </c>
      <c r="H4" s="1989"/>
      <c r="I4" s="1989" t="s">
        <v>1434</v>
      </c>
      <c r="J4" s="1989"/>
      <c r="K4" s="1989" t="s">
        <v>36</v>
      </c>
      <c r="L4" s="1990"/>
      <c r="N4" s="1645"/>
    </row>
    <row r="5" spans="2:14" ht="12.75" customHeight="1">
      <c r="B5" s="1036"/>
      <c r="C5" s="1392" t="s">
        <v>1302</v>
      </c>
      <c r="D5" s="1392" t="s">
        <v>1435</v>
      </c>
      <c r="E5" s="1392" t="s">
        <v>1302</v>
      </c>
      <c r="F5" s="1392" t="s">
        <v>1435</v>
      </c>
      <c r="G5" s="1392" t="s">
        <v>1302</v>
      </c>
      <c r="H5" s="1392" t="s">
        <v>1435</v>
      </c>
      <c r="I5" s="1392" t="s">
        <v>1302</v>
      </c>
      <c r="J5" s="1392" t="s">
        <v>1435</v>
      </c>
      <c r="K5" s="1392" t="s">
        <v>1302</v>
      </c>
      <c r="L5" s="1037" t="s">
        <v>1435</v>
      </c>
    </row>
    <row r="6" spans="2:14" ht="15" customHeight="1">
      <c r="B6" s="1047" t="s">
        <v>1445</v>
      </c>
      <c r="C6" s="1048" t="s">
        <v>1437</v>
      </c>
      <c r="D6" s="1048" t="s">
        <v>1438</v>
      </c>
      <c r="E6" s="1048" t="s">
        <v>1437</v>
      </c>
      <c r="F6" s="1048" t="s">
        <v>1438</v>
      </c>
      <c r="G6" s="1048" t="s">
        <v>1437</v>
      </c>
      <c r="H6" s="1048" t="s">
        <v>1438</v>
      </c>
      <c r="I6" s="1048" t="s">
        <v>1437</v>
      </c>
      <c r="J6" s="1048" t="s">
        <v>1438</v>
      </c>
      <c r="K6" s="1048" t="s">
        <v>1437</v>
      </c>
      <c r="L6" s="1049" t="s">
        <v>1438</v>
      </c>
    </row>
    <row r="7" spans="2:14" ht="5.85" customHeight="1">
      <c r="B7" s="1036"/>
      <c r="C7" s="1393"/>
      <c r="D7" s="1393"/>
      <c r="E7" s="1394"/>
      <c r="F7" s="1395"/>
      <c r="G7" s="1394"/>
      <c r="H7" s="1395"/>
      <c r="I7" s="1393"/>
      <c r="J7" s="1392"/>
      <c r="K7" s="1394"/>
      <c r="L7" s="1046"/>
    </row>
    <row r="8" spans="2:14" ht="27.6" customHeight="1">
      <c r="B8" s="1036" t="s">
        <v>75</v>
      </c>
      <c r="C8" s="1396">
        <f>IF([1]T28Manip!B6="","",[1]T28Manip!B6)</f>
        <v>7094</v>
      </c>
      <c r="D8" s="1397">
        <f>IF([1]T28Manip!C6="","",[1]T28Manip!C6)</f>
        <v>0.32</v>
      </c>
      <c r="E8" s="1396">
        <f>IF([1]T28Manip!D6="","",[1]T28Manip!D6)</f>
        <v>1292</v>
      </c>
      <c r="F8" s="1397">
        <f>IF([1]T28Manip!E6="","",[1]T28Manip!E6)</f>
        <v>0.32</v>
      </c>
      <c r="G8" s="1396">
        <f>IF([1]T28Manip!F6="","",[1]T28Manip!F6)</f>
        <v>2554</v>
      </c>
      <c r="H8" s="1397">
        <f>IF([1]T28Manip!G6="","",[1]T28Manip!G6)</f>
        <v>0.65</v>
      </c>
      <c r="I8" s="1396">
        <f>IF([1]T28Manip!H6="","",[1]T28Manip!H6)</f>
        <v>1269</v>
      </c>
      <c r="J8" s="1397">
        <f>IF([1]T28Manip!I6="","",[1]T28Manip!I6)</f>
        <v>0.62</v>
      </c>
      <c r="K8" s="1396">
        <f>IF([1]T28Manip!J6="","",[1]T28Manip!J6)</f>
        <v>12215</v>
      </c>
      <c r="L8" s="1038">
        <f>IF([1]T28Manip!K6="","",[1]T28Manip!K6)</f>
        <v>0.32</v>
      </c>
    </row>
    <row r="9" spans="2:14" ht="6.75" customHeight="1">
      <c r="B9" s="1036"/>
      <c r="C9" s="1396" t="str">
        <f>IF([1]T28Manip!B7="","",[1]T28Manip!B7)</f>
        <v/>
      </c>
      <c r="D9" s="1397" t="str">
        <f>IF([1]T28Manip!C7="","",[1]T28Manip!C7)</f>
        <v/>
      </c>
      <c r="E9" s="1396" t="str">
        <f>IF([1]T28Manip!D7="","",[1]T28Manip!D7)</f>
        <v/>
      </c>
      <c r="F9" s="1397" t="str">
        <f>IF([1]T28Manip!E7="","",[1]T28Manip!E7)</f>
        <v/>
      </c>
      <c r="G9" s="1396" t="str">
        <f>IF([1]T28Manip!F7="","",[1]T28Manip!F7)</f>
        <v/>
      </c>
      <c r="H9" s="1397" t="str">
        <f>IF([1]T28Manip!G7="","",[1]T28Manip!G7)</f>
        <v/>
      </c>
      <c r="I9" s="1396" t="str">
        <f>IF([1]T28Manip!H7="","",[1]T28Manip!H7)</f>
        <v/>
      </c>
      <c r="J9" s="1397" t="str">
        <f>IF([1]T28Manip!I7="","",[1]T28Manip!I7)</f>
        <v/>
      </c>
      <c r="K9" s="1396" t="str">
        <f>IF([1]T28Manip!J7="","",[1]T28Manip!J7)</f>
        <v/>
      </c>
      <c r="L9" s="1038" t="str">
        <f>IF([1]T28Manip!K7="","",[1]T28Manip!K7)</f>
        <v/>
      </c>
    </row>
    <row r="10" spans="2:14" ht="29.25" customHeight="1">
      <c r="B10" s="1036" t="s">
        <v>76</v>
      </c>
      <c r="C10" s="1396">
        <f>IF([1]T28Manip!B8="","",[1]T28Manip!B8)</f>
        <v>2888</v>
      </c>
      <c r="D10" s="1397">
        <f>IF([1]T28Manip!C8="","",[1]T28Manip!C8)</f>
        <v>0.26</v>
      </c>
      <c r="E10" s="1396">
        <f>IF([1]T28Manip!D8="","",[1]T28Manip!D8)</f>
        <v>568</v>
      </c>
      <c r="F10" s="1397">
        <f>IF([1]T28Manip!E8="","",[1]T28Manip!E8)</f>
        <v>0.43</v>
      </c>
      <c r="G10" s="1396">
        <f>IF([1]T28Manip!F8="","",[1]T28Manip!F8)</f>
        <v>6262</v>
      </c>
      <c r="H10" s="1397">
        <f>IF([1]T28Manip!G8="","",[1]T28Manip!G8)</f>
        <v>0.64</v>
      </c>
      <c r="I10" s="1396">
        <f>IF([1]T28Manip!H8="","",[1]T28Manip!H8)</f>
        <v>815</v>
      </c>
      <c r="J10" s="1397">
        <f>IF([1]T28Manip!I8="","",[1]T28Manip!I8)</f>
        <v>0.43</v>
      </c>
      <c r="K10" s="1396">
        <f>IF([1]T28Manip!J8="","",[1]T28Manip!J8)</f>
        <v>10549</v>
      </c>
      <c r="L10" s="1038">
        <f>IF([1]T28Manip!K8="","",[1]T28Manip!K8)</f>
        <v>0.42</v>
      </c>
    </row>
    <row r="11" spans="2:14" ht="2.25" customHeight="1">
      <c r="B11" s="1036"/>
      <c r="C11" s="1396" t="str">
        <f>IF([1]T28Manip!B9="","",[1]T28Manip!B9)</f>
        <v/>
      </c>
      <c r="D11" s="1397" t="str">
        <f>IF([1]T28Manip!C9="","",[1]T28Manip!C9)</f>
        <v/>
      </c>
      <c r="E11" s="1396" t="str">
        <f>IF([1]T28Manip!D9="","",[1]T28Manip!D9)</f>
        <v/>
      </c>
      <c r="F11" s="1397" t="str">
        <f>IF([1]T28Manip!E9="","",[1]T28Manip!E9)</f>
        <v/>
      </c>
      <c r="G11" s="1396" t="str">
        <f>IF([1]T28Manip!F9="","",[1]T28Manip!F9)</f>
        <v/>
      </c>
      <c r="H11" s="1397" t="str">
        <f>IF([1]T28Manip!G9="","",[1]T28Manip!G9)</f>
        <v/>
      </c>
      <c r="I11" s="1396" t="str">
        <f>IF([1]T28Manip!H9="","",[1]T28Manip!H9)</f>
        <v/>
      </c>
      <c r="J11" s="1397" t="str">
        <f>IF([1]T28Manip!I9="","",[1]T28Manip!I9)</f>
        <v/>
      </c>
      <c r="K11" s="1396" t="str">
        <f>IF([1]T28Manip!J9="","",[1]T28Manip!J9)</f>
        <v/>
      </c>
      <c r="L11" s="1038" t="str">
        <f>IF([1]T28Manip!K9="","",[1]T28Manip!K9)</f>
        <v/>
      </c>
    </row>
    <row r="12" spans="2:14">
      <c r="B12" s="1039">
        <v>1990</v>
      </c>
      <c r="C12" s="1396">
        <f>IF([1]T28Manip!B10="","",[1]T28Manip!B10)</f>
        <v>2636</v>
      </c>
      <c r="D12" s="1397">
        <f>IF([1]T28Manip!C10="","",[1]T28Manip!C10)</f>
        <v>0.34890800794176041</v>
      </c>
      <c r="E12" s="1396">
        <f>IF([1]T28Manip!D10="","",[1]T28Manip!D10)</f>
        <v>887</v>
      </c>
      <c r="F12" s="1397">
        <f>IF([1]T28Manip!E10="","",[1]T28Manip!E10)</f>
        <v>0.44640161046804228</v>
      </c>
      <c r="G12" s="1396">
        <f>IF([1]T28Manip!F10="","",[1]T28Manip!F10)</f>
        <v>7143</v>
      </c>
      <c r="H12" s="1397">
        <f>IF([1]T28Manip!G10="","",[1]T28Manip!G10)</f>
        <v>0.76814711259275192</v>
      </c>
      <c r="I12" s="1396">
        <f>IF([1]T28Manip!H10="","",[1]T28Manip!H10)</f>
        <v>2058</v>
      </c>
      <c r="J12" s="1397">
        <f>IF([1]T28Manip!I10="","",[1]T28Manip!I10)</f>
        <v>0.58349872412815429</v>
      </c>
      <c r="K12" s="1396">
        <f>IF([1]T28Manip!J10="","",[1]T28Manip!J10)</f>
        <v>12724</v>
      </c>
      <c r="L12" s="1038">
        <f>IF([1]T28Manip!K10="","",[1]T28Manip!K10)</f>
        <v>0.5688483547925608</v>
      </c>
    </row>
    <row r="13" spans="2:14">
      <c r="B13" s="1039">
        <v>1991</v>
      </c>
      <c r="C13" s="1396">
        <f>IF([1]T28Manip!B11="","",[1]T28Manip!B11)</f>
        <v>3417</v>
      </c>
      <c r="D13" s="1397">
        <f>IF([1]T28Manip!C11="","",[1]T28Manip!C11)</f>
        <v>0.38200111794298491</v>
      </c>
      <c r="E13" s="1396">
        <f>IF([1]T28Manip!D11="","",[1]T28Manip!D11)</f>
        <v>1404</v>
      </c>
      <c r="F13" s="1397">
        <f>IF([1]T28Manip!E11="","",[1]T28Manip!E11)</f>
        <v>0.53731343283582089</v>
      </c>
      <c r="G13" s="1396">
        <f>IF([1]T28Manip!F11="","",[1]T28Manip!F11)</f>
        <v>6201</v>
      </c>
      <c r="H13" s="1397">
        <f>IF([1]T28Manip!G11="","",[1]T28Manip!G11)</f>
        <v>0.74406047516198703</v>
      </c>
      <c r="I13" s="1396">
        <f>IF([1]T28Manip!H11="","",[1]T28Manip!H11)</f>
        <v>1950</v>
      </c>
      <c r="J13" s="1397">
        <f>IF([1]T28Manip!I11="","",[1]T28Manip!I11)</f>
        <v>0.53395399780941954</v>
      </c>
      <c r="K13" s="1396">
        <f>IF([1]T28Manip!J11="","",[1]T28Manip!J11)</f>
        <v>12972</v>
      </c>
      <c r="L13" s="1038">
        <f>IF([1]T28Manip!K11="","",[1]T28Manip!K11)</f>
        <v>0.55096839959225286</v>
      </c>
    </row>
    <row r="14" spans="2:14">
      <c r="B14" s="1039">
        <v>1992</v>
      </c>
      <c r="C14" s="1396">
        <f>IF([1]T28Manip!B12="","",[1]T28Manip!B12)</f>
        <v>2134</v>
      </c>
      <c r="D14" s="1397">
        <f>IF([1]T28Manip!C12="","",[1]T28Manip!C12)</f>
        <v>0.20612382884188157</v>
      </c>
      <c r="E14" s="1396">
        <f>IF([1]T28Manip!D12="","",[1]T28Manip!D12)</f>
        <v>749</v>
      </c>
      <c r="F14" s="1397">
        <f>IF([1]T28Manip!E12="","",[1]T28Manip!E12)</f>
        <v>0.30823045267489713</v>
      </c>
      <c r="G14" s="1396">
        <f>IF([1]T28Manip!F12="","",[1]T28Manip!F12)</f>
        <v>4385</v>
      </c>
      <c r="H14" s="1397">
        <f>IF([1]T28Manip!G12="","",[1]T28Manip!G12)</f>
        <v>0.72780082987551864</v>
      </c>
      <c r="I14" s="1396">
        <f>IF([1]T28Manip!H12="","",[1]T28Manip!H12)</f>
        <v>2223</v>
      </c>
      <c r="J14" s="1397">
        <f>IF([1]T28Manip!I12="","",[1]T28Manip!I12)</f>
        <v>0.25996959419950882</v>
      </c>
      <c r="K14" s="1396">
        <f>IF([1]T28Manip!J12="","",[1]T28Manip!J12)</f>
        <v>9491</v>
      </c>
      <c r="L14" s="1038">
        <f>IF([1]T28Manip!K12="","",[1]T28Manip!K12)</f>
        <v>0.34690595416499143</v>
      </c>
    </row>
    <row r="15" spans="2:14">
      <c r="B15" s="1039">
        <v>1993</v>
      </c>
      <c r="C15" s="1396">
        <f>IF([1]T28Manip!B13="","",[1]T28Manip!B13)</f>
        <v>2897</v>
      </c>
      <c r="D15" s="1397">
        <f>IF([1]T28Manip!C13="","",[1]T28Manip!C13)</f>
        <v>0.30630154366673717</v>
      </c>
      <c r="E15" s="1396">
        <f>IF([1]T28Manip!D13="","",[1]T28Manip!D13)</f>
        <v>1472</v>
      </c>
      <c r="F15" s="1397">
        <f>IF([1]T28Manip!E13="","",[1]T28Manip!E13)</f>
        <v>0.51217814892136393</v>
      </c>
      <c r="G15" s="1396">
        <f>IF([1]T28Manip!F13="","",[1]T28Manip!F13)</f>
        <v>6102</v>
      </c>
      <c r="H15" s="1397">
        <f>IF([1]T28Manip!G13="","",[1]T28Manip!G13)</f>
        <v>0.74460036607687619</v>
      </c>
      <c r="I15" s="1396">
        <f>IF([1]T28Manip!H13="","",[1]T28Manip!H13)</f>
        <v>2416</v>
      </c>
      <c r="J15" s="1397">
        <f>IF([1]T28Manip!I13="","",[1]T28Manip!I13)</f>
        <v>0.37933741560684564</v>
      </c>
      <c r="K15" s="1396">
        <f>IF([1]T28Manip!J13="","",[1]T28Manip!J13)</f>
        <v>12887</v>
      </c>
      <c r="L15" s="1038">
        <f>IF([1]T28Manip!K13="","",[1]T28Manip!K13)</f>
        <v>0.47914187983343248</v>
      </c>
    </row>
    <row r="16" spans="2:14">
      <c r="B16" s="1039">
        <v>1994</v>
      </c>
      <c r="C16" s="1396">
        <f>IF([1]T28Manip!B14="","",[1]T28Manip!B14)</f>
        <v>1076</v>
      </c>
      <c r="D16" s="1397">
        <f>IF([1]T28Manip!C14="","",[1]T28Manip!C14)</f>
        <v>0.34169577643696414</v>
      </c>
      <c r="E16" s="1396">
        <f>IF([1]T28Manip!D14="","",[1]T28Manip!D14)</f>
        <v>229</v>
      </c>
      <c r="F16" s="1397">
        <f>IF([1]T28Manip!E14="","",[1]T28Manip!E14)</f>
        <v>0.18102766798418973</v>
      </c>
      <c r="G16" s="1396">
        <f>IF([1]T28Manip!F14="","",[1]T28Manip!F14)</f>
        <v>1942</v>
      </c>
      <c r="H16" s="1397">
        <f>IF([1]T28Manip!G14="","",[1]T28Manip!G14)</f>
        <v>0.63298565840938725</v>
      </c>
      <c r="I16" s="1396">
        <f>IF([1]T28Manip!H14="","",[1]T28Manip!H14)</f>
        <v>1322</v>
      </c>
      <c r="J16" s="1397">
        <f>IF([1]T28Manip!I14="","",[1]T28Manip!I14)</f>
        <v>0.37793024585477414</v>
      </c>
      <c r="K16" s="1396">
        <f>IF([1]T28Manip!J14="","",[1]T28Manip!J14)</f>
        <v>4569</v>
      </c>
      <c r="L16" s="1038">
        <f>IF([1]T28Manip!K14="","",[1]T28Manip!K14)</f>
        <v>0.41612021857923498</v>
      </c>
    </row>
    <row r="17" spans="2:12">
      <c r="B17" s="1040" t="s">
        <v>1446</v>
      </c>
      <c r="C17" s="1396">
        <f>IF([1]T28Manip!B15="","",[1]T28Manip!B15)</f>
        <v>2432</v>
      </c>
      <c r="D17" s="1397">
        <f>IF([1]T28Manip!C15="","",[1]T28Manip!C15)</f>
        <v>0.31700605496606565</v>
      </c>
      <c r="E17" s="1396">
        <f>IF([1]T28Manip!D15="","",[1]T28Manip!D15)</f>
        <v>948.2</v>
      </c>
      <c r="F17" s="1397">
        <f>IF([1]T28Manip!E15="","",[1]T28Manip!E15)</f>
        <v>0.3970302625768628</v>
      </c>
      <c r="G17" s="1396">
        <f>IF([1]T28Manip!F15="","",[1]T28Manip!F15)</f>
        <v>5154.6000000000004</v>
      </c>
      <c r="H17" s="1397">
        <f>IF([1]T28Manip!G15="","",[1]T28Manip!G15)</f>
        <v>0.72351888842330414</v>
      </c>
      <c r="I17" s="1396">
        <f>IF([1]T28Manip!H15="","",[1]T28Manip!H15)</f>
        <v>1993.8</v>
      </c>
      <c r="J17" s="1397">
        <f>IF([1]T28Manip!I15="","",[1]T28Manip!I15)</f>
        <v>0.42693799551974043</v>
      </c>
      <c r="K17" s="1396">
        <f>IF([1]T28Manip!J15="","",[1]T28Manip!J15)</f>
        <v>10528.6</v>
      </c>
      <c r="L17" s="1038">
        <f>IF([1]T28Manip!K15="","",[1]T28Manip!K15)</f>
        <v>0.47239696139249449</v>
      </c>
    </row>
    <row r="18" spans="2:12">
      <c r="B18" s="1036"/>
      <c r="C18" s="1396" t="str">
        <f>IF([1]T28Manip!B16="","",[1]T28Manip!B16)</f>
        <v/>
      </c>
      <c r="D18" s="1397" t="str">
        <f>IF([1]T28Manip!C16="","",[1]T28Manip!C16)</f>
        <v/>
      </c>
      <c r="E18" s="1396" t="str">
        <f>IF([1]T28Manip!D16="","",[1]T28Manip!D16)</f>
        <v/>
      </c>
      <c r="F18" s="1397" t="str">
        <f>IF([1]T28Manip!E16="","",[1]T28Manip!E16)</f>
        <v/>
      </c>
      <c r="G18" s="1396" t="str">
        <f>IF([1]T28Manip!F16="","",[1]T28Manip!F16)</f>
        <v/>
      </c>
      <c r="H18" s="1397" t="str">
        <f>IF([1]T28Manip!G16="","",[1]T28Manip!G16)</f>
        <v/>
      </c>
      <c r="I18" s="1396" t="str">
        <f>IF([1]T28Manip!H16="","",[1]T28Manip!H16)</f>
        <v/>
      </c>
      <c r="J18" s="1397" t="str">
        <f>IF([1]T28Manip!I16="","",[1]T28Manip!I16)</f>
        <v/>
      </c>
      <c r="K18" s="1396" t="str">
        <f>IF([1]T28Manip!J16="","",[1]T28Manip!J16)</f>
        <v/>
      </c>
      <c r="L18" s="1038" t="str">
        <f>IF([1]T28Manip!K16="","",[1]T28Manip!K16)</f>
        <v/>
      </c>
    </row>
    <row r="19" spans="2:12">
      <c r="B19" s="1039">
        <v>1995</v>
      </c>
      <c r="C19" s="1396">
        <f>IF([1]T28Manip!B17="","",[1]T28Manip!B17)</f>
        <v>33</v>
      </c>
      <c r="D19" s="1397">
        <f>IF([1]T28Manip!C17="","",[1]T28Manip!C17)</f>
        <v>1.5699333967649859E-2</v>
      </c>
      <c r="E19" s="1396">
        <f>IF([1]T28Manip!D17="","",[1]T28Manip!D17)</f>
        <v>3</v>
      </c>
      <c r="F19" s="1397">
        <f>IF([1]T28Manip!E17="","",[1]T28Manip!E17)</f>
        <v>4.30416068866571E-3</v>
      </c>
      <c r="G19" s="1396">
        <f>IF([1]T28Manip!F17="","",[1]T28Manip!F17)</f>
        <v>2437</v>
      </c>
      <c r="H19" s="1397">
        <f>IF([1]T28Manip!G17="","",[1]T28Manip!G17)</f>
        <v>0.65405260332796566</v>
      </c>
      <c r="I19" s="1396">
        <f>IF([1]T28Manip!H17="","",[1]T28Manip!H17)</f>
        <v>1134</v>
      </c>
      <c r="J19" s="1397">
        <f>IF([1]T28Manip!I17="","",[1]T28Manip!I17)</f>
        <v>0.44839857651245552</v>
      </c>
      <c r="K19" s="1396">
        <f>IF([1]T28Manip!J17="","",[1]T28Manip!J17)</f>
        <v>3607</v>
      </c>
      <c r="L19" s="1038">
        <f>IF([1]T28Manip!K17="","",[1]T28Manip!K17)</f>
        <v>0.39838745305942125</v>
      </c>
    </row>
    <row r="20" spans="2:12">
      <c r="B20" s="1039">
        <v>1996</v>
      </c>
      <c r="C20" s="1396">
        <f>IF([1]T28Manip!B18="","",[1]T28Manip!B18)</f>
        <v>29</v>
      </c>
      <c r="D20" s="1397">
        <f>IF([1]T28Manip!C18="","",[1]T28Manip!C18)</f>
        <v>1.6228315612758813E-2</v>
      </c>
      <c r="E20" s="1396">
        <f>IF([1]T28Manip!D18="","",[1]T28Manip!D18)</f>
        <v>190</v>
      </c>
      <c r="F20" s="1397">
        <f>IF([1]T28Manip!E18="","",[1]T28Manip!E18)</f>
        <v>0.30303030303030304</v>
      </c>
      <c r="G20" s="1396">
        <f>IF([1]T28Manip!F18="","",[1]T28Manip!F18)</f>
        <v>351</v>
      </c>
      <c r="H20" s="1397">
        <f>IF([1]T28Manip!G18="","",[1]T28Manip!G18)</f>
        <v>0.20289017341040463</v>
      </c>
      <c r="I20" s="1396">
        <f>IF([1]T28Manip!H18="","",[1]T28Manip!H18)</f>
        <v>1290</v>
      </c>
      <c r="J20" s="1397">
        <f>IF([1]T28Manip!I18="","",[1]T28Manip!I18)</f>
        <v>0.33938437253354381</v>
      </c>
      <c r="K20" s="1396">
        <f>IF([1]T28Manip!J18="","",[1]T28Manip!J18)</f>
        <v>1860</v>
      </c>
      <c r="L20" s="1038">
        <f>IF([1]T28Manip!K18="","",[1]T28Manip!K18)</f>
        <v>0.2341095028319698</v>
      </c>
    </row>
    <row r="21" spans="2:12">
      <c r="B21" s="1039">
        <v>1997</v>
      </c>
      <c r="C21" s="1396">
        <f>IF([1]T28Manip!B19="","",[1]T28Manip!B19)</f>
        <v>144</v>
      </c>
      <c r="D21" s="1397">
        <f>IF([1]T28Manip!C19="","",[1]T28Manip!C19)</f>
        <v>7.6718167288225891E-2</v>
      </c>
      <c r="E21" s="1396">
        <f>IF([1]T28Manip!D19="","",[1]T28Manip!D19)</f>
        <v>5</v>
      </c>
      <c r="F21" s="1397">
        <f>IF([1]T28Manip!E19="","",[1]T28Manip!E19)</f>
        <v>9.9009900990099011E-3</v>
      </c>
      <c r="G21" s="1396">
        <f>IF([1]T28Manip!F19="","",[1]T28Manip!F19)</f>
        <v>781</v>
      </c>
      <c r="H21" s="1397">
        <f>IF([1]T28Manip!G19="","",[1]T28Manip!G19)</f>
        <v>0.35564663023679416</v>
      </c>
      <c r="I21" s="1396">
        <f>IF([1]T28Manip!H19="","",[1]T28Manip!H19)</f>
        <v>1186</v>
      </c>
      <c r="J21" s="1397">
        <f>IF([1]T28Manip!I19="","",[1]T28Manip!I19)</f>
        <v>0.26893424036281177</v>
      </c>
      <c r="K21" s="1396">
        <f>IF([1]T28Manip!J19="","",[1]T28Manip!J19)</f>
        <v>2116</v>
      </c>
      <c r="L21" s="1038">
        <f>IF([1]T28Manip!K19="","",[1]T28Manip!K19)</f>
        <v>0.23542501112594572</v>
      </c>
    </row>
    <row r="22" spans="2:12">
      <c r="B22" s="1039">
        <v>1998</v>
      </c>
      <c r="C22" s="1396">
        <f>IF([1]T28Manip!B20="","",[1]T28Manip!B20)</f>
        <v>0</v>
      </c>
      <c r="D22" s="1397">
        <f>IF([1]T28Manip!C20="","",[1]T28Manip!C20)</f>
        <v>0</v>
      </c>
      <c r="E22" s="1396">
        <f>IF([1]T28Manip!D20="","",[1]T28Manip!D20)</f>
        <v>0</v>
      </c>
      <c r="F22" s="1397">
        <f>IF([1]T28Manip!E20="","",[1]T28Manip!E20)</f>
        <v>0</v>
      </c>
      <c r="G22" s="1396">
        <f>IF([1]T28Manip!F20="","",[1]T28Manip!F20)</f>
        <v>228</v>
      </c>
      <c r="H22" s="1397">
        <f>IF([1]T28Manip!G20="","",[1]T28Manip!G20)</f>
        <v>0.14152700186219738</v>
      </c>
      <c r="I22" s="1396">
        <f>IF([1]T28Manip!H20="","",[1]T28Manip!H20)</f>
        <v>998</v>
      </c>
      <c r="J22" s="1397">
        <f>IF([1]T28Manip!I20="","",[1]T28Manip!I20)</f>
        <v>0.27900475258596591</v>
      </c>
      <c r="K22" s="1396">
        <f>IF([1]T28Manip!J20="","",[1]T28Manip!J20)</f>
        <v>1226</v>
      </c>
      <c r="L22" s="1038">
        <f>IF([1]T28Manip!K20="","",[1]T28Manip!K20)</f>
        <v>0.18436090225563909</v>
      </c>
    </row>
    <row r="23" spans="2:12">
      <c r="B23" s="1039">
        <v>1999</v>
      </c>
      <c r="C23" s="1396">
        <f>IF([1]T28Manip!B21="","",[1]T28Manip!B21)</f>
        <v>491</v>
      </c>
      <c r="D23" s="1397">
        <f>IF([1]T28Manip!C21="","",[1]T28Manip!C21)</f>
        <v>0.23731271145480909</v>
      </c>
      <c r="E23" s="1396">
        <f>IF([1]T28Manip!D21="","",[1]T28Manip!D21)</f>
        <v>8</v>
      </c>
      <c r="F23" s="1397">
        <f>IF([1]T28Manip!E21="","",[1]T28Manip!E21)</f>
        <v>8.1883316274309111E-3</v>
      </c>
      <c r="G23" s="1396">
        <f>IF([1]T28Manip!F21="","",[1]T28Manip!F21)</f>
        <v>692</v>
      </c>
      <c r="H23" s="1397">
        <f>IF([1]T28Manip!G21="","",[1]T28Manip!G21)</f>
        <v>0.39475185396463208</v>
      </c>
      <c r="I23" s="1396">
        <f>IF([1]T28Manip!H21="","",[1]T28Manip!H21)</f>
        <v>1481</v>
      </c>
      <c r="J23" s="1397">
        <f>IF([1]T28Manip!I21="","",[1]T28Manip!I21)</f>
        <v>0.41311018131101812</v>
      </c>
      <c r="K23" s="1396">
        <f>IF([1]T28Manip!J21="","",[1]T28Manip!J21)</f>
        <v>2672</v>
      </c>
      <c r="L23" s="1038">
        <f>IF([1]T28Manip!K21="","",[1]T28Manip!K21)</f>
        <v>0.31870229007633588</v>
      </c>
    </row>
    <row r="24" spans="2:12">
      <c r="B24" s="1040" t="s">
        <v>1446</v>
      </c>
      <c r="C24" s="1396">
        <f>IF([1]T28Manip!B22="","",[1]T28Manip!B22)</f>
        <v>139.4</v>
      </c>
      <c r="D24" s="1397">
        <f>IF([1]T28Manip!C22="","",[1]T28Manip!C22)</f>
        <v>6.9191705664688727E-2</v>
      </c>
      <c r="E24" s="1396">
        <f>IF([1]T28Manip!D22="","",[1]T28Manip!D22)</f>
        <v>41.2</v>
      </c>
      <c r="F24" s="1397">
        <f>IF([1]T28Manip!E22="","",[1]T28Manip!E22)</f>
        <v>6.5084757089081929E-2</v>
      </c>
      <c r="G24" s="1396">
        <f>IF([1]T28Manip!F22="","",[1]T28Manip!F22)</f>
        <v>897.8</v>
      </c>
      <c r="H24" s="1397">
        <f>IF([1]T28Manip!G22="","",[1]T28Manip!G22)</f>
        <v>0.34977365256039877</v>
      </c>
      <c r="I24" s="1396">
        <f>IF([1]T28Manip!H22="","",[1]T28Manip!H22)</f>
        <v>1217.8</v>
      </c>
      <c r="J24" s="1397">
        <f>IF([1]T28Manip!I22="","",[1]T28Manip!I22)</f>
        <v>0.34976642466115904</v>
      </c>
      <c r="K24" s="1396">
        <f>IF([1]T28Manip!J22="","",[1]T28Manip!J22)</f>
        <v>2296.1999999999998</v>
      </c>
      <c r="L24" s="1038">
        <f>IF([1]T28Manip!K22="","",[1]T28Manip!K22)</f>
        <v>0.27419703186986238</v>
      </c>
    </row>
    <row r="25" spans="2:12">
      <c r="B25" s="1036"/>
      <c r="C25" s="1396" t="str">
        <f>IF([1]T28Manip!B23="","",[1]T28Manip!B23)</f>
        <v/>
      </c>
      <c r="D25" s="1397" t="str">
        <f>IF([1]T28Manip!C23="","",[1]T28Manip!C23)</f>
        <v/>
      </c>
      <c r="E25" s="1396" t="str">
        <f>IF([1]T28Manip!D23="","",[1]T28Manip!D23)</f>
        <v/>
      </c>
      <c r="F25" s="1397" t="str">
        <f>IF([1]T28Manip!E23="","",[1]T28Manip!E23)</f>
        <v/>
      </c>
      <c r="G25" s="1396" t="str">
        <f>IF([1]T28Manip!F23="","",[1]T28Manip!F23)</f>
        <v/>
      </c>
      <c r="H25" s="1397" t="str">
        <f>IF([1]T28Manip!G23="","",[1]T28Manip!G23)</f>
        <v/>
      </c>
      <c r="I25" s="1396" t="str">
        <f>IF([1]T28Manip!H23="","",[1]T28Manip!H23)</f>
        <v/>
      </c>
      <c r="J25" s="1397" t="str">
        <f>IF([1]T28Manip!I23="","",[1]T28Manip!I23)</f>
        <v/>
      </c>
      <c r="K25" s="1396" t="str">
        <f>IF([1]T28Manip!J23="","",[1]T28Manip!J23)</f>
        <v/>
      </c>
      <c r="L25" s="1038" t="str">
        <f>IF([1]T28Manip!K23="","",[1]T28Manip!K23)</f>
        <v/>
      </c>
    </row>
    <row r="26" spans="2:12">
      <c r="B26" s="1039">
        <v>2000</v>
      </c>
      <c r="C26" s="1396">
        <f>IF([1]T28Manip!B24="","",[1]T28Manip!B24)</f>
        <v>538</v>
      </c>
      <c r="D26" s="1397">
        <f>IF([1]T28Manip!C24="","",[1]T28Manip!C24)</f>
        <v>0.24465666211914508</v>
      </c>
      <c r="E26" s="1396">
        <f>IF([1]T28Manip!D24="","",[1]T28Manip!D24)</f>
        <v>397</v>
      </c>
      <c r="F26" s="1397">
        <f>IF([1]T28Manip!E24="","",[1]T28Manip!E24)</f>
        <v>0.27997179125528915</v>
      </c>
      <c r="G26" s="1396">
        <f>IF([1]T28Manip!F24="","",[1]T28Manip!F24)</f>
        <v>1260</v>
      </c>
      <c r="H26" s="1397">
        <f>IF([1]T28Manip!G24="","",[1]T28Manip!G24)</f>
        <v>0.50099403578528823</v>
      </c>
      <c r="I26" s="1396">
        <f>IF([1]T28Manip!H24="","",[1]T28Manip!H24)</f>
        <v>1268</v>
      </c>
      <c r="J26" s="1397">
        <f>IF([1]T28Manip!I24="","",[1]T28Manip!I24)</f>
        <v>0.34825597363361716</v>
      </c>
      <c r="K26" s="1396">
        <f>IF([1]T28Manip!J24="","",[1]T28Manip!J24)</f>
        <v>3463</v>
      </c>
      <c r="L26" s="1038">
        <f>IF([1]T28Manip!K24="","",[1]T28Manip!K24)</f>
        <v>0.35434359971349638</v>
      </c>
    </row>
    <row r="27" spans="2:12">
      <c r="B27" s="1039">
        <v>2001</v>
      </c>
      <c r="C27" s="1396">
        <f>IF([1]T28Manip!B25="","",[1]T28Manip!B25)</f>
        <v>54</v>
      </c>
      <c r="D27" s="1397">
        <f>IF([1]T28Manip!C25="","",[1]T28Manip!C25)</f>
        <v>3.3561218147917959E-2</v>
      </c>
      <c r="E27" s="1396">
        <f>IF([1]T28Manip!D25="","",[1]T28Manip!D25)</f>
        <v>407</v>
      </c>
      <c r="F27" s="1397">
        <f>IF([1]T28Manip!E25="","",[1]T28Manip!E25)</f>
        <v>0.22661469933184855</v>
      </c>
      <c r="G27" s="1396">
        <f>IF([1]T28Manip!F25="","",[1]T28Manip!F25)</f>
        <v>2020</v>
      </c>
      <c r="H27" s="1397">
        <f>IF([1]T28Manip!G25="","",[1]T28Manip!G25)</f>
        <v>0.53481599152766746</v>
      </c>
      <c r="I27" s="1396">
        <f>IF([1]T28Manip!H25="","",[1]T28Manip!H25)</f>
        <v>1580</v>
      </c>
      <c r="J27" s="1397">
        <f>IF([1]T28Manip!I25="","",[1]T28Manip!I25)</f>
        <v>0.29649089885531993</v>
      </c>
      <c r="K27" s="1396">
        <f>IF([1]T28Manip!J25="","",[1]T28Manip!J25)</f>
        <v>4061</v>
      </c>
      <c r="L27" s="1038">
        <f>IF([1]T28Manip!K25="","",[1]T28Manip!K25)</f>
        <v>0.32459435696587002</v>
      </c>
    </row>
    <row r="28" spans="2:12">
      <c r="B28" s="1039">
        <v>2002</v>
      </c>
      <c r="C28" s="1396">
        <f>IF([1]T28Manip!B26="","",[1]T28Manip!B26)</f>
        <v>1575</v>
      </c>
      <c r="D28" s="1397">
        <f>IF([1]T28Manip!C26="","",[1]T28Manip!C26)</f>
        <v>0.30707740300253461</v>
      </c>
      <c r="E28" s="1396">
        <f>IF([1]T28Manip!D26="","",[1]T28Manip!D26)</f>
        <v>539</v>
      </c>
      <c r="F28" s="1397">
        <f>IF([1]T28Manip!E26="","",[1]T28Manip!E26)</f>
        <v>0.18509615384615385</v>
      </c>
      <c r="G28" s="1396">
        <f>IF([1]T28Manip!F26="","",[1]T28Manip!F26)</f>
        <v>1363</v>
      </c>
      <c r="H28" s="1397">
        <f>IF([1]T28Manip!G26="","",[1]T28Manip!G26)</f>
        <v>0.38787706317586795</v>
      </c>
      <c r="I28" s="1396">
        <f>IF([1]T28Manip!H26="","",[1]T28Manip!H26)</f>
        <v>1588</v>
      </c>
      <c r="J28" s="1397">
        <f>IF([1]T28Manip!I26="","",[1]T28Manip!I26)</f>
        <v>0.2689246401354784</v>
      </c>
      <c r="K28" s="1396">
        <f>IF([1]T28Manip!J26="","",[1]T28Manip!J26)</f>
        <v>5065</v>
      </c>
      <c r="L28" s="1038">
        <f>IF([1]T28Manip!K26="","",[1]T28Manip!K26)</f>
        <v>0.29009163802978238</v>
      </c>
    </row>
    <row r="29" spans="2:12">
      <c r="B29" s="1039">
        <v>2003</v>
      </c>
      <c r="C29" s="1396">
        <f>IF([1]T28Manip!B27="","",[1]T28Manip!B27)</f>
        <v>2996</v>
      </c>
      <c r="D29" s="1397">
        <f>IF([1]T28Manip!C27="","",[1]T28Manip!C27)</f>
        <v>0.18778989595085871</v>
      </c>
      <c r="E29" s="1396">
        <f>IF([1]T28Manip!D27="","",[1]T28Manip!D27)</f>
        <v>833</v>
      </c>
      <c r="F29" s="1397">
        <f>IF([1]T28Manip!E27="","",[1]T28Manip!E27)</f>
        <v>0.18283582089552239</v>
      </c>
      <c r="G29" s="1396">
        <f>IF([1]T28Manip!F27="","",[1]T28Manip!F27)</f>
        <v>1903</v>
      </c>
      <c r="H29" s="1397">
        <f>IF([1]T28Manip!G27="","",[1]T28Manip!G27)</f>
        <v>0.37757936507936507</v>
      </c>
      <c r="I29" s="1396">
        <f>IF([1]T28Manip!H27="","",[1]T28Manip!H27)</f>
        <v>1595</v>
      </c>
      <c r="J29" s="1397">
        <f>IF([1]T28Manip!I27="","",[1]T28Manip!I27)</f>
        <v>0.29148391812865498</v>
      </c>
      <c r="K29" s="1396">
        <f>IF([1]T28Manip!J27="","",[1]T28Manip!J27)</f>
        <v>7327</v>
      </c>
      <c r="L29" s="1038">
        <f>IF([1]T28Manip!K27="","",[1]T28Manip!K27)</f>
        <v>0.2361872219715041</v>
      </c>
    </row>
    <row r="30" spans="2:12">
      <c r="B30" s="1039">
        <v>2004</v>
      </c>
      <c r="C30" s="1396">
        <f>IF([1]T28Manip!B28="","",[1]T28Manip!B28)</f>
        <v>1945</v>
      </c>
      <c r="D30" s="1397">
        <f>IF([1]T28Manip!C28="","",[1]T28Manip!C28)</f>
        <v>0.117664851784634</v>
      </c>
      <c r="E30" s="1396">
        <f>IF([1]T28Manip!D28="","",[1]T28Manip!D28)</f>
        <v>921</v>
      </c>
      <c r="F30" s="1397">
        <f>IF([1]T28Manip!E28="","",[1]T28Manip!E28)</f>
        <v>0.21488567428838076</v>
      </c>
      <c r="G30" s="1396">
        <f>IF([1]T28Manip!F28="","",[1]T28Manip!F28)</f>
        <v>3015</v>
      </c>
      <c r="H30" s="1397">
        <f>IF([1]T28Manip!G28="","",[1]T28Manip!G28)</f>
        <v>0.40334448160535119</v>
      </c>
      <c r="I30" s="1396">
        <f>IF([1]T28Manip!H28="","",[1]T28Manip!H28)</f>
        <v>4452</v>
      </c>
      <c r="J30" s="1397">
        <f>IF([1]T28Manip!I28="","",[1]T28Manip!I28)</f>
        <v>0.35110410094637223</v>
      </c>
      <c r="K30" s="1396">
        <f>IF([1]T28Manip!J28="","",[1]T28Manip!J28)</f>
        <v>10333</v>
      </c>
      <c r="L30" s="1038">
        <f>IF([1]T28Manip!K28="","",[1]T28Manip!K28)</f>
        <v>0.25220277757438186</v>
      </c>
    </row>
    <row r="31" spans="2:12">
      <c r="B31" s="1040" t="s">
        <v>1446</v>
      </c>
      <c r="C31" s="1396">
        <f>IF([1]T28Manip!B29="","",[1]T28Manip!B29)</f>
        <v>1421.6</v>
      </c>
      <c r="D31" s="1397">
        <f>IF([1]T28Manip!C29="","",[1]T28Manip!C29)</f>
        <v>0.17815000620101809</v>
      </c>
      <c r="E31" s="1396">
        <f>IF([1]T28Manip!D29="","",[1]T28Manip!D29)</f>
        <v>619.4</v>
      </c>
      <c r="F31" s="1397">
        <f>IF([1]T28Manip!E29="","",[1]T28Manip!E29)</f>
        <v>0.21788082792343894</v>
      </c>
      <c r="G31" s="1396">
        <f>IF([1]T28Manip!F29="","",[1]T28Manip!F29)</f>
        <v>1912.2</v>
      </c>
      <c r="H31" s="1397">
        <f>IF([1]T28Manip!G29="","",[1]T28Manip!G29)</f>
        <v>0.44092218743470796</v>
      </c>
      <c r="I31" s="1396">
        <f>IF([1]T28Manip!H29="","",[1]T28Manip!H29)</f>
        <v>2096.6</v>
      </c>
      <c r="J31" s="1397">
        <f>IF([1]T28Manip!I29="","",[1]T28Manip!I29)</f>
        <v>0.31125190633988853</v>
      </c>
      <c r="K31" s="1396">
        <f>IF([1]T28Manip!J29="","",[1]T28Manip!J29)</f>
        <v>6049.8</v>
      </c>
      <c r="L31" s="1038">
        <f>IF([1]T28Manip!K29="","",[1]T28Manip!K29)</f>
        <v>0.29148391885100694</v>
      </c>
    </row>
    <row r="32" spans="2:12">
      <c r="B32" s="1036"/>
      <c r="C32" s="1396" t="str">
        <f>IF([1]T28Manip!B30="","",[1]T28Manip!B30)</f>
        <v/>
      </c>
      <c r="D32" s="1397" t="str">
        <f>IF([1]T28Manip!C30="","",[1]T28Manip!C30)</f>
        <v/>
      </c>
      <c r="E32" s="1396" t="str">
        <f>IF([1]T28Manip!D30="","",[1]T28Manip!D30)</f>
        <v/>
      </c>
      <c r="F32" s="1397" t="str">
        <f>IF([1]T28Manip!E30="","",[1]T28Manip!E30)</f>
        <v/>
      </c>
      <c r="G32" s="1396" t="str">
        <f>IF([1]T28Manip!F30="","",[1]T28Manip!F30)</f>
        <v/>
      </c>
      <c r="H32" s="1397" t="str">
        <f>IF([1]T28Manip!G30="","",[1]T28Manip!G30)</f>
        <v/>
      </c>
      <c r="I32" s="1396" t="str">
        <f>IF([1]T28Manip!H30="","",[1]T28Manip!H30)</f>
        <v/>
      </c>
      <c r="J32" s="1397" t="str">
        <f>IF([1]T28Manip!I30="","",[1]T28Manip!I30)</f>
        <v/>
      </c>
      <c r="K32" s="1396" t="str">
        <f>IF([1]T28Manip!J30="","",[1]T28Manip!J30)</f>
        <v/>
      </c>
      <c r="L32" s="1038" t="str">
        <f>IF([1]T28Manip!K30="","",[1]T28Manip!K30)</f>
        <v/>
      </c>
    </row>
    <row r="33" spans="2:12">
      <c r="B33" s="1039">
        <v>2005</v>
      </c>
      <c r="C33" s="1396">
        <f>IF([1]T28Manip!B31="","",[1]T28Manip!B31)</f>
        <v>1346</v>
      </c>
      <c r="D33" s="1397">
        <f>IF([1]T28Manip!C31="","",[1]T28Manip!C31)</f>
        <v>0.14322196211959992</v>
      </c>
      <c r="E33" s="1396">
        <f>IF([1]T28Manip!D31="","",[1]T28Manip!D31)</f>
        <v>1044</v>
      </c>
      <c r="F33" s="1397">
        <f>IF([1]T28Manip!E31="","",[1]T28Manip!E31)</f>
        <v>0.31006831006831009</v>
      </c>
      <c r="G33" s="1396">
        <f>IF([1]T28Manip!F31="","",[1]T28Manip!F31)</f>
        <v>1558</v>
      </c>
      <c r="H33" s="1397">
        <f>IF([1]T28Manip!G31="","",[1]T28Manip!G31)</f>
        <v>0.44362186788154895</v>
      </c>
      <c r="I33" s="1396">
        <f>IF([1]T28Manip!H31="","",[1]T28Manip!H31)</f>
        <v>1845</v>
      </c>
      <c r="J33" s="1397">
        <f>IF([1]T28Manip!I31="","",[1]T28Manip!I31)</f>
        <v>0.24070450097847357</v>
      </c>
      <c r="K33" s="1396">
        <f>IF([1]T28Manip!J31="","",[1]T28Manip!J31)</f>
        <v>5793</v>
      </c>
      <c r="L33" s="1038">
        <f>IF([1]T28Manip!K31="","",[1]T28Manip!K31)</f>
        <v>0.24195973602873611</v>
      </c>
    </row>
    <row r="34" spans="2:12">
      <c r="B34" s="1039">
        <v>2006</v>
      </c>
      <c r="C34" s="1396">
        <f>IF([1]T28Manip!B32="","",[1]T28Manip!B32)</f>
        <v>876</v>
      </c>
      <c r="D34" s="1397">
        <f>IF([1]T28Manip!C32="","",[1]T28Manip!C32)</f>
        <v>0.12512498214540779</v>
      </c>
      <c r="E34" s="1396">
        <f>IF([1]T28Manip!D32="","",[1]T28Manip!D32)</f>
        <v>1385</v>
      </c>
      <c r="F34" s="1397">
        <f>IF([1]T28Manip!E32="","",[1]T28Manip!E32)</f>
        <v>0.25375595456211064</v>
      </c>
      <c r="G34" s="1396">
        <f>IF([1]T28Manip!F32="","",[1]T28Manip!F32)</f>
        <v>2707</v>
      </c>
      <c r="H34" s="1397">
        <f>IF([1]T28Manip!G32="","",[1]T28Manip!G32)</f>
        <v>0.37077112724284345</v>
      </c>
      <c r="I34" s="1396">
        <f>IF([1]T28Manip!H32="","",[1]T28Manip!H32)</f>
        <v>925</v>
      </c>
      <c r="J34" s="1397">
        <f>IF([1]T28Manip!I32="","",[1]T28Manip!I32)</f>
        <v>0.21109082610680055</v>
      </c>
      <c r="K34" s="1396">
        <f>IF([1]T28Manip!J32="","",[1]T28Manip!J32)</f>
        <v>5893</v>
      </c>
      <c r="L34" s="1038">
        <f>IF([1]T28Manip!K32="","",[1]T28Manip!K32)</f>
        <v>0.24409742357716843</v>
      </c>
    </row>
    <row r="35" spans="2:12">
      <c r="B35" s="1039">
        <v>2007</v>
      </c>
      <c r="C35" s="1396">
        <f>IF([1]T28Manip!B33="","",[1]T28Manip!B33)</f>
        <v>733</v>
      </c>
      <c r="D35" s="1397">
        <f>IF([1]T28Manip!C33="","",[1]T28Manip!C33)</f>
        <v>0.18505427922241857</v>
      </c>
      <c r="E35" s="1396">
        <f>IF([1]T28Manip!D33="","",[1]T28Manip!D33)</f>
        <v>2050</v>
      </c>
      <c r="F35" s="1397">
        <f>IF([1]T28Manip!E33="","",[1]T28Manip!E33)</f>
        <v>0.25529265255292655</v>
      </c>
      <c r="G35" s="1396">
        <f>IF([1]T28Manip!F33="","",[1]T28Manip!F33)</f>
        <v>3521</v>
      </c>
      <c r="H35" s="1397">
        <f>IF([1]T28Manip!G33="","",[1]T28Manip!G33)</f>
        <v>0.46353343865192209</v>
      </c>
      <c r="I35" s="1396">
        <f>IF([1]T28Manip!H33="","",[1]T28Manip!H33)</f>
        <v>393</v>
      </c>
      <c r="J35" s="1397">
        <f>IF([1]T28Manip!I33="","",[1]T28Manip!I33)</f>
        <v>0.13833157338965152</v>
      </c>
      <c r="K35" s="1396">
        <f>IF([1]T28Manip!J33="","",[1]T28Manip!J33)</f>
        <v>6697</v>
      </c>
      <c r="L35" s="1038">
        <f>IF([1]T28Manip!K33="","",[1]T28Manip!K33)</f>
        <v>0.29859996433030139</v>
      </c>
    </row>
    <row r="36" spans="2:12">
      <c r="B36" s="1039">
        <v>2008</v>
      </c>
      <c r="C36" s="1396">
        <f>IF([1]T28Manip!B34="","",[1]T28Manip!B34)</f>
        <v>599</v>
      </c>
      <c r="D36" s="1397">
        <f>IF([1]T28Manip!C34="","",[1]T28Manip!C34)</f>
        <v>0.20114170584284755</v>
      </c>
      <c r="E36" s="1396">
        <f>IF([1]T28Manip!D34="","",[1]T28Manip!D34)</f>
        <v>249</v>
      </c>
      <c r="F36" s="1397">
        <f>IF([1]T28Manip!E34="","",[1]T28Manip!E34)</f>
        <v>0.15341959334565619</v>
      </c>
      <c r="G36" s="1396">
        <f>IF([1]T28Manip!F34="","",[1]T28Manip!F34)</f>
        <v>813</v>
      </c>
      <c r="H36" s="1397">
        <f>IF([1]T28Manip!G34="","",[1]T28Manip!G34)</f>
        <v>0.36704288939051921</v>
      </c>
      <c r="I36" s="1396">
        <f>IF([1]T28Manip!H34="","",[1]T28Manip!H34)</f>
        <v>724</v>
      </c>
      <c r="J36" s="1397">
        <f>IF([1]T28Manip!I34="","",[1]T28Manip!I34)</f>
        <v>0.1238030095759234</v>
      </c>
      <c r="K36" s="1396">
        <f>IF([1]T28Manip!J34="","",[1]T28Manip!J34)</f>
        <v>2385</v>
      </c>
      <c r="L36" s="1038">
        <f>IF([1]T28Manip!K34="","",[1]T28Manip!K34)</f>
        <v>0.1883291219204043</v>
      </c>
    </row>
    <row r="37" spans="2:12">
      <c r="B37" s="1039">
        <v>2009</v>
      </c>
      <c r="C37" s="1396">
        <f>IF([1]T28Manip!B35="","",[1]T28Manip!B35)</f>
        <v>1900</v>
      </c>
      <c r="D37" s="1397">
        <f>IF([1]T28Manip!C35="","",[1]T28Manip!C35)</f>
        <v>0.3138420878757846</v>
      </c>
      <c r="E37" s="1396">
        <f>IF([1]T28Manip!D35="","",[1]T28Manip!D35)</f>
        <v>115</v>
      </c>
      <c r="F37" s="1397">
        <f>IF([1]T28Manip!E35="","",[1]T28Manip!E35)</f>
        <v>0.28465346534653463</v>
      </c>
      <c r="G37" s="1396">
        <f>IF([1]T28Manip!F35="","",[1]T28Manip!F35)</f>
        <v>402</v>
      </c>
      <c r="H37" s="1397">
        <f>IF([1]T28Manip!G35="","",[1]T28Manip!G35)</f>
        <v>0.26925653047555259</v>
      </c>
      <c r="I37" s="1396">
        <f>IF([1]T28Manip!H35="","",[1]T28Manip!H35)</f>
        <v>292</v>
      </c>
      <c r="J37" s="1397">
        <f>IF([1]T28Manip!I35="","",[1]T28Manip!I35)</f>
        <v>0.1244141457179378</v>
      </c>
      <c r="K37" s="1396">
        <f>IF([1]T28Manip!J35="","",[1]T28Manip!J35)</f>
        <v>2709</v>
      </c>
      <c r="L37" s="1038">
        <f>IF([1]T28Manip!K35="","",[1]T28Manip!K35)</f>
        <v>0.26306078850262188</v>
      </c>
    </row>
    <row r="38" spans="2:12">
      <c r="B38" s="1040" t="s">
        <v>1446</v>
      </c>
      <c r="C38" s="1396">
        <f>IF([1]T28Manip!B36="","",[1]T28Manip!B36)</f>
        <v>1090.8</v>
      </c>
      <c r="D38" s="1397">
        <f>IF([1]T28Manip!C36="","",[1]T28Manip!C36)</f>
        <v>0.19367700344121169</v>
      </c>
      <c r="E38" s="1396">
        <f>IF([1]T28Manip!D36="","",[1]T28Manip!D36)</f>
        <v>968.6</v>
      </c>
      <c r="F38" s="1397">
        <f>IF([1]T28Manip!E36="","",[1]T28Manip!E36)</f>
        <v>0.25143799517510768</v>
      </c>
      <c r="G38" s="1396">
        <f>IF([1]T28Manip!F36="","",[1]T28Manip!F36)</f>
        <v>1800.2</v>
      </c>
      <c r="H38" s="1397">
        <f>IF([1]T28Manip!G36="","",[1]T28Manip!G36)</f>
        <v>0.38284517072847729</v>
      </c>
      <c r="I38" s="1396">
        <f>IF([1]T28Manip!H36="","",[1]T28Manip!H36)</f>
        <v>835.8</v>
      </c>
      <c r="J38" s="1397">
        <f>IF([1]T28Manip!I36="","",[1]T28Manip!I36)</f>
        <v>0.16766881115375737</v>
      </c>
      <c r="K38" s="1396">
        <f>IF([1]T28Manip!J36="","",[1]T28Manip!J36)</f>
        <v>4695.3999999999996</v>
      </c>
      <c r="L38" s="1038">
        <f>IF([1]T28Manip!K36="","",[1]T28Manip!K36)</f>
        <v>0.24720940687184639</v>
      </c>
    </row>
    <row r="39" spans="2:12">
      <c r="B39" s="1036"/>
      <c r="C39" s="1396" t="str">
        <f>IF([1]T28Manip!B37="","",[1]T28Manip!B37)</f>
        <v/>
      </c>
      <c r="D39" s="1397" t="str">
        <f>IF([1]T28Manip!C37="","",[1]T28Manip!C37)</f>
        <v/>
      </c>
      <c r="E39" s="1396" t="str">
        <f>IF([1]T28Manip!D37="","",[1]T28Manip!D37)</f>
        <v/>
      </c>
      <c r="F39" s="1397" t="str">
        <f>IF([1]T28Manip!E37="","",[1]T28Manip!E37)</f>
        <v/>
      </c>
      <c r="G39" s="1396" t="str">
        <f>IF([1]T28Manip!F37="","",[1]T28Manip!F37)</f>
        <v/>
      </c>
      <c r="H39" s="1397" t="str">
        <f>IF([1]T28Manip!G37="","",[1]T28Manip!G37)</f>
        <v/>
      </c>
      <c r="I39" s="1396" t="str">
        <f>IF([1]T28Manip!H37="","",[1]T28Manip!H37)</f>
        <v/>
      </c>
      <c r="J39" s="1397" t="str">
        <f>IF([1]T28Manip!I37="","",[1]T28Manip!I37)</f>
        <v/>
      </c>
      <c r="K39" s="1396" t="str">
        <f>IF([1]T28Manip!J37="","",[1]T28Manip!J37)</f>
        <v/>
      </c>
      <c r="L39" s="1038" t="str">
        <f>IF([1]T28Manip!K37="","",[1]T28Manip!K37)</f>
        <v/>
      </c>
    </row>
    <row r="40" spans="2:12">
      <c r="B40" s="1041" t="s">
        <v>871</v>
      </c>
      <c r="C40" s="1396">
        <f>IF([1]T28Manip!B38="","",[1]T28Manip!B38)</f>
        <v>2184</v>
      </c>
      <c r="D40" s="1397">
        <f>IF([1]T28Manip!C38="","",[1]T28Manip!C38)</f>
        <v>0.25351131746952987</v>
      </c>
      <c r="E40" s="1396">
        <f>IF([1]T28Manip!D38="","",[1]T28Manip!D38)</f>
        <v>417</v>
      </c>
      <c r="F40" s="1397">
        <f>IF([1]T28Manip!E38="","",[1]T28Manip!E38)</f>
        <v>0.42681678607983625</v>
      </c>
      <c r="G40" s="1396">
        <f>IF([1]T28Manip!F38="","",[1]T28Manip!F38)</f>
        <v>520</v>
      </c>
      <c r="H40" s="1397">
        <f>IF([1]T28Manip!G38="","",[1]T28Manip!G38)</f>
        <v>0.22155943757988922</v>
      </c>
      <c r="I40" s="1396">
        <f>IF([1]T28Manip!H38="","",[1]T28Manip!H38)</f>
        <v>788</v>
      </c>
      <c r="J40" s="1397">
        <f>IF([1]T28Manip!I38="","",[1]T28Manip!I38)</f>
        <v>0.10731308729402152</v>
      </c>
      <c r="K40" s="1396">
        <f>IF([1]T28Manip!J38="","",[1]T28Manip!J38)</f>
        <v>3909</v>
      </c>
      <c r="L40" s="1038">
        <f>IF([1]T28Manip!K38="","",[1]T28Manip!K38)</f>
        <v>0.20272793278705528</v>
      </c>
    </row>
    <row r="41" spans="2:12">
      <c r="B41" s="1041" t="s">
        <v>874</v>
      </c>
      <c r="C41" s="1396">
        <f>IF([1]T28Manip!B39="","",[1]T28Manip!B39)</f>
        <v>2629</v>
      </c>
      <c r="D41" s="1397">
        <f>IF([1]T28Manip!C39="","",[1]T28Manip!C39)</f>
        <v>0.4887525562372188</v>
      </c>
      <c r="E41" s="1396">
        <f>IF([1]T28Manip!D39="","",[1]T28Manip!D39)</f>
        <v>222</v>
      </c>
      <c r="F41" s="1397">
        <f>IF([1]T28Manip!E39="","",[1]T28Manip!E39)</f>
        <v>0.28608247422680411</v>
      </c>
      <c r="G41" s="1396">
        <f>IF([1]T28Manip!F39="","",[1]T28Manip!F39)</f>
        <v>253</v>
      </c>
      <c r="H41" s="1397">
        <f>IF([1]T28Manip!G39="","",[1]T28Manip!G39)</f>
        <v>0.19312977099236642</v>
      </c>
      <c r="I41" s="1396">
        <f>IF([1]T28Manip!H39="","",[1]T28Manip!H39)</f>
        <v>1352</v>
      </c>
      <c r="J41" s="1397">
        <f>IF([1]T28Manip!I39="","",[1]T28Manip!I39)</f>
        <v>0.28753721820501915</v>
      </c>
      <c r="K41" s="1396">
        <f>IF([1]T28Manip!J39="","",[1]T28Manip!J39)</f>
        <v>4456</v>
      </c>
      <c r="L41" s="1038">
        <f>IF([1]T28Manip!K39="","",[1]T28Manip!K39)</f>
        <v>0.36623654146461743</v>
      </c>
    </row>
    <row r="42" spans="2:12">
      <c r="B42" s="1041" t="s">
        <v>878</v>
      </c>
      <c r="C42" s="1396">
        <f>IF([1]T28Manip!B40="","",[1]T28Manip!B40)</f>
        <v>5534</v>
      </c>
      <c r="D42" s="1397">
        <f>IF([1]T28Manip!C40="","",[1]T28Manip!C40)</f>
        <v>0.45312921175168591</v>
      </c>
      <c r="E42" s="1396">
        <f>IF([1]T28Manip!D40="","",[1]T28Manip!D40)</f>
        <v>521</v>
      </c>
      <c r="F42" s="1397">
        <f>IF([1]T28Manip!E40="","",[1]T28Manip!E40)</f>
        <v>0.58603440640619964</v>
      </c>
      <c r="G42" s="1396">
        <f>IF([1]T28Manip!F40="","",[1]T28Manip!F40)</f>
        <v>381</v>
      </c>
      <c r="H42" s="1397">
        <f>IF([1]T28Manip!G40="","",[1]T28Manip!G40)</f>
        <v>0.20105540897097626</v>
      </c>
      <c r="I42" s="1396">
        <f>IF([1]T28Manip!H40="","",[1]T28Manip!H40)</f>
        <v>1159</v>
      </c>
      <c r="J42" s="1397">
        <f>IF([1]T28Manip!I40="","",[1]T28Manip!I40)</f>
        <v>0.25372154115586693</v>
      </c>
      <c r="K42" s="1396">
        <f>IF([1]T28Manip!J40="","",[1]T28Manip!J40)</f>
        <v>7595</v>
      </c>
      <c r="L42" s="1038">
        <f>IF([1]T28Manip!K40="","",[1]T28Manip!K40)</f>
        <v>0.38819561683652287</v>
      </c>
    </row>
    <row r="43" spans="2:12">
      <c r="B43" s="1041" t="s">
        <v>881</v>
      </c>
      <c r="C43" s="1396">
        <f>IF([1]T28Manip!B41="","",[1]T28Manip!B41)</f>
        <v>3352</v>
      </c>
      <c r="D43" s="1397">
        <f>IF([1]T28Manip!C41="","",[1]T28Manip!C41)</f>
        <v>0.41219872110181999</v>
      </c>
      <c r="E43" s="1396">
        <f>IF([1]T28Manip!D41="","",[1]T28Manip!D41)</f>
        <v>0</v>
      </c>
      <c r="F43" s="1397">
        <f>IF([1]T28Manip!E41="","",[1]T28Manip!E41)</f>
        <v>0</v>
      </c>
      <c r="G43" s="1396">
        <f>IF([1]T28Manip!F41="","",[1]T28Manip!F41)</f>
        <v>103</v>
      </c>
      <c r="H43" s="1397">
        <f>IF([1]T28Manip!G41="","",[1]T28Manip!G41)</f>
        <v>6.5605095541401273E-2</v>
      </c>
      <c r="I43" s="1396">
        <f>IF([1]T28Manip!H41="","",[1]T28Manip!H41)</f>
        <v>506</v>
      </c>
      <c r="J43" s="1397">
        <f>IF([1]T28Manip!I41="","",[1]T28Manip!I41)</f>
        <v>0.13591189900617781</v>
      </c>
      <c r="K43" s="1396">
        <f>IF([1]T28Manip!J41="","",[1]T28Manip!J41)</f>
        <v>3961</v>
      </c>
      <c r="L43" s="1038">
        <f>IF([1]T28Manip!K41="","",[1]T28Manip!K41)</f>
        <v>0.27432647690283263</v>
      </c>
    </row>
    <row r="44" spans="2:12">
      <c r="B44" s="1041" t="s">
        <v>887</v>
      </c>
      <c r="C44" s="1396">
        <f>IF([1]T28Manip!B42="","",[1]T28Manip!B42)</f>
        <v>2801</v>
      </c>
      <c r="D44" s="1397">
        <f>IF([1]T28Manip!C42="","",[1]T28Manip!C42)</f>
        <v>0.33771401012780322</v>
      </c>
      <c r="E44" s="1396">
        <f>IF([1]T28Manip!D42="","",[1]T28Manip!D42)</f>
        <v>0</v>
      </c>
      <c r="F44" s="1397">
        <f>IF([1]T28Manip!E42="","",[1]T28Manip!E42)</f>
        <v>0</v>
      </c>
      <c r="G44" s="1396">
        <f>IF([1]T28Manip!F42="","",[1]T28Manip!F42)</f>
        <v>14</v>
      </c>
      <c r="H44" s="1397">
        <f>IF([1]T28Manip!G42="","",[1]T28Manip!G42)</f>
        <v>1.0028653295128941E-2</v>
      </c>
      <c r="I44" s="1396">
        <f>IF([1]T28Manip!H42="","",[1]T28Manip!H42)</f>
        <v>380</v>
      </c>
      <c r="J44" s="1397">
        <f>IF([1]T28Manip!I42="","",[1]T28Manip!I42)</f>
        <v>0.12234385061171925</v>
      </c>
      <c r="K44" s="1396">
        <f>IF([1]T28Manip!J42="","",[1]T28Manip!J42)</f>
        <v>3195</v>
      </c>
      <c r="L44" s="1038">
        <f>IF([1]T28Manip!K42="","",[1]T28Manip!K42)</f>
        <v>0.23137084510102107</v>
      </c>
    </row>
    <row r="45" spans="2:12">
      <c r="B45" s="1040" t="s">
        <v>1446</v>
      </c>
      <c r="C45" s="1396">
        <f>IF([1]T28Manip!B43="","",[1]T28Manip!B43)</f>
        <v>3300</v>
      </c>
      <c r="D45" s="1397">
        <f>IF([1]T28Manip!C43="","",[1]T28Manip!C43)</f>
        <v>0.38906116333761148</v>
      </c>
      <c r="E45" s="1396">
        <f>IF([1]T28Manip!D43="","",[1]T28Manip!D43)</f>
        <v>232</v>
      </c>
      <c r="F45" s="1397">
        <f>IF([1]T28Manip!E43="","",[1]T28Manip!E43)</f>
        <v>0.25978673334256797</v>
      </c>
      <c r="G45" s="1396">
        <f>IF([1]T28Manip!F43="","",[1]T28Manip!F43)</f>
        <v>254.2</v>
      </c>
      <c r="H45" s="1397">
        <f>IF([1]T28Manip!G43="","",[1]T28Manip!G43)</f>
        <v>0.13827567327595242</v>
      </c>
      <c r="I45" s="1396">
        <f>IF([1]T28Manip!H43="","",[1]T28Manip!H43)</f>
        <v>837</v>
      </c>
      <c r="J45" s="1397">
        <f>IF([1]T28Manip!I43="","",[1]T28Manip!I43)</f>
        <v>0.18136551925456093</v>
      </c>
      <c r="K45" s="1396">
        <f>IF([1]T28Manip!J43="","",[1]T28Manip!J43)</f>
        <v>4623.2</v>
      </c>
      <c r="L45" s="1038">
        <f>IF([1]T28Manip!K43="","",[1]T28Manip!K43)</f>
        <v>0.29257148261840987</v>
      </c>
    </row>
    <row r="46" spans="2:12">
      <c r="B46" s="1042"/>
      <c r="C46" s="1396" t="str">
        <f>IF([1]T28Manip!B44="","",[1]T28Manip!B44)</f>
        <v/>
      </c>
      <c r="D46" s="1397" t="str">
        <f>IF([1]T28Manip!C44="","",[1]T28Manip!C44)</f>
        <v/>
      </c>
      <c r="E46" s="1396" t="str">
        <f>IF([1]T28Manip!D44="","",[1]T28Manip!D44)</f>
        <v/>
      </c>
      <c r="F46" s="1397" t="str">
        <f>IF([1]T28Manip!E44="","",[1]T28Manip!E44)</f>
        <v/>
      </c>
      <c r="G46" s="1396" t="str">
        <f>IF([1]T28Manip!F44="","",[1]T28Manip!F44)</f>
        <v/>
      </c>
      <c r="H46" s="1397" t="str">
        <f>IF([1]T28Manip!G44="","",[1]T28Manip!G44)</f>
        <v/>
      </c>
      <c r="I46" s="1396" t="str">
        <f>IF([1]T28Manip!H44="","",[1]T28Manip!H44)</f>
        <v/>
      </c>
      <c r="J46" s="1397" t="str">
        <f>IF([1]T28Manip!I44="","",[1]T28Manip!I44)</f>
        <v/>
      </c>
      <c r="K46" s="1396" t="str">
        <f>IF([1]T28Manip!J44="","",[1]T28Manip!J44)</f>
        <v/>
      </c>
      <c r="L46" s="1038" t="str">
        <f>IF([1]T28Manip!K44="","",[1]T28Manip!K44)</f>
        <v/>
      </c>
    </row>
    <row r="47" spans="2:12">
      <c r="B47" s="1041" t="s">
        <v>893</v>
      </c>
      <c r="C47" s="1396">
        <f>IF([1]T28Manip!B45="","",[1]T28Manip!B45)</f>
        <v>8410</v>
      </c>
      <c r="D47" s="1397">
        <f>IF([1]T28Manip!C45="","",[1]T28Manip!C45)</f>
        <v>0.31731059462722611</v>
      </c>
      <c r="E47" s="1396">
        <f>IF([1]T28Manip!D45="","",[1]T28Manip!D45)</f>
        <v>1088</v>
      </c>
      <c r="F47" s="1397">
        <f>IF([1]T28Manip!E45="","",[1]T28Manip!E45)</f>
        <v>0.33611368551127585</v>
      </c>
      <c r="G47" s="1396">
        <f>IF([1]T28Manip!F45="","",[1]T28Manip!F45)</f>
        <v>104</v>
      </c>
      <c r="H47" s="1397">
        <f>IF([1]T28Manip!G45="","",[1]T28Manip!G45)</f>
        <v>9.3862815884476536E-2</v>
      </c>
      <c r="I47" s="1396">
        <f>IF([1]T28Manip!H45="","",[1]T28Manip!H45)</f>
        <v>160</v>
      </c>
      <c r="J47" s="1397">
        <f>IF([1]T28Manip!I45="","",[1]T28Manip!I45)</f>
        <v>4.6056419113413932E-2</v>
      </c>
      <c r="K47" s="1396">
        <f>IF([1]T28Manip!J45="","",[1]T28Manip!J45)</f>
        <v>9762</v>
      </c>
      <c r="L47" s="1038">
        <f>IF([1]T28Manip!K45="","",[1]T28Manip!K45)</f>
        <v>0.28441569792850274</v>
      </c>
    </row>
    <row r="48" spans="2:12">
      <c r="B48" s="1041" t="s">
        <v>898</v>
      </c>
      <c r="C48" s="1396">
        <f>IF([1]T28Manip!B46="","",[1]T28Manip!B46)</f>
        <v>9386</v>
      </c>
      <c r="D48" s="1397">
        <f>IF([1]T28Manip!C46="","",[1]T28Manip!C46)</f>
        <v>0.38225950965219518</v>
      </c>
      <c r="E48" s="1396">
        <f>IF([1]T28Manip!D46="","",[1]T28Manip!D46)</f>
        <v>1588</v>
      </c>
      <c r="F48" s="1397">
        <f>IF([1]T28Manip!E46="","",[1]T28Manip!E46)</f>
        <v>0.35589421783953384</v>
      </c>
      <c r="G48" s="1396">
        <f>IF([1]T28Manip!F46="","",[1]T28Manip!F46)</f>
        <v>124</v>
      </c>
      <c r="H48" s="1397">
        <f>IF([1]T28Manip!G46="","",[1]T28Manip!G46)</f>
        <v>0.20770519262981574</v>
      </c>
      <c r="I48" s="1396">
        <f>IF([1]T28Manip!H46="","",[1]T28Manip!H46)</f>
        <v>227</v>
      </c>
      <c r="J48" s="1397">
        <f>IF([1]T28Manip!I46="","",[1]T28Manip!I46)</f>
        <v>5.7265388496468214E-2</v>
      </c>
      <c r="K48" s="1396">
        <f>IF([1]T28Manip!J46="","",[1]T28Manip!J46)</f>
        <v>11325</v>
      </c>
      <c r="L48" s="1038">
        <f>IF([1]T28Manip!K46="","",[1]T28Manip!K46)</f>
        <v>0.33728445066563423</v>
      </c>
    </row>
    <row r="49" spans="2:14">
      <c r="B49" s="1041" t="s">
        <v>903</v>
      </c>
      <c r="C49" s="1396">
        <f>IF([1]T28Manip!B47="","",[1]T28Manip!B47)</f>
        <v>5594</v>
      </c>
      <c r="D49" s="1397">
        <f>IF([1]T28Manip!C47="","",[1]T28Manip!C47)</f>
        <v>0.38267888904090847</v>
      </c>
      <c r="E49" s="1396">
        <f>IF([1]T28Manip!D47="","",[1]T28Manip!D47)</f>
        <v>1615</v>
      </c>
      <c r="F49" s="1397">
        <f>IF([1]T28Manip!E47="","",[1]T28Manip!E47)</f>
        <v>0.4607703281027104</v>
      </c>
      <c r="G49" s="1396">
        <f>IF([1]T28Manip!F47="","",[1]T28Manip!F47)</f>
        <v>244</v>
      </c>
      <c r="H49" s="1397">
        <f>IF([1]T28Manip!G47="","",[1]T28Manip!G47)</f>
        <v>0.10436270316509838</v>
      </c>
      <c r="I49" s="1396">
        <f>IF([1]T28Manip!H47="","",[1]T28Manip!H47)</f>
        <v>461</v>
      </c>
      <c r="J49" s="1397">
        <f>IF([1]T28Manip!I47="","",[1]T28Manip!I47)</f>
        <v>6.0602077034310503E-2</v>
      </c>
      <c r="K49" s="1396">
        <f>IF([1]T28Manip!J47="","",[1]T28Manip!J47)</f>
        <v>7914</v>
      </c>
      <c r="L49" s="1038">
        <f>IF([1]T28Manip!K47="","",[1]T28Manip!K47)</f>
        <v>0.28195810175288583</v>
      </c>
    </row>
    <row r="50" spans="2:14">
      <c r="B50" s="1041" t="s">
        <v>905</v>
      </c>
      <c r="C50" s="1396">
        <f>IF([1]T28Manip!B48="","",[1]T28Manip!B48)</f>
        <v>1073</v>
      </c>
      <c r="D50" s="1397">
        <f>IF([1]T28Manip!C48="","",[1]T28Manip!C48)</f>
        <v>0.25571973307912299</v>
      </c>
      <c r="E50" s="1396">
        <f>IF([1]T28Manip!D48="","",[1]T28Manip!D48)</f>
        <v>595</v>
      </c>
      <c r="F50" s="1397">
        <f>IF([1]T28Manip!E48="","",[1]T28Manip!E48)</f>
        <v>0.31498147167813656</v>
      </c>
      <c r="G50" s="1396">
        <f>IF([1]T28Manip!F48="","",[1]T28Manip!F48)</f>
        <v>536</v>
      </c>
      <c r="H50" s="1397">
        <f>IF([1]T28Manip!G48="","",[1]T28Manip!G48)</f>
        <v>0.17080943275971958</v>
      </c>
      <c r="I50" s="1396">
        <f>IF([1]T28Manip!H48="","",[1]T28Manip!H48)</f>
        <v>408</v>
      </c>
      <c r="J50" s="1397">
        <f>IF([1]T28Manip!I48="","",[1]T28Manip!I48)</f>
        <v>8.4332368747416286E-2</v>
      </c>
      <c r="K50" s="1396">
        <f>IF([1]T28Manip!J48="","",[1]T28Manip!J48)</f>
        <v>2612</v>
      </c>
      <c r="L50" s="1038">
        <f>IF([1]T28Manip!K48="","",[1]T28Manip!K48)</f>
        <v>0.18576203683948511</v>
      </c>
    </row>
    <row r="51" spans="2:14" ht="15.75">
      <c r="B51" s="1041" t="s">
        <v>906</v>
      </c>
      <c r="C51" s="1396">
        <f>IF([1]T28Manip!B49="","",[1]T28Manip!B49)</f>
        <v>3</v>
      </c>
      <c r="D51" s="1397">
        <f>IF([1]T28Manip!C49="","",[1]T28Manip!C49)</f>
        <v>1.9071837253655435E-3</v>
      </c>
      <c r="E51" s="1396">
        <f>IF([1]T28Manip!D49="","",[1]T28Manip!D49)</f>
        <v>97</v>
      </c>
      <c r="F51" s="1397">
        <f>IF([1]T28Manip!E49="","",[1]T28Manip!E49)</f>
        <v>0.11990111248454882</v>
      </c>
      <c r="G51" s="1396">
        <f>IF([1]T28Manip!F49="","",[1]T28Manip!F49)</f>
        <v>17</v>
      </c>
      <c r="H51" s="1397">
        <f>IF([1]T28Manip!G49="","",[1]T28Manip!G49)</f>
        <v>1.7051153460381142E-2</v>
      </c>
      <c r="I51" s="1396">
        <f>IF([1]T28Manip!H49="","",[1]T28Manip!H49)</f>
        <v>383</v>
      </c>
      <c r="J51" s="1397">
        <f>IF([1]T28Manip!I49="","",[1]T28Manip!I49)</f>
        <v>0.11185747663551401</v>
      </c>
      <c r="K51" s="1396">
        <f>IF([1]T28Manip!J49="","",[1]T28Manip!J49)</f>
        <v>500</v>
      </c>
      <c r="L51" s="1038">
        <f>IF([1]T28Manip!K49="","",[1]T28Manip!K49)</f>
        <v>7.3496986623548435E-2</v>
      </c>
      <c r="N51" s="297"/>
    </row>
    <row r="52" spans="2:14" ht="15.75">
      <c r="B52" s="1040" t="s">
        <v>1446</v>
      </c>
      <c r="C52" s="1396">
        <f>IF([1]T28Manip!B50="","",[1]T28Manip!B50)</f>
        <v>4893.2</v>
      </c>
      <c r="D52" s="1397">
        <f>IF([1]T28Manip!C50="","",[1]T28Manip!C50)</f>
        <v>0.26797518202496368</v>
      </c>
      <c r="E52" s="1396">
        <f>IF([1]T28Manip!D50="","",[1]T28Manip!D50)</f>
        <v>996.6</v>
      </c>
      <c r="F52" s="1397">
        <f>IF([1]T28Manip!E50="","",[1]T28Manip!E50)</f>
        <v>0.31753216312324112</v>
      </c>
      <c r="G52" s="1396">
        <f>IF([1]T28Manip!F50="","",[1]T28Manip!F50)</f>
        <v>205</v>
      </c>
      <c r="H52" s="1397">
        <f>IF([1]T28Manip!G50="","",[1]T28Manip!G50)</f>
        <v>0.11875825957989827</v>
      </c>
      <c r="I52" s="1396">
        <f>IF([1]T28Manip!H50="","",[1]T28Manip!H50)</f>
        <v>327.8</v>
      </c>
      <c r="J52" s="1397">
        <f>IF([1]T28Manip!I50="","",[1]T28Manip!I50)</f>
        <v>7.2022746005424604E-2</v>
      </c>
      <c r="K52" s="1396">
        <f>IF([1]T28Manip!J50="","",[1]T28Manip!J50)</f>
        <v>6422.6</v>
      </c>
      <c r="L52" s="1038">
        <f>IF([1]T28Manip!K50="","",[1]T28Manip!K50)</f>
        <v>0.23258345476201128</v>
      </c>
      <c r="N52" s="297"/>
    </row>
    <row r="53" spans="2:14" ht="9.75" customHeight="1">
      <c r="B53" s="1040"/>
      <c r="C53" s="1396"/>
      <c r="D53" s="1397"/>
      <c r="E53" s="1396"/>
      <c r="F53" s="1397"/>
      <c r="G53" s="1396"/>
      <c r="H53" s="1397"/>
      <c r="I53" s="1396"/>
      <c r="J53" s="1397"/>
      <c r="K53" s="1396"/>
      <c r="L53" s="1038"/>
      <c r="N53" s="297"/>
    </row>
    <row r="54" spans="2:14" ht="10.35" customHeight="1">
      <c r="B54" s="1041" t="s">
        <v>908</v>
      </c>
      <c r="C54" s="1398">
        <f>IF([1]T28Manip!B52="","",[1]T28Manip!B52)</f>
        <v>0</v>
      </c>
      <c r="D54" s="1399">
        <f>IF([1]T28Manip!C52="","",[1]T28Manip!C52)</f>
        <v>0</v>
      </c>
      <c r="E54" s="1398">
        <f>IF([1]T28Manip!D52="","",[1]T28Manip!D52)</f>
        <v>246</v>
      </c>
      <c r="F54" s="1399">
        <f>IF([1]T28Manip!E52="","",[1]T28Manip!E52)</f>
        <v>0.21243523316062177</v>
      </c>
      <c r="G54" s="1398">
        <f>IF([1]T28Manip!F52="","",[1]T28Manip!F52)</f>
        <v>82</v>
      </c>
      <c r="H54" s="1399">
        <f>IF([1]T28Manip!G52="","",[1]T28Manip!G52)</f>
        <v>4.3157894736842103E-2</v>
      </c>
      <c r="I54" s="1398">
        <f>IF([1]T28Manip!H52="","",[1]T28Manip!H52)</f>
        <v>906</v>
      </c>
      <c r="J54" s="1399">
        <f>IF([1]T28Manip!I52="","",[1]T28Manip!I52)</f>
        <v>0.11642251349267541</v>
      </c>
      <c r="K54" s="1398">
        <f>IF([1]T28Manip!J52="","",[1]T28Manip!J52)</f>
        <v>1234</v>
      </c>
      <c r="L54" s="1043">
        <f>IF([1]T28Manip!K52="","",[1]T28Manip!K52)</f>
        <v>0.10503915560095335</v>
      </c>
      <c r="N54" s="297"/>
    </row>
    <row r="55" spans="2:14" ht="15.75" customHeight="1">
      <c r="B55" s="1041" t="s">
        <v>909</v>
      </c>
      <c r="C55" s="1398">
        <f>IF([1]T28Manip!B53="","",[1]T28Manip!B53)</f>
        <v>345</v>
      </c>
      <c r="D55" s="809">
        <f>IF([1]T28Manip!C53="","",[1]T28Manip!C53)</f>
        <v>9.3243243243243248E-2</v>
      </c>
      <c r="E55" s="1398">
        <f>IF([1]T28Manip!D53="","",[1]T28Manip!D53)</f>
        <v>641</v>
      </c>
      <c r="F55" s="809">
        <f>IF([1]T28Manip!E53="","",[1]T28Manip!E53)</f>
        <v>0.34518039849219173</v>
      </c>
      <c r="G55" s="1398">
        <f>IF([1]T28Manip!F53="","",[1]T28Manip!F53)</f>
        <v>269</v>
      </c>
      <c r="H55" s="809">
        <f>IF([1]T28Manip!G53="","",[1]T28Manip!G53)</f>
        <v>9.1558883594281826E-2</v>
      </c>
      <c r="I55" s="1398">
        <f>IF([1]T28Manip!H53="","",[1]T28Manip!H53)</f>
        <v>594</v>
      </c>
      <c r="J55" s="810">
        <f>IF([1]T28Manip!I53="","",[1]T28Manip!I53)</f>
        <v>0.10465116279069768</v>
      </c>
      <c r="K55" s="1398">
        <f>IF([1]T28Manip!J53="","",[1]T28Manip!J53)</f>
        <v>1849</v>
      </c>
      <c r="L55" s="1044">
        <f>IF([1]T28Manip!K53="","",[1]T28Manip!K53)</f>
        <v>0.13047773622186154</v>
      </c>
      <c r="N55" s="297"/>
    </row>
    <row r="56" spans="2:14" ht="9.75" customHeight="1">
      <c r="B56" s="1041" t="s">
        <v>910</v>
      </c>
      <c r="C56" s="1398">
        <f>IF([1]T28Manip!B54="","",[1]T28Manip!B54)</f>
        <v>924</v>
      </c>
      <c r="D56" s="809">
        <f>IF([1]T28Manip!C54="","",[1]T28Manip!C54)</f>
        <v>0.12930310663308145</v>
      </c>
      <c r="E56" s="1398">
        <f>IF([1]T28Manip!D54="","",[1]T28Manip!D54)</f>
        <v>692</v>
      </c>
      <c r="F56" s="809">
        <f>IF([1]T28Manip!E54="","",[1]T28Manip!E54)</f>
        <v>0.21982210927573062</v>
      </c>
      <c r="G56" s="1398">
        <f>IF([1]T28Manip!F54="","",[1]T28Manip!F54)</f>
        <v>960</v>
      </c>
      <c r="H56" s="809">
        <f>IF([1]T28Manip!G54="","",[1]T28Manip!G54)</f>
        <v>0.13963636363636364</v>
      </c>
      <c r="I56" s="1398">
        <f>IF([1]T28Manip!H54="","",[1]T28Manip!H54)</f>
        <v>1148</v>
      </c>
      <c r="J56" s="810">
        <f>IF([1]T28Manip!I54="","",[1]T28Manip!I54)</f>
        <v>0.11157546894741957</v>
      </c>
      <c r="K56" s="1398">
        <f>IF([1]T28Manip!J54="","",[1]T28Manip!J54)</f>
        <v>3724</v>
      </c>
      <c r="L56" s="1044">
        <f>IF([1]T28Manip!K54="","",[1]T28Manip!K54)</f>
        <v>0.13562531866851191</v>
      </c>
      <c r="N56" s="297"/>
    </row>
    <row r="57" spans="2:14" ht="15.75">
      <c r="B57" s="1041" t="s">
        <v>912</v>
      </c>
      <c r="C57" s="1398">
        <f>IF([1]T28Manip!B55="","",[1]T28Manip!B55)</f>
        <v>1364</v>
      </c>
      <c r="D57" s="809">
        <f>IF([1]T28Manip!C55="","",[1]T28Manip!C55)</f>
        <v>0.21939842367701465</v>
      </c>
      <c r="E57" s="1398">
        <f>IF([1]T28Manip!D55="","",[1]T28Manip!D55)</f>
        <v>1135</v>
      </c>
      <c r="F57" s="809">
        <f>IF([1]T28Manip!E55="","",[1]T28Manip!E55)</f>
        <v>0.44950495049504952</v>
      </c>
      <c r="G57" s="1398">
        <f>IF([1]T28Manip!F55="","",[1]T28Manip!F55)</f>
        <v>1319</v>
      </c>
      <c r="H57" s="809">
        <f>IF([1]T28Manip!G55="","",[1]T28Manip!G55)</f>
        <v>0.41335004700720779</v>
      </c>
      <c r="I57" s="1398">
        <f>IF([1]T28Manip!H55="","",[1]T28Manip!H55)</f>
        <v>1005</v>
      </c>
      <c r="J57" s="810">
        <f>IF([1]T28Manip!I55="","",[1]T28Manip!I55)</f>
        <v>0.15922053231939162</v>
      </c>
      <c r="K57" s="1398">
        <f>IF([1]T28Manip!J55="","",[1]T28Manip!J55)</f>
        <v>4823</v>
      </c>
      <c r="L57" s="1044">
        <f>IF([1]T28Manip!K55="","",[1]T28Manip!K55)</f>
        <v>0.26434639627295148</v>
      </c>
      <c r="N57" s="297"/>
    </row>
    <row r="58" spans="2:14" ht="13.5">
      <c r="B58" s="1041" t="s">
        <v>1447</v>
      </c>
      <c r="C58" s="1398">
        <f>IF([1]T28Manip!B56="","",[1]T28Manip!B56)</f>
        <v>549</v>
      </c>
      <c r="D58" s="809">
        <f>IF([1]T28Manip!C56="","",[1]T28Manip!C56)</f>
        <v>6.1115440276077036E-2</v>
      </c>
      <c r="E58" s="1398">
        <f>IF([1]T28Manip!D56="","",[1]T28Manip!D56)</f>
        <v>1738</v>
      </c>
      <c r="F58" s="809">
        <f>IF([1]T28Manip!E56="","",[1]T28Manip!E56)</f>
        <v>0.70250606305578012</v>
      </c>
      <c r="G58" s="1398">
        <f>IF([1]T28Manip!F56="","",[1]T28Manip!F56)</f>
        <v>1590</v>
      </c>
      <c r="H58" s="809">
        <f>IF([1]T28Manip!G56="","",[1]T28Manip!G56)</f>
        <v>0.58412931667891255</v>
      </c>
      <c r="I58" s="1398">
        <f>IF([1]T28Manip!H56="","",[1]T28Manip!H56)</f>
        <v>443</v>
      </c>
      <c r="J58" s="810">
        <f>IF([1]T28Manip!I56="","",[1]T28Manip!I56)</f>
        <v>8.2680104516610675E-2</v>
      </c>
      <c r="K58" s="1398">
        <f>IF([1]T28Manip!J56="","",[1]T28Manip!J56)</f>
        <v>4320</v>
      </c>
      <c r="L58" s="1044">
        <f>IF([1]T28Manip!K56="","",[1]T28Manip!K56)</f>
        <v>0.22111890259507602</v>
      </c>
    </row>
    <row r="59" spans="2:14">
      <c r="B59" s="1040" t="s">
        <v>1446</v>
      </c>
      <c r="C59" s="1398">
        <f>IF([1]T28Manip!B57="","",[1]T28Manip!B57)</f>
        <v>636.4</v>
      </c>
      <c r="D59" s="809">
        <f>IF([1]T28Manip!C57="","",[1]T28Manip!C57)</f>
        <v>0.10061204276588329</v>
      </c>
      <c r="E59" s="1398">
        <f>IF([1]T28Manip!D57="","",[1]T28Manip!D57)</f>
        <v>890.4</v>
      </c>
      <c r="F59" s="809">
        <f>IF([1]T28Manip!E57="","",[1]T28Manip!E57)</f>
        <v>0.38588975089587479</v>
      </c>
      <c r="G59" s="1398">
        <f>IF([1]T28Manip!F57="","",[1]T28Manip!F57)</f>
        <v>844</v>
      </c>
      <c r="H59" s="809">
        <f>IF([1]T28Manip!G57="","",[1]T28Manip!G57)</f>
        <v>0.25436650113072157</v>
      </c>
      <c r="I59" s="1398">
        <f>IF([1]T28Manip!H57="","",[1]T28Manip!H57)</f>
        <v>819.2</v>
      </c>
      <c r="J59" s="810">
        <f>IF([1]T28Manip!I57="","",[1]T28Manip!I57)</f>
        <v>0.11490995641335899</v>
      </c>
      <c r="K59" s="1398">
        <f>IF([1]T28Manip!J57="","",[1]T28Manip!J57)</f>
        <v>3190</v>
      </c>
      <c r="L59" s="1044">
        <f>IF([1]T28Manip!K57="","",[1]T28Manip!K57)</f>
        <v>0.17132150187187084</v>
      </c>
    </row>
    <row r="60" spans="2:14" ht="13.5">
      <c r="B60" s="1212" t="s">
        <v>1448</v>
      </c>
      <c r="C60" s="1045">
        <f>IF([1]T28Manip!B59="","",[1]T28Manip!B59)</f>
        <v>2236</v>
      </c>
      <c r="D60" s="1045" t="e">
        <f>IF([1]T28Manip!C59="","",[1]T28Manip!C59)</f>
        <v>#DIV/0!</v>
      </c>
      <c r="E60" s="1045">
        <f>IF([1]T28Manip!D59="","",[1]T28Manip!D59)</f>
        <v>1145</v>
      </c>
      <c r="F60" s="1045" t="e">
        <f>IF([1]T28Manip!E59="","",[1]T28Manip!E59)</f>
        <v>#DIV/0!</v>
      </c>
      <c r="G60" s="1045">
        <f>IF([1]T28Manip!F59="","",[1]T28Manip!F59)</f>
        <v>1675</v>
      </c>
      <c r="H60" s="1045" t="e">
        <f>IF([1]T28Manip!G59="","",[1]T28Manip!G59)</f>
        <v>#DIV/0!</v>
      </c>
      <c r="I60" s="1045" t="str">
        <f>IF([1]T28Manip!H59="","",[1]T28Manip!H59)</f>
        <v/>
      </c>
      <c r="J60" s="1045" t="e">
        <f>IF([1]T28Manip!I59="","",[1]T28Manip!I59)</f>
        <v>#DIV/0!</v>
      </c>
      <c r="K60" s="1045">
        <f>IF([1]T28Manip!J59="","",[1]T28Manip!J59)</f>
        <v>5056</v>
      </c>
      <c r="L60" s="1568" t="e">
        <f>IF([1]T28Manip!K59="","",[1]T28Manip!K59)</f>
        <v>#DIV/0!</v>
      </c>
    </row>
    <row r="61" spans="2:14" ht="33" customHeight="1">
      <c r="B61" s="1569"/>
      <c r="C61" s="1398"/>
      <c r="D61" s="809"/>
      <c r="E61" s="1398"/>
      <c r="F61" s="809"/>
      <c r="G61" s="1398"/>
      <c r="H61" s="809"/>
      <c r="I61" s="1398"/>
      <c r="J61" s="810"/>
      <c r="K61" s="1398"/>
      <c r="L61" s="809"/>
    </row>
    <row r="62" spans="2:14" ht="18.75">
      <c r="B62" s="446" t="s">
        <v>1449</v>
      </c>
      <c r="C62" s="447"/>
      <c r="D62" s="447"/>
      <c r="E62" s="447"/>
      <c r="F62" s="447"/>
      <c r="G62" s="447"/>
      <c r="H62" s="447"/>
      <c r="I62" s="447"/>
      <c r="J62" s="447"/>
      <c r="K62" s="447"/>
      <c r="L62" s="447"/>
    </row>
    <row r="63" spans="2:14" ht="18.75">
      <c r="B63" s="446" t="s">
        <v>1450</v>
      </c>
      <c r="C63" s="447"/>
      <c r="D63" s="447"/>
      <c r="E63" s="447"/>
      <c r="F63" s="447"/>
      <c r="G63" s="447"/>
      <c r="H63" s="447"/>
      <c r="I63" s="447"/>
      <c r="J63" s="447"/>
      <c r="K63" s="447"/>
      <c r="L63" s="447"/>
    </row>
    <row r="64" spans="2:14" ht="15.75">
      <c r="B64" s="297" t="s">
        <v>87</v>
      </c>
    </row>
    <row r="65" spans="2:2" ht="15.75">
      <c r="B65" s="297"/>
    </row>
  </sheetData>
  <mergeCells count="5">
    <mergeCell ref="C4:D4"/>
    <mergeCell ref="E4:F4"/>
    <mergeCell ref="G4:H4"/>
    <mergeCell ref="I4:J4"/>
    <mergeCell ref="K4:L4"/>
  </mergeCells>
  <pageMargins left="0.75" right="0.75" top="1" bottom="1" header="0.5" footer="0.5"/>
  <pageSetup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V76"/>
  <sheetViews>
    <sheetView zoomScale="120" zoomScaleNormal="120" workbookViewId="0">
      <pane ySplit="3" topLeftCell="A4" activePane="bottomLeft" state="frozen"/>
      <selection pane="bottomLeft" activeCell="V4" sqref="V4:V47"/>
      <selection activeCell="N21" sqref="N21"/>
    </sheetView>
  </sheetViews>
  <sheetFormatPr defaultColWidth="9.33203125" defaultRowHeight="12.75"/>
  <cols>
    <col min="1" max="1" width="8.83203125" style="11" customWidth="1"/>
    <col min="2" max="2" width="1.6640625" style="11" customWidth="1"/>
    <col min="3" max="3" width="8.33203125" style="11" customWidth="1"/>
    <col min="4" max="4" width="3" style="11" customWidth="1"/>
    <col min="5" max="6" width="11" style="11" bestFit="1" customWidth="1"/>
    <col min="7" max="7" width="9.83203125" style="11" bestFit="1" customWidth="1"/>
    <col min="8" max="8" width="1.6640625" style="11" customWidth="1"/>
    <col min="9" max="9" width="11.33203125" style="11" bestFit="1" customWidth="1"/>
    <col min="10" max="10" width="11.83203125" style="11" customWidth="1"/>
    <col min="11" max="11" width="10.33203125" style="11" bestFit="1" customWidth="1"/>
    <col min="12" max="12" width="1.6640625" style="11" customWidth="1"/>
    <col min="13" max="13" width="13.33203125" style="11" bestFit="1" customWidth="1"/>
    <col min="14" max="14" width="1.6640625" style="11" customWidth="1"/>
    <col min="15" max="15" width="9.83203125" style="11" bestFit="1" customWidth="1"/>
    <col min="16" max="16" width="9.33203125" style="11" bestFit="1" customWidth="1"/>
    <col min="17" max="17" width="1.6640625" style="11" customWidth="1"/>
    <col min="18" max="18" width="11.1640625" style="11" bestFit="1" customWidth="1"/>
    <col min="19" max="19" width="1.6640625" style="11" customWidth="1"/>
    <col min="20" max="20" width="11.33203125" style="11" customWidth="1"/>
    <col min="21" max="21" width="9.33203125" style="11"/>
    <col min="22" max="22" width="9.33203125" style="11" customWidth="1"/>
    <col min="23" max="16384" width="9.33203125" style="11"/>
  </cols>
  <sheetData>
    <row r="1" spans="1:21" ht="14.25" thickTop="1" thickBot="1">
      <c r="A1" s="8"/>
      <c r="B1" s="9"/>
      <c r="C1" s="9"/>
      <c r="D1" s="9"/>
      <c r="E1" s="1991" t="s">
        <v>1451</v>
      </c>
      <c r="F1" s="1991"/>
      <c r="G1" s="1991"/>
      <c r="H1" s="1991"/>
      <c r="I1" s="1991"/>
      <c r="J1" s="1991"/>
      <c r="K1" s="1991"/>
      <c r="L1" s="1991"/>
      <c r="M1" s="1991"/>
      <c r="N1" s="1991"/>
      <c r="O1" s="1991"/>
      <c r="P1" s="1991"/>
      <c r="Q1" s="1991"/>
      <c r="R1" s="1991"/>
      <c r="S1" s="9"/>
      <c r="T1" s="10"/>
    </row>
    <row r="2" spans="1:21" ht="13.5" customHeight="1" thickBot="1">
      <c r="A2" s="12"/>
      <c r="B2" s="13"/>
      <c r="C2" s="13"/>
      <c r="D2" s="13"/>
      <c r="E2" s="1992" t="s">
        <v>1124</v>
      </c>
      <c r="F2" s="1992"/>
      <c r="G2" s="1992"/>
      <c r="H2" s="19"/>
      <c r="I2" s="1992" t="s">
        <v>1452</v>
      </c>
      <c r="J2" s="1992"/>
      <c r="K2" s="1992"/>
      <c r="L2" s="30"/>
      <c r="M2" s="1706" t="s">
        <v>1125</v>
      </c>
      <c r="N2" s="19"/>
      <c r="O2" s="1992" t="s">
        <v>1127</v>
      </c>
      <c r="P2" s="1992"/>
      <c r="Q2" s="19"/>
      <c r="R2" s="1706" t="s">
        <v>1453</v>
      </c>
      <c r="S2" s="13"/>
      <c r="T2" s="14"/>
    </row>
    <row r="3" spans="1:21" ht="39" thickBot="1">
      <c r="A3" s="15" t="s">
        <v>1454</v>
      </c>
      <c r="B3" s="1708"/>
      <c r="C3" s="1708" t="s">
        <v>1455</v>
      </c>
      <c r="D3" s="1708"/>
      <c r="E3" s="1708" t="s">
        <v>1456</v>
      </c>
      <c r="F3" s="1708" t="s">
        <v>1457</v>
      </c>
      <c r="G3" s="1708" t="s">
        <v>1458</v>
      </c>
      <c r="H3" s="1708"/>
      <c r="I3" s="1708" t="s">
        <v>1459</v>
      </c>
      <c r="J3" s="1708" t="s">
        <v>1460</v>
      </c>
      <c r="K3" s="1708" t="s">
        <v>1461</v>
      </c>
      <c r="L3" s="1708"/>
      <c r="M3" s="1708" t="s">
        <v>1462</v>
      </c>
      <c r="N3" s="1708"/>
      <c r="O3" s="1708" t="s">
        <v>1463</v>
      </c>
      <c r="P3" s="1708" t="s">
        <v>1464</v>
      </c>
      <c r="Q3" s="1708"/>
      <c r="R3" s="1708" t="s">
        <v>1465</v>
      </c>
      <c r="S3" s="1708"/>
      <c r="T3" s="16" t="s">
        <v>1466</v>
      </c>
    </row>
    <row r="4" spans="1:21">
      <c r="A4" s="17">
        <v>2000</v>
      </c>
      <c r="B4" s="19"/>
      <c r="C4" s="18" t="s">
        <v>1467</v>
      </c>
      <c r="D4" s="24"/>
      <c r="E4" s="20" t="e">
        <f>IF(#REF!="","",#REF!)</f>
        <v>#REF!</v>
      </c>
      <c r="F4" s="20" t="e">
        <f>IF(#REF!="","",#REF!)</f>
        <v>#REF!</v>
      </c>
      <c r="G4" s="20" t="e">
        <f>IF(#REF!="","",#REF!)</f>
        <v>#REF!</v>
      </c>
      <c r="H4" s="20"/>
      <c r="I4" s="20" t="e">
        <f>IF(#REF!="","",#REF!)</f>
        <v>#REF!</v>
      </c>
      <c r="J4" s="20" t="e">
        <f>IF(#REF!="","",#REF!)</f>
        <v>#REF!</v>
      </c>
      <c r="K4" s="20" t="e">
        <f>IF(#REF!="","",#REF!)</f>
        <v>#REF!</v>
      </c>
      <c r="L4" s="20"/>
      <c r="M4" s="20" t="e">
        <f>IF(#REF!="","",#REF!)</f>
        <v>#REF!</v>
      </c>
      <c r="N4" s="20"/>
      <c r="O4" s="20" t="e">
        <f>IF(#REF!="","",#REF!)</f>
        <v>#REF!</v>
      </c>
      <c r="P4" s="20" t="e">
        <f>IF(#REF!="","",#REF!)</f>
        <v>#REF!</v>
      </c>
      <c r="Q4" s="20"/>
      <c r="R4" s="20" t="e">
        <f>IF(#REF!="","",#REF!)</f>
        <v>#REF!</v>
      </c>
      <c r="S4" s="19"/>
      <c r="T4" s="22" t="e">
        <f>SUM(E4:R4)</f>
        <v>#REF!</v>
      </c>
      <c r="U4" s="23"/>
    </row>
    <row r="5" spans="1:21">
      <c r="A5" s="17"/>
      <c r="B5" s="19"/>
      <c r="C5" s="18" t="s">
        <v>1468</v>
      </c>
      <c r="D5" s="24"/>
      <c r="E5" s="20" t="e">
        <f>IF(#REF!="","",#REF!)</f>
        <v>#REF!</v>
      </c>
      <c r="F5" s="20" t="e">
        <f>IF(#REF!="","",#REF!)</f>
        <v>#REF!</v>
      </c>
      <c r="G5" s="20" t="e">
        <f>IF(#REF!="","",#REF!)</f>
        <v>#REF!</v>
      </c>
      <c r="H5" s="20"/>
      <c r="I5" s="20" t="e">
        <f>IF(#REF!="","",#REF!)</f>
        <v>#REF!</v>
      </c>
      <c r="J5" s="20" t="e">
        <f>IF(#REF!="","",#REF!)</f>
        <v>#REF!</v>
      </c>
      <c r="K5" s="20" t="e">
        <f>IF(#REF!="","",#REF!)</f>
        <v>#REF!</v>
      </c>
      <c r="L5" s="20"/>
      <c r="M5" s="20" t="e">
        <f>IF(#REF!="","",#REF!)</f>
        <v>#REF!</v>
      </c>
      <c r="N5" s="20"/>
      <c r="O5" s="20" t="e">
        <f>IF(#REF!="","",#REF!)</f>
        <v>#REF!</v>
      </c>
      <c r="P5" s="20" t="e">
        <f>IF(#REF!="","",#REF!)</f>
        <v>#REF!</v>
      </c>
      <c r="Q5" s="20"/>
      <c r="R5" s="20" t="e">
        <f>IF(#REF!="","",#REF!)</f>
        <v>#REF!</v>
      </c>
      <c r="S5" s="19"/>
      <c r="T5" s="22" t="e">
        <f t="shared" ref="T5:T67" si="0">SUM(E5:R5)</f>
        <v>#REF!</v>
      </c>
      <c r="U5" s="23"/>
    </row>
    <row r="6" spans="1:21">
      <c r="A6" s="17"/>
      <c r="B6" s="19"/>
      <c r="C6" s="18" t="s">
        <v>1469</v>
      </c>
      <c r="D6" s="24"/>
      <c r="E6" s="20" t="e">
        <f>IF(#REF!="","",#REF!)</f>
        <v>#REF!</v>
      </c>
      <c r="F6" s="20" t="e">
        <f>IF(#REF!="","",#REF!)</f>
        <v>#REF!</v>
      </c>
      <c r="G6" s="20" t="e">
        <f>IF(#REF!="","",#REF!)</f>
        <v>#REF!</v>
      </c>
      <c r="H6" s="20"/>
      <c r="I6" s="20" t="e">
        <f>IF(#REF!="","",#REF!)</f>
        <v>#REF!</v>
      </c>
      <c r="J6" s="20" t="e">
        <f>IF(#REF!="","",#REF!)</f>
        <v>#REF!</v>
      </c>
      <c r="K6" s="20" t="e">
        <f>IF(#REF!="","",#REF!)</f>
        <v>#REF!</v>
      </c>
      <c r="L6" s="20"/>
      <c r="M6" s="20" t="e">
        <f>IF(#REF!="","",#REF!)</f>
        <v>#REF!</v>
      </c>
      <c r="N6" s="20"/>
      <c r="O6" s="20" t="e">
        <f>IF(#REF!="","",#REF!)</f>
        <v>#REF!</v>
      </c>
      <c r="P6" s="20" t="e">
        <f>IF(#REF!="","",#REF!)</f>
        <v>#REF!</v>
      </c>
      <c r="Q6" s="20"/>
      <c r="R6" s="20" t="e">
        <f>IF(#REF!="","",#REF!)</f>
        <v>#REF!</v>
      </c>
      <c r="S6" s="19"/>
      <c r="T6" s="22" t="e">
        <f t="shared" si="0"/>
        <v>#REF!</v>
      </c>
      <c r="U6" s="23"/>
    </row>
    <row r="7" spans="1:21">
      <c r="A7" s="17"/>
      <c r="B7" s="19"/>
      <c r="C7" s="18" t="s">
        <v>1470</v>
      </c>
      <c r="D7" s="24"/>
      <c r="E7" s="20" t="e">
        <f>IF(#REF!="","",#REF!)</f>
        <v>#REF!</v>
      </c>
      <c r="F7" s="20" t="e">
        <f>IF(#REF!="","",#REF!)</f>
        <v>#REF!</v>
      </c>
      <c r="G7" s="20" t="e">
        <f>IF(#REF!="","",#REF!)</f>
        <v>#REF!</v>
      </c>
      <c r="H7" s="20"/>
      <c r="I7" s="20" t="e">
        <f>IF(#REF!="","",#REF!)</f>
        <v>#REF!</v>
      </c>
      <c r="J7" s="20" t="e">
        <f>IF(#REF!="","",#REF!)</f>
        <v>#REF!</v>
      </c>
      <c r="K7" s="20" t="e">
        <f>IF(#REF!="","",#REF!)</f>
        <v>#REF!</v>
      </c>
      <c r="L7" s="20"/>
      <c r="M7" s="20" t="e">
        <f>IF(#REF!="","",#REF!)</f>
        <v>#REF!</v>
      </c>
      <c r="N7" s="20"/>
      <c r="O7" s="20" t="e">
        <f>IF(#REF!="","",#REF!)</f>
        <v>#REF!</v>
      </c>
      <c r="P7" s="20" t="e">
        <f>IF(#REF!="","",#REF!)</f>
        <v>#REF!</v>
      </c>
      <c r="Q7" s="20"/>
      <c r="R7" s="20" t="e">
        <f>IF(#REF!="","",#REF!)</f>
        <v>#REF!</v>
      </c>
      <c r="S7" s="19"/>
      <c r="T7" s="22" t="e">
        <f t="shared" si="0"/>
        <v>#REF!</v>
      </c>
      <c r="U7" s="23"/>
    </row>
    <row r="8" spans="1:21">
      <c r="A8" s="17">
        <v>2001</v>
      </c>
      <c r="B8" s="19"/>
      <c r="C8" s="18" t="s">
        <v>1467</v>
      </c>
      <c r="D8" s="24"/>
      <c r="E8" s="20" t="e">
        <f>IF(#REF!="","",#REF!)</f>
        <v>#REF!</v>
      </c>
      <c r="F8" s="20" t="e">
        <f>IF(#REF!="","",#REF!)</f>
        <v>#REF!</v>
      </c>
      <c r="G8" s="20" t="e">
        <f>IF(#REF!="","",#REF!)</f>
        <v>#REF!</v>
      </c>
      <c r="H8" s="20"/>
      <c r="I8" s="20" t="e">
        <f>IF(#REF!="","",#REF!)</f>
        <v>#REF!</v>
      </c>
      <c r="J8" s="20" t="e">
        <f>IF(#REF!="","",#REF!)</f>
        <v>#REF!</v>
      </c>
      <c r="K8" s="20" t="e">
        <f>IF(#REF!="","",#REF!)</f>
        <v>#REF!</v>
      </c>
      <c r="L8" s="20"/>
      <c r="M8" s="20" t="e">
        <f>IF(#REF!="","",#REF!)</f>
        <v>#REF!</v>
      </c>
      <c r="N8" s="20"/>
      <c r="O8" s="20" t="e">
        <f>IF(#REF!="","",#REF!)</f>
        <v>#REF!</v>
      </c>
      <c r="P8" s="20" t="e">
        <f>IF(#REF!="","",#REF!)</f>
        <v>#REF!</v>
      </c>
      <c r="Q8" s="20"/>
      <c r="R8" s="20" t="e">
        <f>IF(#REF!="","",#REF!)</f>
        <v>#REF!</v>
      </c>
      <c r="S8" s="19"/>
      <c r="T8" s="22" t="e">
        <f t="shared" si="0"/>
        <v>#REF!</v>
      </c>
      <c r="U8" s="23"/>
    </row>
    <row r="9" spans="1:21">
      <c r="A9" s="17"/>
      <c r="B9" s="19"/>
      <c r="C9" s="18" t="s">
        <v>1468</v>
      </c>
      <c r="D9" s="24"/>
      <c r="E9" s="20" t="e">
        <f>IF(#REF!="","",#REF!)</f>
        <v>#REF!</v>
      </c>
      <c r="F9" s="20" t="e">
        <f>IF(#REF!="","",#REF!)</f>
        <v>#REF!</v>
      </c>
      <c r="G9" s="20" t="e">
        <f>IF(#REF!="","",#REF!)</f>
        <v>#REF!</v>
      </c>
      <c r="H9" s="20"/>
      <c r="I9" s="20" t="e">
        <f>IF(#REF!="","",#REF!)</f>
        <v>#REF!</v>
      </c>
      <c r="J9" s="20" t="e">
        <f>IF(#REF!="","",#REF!)</f>
        <v>#REF!</v>
      </c>
      <c r="K9" s="20" t="e">
        <f>IF(#REF!="","",#REF!)</f>
        <v>#REF!</v>
      </c>
      <c r="L9" s="20"/>
      <c r="M9" s="20" t="e">
        <f>IF(#REF!="","",#REF!)</f>
        <v>#REF!</v>
      </c>
      <c r="N9" s="20"/>
      <c r="O9" s="20" t="e">
        <f>IF(#REF!="","",#REF!)</f>
        <v>#REF!</v>
      </c>
      <c r="P9" s="20" t="e">
        <f>IF(#REF!="","",#REF!)</f>
        <v>#REF!</v>
      </c>
      <c r="Q9" s="20"/>
      <c r="R9" s="20" t="e">
        <f>IF(#REF!="","",#REF!)</f>
        <v>#REF!</v>
      </c>
      <c r="S9" s="19"/>
      <c r="T9" s="22" t="e">
        <f t="shared" si="0"/>
        <v>#REF!</v>
      </c>
      <c r="U9" s="23"/>
    </row>
    <row r="10" spans="1:21">
      <c r="A10" s="17"/>
      <c r="B10" s="19"/>
      <c r="C10" s="18" t="s">
        <v>1469</v>
      </c>
      <c r="D10" s="24"/>
      <c r="E10" s="20" t="e">
        <f>IF(#REF!="","",#REF!)</f>
        <v>#REF!</v>
      </c>
      <c r="F10" s="20" t="e">
        <f>IF(#REF!="","",#REF!)</f>
        <v>#REF!</v>
      </c>
      <c r="G10" s="20" t="e">
        <f>IF(#REF!="","",#REF!)</f>
        <v>#REF!</v>
      </c>
      <c r="H10" s="20"/>
      <c r="I10" s="20" t="e">
        <f>IF(#REF!="","",#REF!)</f>
        <v>#REF!</v>
      </c>
      <c r="J10" s="20" t="e">
        <f>IF(#REF!="","",#REF!)</f>
        <v>#REF!</v>
      </c>
      <c r="K10" s="20" t="e">
        <f>IF(#REF!="","",#REF!)</f>
        <v>#REF!</v>
      </c>
      <c r="L10" s="20"/>
      <c r="M10" s="20" t="e">
        <f>IF(#REF!="","",#REF!)</f>
        <v>#REF!</v>
      </c>
      <c r="N10" s="20"/>
      <c r="O10" s="20" t="e">
        <f>IF(#REF!="","",#REF!)</f>
        <v>#REF!</v>
      </c>
      <c r="P10" s="20" t="e">
        <f>IF(#REF!="","",#REF!)</f>
        <v>#REF!</v>
      </c>
      <c r="Q10" s="20"/>
      <c r="R10" s="20" t="e">
        <f>IF(#REF!="","",#REF!)</f>
        <v>#REF!</v>
      </c>
      <c r="S10" s="19"/>
      <c r="T10" s="22" t="e">
        <f t="shared" si="0"/>
        <v>#REF!</v>
      </c>
      <c r="U10" s="23"/>
    </row>
    <row r="11" spans="1:21">
      <c r="A11" s="17"/>
      <c r="B11" s="19"/>
      <c r="C11" s="18" t="s">
        <v>1470</v>
      </c>
      <c r="D11" s="24"/>
      <c r="E11" s="20" t="e">
        <f>IF(#REF!="","",#REF!)</f>
        <v>#REF!</v>
      </c>
      <c r="F11" s="20" t="e">
        <f>IF(#REF!="","",#REF!)</f>
        <v>#REF!</v>
      </c>
      <c r="G11" s="20" t="e">
        <f>IF(#REF!="","",#REF!)</f>
        <v>#REF!</v>
      </c>
      <c r="H11" s="20"/>
      <c r="I11" s="20" t="e">
        <f>IF(#REF!="","",#REF!)</f>
        <v>#REF!</v>
      </c>
      <c r="J11" s="20" t="e">
        <f>IF(#REF!="","",#REF!)</f>
        <v>#REF!</v>
      </c>
      <c r="K11" s="20" t="e">
        <f>IF(#REF!="","",#REF!)</f>
        <v>#REF!</v>
      </c>
      <c r="L11" s="20"/>
      <c r="M11" s="20" t="e">
        <f>IF(#REF!="","",#REF!)</f>
        <v>#REF!</v>
      </c>
      <c r="N11" s="20"/>
      <c r="O11" s="20" t="e">
        <f>IF(#REF!="","",#REF!)</f>
        <v>#REF!</v>
      </c>
      <c r="P11" s="20" t="e">
        <f>IF(#REF!="","",#REF!)</f>
        <v>#REF!</v>
      </c>
      <c r="Q11" s="20"/>
      <c r="R11" s="20" t="e">
        <f>IF(#REF!="","",#REF!)</f>
        <v>#REF!</v>
      </c>
      <c r="S11" s="19"/>
      <c r="T11" s="22" t="e">
        <f t="shared" si="0"/>
        <v>#REF!</v>
      </c>
      <c r="U11" s="23"/>
    </row>
    <row r="12" spans="1:21">
      <c r="A12" s="17">
        <v>2002</v>
      </c>
      <c r="B12" s="19"/>
      <c r="C12" s="18" t="s">
        <v>1467</v>
      </c>
      <c r="D12" s="24"/>
      <c r="E12" s="20" t="e">
        <f>IF(#REF!="","",#REF!)</f>
        <v>#REF!</v>
      </c>
      <c r="F12" s="20" t="e">
        <f>IF(#REF!="","",#REF!)</f>
        <v>#REF!</v>
      </c>
      <c r="G12" s="20" t="e">
        <f>IF(#REF!="","",#REF!)</f>
        <v>#REF!</v>
      </c>
      <c r="H12" s="20"/>
      <c r="I12" s="20" t="e">
        <f>IF(#REF!="","",#REF!)</f>
        <v>#REF!</v>
      </c>
      <c r="J12" s="20" t="e">
        <f>IF(#REF!="","",#REF!)</f>
        <v>#REF!</v>
      </c>
      <c r="K12" s="20" t="e">
        <f>IF(#REF!="","",#REF!)</f>
        <v>#REF!</v>
      </c>
      <c r="L12" s="20"/>
      <c r="M12" s="20" t="e">
        <f>IF(#REF!="","",#REF!)</f>
        <v>#REF!</v>
      </c>
      <c r="N12" s="20"/>
      <c r="O12" s="20" t="e">
        <f>IF(#REF!="","",#REF!)</f>
        <v>#REF!</v>
      </c>
      <c r="P12" s="20" t="e">
        <f>IF(#REF!="","",#REF!)</f>
        <v>#REF!</v>
      </c>
      <c r="Q12" s="20"/>
      <c r="R12" s="20" t="e">
        <f>IF(#REF!="","",#REF!)</f>
        <v>#REF!</v>
      </c>
      <c r="S12" s="19"/>
      <c r="T12" s="22" t="e">
        <f t="shared" si="0"/>
        <v>#REF!</v>
      </c>
      <c r="U12" s="23"/>
    </row>
    <row r="13" spans="1:21">
      <c r="A13" s="17"/>
      <c r="B13" s="19"/>
      <c r="C13" s="18" t="s">
        <v>1468</v>
      </c>
      <c r="D13" s="24"/>
      <c r="E13" s="20" t="e">
        <f>IF(#REF!="","",#REF!)</f>
        <v>#REF!</v>
      </c>
      <c r="F13" s="20" t="e">
        <f>IF(#REF!="","",#REF!)</f>
        <v>#REF!</v>
      </c>
      <c r="G13" s="20" t="e">
        <f>IF(#REF!="","",#REF!)</f>
        <v>#REF!</v>
      </c>
      <c r="H13" s="20"/>
      <c r="I13" s="20" t="e">
        <f>IF(#REF!="","",#REF!)</f>
        <v>#REF!</v>
      </c>
      <c r="J13" s="20" t="e">
        <f>IF(#REF!="","",#REF!)</f>
        <v>#REF!</v>
      </c>
      <c r="K13" s="20" t="e">
        <f>IF(#REF!="","",#REF!)</f>
        <v>#REF!</v>
      </c>
      <c r="L13" s="20"/>
      <c r="M13" s="20" t="e">
        <f>IF(#REF!="","",#REF!)</f>
        <v>#REF!</v>
      </c>
      <c r="N13" s="20"/>
      <c r="O13" s="20" t="e">
        <f>IF(#REF!="","",#REF!)</f>
        <v>#REF!</v>
      </c>
      <c r="P13" s="20" t="e">
        <f>IF(#REF!="","",#REF!)</f>
        <v>#REF!</v>
      </c>
      <c r="Q13" s="20"/>
      <c r="R13" s="20" t="e">
        <f>IF(#REF!="","",#REF!)</f>
        <v>#REF!</v>
      </c>
      <c r="S13" s="19"/>
      <c r="T13" s="22" t="e">
        <f t="shared" si="0"/>
        <v>#REF!</v>
      </c>
      <c r="U13" s="23"/>
    </row>
    <row r="14" spans="1:21">
      <c r="A14" s="17"/>
      <c r="B14" s="19"/>
      <c r="C14" s="18" t="s">
        <v>1469</v>
      </c>
      <c r="D14" s="24"/>
      <c r="E14" s="20" t="e">
        <f>IF(#REF!="","",#REF!)</f>
        <v>#REF!</v>
      </c>
      <c r="F14" s="20" t="e">
        <f>IF(#REF!="","",#REF!)</f>
        <v>#REF!</v>
      </c>
      <c r="G14" s="20" t="e">
        <f>IF(#REF!="","",#REF!)</f>
        <v>#REF!</v>
      </c>
      <c r="H14" s="20"/>
      <c r="I14" s="20" t="e">
        <f>IF(#REF!="","",#REF!)</f>
        <v>#REF!</v>
      </c>
      <c r="J14" s="20" t="e">
        <f>IF(#REF!="","",#REF!)</f>
        <v>#REF!</v>
      </c>
      <c r="K14" s="20" t="e">
        <f>IF(#REF!="","",#REF!)</f>
        <v>#REF!</v>
      </c>
      <c r="L14" s="20"/>
      <c r="M14" s="20" t="e">
        <f>IF(#REF!="","",#REF!)</f>
        <v>#REF!</v>
      </c>
      <c r="N14" s="20"/>
      <c r="O14" s="20" t="e">
        <f>IF(#REF!="","",#REF!)</f>
        <v>#REF!</v>
      </c>
      <c r="P14" s="20" t="e">
        <f>IF(#REF!="","",#REF!)</f>
        <v>#REF!</v>
      </c>
      <c r="Q14" s="20"/>
      <c r="R14" s="20" t="e">
        <f>IF(#REF!="","",#REF!)</f>
        <v>#REF!</v>
      </c>
      <c r="S14" s="19"/>
      <c r="T14" s="22" t="e">
        <f t="shared" si="0"/>
        <v>#REF!</v>
      </c>
      <c r="U14" s="23"/>
    </row>
    <row r="15" spans="1:21">
      <c r="A15" s="17"/>
      <c r="B15" s="19"/>
      <c r="C15" s="18" t="s">
        <v>1470</v>
      </c>
      <c r="D15" s="24"/>
      <c r="E15" s="20" t="e">
        <f>IF(#REF!="","",#REF!)</f>
        <v>#REF!</v>
      </c>
      <c r="F15" s="20" t="e">
        <f>IF(#REF!="","",#REF!)</f>
        <v>#REF!</v>
      </c>
      <c r="G15" s="20" t="e">
        <f>IF(#REF!="","",#REF!)</f>
        <v>#REF!</v>
      </c>
      <c r="H15" s="20"/>
      <c r="I15" s="20" t="e">
        <f>IF(#REF!="","",#REF!)</f>
        <v>#REF!</v>
      </c>
      <c r="J15" s="20" t="e">
        <f>IF(#REF!="","",#REF!)</f>
        <v>#REF!</v>
      </c>
      <c r="K15" s="20" t="e">
        <f>IF(#REF!="","",#REF!)</f>
        <v>#REF!</v>
      </c>
      <c r="L15" s="20"/>
      <c r="M15" s="20" t="e">
        <f>IF(#REF!="","",#REF!)</f>
        <v>#REF!</v>
      </c>
      <c r="N15" s="20"/>
      <c r="O15" s="20" t="e">
        <f>IF(#REF!="","",#REF!)</f>
        <v>#REF!</v>
      </c>
      <c r="P15" s="20" t="e">
        <f>IF(#REF!="","",#REF!)</f>
        <v>#REF!</v>
      </c>
      <c r="Q15" s="20"/>
      <c r="R15" s="20" t="e">
        <f>IF(#REF!="","",#REF!)</f>
        <v>#REF!</v>
      </c>
      <c r="S15" s="19"/>
      <c r="T15" s="22" t="e">
        <f t="shared" si="0"/>
        <v>#REF!</v>
      </c>
      <c r="U15" s="23"/>
    </row>
    <row r="16" spans="1:21">
      <c r="A16" s="17">
        <v>2003</v>
      </c>
      <c r="B16" s="19"/>
      <c r="C16" s="18" t="s">
        <v>1467</v>
      </c>
      <c r="D16" s="24"/>
      <c r="E16" s="20" t="e">
        <f>IF(#REF!="","",#REF!)</f>
        <v>#REF!</v>
      </c>
      <c r="F16" s="20" t="e">
        <f>IF(#REF!="","",#REF!)</f>
        <v>#REF!</v>
      </c>
      <c r="G16" s="20" t="e">
        <f>IF(#REF!="","",#REF!)</f>
        <v>#REF!</v>
      </c>
      <c r="H16" s="20"/>
      <c r="I16" s="20" t="e">
        <f>IF(#REF!="","",#REF!)</f>
        <v>#REF!</v>
      </c>
      <c r="J16" s="20" t="e">
        <f>IF(#REF!="","",#REF!)</f>
        <v>#REF!</v>
      </c>
      <c r="K16" s="20" t="e">
        <f>IF(#REF!="","",#REF!)</f>
        <v>#REF!</v>
      </c>
      <c r="L16" s="20"/>
      <c r="M16" s="20" t="e">
        <f>IF(#REF!="","",#REF!)</f>
        <v>#REF!</v>
      </c>
      <c r="N16" s="20"/>
      <c r="O16" s="20" t="e">
        <f>IF(#REF!="","",#REF!)</f>
        <v>#REF!</v>
      </c>
      <c r="P16" s="20" t="e">
        <f>IF(#REF!="","",#REF!)</f>
        <v>#REF!</v>
      </c>
      <c r="Q16" s="20"/>
      <c r="R16" s="20" t="e">
        <f>IF(#REF!="","",#REF!)</f>
        <v>#REF!</v>
      </c>
      <c r="S16" s="19"/>
      <c r="T16" s="22" t="e">
        <f t="shared" si="0"/>
        <v>#REF!</v>
      </c>
      <c r="U16" s="23"/>
    </row>
    <row r="17" spans="1:22">
      <c r="A17" s="17"/>
      <c r="B17" s="19"/>
      <c r="C17" s="18" t="s">
        <v>1468</v>
      </c>
      <c r="D17" s="24"/>
      <c r="E17" s="20" t="e">
        <f>IF(#REF!="","",#REF!)</f>
        <v>#REF!</v>
      </c>
      <c r="F17" s="20" t="e">
        <f>IF(#REF!="","",#REF!)</f>
        <v>#REF!</v>
      </c>
      <c r="G17" s="20" t="e">
        <f>IF(#REF!="","",#REF!)</f>
        <v>#REF!</v>
      </c>
      <c r="H17" s="20"/>
      <c r="I17" s="20" t="e">
        <f>IF(#REF!="","",#REF!)</f>
        <v>#REF!</v>
      </c>
      <c r="J17" s="20" t="e">
        <f>IF(#REF!="","",#REF!)</f>
        <v>#REF!</v>
      </c>
      <c r="K17" s="20" t="e">
        <f>IF(#REF!="","",#REF!)</f>
        <v>#REF!</v>
      </c>
      <c r="L17" s="20"/>
      <c r="M17" s="20" t="e">
        <f>IF(#REF!="","",#REF!)</f>
        <v>#REF!</v>
      </c>
      <c r="N17" s="20"/>
      <c r="O17" s="20" t="e">
        <f>IF(#REF!="","",#REF!)</f>
        <v>#REF!</v>
      </c>
      <c r="P17" s="20" t="e">
        <f>IF(#REF!="","",#REF!)</f>
        <v>#REF!</v>
      </c>
      <c r="Q17" s="20"/>
      <c r="R17" s="20" t="e">
        <f>IF(#REF!="","",#REF!)</f>
        <v>#REF!</v>
      </c>
      <c r="S17" s="19"/>
      <c r="T17" s="22" t="e">
        <f t="shared" si="0"/>
        <v>#REF!</v>
      </c>
      <c r="U17" s="23"/>
    </row>
    <row r="18" spans="1:22">
      <c r="A18" s="17"/>
      <c r="B18" s="19"/>
      <c r="C18" s="18" t="s">
        <v>1469</v>
      </c>
      <c r="D18" s="24"/>
      <c r="E18" s="20" t="e">
        <f>IF(#REF!="","",#REF!)</f>
        <v>#REF!</v>
      </c>
      <c r="F18" s="20" t="e">
        <f>IF(#REF!="","",#REF!)</f>
        <v>#REF!</v>
      </c>
      <c r="G18" s="20" t="e">
        <f>IF(#REF!="","",#REF!)</f>
        <v>#REF!</v>
      </c>
      <c r="H18" s="20"/>
      <c r="I18" s="20" t="e">
        <f>IF(#REF!="","",#REF!)</f>
        <v>#REF!</v>
      </c>
      <c r="J18" s="20" t="e">
        <f>IF(#REF!="","",#REF!)</f>
        <v>#REF!</v>
      </c>
      <c r="K18" s="20" t="e">
        <f>IF(#REF!="","",#REF!)</f>
        <v>#REF!</v>
      </c>
      <c r="L18" s="20"/>
      <c r="M18" s="20" t="e">
        <f>IF(#REF!="","",#REF!)</f>
        <v>#REF!</v>
      </c>
      <c r="N18" s="20"/>
      <c r="O18" s="20" t="e">
        <f>IF(#REF!="","",#REF!)</f>
        <v>#REF!</v>
      </c>
      <c r="P18" s="20" t="e">
        <f>IF(#REF!="","",#REF!)</f>
        <v>#REF!</v>
      </c>
      <c r="Q18" s="20"/>
      <c r="R18" s="20" t="e">
        <f>IF(#REF!="","",#REF!)</f>
        <v>#REF!</v>
      </c>
      <c r="S18" s="19"/>
      <c r="T18" s="22" t="e">
        <f t="shared" si="0"/>
        <v>#REF!</v>
      </c>
      <c r="U18" s="23"/>
      <c r="V18" s="31"/>
    </row>
    <row r="19" spans="1:22">
      <c r="A19" s="17"/>
      <c r="B19" s="19"/>
      <c r="C19" s="18" t="s">
        <v>1470</v>
      </c>
      <c r="D19" s="24"/>
      <c r="E19" s="20" t="e">
        <f>IF(#REF!="","",#REF!)</f>
        <v>#REF!</v>
      </c>
      <c r="F19" s="20" t="e">
        <f>IF(#REF!="","",#REF!)</f>
        <v>#REF!</v>
      </c>
      <c r="G19" s="20" t="e">
        <f>IF(#REF!="","",#REF!)</f>
        <v>#REF!</v>
      </c>
      <c r="H19" s="20"/>
      <c r="I19" s="20" t="e">
        <f>IF(#REF!="","",#REF!)</f>
        <v>#REF!</v>
      </c>
      <c r="J19" s="20" t="e">
        <f>IF(#REF!="","",#REF!)</f>
        <v>#REF!</v>
      </c>
      <c r="K19" s="20" t="e">
        <f>IF(#REF!="","",#REF!)</f>
        <v>#REF!</v>
      </c>
      <c r="L19" s="20"/>
      <c r="M19" s="20" t="e">
        <f>IF(#REF!="","",#REF!)</f>
        <v>#REF!</v>
      </c>
      <c r="N19" s="20"/>
      <c r="O19" s="20" t="e">
        <f>IF(#REF!="","",#REF!)</f>
        <v>#REF!</v>
      </c>
      <c r="P19" s="20" t="e">
        <f>IF(#REF!="","",#REF!)</f>
        <v>#REF!</v>
      </c>
      <c r="Q19" s="20"/>
      <c r="R19" s="20" t="e">
        <f>IF(#REF!="","",#REF!)</f>
        <v>#REF!</v>
      </c>
      <c r="S19" s="19"/>
      <c r="T19" s="22" t="e">
        <f t="shared" si="0"/>
        <v>#REF!</v>
      </c>
      <c r="U19" s="23"/>
    </row>
    <row r="20" spans="1:22" ht="15.75">
      <c r="A20" s="17">
        <v>2004</v>
      </c>
      <c r="B20" s="19"/>
      <c r="C20" s="18" t="s">
        <v>1471</v>
      </c>
      <c r="D20" s="120"/>
      <c r="E20" s="20" t="e">
        <f>IF(#REF!="","",#REF!)</f>
        <v>#REF!</v>
      </c>
      <c r="F20" s="20" t="e">
        <f>IF(#REF!="","",#REF!)</f>
        <v>#REF!</v>
      </c>
      <c r="G20" s="20" t="e">
        <f>IF(#REF!="","",#REF!)</f>
        <v>#REF!</v>
      </c>
      <c r="H20" s="20"/>
      <c r="I20" s="20" t="e">
        <f>IF(#REF!="","",#REF!)</f>
        <v>#REF!</v>
      </c>
      <c r="J20" s="20" t="e">
        <f>IF(#REF!="","",#REF!)</f>
        <v>#REF!</v>
      </c>
      <c r="K20" s="20" t="e">
        <f>IF(#REF!="","",#REF!)</f>
        <v>#REF!</v>
      </c>
      <c r="L20" s="20"/>
      <c r="M20" s="20" t="e">
        <f>IF(#REF!="","",#REF!)</f>
        <v>#REF!</v>
      </c>
      <c r="N20" s="20"/>
      <c r="O20" s="20" t="e">
        <f>IF(#REF!="","",#REF!)</f>
        <v>#REF!</v>
      </c>
      <c r="P20" s="20" t="e">
        <f>IF(#REF!="","",#REF!)</f>
        <v>#REF!</v>
      </c>
      <c r="Q20" s="20"/>
      <c r="R20" s="20" t="e">
        <f>IF(#REF!="","",#REF!)</f>
        <v>#REF!</v>
      </c>
      <c r="S20" s="19"/>
      <c r="T20" s="22" t="e">
        <f t="shared" si="0"/>
        <v>#REF!</v>
      </c>
      <c r="U20" s="23"/>
    </row>
    <row r="21" spans="1:22">
      <c r="A21" s="17"/>
      <c r="B21" s="19"/>
      <c r="C21" s="18" t="s">
        <v>1468</v>
      </c>
      <c r="D21" s="24"/>
      <c r="E21" s="20" t="e">
        <f>IF(#REF!="","",#REF!)</f>
        <v>#REF!</v>
      </c>
      <c r="F21" s="20" t="e">
        <f>IF(#REF!="","",#REF!)</f>
        <v>#REF!</v>
      </c>
      <c r="G21" s="20" t="e">
        <f>IF(#REF!="","",#REF!)</f>
        <v>#REF!</v>
      </c>
      <c r="H21" s="20"/>
      <c r="I21" s="20" t="e">
        <f>IF(#REF!="","",#REF!)</f>
        <v>#REF!</v>
      </c>
      <c r="J21" s="20" t="e">
        <f>IF(#REF!="","",#REF!)</f>
        <v>#REF!</v>
      </c>
      <c r="K21" s="20" t="e">
        <f>IF(#REF!="","",#REF!)</f>
        <v>#REF!</v>
      </c>
      <c r="L21" s="20"/>
      <c r="M21" s="20" t="e">
        <f>IF(#REF!="","",#REF!)</f>
        <v>#REF!</v>
      </c>
      <c r="N21" s="20"/>
      <c r="O21" s="20" t="e">
        <f>IF(#REF!="","",#REF!)</f>
        <v>#REF!</v>
      </c>
      <c r="P21" s="20" t="e">
        <f>IF(#REF!="","",#REF!)</f>
        <v>#REF!</v>
      </c>
      <c r="Q21" s="20"/>
      <c r="R21" s="20" t="e">
        <f>IF(#REF!="","",#REF!)</f>
        <v>#REF!</v>
      </c>
      <c r="S21" s="19"/>
      <c r="T21" s="22" t="e">
        <f t="shared" si="0"/>
        <v>#REF!</v>
      </c>
      <c r="U21" s="23"/>
    </row>
    <row r="22" spans="1:22">
      <c r="A22" s="17"/>
      <c r="B22" s="19"/>
      <c r="C22" s="18" t="s">
        <v>1469</v>
      </c>
      <c r="D22" s="24"/>
      <c r="E22" s="20" t="e">
        <f>IF(#REF!="","",#REF!)</f>
        <v>#REF!</v>
      </c>
      <c r="F22" s="20" t="e">
        <f>IF(#REF!="","",#REF!)</f>
        <v>#REF!</v>
      </c>
      <c r="G22" s="20" t="e">
        <f>IF(#REF!="","",#REF!)</f>
        <v>#REF!</v>
      </c>
      <c r="H22" s="20"/>
      <c r="I22" s="20" t="e">
        <f>IF(#REF!="","",#REF!)</f>
        <v>#REF!</v>
      </c>
      <c r="J22" s="20" t="e">
        <f>IF(#REF!="","",#REF!)</f>
        <v>#REF!</v>
      </c>
      <c r="K22" s="20" t="e">
        <f>IF(#REF!="","",#REF!)</f>
        <v>#REF!</v>
      </c>
      <c r="L22" s="20"/>
      <c r="M22" s="20" t="e">
        <f>IF(#REF!="","",#REF!)</f>
        <v>#REF!</v>
      </c>
      <c r="N22" s="20"/>
      <c r="O22" s="20" t="e">
        <f>IF(#REF!="","",#REF!)</f>
        <v>#REF!</v>
      </c>
      <c r="P22" s="20" t="e">
        <f>IF(#REF!="","",#REF!)</f>
        <v>#REF!</v>
      </c>
      <c r="Q22" s="20"/>
      <c r="R22" s="20" t="e">
        <f>IF(#REF!="","",#REF!)</f>
        <v>#REF!</v>
      </c>
      <c r="S22" s="19"/>
      <c r="T22" s="22" t="e">
        <f t="shared" si="0"/>
        <v>#REF!</v>
      </c>
      <c r="U22" s="23"/>
    </row>
    <row r="23" spans="1:22">
      <c r="A23" s="17"/>
      <c r="B23" s="19"/>
      <c r="C23" s="18" t="s">
        <v>1470</v>
      </c>
      <c r="D23" s="24"/>
      <c r="E23" s="20" t="e">
        <f>IF(#REF!="","",#REF!)</f>
        <v>#REF!</v>
      </c>
      <c r="F23" s="20" t="e">
        <f>IF(#REF!="","",#REF!)</f>
        <v>#REF!</v>
      </c>
      <c r="G23" s="20" t="e">
        <f>IF(#REF!="","",#REF!)</f>
        <v>#REF!</v>
      </c>
      <c r="H23" s="20"/>
      <c r="I23" s="20" t="e">
        <f>IF(#REF!="","",#REF!)</f>
        <v>#REF!</v>
      </c>
      <c r="J23" s="20" t="e">
        <f>IF(#REF!="","",#REF!)</f>
        <v>#REF!</v>
      </c>
      <c r="K23" s="20" t="e">
        <f>IF(#REF!="","",#REF!)</f>
        <v>#REF!</v>
      </c>
      <c r="L23" s="20"/>
      <c r="M23" s="20" t="e">
        <f>IF(#REF!="","",#REF!)</f>
        <v>#REF!</v>
      </c>
      <c r="N23" s="20"/>
      <c r="O23" s="20" t="e">
        <f>IF(#REF!="","",#REF!)</f>
        <v>#REF!</v>
      </c>
      <c r="P23" s="20" t="e">
        <f>IF(#REF!="","",#REF!)</f>
        <v>#REF!</v>
      </c>
      <c r="Q23" s="20"/>
      <c r="R23" s="20" t="e">
        <f>IF(#REF!="","",#REF!)</f>
        <v>#REF!</v>
      </c>
      <c r="S23" s="19"/>
      <c r="T23" s="22" t="e">
        <f t="shared" si="0"/>
        <v>#REF!</v>
      </c>
      <c r="U23" s="23"/>
    </row>
    <row r="24" spans="1:22">
      <c r="A24" s="17">
        <v>2005</v>
      </c>
      <c r="B24" s="19"/>
      <c r="C24" s="18" t="s">
        <v>1467</v>
      </c>
      <c r="D24" s="24"/>
      <c r="E24" s="20" t="e">
        <f>IF(#REF!="","",#REF!)</f>
        <v>#REF!</v>
      </c>
      <c r="F24" s="20" t="e">
        <f>IF(#REF!="","",#REF!)</f>
        <v>#REF!</v>
      </c>
      <c r="G24" s="20" t="e">
        <f>IF(#REF!="","",#REF!)</f>
        <v>#REF!</v>
      </c>
      <c r="H24" s="20"/>
      <c r="I24" s="20" t="e">
        <f>IF(#REF!="","",#REF!)</f>
        <v>#REF!</v>
      </c>
      <c r="J24" s="20" t="e">
        <f>IF(#REF!="","",#REF!)</f>
        <v>#REF!</v>
      </c>
      <c r="K24" s="20" t="e">
        <f>IF(#REF!="","",#REF!)</f>
        <v>#REF!</v>
      </c>
      <c r="L24" s="20"/>
      <c r="M24" s="20" t="e">
        <f>IF(#REF!="","",#REF!)</f>
        <v>#REF!</v>
      </c>
      <c r="N24" s="20"/>
      <c r="O24" s="20" t="e">
        <f>IF(#REF!="","",#REF!)</f>
        <v>#REF!</v>
      </c>
      <c r="P24" s="20" t="e">
        <f>IF(#REF!="","",#REF!)</f>
        <v>#REF!</v>
      </c>
      <c r="Q24" s="20"/>
      <c r="R24" s="20" t="e">
        <f>IF(#REF!="","",#REF!)</f>
        <v>#REF!</v>
      </c>
      <c r="S24" s="19"/>
      <c r="T24" s="22" t="e">
        <f t="shared" si="0"/>
        <v>#REF!</v>
      </c>
      <c r="U24" s="23"/>
    </row>
    <row r="25" spans="1:22">
      <c r="A25" s="17"/>
      <c r="B25" s="19"/>
      <c r="C25" s="18" t="s">
        <v>1468</v>
      </c>
      <c r="D25" s="24"/>
      <c r="E25" s="20" t="e">
        <f>IF(#REF!="","",#REF!)</f>
        <v>#REF!</v>
      </c>
      <c r="F25" s="20" t="e">
        <f>IF(#REF!="","",#REF!)</f>
        <v>#REF!</v>
      </c>
      <c r="G25" s="20" t="e">
        <f>IF(#REF!="","",#REF!)</f>
        <v>#REF!</v>
      </c>
      <c r="H25" s="20"/>
      <c r="I25" s="20" t="e">
        <f>IF(#REF!="","",#REF!)</f>
        <v>#REF!</v>
      </c>
      <c r="J25" s="20" t="e">
        <f>IF(#REF!="","",#REF!)</f>
        <v>#REF!</v>
      </c>
      <c r="K25" s="20" t="e">
        <f>IF(#REF!="","",#REF!)</f>
        <v>#REF!</v>
      </c>
      <c r="L25" s="20"/>
      <c r="M25" s="20" t="e">
        <f>IF(#REF!="","",#REF!)</f>
        <v>#REF!</v>
      </c>
      <c r="N25" s="20"/>
      <c r="O25" s="20" t="e">
        <f>IF(#REF!="","",#REF!)</f>
        <v>#REF!</v>
      </c>
      <c r="P25" s="20" t="e">
        <f>IF(#REF!="","",#REF!)</f>
        <v>#REF!</v>
      </c>
      <c r="Q25" s="20"/>
      <c r="R25" s="20" t="e">
        <f>IF(#REF!="","",#REF!)</f>
        <v>#REF!</v>
      </c>
      <c r="S25" s="19"/>
      <c r="T25" s="22" t="e">
        <f t="shared" si="0"/>
        <v>#REF!</v>
      </c>
      <c r="U25" s="23"/>
    </row>
    <row r="26" spans="1:22">
      <c r="A26" s="17"/>
      <c r="B26" s="19"/>
      <c r="C26" s="18" t="s">
        <v>1469</v>
      </c>
      <c r="D26" s="24"/>
      <c r="E26" s="20" t="e">
        <f>IF(#REF!="","",#REF!)</f>
        <v>#REF!</v>
      </c>
      <c r="F26" s="20" t="e">
        <f>IF(#REF!="","",#REF!)</f>
        <v>#REF!</v>
      </c>
      <c r="G26" s="20" t="e">
        <f>IF(#REF!="","",#REF!)</f>
        <v>#REF!</v>
      </c>
      <c r="H26" s="20"/>
      <c r="I26" s="20" t="e">
        <f>IF(#REF!="","",#REF!)</f>
        <v>#REF!</v>
      </c>
      <c r="J26" s="20" t="e">
        <f>IF(#REF!="","",#REF!)</f>
        <v>#REF!</v>
      </c>
      <c r="K26" s="20" t="e">
        <f>IF(#REF!="","",#REF!)</f>
        <v>#REF!</v>
      </c>
      <c r="L26" s="20"/>
      <c r="M26" s="20" t="e">
        <f>IF(#REF!="","",#REF!)</f>
        <v>#REF!</v>
      </c>
      <c r="N26" s="20"/>
      <c r="O26" s="20" t="e">
        <f>IF(#REF!="","",#REF!)</f>
        <v>#REF!</v>
      </c>
      <c r="P26" s="20" t="e">
        <f>IF(#REF!="","",#REF!)</f>
        <v>#REF!</v>
      </c>
      <c r="Q26" s="20"/>
      <c r="R26" s="20" t="e">
        <f>IF(#REF!="","",#REF!)</f>
        <v>#REF!</v>
      </c>
      <c r="S26" s="19"/>
      <c r="T26" s="22" t="e">
        <f t="shared" si="0"/>
        <v>#REF!</v>
      </c>
      <c r="U26" s="23"/>
    </row>
    <row r="27" spans="1:22">
      <c r="A27" s="17"/>
      <c r="B27" s="19"/>
      <c r="C27" s="18" t="s">
        <v>1470</v>
      </c>
      <c r="D27" s="24"/>
      <c r="E27" s="20" t="e">
        <f>IF(#REF!="","",#REF!)</f>
        <v>#REF!</v>
      </c>
      <c r="F27" s="20" t="e">
        <f>IF(#REF!="","",#REF!)</f>
        <v>#REF!</v>
      </c>
      <c r="G27" s="20" t="e">
        <f>IF(#REF!="","",#REF!)</f>
        <v>#REF!</v>
      </c>
      <c r="H27" s="20"/>
      <c r="I27" s="20" t="e">
        <f>IF(#REF!="","",#REF!)</f>
        <v>#REF!</v>
      </c>
      <c r="J27" s="20" t="e">
        <f>IF(#REF!="","",#REF!)</f>
        <v>#REF!</v>
      </c>
      <c r="K27" s="20" t="e">
        <f>IF(#REF!="","",#REF!)</f>
        <v>#REF!</v>
      </c>
      <c r="L27" s="20"/>
      <c r="M27" s="20" t="e">
        <f>IF(#REF!="","",#REF!)</f>
        <v>#REF!</v>
      </c>
      <c r="N27" s="20"/>
      <c r="O27" s="20" t="e">
        <f>IF(#REF!="","",#REF!)</f>
        <v>#REF!</v>
      </c>
      <c r="P27" s="20" t="e">
        <f>IF(#REF!="","",#REF!)</f>
        <v>#REF!</v>
      </c>
      <c r="Q27" s="20"/>
      <c r="R27" s="20" t="e">
        <f>IF(#REF!="","",#REF!)</f>
        <v>#REF!</v>
      </c>
      <c r="S27" s="19"/>
      <c r="T27" s="22" t="e">
        <f t="shared" si="0"/>
        <v>#REF!</v>
      </c>
      <c r="U27" s="23"/>
    </row>
    <row r="28" spans="1:22">
      <c r="A28" s="17">
        <v>2006</v>
      </c>
      <c r="B28" s="19"/>
      <c r="C28" s="18" t="s">
        <v>1467</v>
      </c>
      <c r="D28" s="24"/>
      <c r="E28" s="20" t="e">
        <f>IF(#REF!="","",#REF!)</f>
        <v>#REF!</v>
      </c>
      <c r="F28" s="20" t="e">
        <f>IF(#REF!="","",#REF!)</f>
        <v>#REF!</v>
      </c>
      <c r="G28" s="20" t="e">
        <f>IF(#REF!="","",#REF!)</f>
        <v>#REF!</v>
      </c>
      <c r="H28" s="20"/>
      <c r="I28" s="20" t="e">
        <f>IF(#REF!="","",#REF!)</f>
        <v>#REF!</v>
      </c>
      <c r="J28" s="20" t="e">
        <f>IF(#REF!="","",#REF!)</f>
        <v>#REF!</v>
      </c>
      <c r="K28" s="20" t="e">
        <f>IF(#REF!="","",#REF!)</f>
        <v>#REF!</v>
      </c>
      <c r="L28" s="20"/>
      <c r="M28" s="20" t="e">
        <f>IF(#REF!="","",#REF!)</f>
        <v>#REF!</v>
      </c>
      <c r="N28" s="20"/>
      <c r="O28" s="20" t="e">
        <f>IF(#REF!="","",#REF!)</f>
        <v>#REF!</v>
      </c>
      <c r="P28" s="20" t="e">
        <f>IF(#REF!="","",#REF!)</f>
        <v>#REF!</v>
      </c>
      <c r="Q28" s="20"/>
      <c r="R28" s="20" t="e">
        <f>IF(#REF!="","",#REF!)</f>
        <v>#REF!</v>
      </c>
      <c r="S28" s="19"/>
      <c r="T28" s="22" t="e">
        <f t="shared" si="0"/>
        <v>#REF!</v>
      </c>
      <c r="U28" s="23"/>
    </row>
    <row r="29" spans="1:22">
      <c r="A29" s="17"/>
      <c r="B29" s="19"/>
      <c r="C29" s="18" t="s">
        <v>1468</v>
      </c>
      <c r="D29" s="24"/>
      <c r="E29" s="20" t="e">
        <f>IF(#REF!="","",#REF!)</f>
        <v>#REF!</v>
      </c>
      <c r="F29" s="20" t="e">
        <f>IF(#REF!="","",#REF!)</f>
        <v>#REF!</v>
      </c>
      <c r="G29" s="20" t="e">
        <f>IF(#REF!="","",#REF!)</f>
        <v>#REF!</v>
      </c>
      <c r="H29" s="20"/>
      <c r="I29" s="20" t="e">
        <f>IF(#REF!="","",#REF!)</f>
        <v>#REF!</v>
      </c>
      <c r="J29" s="20" t="e">
        <f>IF(#REF!="","",#REF!)</f>
        <v>#REF!</v>
      </c>
      <c r="K29" s="20" t="e">
        <f>IF(#REF!="","",#REF!)</f>
        <v>#REF!</v>
      </c>
      <c r="L29" s="20"/>
      <c r="M29" s="20" t="e">
        <f>IF(#REF!="","",#REF!)</f>
        <v>#REF!</v>
      </c>
      <c r="N29" s="20"/>
      <c r="O29" s="20" t="e">
        <f>IF(#REF!="","",#REF!)</f>
        <v>#REF!</v>
      </c>
      <c r="P29" s="20" t="e">
        <f>IF(#REF!="","",#REF!)</f>
        <v>#REF!</v>
      </c>
      <c r="Q29" s="20"/>
      <c r="R29" s="20" t="e">
        <f>IF(#REF!="","",#REF!)</f>
        <v>#REF!</v>
      </c>
      <c r="S29" s="19"/>
      <c r="T29" s="22" t="e">
        <f t="shared" si="0"/>
        <v>#REF!</v>
      </c>
      <c r="U29" s="23"/>
    </row>
    <row r="30" spans="1:22">
      <c r="A30" s="17"/>
      <c r="B30" s="19"/>
      <c r="C30" s="18" t="s">
        <v>1469</v>
      </c>
      <c r="D30" s="24"/>
      <c r="E30" s="20" t="e">
        <f>IF(#REF!="","",#REF!)</f>
        <v>#REF!</v>
      </c>
      <c r="F30" s="20" t="e">
        <f>IF(#REF!="","",#REF!)</f>
        <v>#REF!</v>
      </c>
      <c r="G30" s="20" t="e">
        <f>IF(#REF!="","",#REF!)</f>
        <v>#REF!</v>
      </c>
      <c r="H30" s="20"/>
      <c r="I30" s="20" t="e">
        <f>IF(#REF!="","",#REF!)</f>
        <v>#REF!</v>
      </c>
      <c r="J30" s="20" t="e">
        <f>IF(#REF!="","",#REF!)</f>
        <v>#REF!</v>
      </c>
      <c r="K30" s="20" t="e">
        <f>IF(#REF!="","",#REF!)</f>
        <v>#REF!</v>
      </c>
      <c r="L30" s="20"/>
      <c r="M30" s="20" t="e">
        <f>IF(#REF!="","",#REF!)</f>
        <v>#REF!</v>
      </c>
      <c r="N30" s="20"/>
      <c r="O30" s="20" t="e">
        <f>IF(#REF!="","",#REF!)</f>
        <v>#REF!</v>
      </c>
      <c r="P30" s="20" t="e">
        <f>IF(#REF!="","",#REF!)</f>
        <v>#REF!</v>
      </c>
      <c r="Q30" s="20"/>
      <c r="R30" s="20" t="e">
        <f>IF(#REF!="","",#REF!)</f>
        <v>#REF!</v>
      </c>
      <c r="S30" s="19"/>
      <c r="T30" s="22" t="e">
        <f t="shared" si="0"/>
        <v>#REF!</v>
      </c>
      <c r="U30" s="23"/>
    </row>
    <row r="31" spans="1:22">
      <c r="A31" s="17"/>
      <c r="B31" s="19"/>
      <c r="C31" s="18" t="s">
        <v>1470</v>
      </c>
      <c r="D31" s="24"/>
      <c r="E31" s="20" t="e">
        <f>IF(#REF!="","",#REF!)</f>
        <v>#REF!</v>
      </c>
      <c r="F31" s="20" t="e">
        <f>IF(#REF!="","",#REF!)</f>
        <v>#REF!</v>
      </c>
      <c r="G31" s="20" t="e">
        <f>IF(#REF!="","",#REF!)</f>
        <v>#REF!</v>
      </c>
      <c r="H31" s="20"/>
      <c r="I31" s="20" t="e">
        <f>IF(#REF!="","",#REF!)</f>
        <v>#REF!</v>
      </c>
      <c r="J31" s="20" t="e">
        <f>IF(#REF!="","",#REF!)</f>
        <v>#REF!</v>
      </c>
      <c r="K31" s="20" t="e">
        <f>IF(#REF!="","",#REF!)</f>
        <v>#REF!</v>
      </c>
      <c r="L31" s="20"/>
      <c r="M31" s="20" t="e">
        <f>IF(#REF!="","",#REF!)</f>
        <v>#REF!</v>
      </c>
      <c r="N31" s="20"/>
      <c r="O31" s="20" t="e">
        <f>IF(#REF!="","",#REF!)</f>
        <v>#REF!</v>
      </c>
      <c r="P31" s="20" t="e">
        <f>IF(#REF!="","",#REF!)</f>
        <v>#REF!</v>
      </c>
      <c r="Q31" s="20"/>
      <c r="R31" s="20" t="e">
        <f>IF(#REF!="","",#REF!)</f>
        <v>#REF!</v>
      </c>
      <c r="S31" s="19"/>
      <c r="T31" s="22" t="e">
        <f t="shared" si="0"/>
        <v>#REF!</v>
      </c>
      <c r="U31" s="23"/>
    </row>
    <row r="32" spans="1:22">
      <c r="A32" s="17">
        <v>2007</v>
      </c>
      <c r="B32" s="19"/>
      <c r="C32" s="18" t="s">
        <v>1467</v>
      </c>
      <c r="D32" s="24"/>
      <c r="E32" s="20" t="e">
        <f>IF(#REF!="","",#REF!)</f>
        <v>#REF!</v>
      </c>
      <c r="F32" s="20" t="e">
        <f>IF(#REF!="","",#REF!)</f>
        <v>#REF!</v>
      </c>
      <c r="G32" s="20" t="e">
        <f>IF(#REF!="","",#REF!)</f>
        <v>#REF!</v>
      </c>
      <c r="H32" s="20"/>
      <c r="I32" s="20" t="e">
        <f>IF(#REF!="","",#REF!)</f>
        <v>#REF!</v>
      </c>
      <c r="J32" s="20" t="e">
        <f>IF(#REF!="","",#REF!)</f>
        <v>#REF!</v>
      </c>
      <c r="K32" s="20" t="e">
        <f>IF(#REF!="","",#REF!)</f>
        <v>#REF!</v>
      </c>
      <c r="L32" s="20"/>
      <c r="M32" s="20" t="e">
        <f>IF(#REF!="","",#REF!)</f>
        <v>#REF!</v>
      </c>
      <c r="N32" s="20"/>
      <c r="O32" s="20" t="e">
        <f>IF(#REF!="","",#REF!)</f>
        <v>#REF!</v>
      </c>
      <c r="P32" s="20" t="e">
        <f>IF(#REF!="","",#REF!)</f>
        <v>#REF!</v>
      </c>
      <c r="Q32" s="20"/>
      <c r="R32" s="20" t="e">
        <f>IF(#REF!="","",#REF!)</f>
        <v>#REF!</v>
      </c>
      <c r="S32" s="19"/>
      <c r="T32" s="22" t="e">
        <f t="shared" si="0"/>
        <v>#REF!</v>
      </c>
      <c r="U32" s="23"/>
    </row>
    <row r="33" spans="1:21">
      <c r="A33" s="17"/>
      <c r="B33" s="19"/>
      <c r="C33" s="18" t="s">
        <v>1468</v>
      </c>
      <c r="D33" s="24"/>
      <c r="E33" s="20" t="e">
        <f>IF(#REF!="","",#REF!)</f>
        <v>#REF!</v>
      </c>
      <c r="F33" s="20" t="e">
        <f>IF(#REF!="","",#REF!)</f>
        <v>#REF!</v>
      </c>
      <c r="G33" s="20" t="e">
        <f>IF(#REF!="","",#REF!)</f>
        <v>#REF!</v>
      </c>
      <c r="H33" s="20"/>
      <c r="I33" s="20" t="e">
        <f>IF(#REF!="","",#REF!)</f>
        <v>#REF!</v>
      </c>
      <c r="J33" s="20" t="e">
        <f>IF(#REF!="","",#REF!)</f>
        <v>#REF!</v>
      </c>
      <c r="K33" s="20" t="e">
        <f>IF(#REF!="","",#REF!)</f>
        <v>#REF!</v>
      </c>
      <c r="L33" s="20"/>
      <c r="M33" s="20" t="e">
        <f>IF(#REF!="","",#REF!)</f>
        <v>#REF!</v>
      </c>
      <c r="N33" s="20"/>
      <c r="O33" s="20" t="e">
        <f>IF(#REF!="","",#REF!)</f>
        <v>#REF!</v>
      </c>
      <c r="P33" s="20" t="e">
        <f>IF(#REF!="","",#REF!)</f>
        <v>#REF!</v>
      </c>
      <c r="Q33" s="20"/>
      <c r="R33" s="20" t="e">
        <f>IF(#REF!="","",#REF!)</f>
        <v>#REF!</v>
      </c>
      <c r="S33" s="19"/>
      <c r="T33" s="22" t="e">
        <f t="shared" si="0"/>
        <v>#REF!</v>
      </c>
      <c r="U33" s="23"/>
    </row>
    <row r="34" spans="1:21">
      <c r="A34" s="17"/>
      <c r="B34" s="19"/>
      <c r="C34" s="18" t="s">
        <v>1469</v>
      </c>
      <c r="D34" s="24"/>
      <c r="E34" s="20" t="e">
        <f>IF(#REF!="","",#REF!)</f>
        <v>#REF!</v>
      </c>
      <c r="F34" s="20" t="e">
        <f>IF(#REF!="","",#REF!)</f>
        <v>#REF!</v>
      </c>
      <c r="G34" s="20" t="e">
        <f>IF(#REF!="","",#REF!)</f>
        <v>#REF!</v>
      </c>
      <c r="H34" s="20"/>
      <c r="I34" s="20" t="e">
        <f>IF(#REF!="","",#REF!)</f>
        <v>#REF!</v>
      </c>
      <c r="J34" s="20" t="e">
        <f>IF(#REF!="","",#REF!)</f>
        <v>#REF!</v>
      </c>
      <c r="K34" s="20" t="e">
        <f>IF(#REF!="","",#REF!)</f>
        <v>#REF!</v>
      </c>
      <c r="L34" s="20"/>
      <c r="M34" s="20" t="e">
        <f>IF(#REF!="","",#REF!)</f>
        <v>#REF!</v>
      </c>
      <c r="N34" s="20"/>
      <c r="O34" s="20" t="e">
        <f>IF(#REF!="","",#REF!)</f>
        <v>#REF!</v>
      </c>
      <c r="P34" s="20" t="e">
        <f>IF(#REF!="","",#REF!)</f>
        <v>#REF!</v>
      </c>
      <c r="Q34" s="20"/>
      <c r="R34" s="20" t="e">
        <f>IF(#REF!="","",#REF!)</f>
        <v>#REF!</v>
      </c>
      <c r="S34" s="19"/>
      <c r="T34" s="22" t="e">
        <f t="shared" si="0"/>
        <v>#REF!</v>
      </c>
      <c r="U34" s="23"/>
    </row>
    <row r="35" spans="1:21">
      <c r="A35" s="17"/>
      <c r="B35" s="19"/>
      <c r="C35" s="18" t="s">
        <v>1470</v>
      </c>
      <c r="D35" s="24"/>
      <c r="E35" s="20" t="e">
        <f>IF(#REF!="","",#REF!)</f>
        <v>#REF!</v>
      </c>
      <c r="F35" s="20" t="e">
        <f>IF(#REF!="","",#REF!)</f>
        <v>#REF!</v>
      </c>
      <c r="G35" s="20" t="e">
        <f>IF(#REF!="","",#REF!)</f>
        <v>#REF!</v>
      </c>
      <c r="H35" s="20"/>
      <c r="I35" s="20" t="e">
        <f>IF(#REF!="","",#REF!)</f>
        <v>#REF!</v>
      </c>
      <c r="J35" s="20" t="e">
        <f>IF(#REF!="","",#REF!)</f>
        <v>#REF!</v>
      </c>
      <c r="K35" s="20" t="e">
        <f>IF(#REF!="","",#REF!)</f>
        <v>#REF!</v>
      </c>
      <c r="L35" s="20"/>
      <c r="M35" s="20" t="e">
        <f>IF(#REF!="","",#REF!)</f>
        <v>#REF!</v>
      </c>
      <c r="N35" s="20"/>
      <c r="O35" s="20" t="e">
        <f>IF(#REF!="","",#REF!)</f>
        <v>#REF!</v>
      </c>
      <c r="P35" s="20" t="e">
        <f>IF(#REF!="","",#REF!)</f>
        <v>#REF!</v>
      </c>
      <c r="Q35" s="20"/>
      <c r="R35" s="20" t="e">
        <f>IF(#REF!="","",#REF!)</f>
        <v>#REF!</v>
      </c>
      <c r="S35" s="19"/>
      <c r="T35" s="22" t="e">
        <f t="shared" si="0"/>
        <v>#REF!</v>
      </c>
      <c r="U35" s="23"/>
    </row>
    <row r="36" spans="1:21">
      <c r="A36" s="17">
        <v>2008</v>
      </c>
      <c r="B36" s="19"/>
      <c r="C36" s="18" t="s">
        <v>1467</v>
      </c>
      <c r="D36" s="24"/>
      <c r="E36" s="20" t="e">
        <f>IF(#REF!="","",#REF!)</f>
        <v>#REF!</v>
      </c>
      <c r="F36" s="20" t="e">
        <f>IF(#REF!="","",#REF!)</f>
        <v>#REF!</v>
      </c>
      <c r="G36" s="20" t="e">
        <f>IF(#REF!="","",#REF!)</f>
        <v>#REF!</v>
      </c>
      <c r="H36" s="20"/>
      <c r="I36" s="20" t="e">
        <f>IF(#REF!="","",#REF!)</f>
        <v>#REF!</v>
      </c>
      <c r="J36" s="20" t="e">
        <f>IF(#REF!="","",#REF!)</f>
        <v>#REF!</v>
      </c>
      <c r="K36" s="20" t="e">
        <f>IF(#REF!="","",#REF!)</f>
        <v>#REF!</v>
      </c>
      <c r="L36" s="20"/>
      <c r="M36" s="20" t="e">
        <f>IF(#REF!="","",#REF!)</f>
        <v>#REF!</v>
      </c>
      <c r="N36" s="20"/>
      <c r="O36" s="20" t="e">
        <f>IF(#REF!="","",#REF!)</f>
        <v>#REF!</v>
      </c>
      <c r="P36" s="20" t="e">
        <f>IF(#REF!="","",#REF!)</f>
        <v>#REF!</v>
      </c>
      <c r="Q36" s="20"/>
      <c r="R36" s="20" t="e">
        <f>IF(#REF!="","",#REF!)</f>
        <v>#REF!</v>
      </c>
      <c r="S36" s="19"/>
      <c r="T36" s="22" t="e">
        <f t="shared" si="0"/>
        <v>#REF!</v>
      </c>
      <c r="U36" s="23"/>
    </row>
    <row r="37" spans="1:21">
      <c r="A37" s="17"/>
      <c r="B37" s="19"/>
      <c r="C37" s="18" t="s">
        <v>1468</v>
      </c>
      <c r="D37" s="24"/>
      <c r="E37" s="20" t="e">
        <f>IF(#REF!="","",#REF!)</f>
        <v>#REF!</v>
      </c>
      <c r="F37" s="20" t="e">
        <f>IF(#REF!="","",#REF!)</f>
        <v>#REF!</v>
      </c>
      <c r="G37" s="20" t="e">
        <f>IF(#REF!="","",#REF!)</f>
        <v>#REF!</v>
      </c>
      <c r="H37" s="20"/>
      <c r="I37" s="20" t="e">
        <f>IF(#REF!="","",#REF!)</f>
        <v>#REF!</v>
      </c>
      <c r="J37" s="20" t="e">
        <f>IF(#REF!="","",#REF!)</f>
        <v>#REF!</v>
      </c>
      <c r="K37" s="20" t="e">
        <f>IF(#REF!="","",#REF!)</f>
        <v>#REF!</v>
      </c>
      <c r="L37" s="20"/>
      <c r="M37" s="20" t="e">
        <f>IF(#REF!="","",#REF!)</f>
        <v>#REF!</v>
      </c>
      <c r="N37" s="20"/>
      <c r="O37" s="20" t="e">
        <f>IF(#REF!="","",#REF!)</f>
        <v>#REF!</v>
      </c>
      <c r="P37" s="20" t="e">
        <f>IF(#REF!="","",#REF!)</f>
        <v>#REF!</v>
      </c>
      <c r="Q37" s="20"/>
      <c r="R37" s="20" t="e">
        <f>IF(#REF!="","",#REF!)</f>
        <v>#REF!</v>
      </c>
      <c r="S37" s="19"/>
      <c r="T37" s="22" t="e">
        <f t="shared" si="0"/>
        <v>#REF!</v>
      </c>
      <c r="U37" s="23"/>
    </row>
    <row r="38" spans="1:21">
      <c r="A38" s="17"/>
      <c r="B38" s="19"/>
      <c r="C38" s="18" t="s">
        <v>1469</v>
      </c>
      <c r="D38" s="24"/>
      <c r="E38" s="20" t="e">
        <f>IF(#REF!="","",#REF!)</f>
        <v>#REF!</v>
      </c>
      <c r="F38" s="20" t="e">
        <f>IF(#REF!="","",#REF!)</f>
        <v>#REF!</v>
      </c>
      <c r="G38" s="20" t="e">
        <f>IF(#REF!="","",#REF!)</f>
        <v>#REF!</v>
      </c>
      <c r="H38" s="20"/>
      <c r="I38" s="20" t="e">
        <f>IF(#REF!="","",#REF!)</f>
        <v>#REF!</v>
      </c>
      <c r="J38" s="20" t="e">
        <f>IF(#REF!="","",#REF!)</f>
        <v>#REF!</v>
      </c>
      <c r="K38" s="20" t="e">
        <f>IF(#REF!="","",#REF!)</f>
        <v>#REF!</v>
      </c>
      <c r="L38" s="20"/>
      <c r="M38" s="20" t="e">
        <f>IF(#REF!="","",#REF!)</f>
        <v>#REF!</v>
      </c>
      <c r="N38" s="20"/>
      <c r="O38" s="20" t="e">
        <f>IF(#REF!="","",#REF!)</f>
        <v>#REF!</v>
      </c>
      <c r="P38" s="20" t="e">
        <f>IF(#REF!="","",#REF!)</f>
        <v>#REF!</v>
      </c>
      <c r="Q38" s="20"/>
      <c r="R38" s="20" t="e">
        <f>IF(#REF!="","",#REF!)</f>
        <v>#REF!</v>
      </c>
      <c r="S38" s="19"/>
      <c r="T38" s="22" t="e">
        <f t="shared" si="0"/>
        <v>#REF!</v>
      </c>
      <c r="U38" s="23"/>
    </row>
    <row r="39" spans="1:21">
      <c r="A39" s="17"/>
      <c r="B39" s="19"/>
      <c r="C39" s="18" t="s">
        <v>1470</v>
      </c>
      <c r="D39" s="24"/>
      <c r="E39" s="20" t="e">
        <f>IF(#REF!="","",#REF!)</f>
        <v>#REF!</v>
      </c>
      <c r="F39" s="20" t="e">
        <f>IF(#REF!="","",#REF!)</f>
        <v>#REF!</v>
      </c>
      <c r="G39" s="20" t="e">
        <f>IF(#REF!="","",#REF!)</f>
        <v>#REF!</v>
      </c>
      <c r="H39" s="20"/>
      <c r="I39" s="20" t="e">
        <f>IF(#REF!="","",#REF!)</f>
        <v>#REF!</v>
      </c>
      <c r="J39" s="20" t="e">
        <f>IF(#REF!="","",#REF!)</f>
        <v>#REF!</v>
      </c>
      <c r="K39" s="20" t="e">
        <f>IF(#REF!="","",#REF!)</f>
        <v>#REF!</v>
      </c>
      <c r="L39" s="20"/>
      <c r="M39" s="20" t="e">
        <f>IF(#REF!="","",#REF!)</f>
        <v>#REF!</v>
      </c>
      <c r="N39" s="20"/>
      <c r="O39" s="20" t="e">
        <f>IF(#REF!="","",#REF!)</f>
        <v>#REF!</v>
      </c>
      <c r="P39" s="20" t="e">
        <f>IF(#REF!="","",#REF!)</f>
        <v>#REF!</v>
      </c>
      <c r="Q39" s="20"/>
      <c r="R39" s="20" t="e">
        <f>IF(#REF!="","",#REF!)</f>
        <v>#REF!</v>
      </c>
      <c r="S39" s="19"/>
      <c r="T39" s="22" t="e">
        <f t="shared" si="0"/>
        <v>#REF!</v>
      </c>
      <c r="U39" s="23"/>
    </row>
    <row r="40" spans="1:21">
      <c r="A40" s="17">
        <v>2009</v>
      </c>
      <c r="B40" s="19"/>
      <c r="C40" s="18" t="s">
        <v>1467</v>
      </c>
      <c r="D40" s="24"/>
      <c r="E40" s="20" t="e">
        <f>IF(#REF!="","",#REF!)</f>
        <v>#REF!</v>
      </c>
      <c r="F40" s="20" t="e">
        <f>IF(#REF!="","",#REF!)</f>
        <v>#REF!</v>
      </c>
      <c r="G40" s="20" t="e">
        <f>IF(#REF!="","",#REF!)</f>
        <v>#REF!</v>
      </c>
      <c r="H40" s="20"/>
      <c r="I40" s="20" t="e">
        <f>IF(#REF!="","",#REF!)</f>
        <v>#REF!</v>
      </c>
      <c r="J40" s="20" t="e">
        <f>IF(#REF!="","",#REF!)</f>
        <v>#REF!</v>
      </c>
      <c r="K40" s="20" t="e">
        <f>IF(#REF!="","",#REF!)</f>
        <v>#REF!</v>
      </c>
      <c r="L40" s="20"/>
      <c r="M40" s="20" t="e">
        <f>IF(#REF!="","",#REF!)</f>
        <v>#REF!</v>
      </c>
      <c r="N40" s="20"/>
      <c r="O40" s="20" t="e">
        <f>IF(#REF!="","",#REF!)</f>
        <v>#REF!</v>
      </c>
      <c r="P40" s="20" t="e">
        <f>IF(#REF!="","",#REF!)</f>
        <v>#REF!</v>
      </c>
      <c r="Q40" s="20"/>
      <c r="R40" s="20" t="e">
        <f>IF(#REF!="","",#REF!)</f>
        <v>#REF!</v>
      </c>
      <c r="S40" s="19"/>
      <c r="T40" s="22" t="e">
        <f t="shared" si="0"/>
        <v>#REF!</v>
      </c>
      <c r="U40" s="23"/>
    </row>
    <row r="41" spans="1:21">
      <c r="A41" s="17"/>
      <c r="B41" s="19"/>
      <c r="C41" s="18" t="s">
        <v>1468</v>
      </c>
      <c r="D41" s="32"/>
      <c r="E41" s="20" t="e">
        <f>IF(#REF!="","",#REF!)</f>
        <v>#REF!</v>
      </c>
      <c r="F41" s="20" t="e">
        <f>IF(#REF!="","",#REF!)</f>
        <v>#REF!</v>
      </c>
      <c r="G41" s="20" t="e">
        <f>IF(#REF!="","",#REF!)</f>
        <v>#REF!</v>
      </c>
      <c r="H41" s="20"/>
      <c r="I41" s="20" t="e">
        <f>IF(#REF!="","",#REF!)</f>
        <v>#REF!</v>
      </c>
      <c r="J41" s="20" t="e">
        <f>IF(#REF!="","",#REF!)</f>
        <v>#REF!</v>
      </c>
      <c r="K41" s="20" t="e">
        <f>IF(#REF!="","",#REF!)</f>
        <v>#REF!</v>
      </c>
      <c r="L41" s="20"/>
      <c r="M41" s="20" t="e">
        <f>IF(#REF!="","",#REF!)</f>
        <v>#REF!</v>
      </c>
      <c r="N41" s="20"/>
      <c r="O41" s="20" t="e">
        <f>IF(#REF!="","",#REF!)</f>
        <v>#REF!</v>
      </c>
      <c r="P41" s="20" t="e">
        <f>IF(#REF!="","",#REF!)</f>
        <v>#REF!</v>
      </c>
      <c r="Q41" s="20"/>
      <c r="R41" s="20" t="e">
        <f>IF(#REF!="","",#REF!)</f>
        <v>#REF!</v>
      </c>
      <c r="S41" s="19"/>
      <c r="T41" s="22" t="e">
        <f t="shared" si="0"/>
        <v>#REF!</v>
      </c>
      <c r="U41" s="23"/>
    </row>
    <row r="42" spans="1:21">
      <c r="A42" s="17"/>
      <c r="B42" s="19"/>
      <c r="C42" s="18" t="s">
        <v>1469</v>
      </c>
      <c r="D42" s="24"/>
      <c r="E42" s="20" t="e">
        <f>IF(#REF!="","",#REF!)</f>
        <v>#REF!</v>
      </c>
      <c r="F42" s="20" t="e">
        <f>IF(#REF!="","",#REF!)</f>
        <v>#REF!</v>
      </c>
      <c r="G42" s="20" t="e">
        <f>IF(#REF!="","",#REF!)</f>
        <v>#REF!</v>
      </c>
      <c r="H42" s="20"/>
      <c r="I42" s="20" t="e">
        <f>IF(#REF!="","",#REF!)</f>
        <v>#REF!</v>
      </c>
      <c r="J42" s="20" t="e">
        <f>IF(#REF!="","",#REF!)</f>
        <v>#REF!</v>
      </c>
      <c r="K42" s="20" t="e">
        <f>IF(#REF!="","",#REF!)</f>
        <v>#REF!</v>
      </c>
      <c r="L42" s="20"/>
      <c r="M42" s="20" t="e">
        <f>IF(#REF!="","",#REF!)</f>
        <v>#REF!</v>
      </c>
      <c r="N42" s="20"/>
      <c r="O42" s="20" t="e">
        <f>IF(#REF!="","",#REF!)</f>
        <v>#REF!</v>
      </c>
      <c r="P42" s="20" t="e">
        <f>IF(#REF!="","",#REF!)</f>
        <v>#REF!</v>
      </c>
      <c r="Q42" s="20"/>
      <c r="R42" s="20" t="e">
        <f>IF(#REF!="","",#REF!)</f>
        <v>#REF!</v>
      </c>
      <c r="S42" s="19"/>
      <c r="T42" s="22" t="e">
        <f t="shared" si="0"/>
        <v>#REF!</v>
      </c>
      <c r="U42" s="23"/>
    </row>
    <row r="43" spans="1:21">
      <c r="A43" s="12"/>
      <c r="B43" s="13"/>
      <c r="C43" s="18" t="s">
        <v>1470</v>
      </c>
      <c r="D43" s="24"/>
      <c r="E43" s="20" t="e">
        <f>IF(#REF!="","",#REF!)</f>
        <v>#REF!</v>
      </c>
      <c r="F43" s="20" t="e">
        <f>IF(#REF!="","",#REF!)</f>
        <v>#REF!</v>
      </c>
      <c r="G43" s="20" t="e">
        <f>IF(#REF!="","",#REF!)</f>
        <v>#REF!</v>
      </c>
      <c r="H43" s="20"/>
      <c r="I43" s="20" t="e">
        <f>IF(#REF!="","",#REF!)</f>
        <v>#REF!</v>
      </c>
      <c r="J43" s="20" t="e">
        <f>IF(#REF!="","",#REF!)</f>
        <v>#REF!</v>
      </c>
      <c r="K43" s="20" t="e">
        <f>IF(#REF!="","",#REF!)</f>
        <v>#REF!</v>
      </c>
      <c r="L43" s="20"/>
      <c r="M43" s="20" t="e">
        <f>IF(#REF!="","",#REF!)</f>
        <v>#REF!</v>
      </c>
      <c r="N43" s="20"/>
      <c r="O43" s="20" t="e">
        <f>IF(#REF!="","",#REF!)</f>
        <v>#REF!</v>
      </c>
      <c r="P43" s="20" t="e">
        <f>IF(#REF!="","",#REF!)</f>
        <v>#REF!</v>
      </c>
      <c r="Q43" s="20"/>
      <c r="R43" s="20" t="e">
        <f>IF(#REF!="","",#REF!)</f>
        <v>#REF!</v>
      </c>
      <c r="S43" s="19"/>
      <c r="T43" s="22" t="e">
        <f t="shared" si="0"/>
        <v>#REF!</v>
      </c>
      <c r="U43" s="23"/>
    </row>
    <row r="44" spans="1:21">
      <c r="A44" s="17">
        <v>2010</v>
      </c>
      <c r="B44" s="19"/>
      <c r="C44" s="18" t="s">
        <v>1467</v>
      </c>
      <c r="D44" s="32"/>
      <c r="E44" s="20" t="e">
        <f>IF(#REF!="","",#REF!)</f>
        <v>#REF!</v>
      </c>
      <c r="F44" s="20" t="e">
        <f>IF(#REF!="","",#REF!)</f>
        <v>#REF!</v>
      </c>
      <c r="G44" s="20" t="e">
        <f>IF(#REF!="","",#REF!)</f>
        <v>#REF!</v>
      </c>
      <c r="H44" s="20"/>
      <c r="I44" s="20" t="e">
        <f>IF(#REF!="","",#REF!)</f>
        <v>#REF!</v>
      </c>
      <c r="J44" s="20" t="e">
        <f>IF(#REF!="","",#REF!)</f>
        <v>#REF!</v>
      </c>
      <c r="K44" s="20" t="e">
        <f>IF(#REF!="","",#REF!)</f>
        <v>#REF!</v>
      </c>
      <c r="L44" s="20"/>
      <c r="M44" s="20" t="e">
        <f>IF(#REF!="","",#REF!)</f>
        <v>#REF!</v>
      </c>
      <c r="N44" s="20"/>
      <c r="O44" s="20" t="e">
        <f>IF(#REF!="","",#REF!)</f>
        <v>#REF!</v>
      </c>
      <c r="P44" s="20" t="e">
        <f>IF(#REF!="","",#REF!)</f>
        <v>#REF!</v>
      </c>
      <c r="Q44" s="20"/>
      <c r="R44" s="20" t="e">
        <f>IF(#REF!="","",#REF!)</f>
        <v>#REF!</v>
      </c>
      <c r="S44" s="19"/>
      <c r="T44" s="22" t="e">
        <f t="shared" si="0"/>
        <v>#REF!</v>
      </c>
      <c r="U44" s="23"/>
    </row>
    <row r="45" spans="1:21">
      <c r="A45" s="17"/>
      <c r="B45" s="19"/>
      <c r="C45" s="18" t="s">
        <v>1468</v>
      </c>
      <c r="D45" s="24"/>
      <c r="E45" s="20" t="e">
        <f>IF(#REF!="","",#REF!)</f>
        <v>#REF!</v>
      </c>
      <c r="F45" s="20" t="e">
        <f>IF(#REF!="","",#REF!)</f>
        <v>#REF!</v>
      </c>
      <c r="G45" s="20" t="e">
        <f>IF(#REF!="","",#REF!)</f>
        <v>#REF!</v>
      </c>
      <c r="H45" s="20"/>
      <c r="I45" s="20" t="e">
        <f>IF(#REF!="","",#REF!)</f>
        <v>#REF!</v>
      </c>
      <c r="J45" s="20" t="e">
        <f>IF(#REF!="","",#REF!)</f>
        <v>#REF!</v>
      </c>
      <c r="K45" s="20" t="e">
        <f>IF(#REF!="","",#REF!)</f>
        <v>#REF!</v>
      </c>
      <c r="L45" s="20"/>
      <c r="M45" s="20" t="e">
        <f>IF(#REF!="","",#REF!)</f>
        <v>#REF!</v>
      </c>
      <c r="N45" s="20"/>
      <c r="O45" s="20" t="e">
        <f>IF(#REF!="","",#REF!)</f>
        <v>#REF!</v>
      </c>
      <c r="P45" s="20" t="e">
        <f>IF(#REF!="","",#REF!)</f>
        <v>#REF!</v>
      </c>
      <c r="Q45" s="20"/>
      <c r="R45" s="20" t="e">
        <f>IF(#REF!="","",#REF!)</f>
        <v>#REF!</v>
      </c>
      <c r="S45" s="19"/>
      <c r="T45" s="22" t="e">
        <f t="shared" si="0"/>
        <v>#REF!</v>
      </c>
      <c r="U45" s="23"/>
    </row>
    <row r="46" spans="1:21">
      <c r="A46" s="17"/>
      <c r="B46" s="19"/>
      <c r="C46" s="18" t="s">
        <v>1469</v>
      </c>
      <c r="D46" s="24"/>
      <c r="E46" s="20" t="e">
        <f>IF(#REF!="","",#REF!)</f>
        <v>#REF!</v>
      </c>
      <c r="F46" s="20" t="e">
        <f>IF(#REF!="","",#REF!)</f>
        <v>#REF!</v>
      </c>
      <c r="G46" s="20" t="e">
        <f>IF(#REF!="","",#REF!)</f>
        <v>#REF!</v>
      </c>
      <c r="H46" s="20"/>
      <c r="I46" s="20" t="e">
        <f>IF(#REF!="","",#REF!)</f>
        <v>#REF!</v>
      </c>
      <c r="J46" s="20" t="e">
        <f>IF(#REF!="","",#REF!)</f>
        <v>#REF!</v>
      </c>
      <c r="K46" s="20" t="e">
        <f>IF(#REF!="","",#REF!)</f>
        <v>#REF!</v>
      </c>
      <c r="L46" s="20"/>
      <c r="M46" s="20" t="e">
        <f>IF(#REF!="","",#REF!)</f>
        <v>#REF!</v>
      </c>
      <c r="N46" s="20"/>
      <c r="O46" s="20" t="e">
        <f>IF(#REF!="","",#REF!)</f>
        <v>#REF!</v>
      </c>
      <c r="P46" s="20" t="e">
        <f>IF(#REF!="","",#REF!)</f>
        <v>#REF!</v>
      </c>
      <c r="Q46" s="20"/>
      <c r="R46" s="20" t="e">
        <f>IF(#REF!="","",#REF!)</f>
        <v>#REF!</v>
      </c>
      <c r="S46" s="19"/>
      <c r="T46" s="22" t="e">
        <f t="shared" si="0"/>
        <v>#REF!</v>
      </c>
      <c r="U46" s="23"/>
    </row>
    <row r="47" spans="1:21">
      <c r="A47" s="12"/>
      <c r="B47" s="13"/>
      <c r="C47" s="18" t="s">
        <v>1470</v>
      </c>
      <c r="D47" s="24"/>
      <c r="E47" s="20" t="e">
        <f>IF(#REF!="","",#REF!)</f>
        <v>#REF!</v>
      </c>
      <c r="F47" s="20" t="e">
        <f>IF(#REF!="","",#REF!)</f>
        <v>#REF!</v>
      </c>
      <c r="G47" s="20" t="e">
        <f>IF(#REF!="","",#REF!)</f>
        <v>#REF!</v>
      </c>
      <c r="H47" s="20"/>
      <c r="I47" s="20" t="e">
        <f>IF(#REF!="","",#REF!)</f>
        <v>#REF!</v>
      </c>
      <c r="J47" s="20" t="e">
        <f>IF(#REF!="","",#REF!)</f>
        <v>#REF!</v>
      </c>
      <c r="K47" s="20" t="e">
        <f>IF(#REF!="","",#REF!)</f>
        <v>#REF!</v>
      </c>
      <c r="L47" s="20"/>
      <c r="M47" s="20" t="e">
        <f>IF(#REF!="","",#REF!)</f>
        <v>#REF!</v>
      </c>
      <c r="N47" s="20"/>
      <c r="O47" s="20" t="e">
        <f>IF(#REF!="","",#REF!)</f>
        <v>#REF!</v>
      </c>
      <c r="P47" s="20" t="e">
        <f>IF(#REF!="","",#REF!)</f>
        <v>#REF!</v>
      </c>
      <c r="Q47" s="20"/>
      <c r="R47" s="20" t="e">
        <f>IF(#REF!="","",#REF!)</f>
        <v>#REF!</v>
      </c>
      <c r="S47" s="19"/>
      <c r="T47" s="22" t="e">
        <f t="shared" si="0"/>
        <v>#REF!</v>
      </c>
      <c r="U47" s="23"/>
    </row>
    <row r="48" spans="1:21">
      <c r="A48" s="17">
        <v>2011</v>
      </c>
      <c r="B48" s="19"/>
      <c r="C48" s="18" t="s">
        <v>1467</v>
      </c>
      <c r="D48" s="32"/>
      <c r="E48" s="20" t="e">
        <f>IF(#REF!="","",#REF!)</f>
        <v>#REF!</v>
      </c>
      <c r="F48" s="20" t="e">
        <f>IF(#REF!="","",#REF!)</f>
        <v>#REF!</v>
      </c>
      <c r="G48" s="20" t="e">
        <f>IF(#REF!="","",#REF!)</f>
        <v>#REF!</v>
      </c>
      <c r="H48" s="20"/>
      <c r="I48" s="20" t="e">
        <f>IF(#REF!="","",#REF!)</f>
        <v>#REF!</v>
      </c>
      <c r="J48" s="20" t="e">
        <f>IF(#REF!="","",#REF!)</f>
        <v>#REF!</v>
      </c>
      <c r="K48" s="20" t="e">
        <f>IF(#REF!="","",#REF!)</f>
        <v>#REF!</v>
      </c>
      <c r="L48" s="20"/>
      <c r="M48" s="20" t="e">
        <f>IF(#REF!="","",#REF!)</f>
        <v>#REF!</v>
      </c>
      <c r="N48" s="20"/>
      <c r="O48" s="20" t="e">
        <f>IF(#REF!="","",#REF!)</f>
        <v>#REF!</v>
      </c>
      <c r="P48" s="20" t="e">
        <f>IF(#REF!="","",#REF!)</f>
        <v>#REF!</v>
      </c>
      <c r="Q48" s="20"/>
      <c r="R48" s="20" t="e">
        <f>IF(#REF!="","",#REF!)</f>
        <v>#REF!</v>
      </c>
      <c r="S48" s="19"/>
      <c r="T48" s="22" t="e">
        <f t="shared" si="0"/>
        <v>#REF!</v>
      </c>
      <c r="U48" s="23"/>
    </row>
    <row r="49" spans="1:21">
      <c r="A49" s="17"/>
      <c r="B49" s="19"/>
      <c r="C49" s="18" t="s">
        <v>1468</v>
      </c>
      <c r="D49" s="32"/>
      <c r="E49" s="20" t="e">
        <f>IF(#REF!="","",#REF!)</f>
        <v>#REF!</v>
      </c>
      <c r="F49" s="20" t="e">
        <f>IF(#REF!="","",#REF!)</f>
        <v>#REF!</v>
      </c>
      <c r="G49" s="20" t="e">
        <f>IF(#REF!="","",#REF!)</f>
        <v>#REF!</v>
      </c>
      <c r="H49" s="20"/>
      <c r="I49" s="20" t="e">
        <f>IF(#REF!="","",#REF!)</f>
        <v>#REF!</v>
      </c>
      <c r="J49" s="20" t="e">
        <f>IF(#REF!="","",#REF!)</f>
        <v>#REF!</v>
      </c>
      <c r="K49" s="20" t="e">
        <f>IF(#REF!="","",#REF!)</f>
        <v>#REF!</v>
      </c>
      <c r="L49" s="20"/>
      <c r="M49" s="20" t="e">
        <f>IF(#REF!="","",#REF!)</f>
        <v>#REF!</v>
      </c>
      <c r="N49" s="20"/>
      <c r="O49" s="20" t="e">
        <f>IF(#REF!="","",#REF!)</f>
        <v>#REF!</v>
      </c>
      <c r="P49" s="20" t="e">
        <f>IF(#REF!="","",#REF!)</f>
        <v>#REF!</v>
      </c>
      <c r="Q49" s="20"/>
      <c r="R49" s="20" t="e">
        <f>IF(#REF!="","",#REF!)</f>
        <v>#REF!</v>
      </c>
      <c r="S49" s="19"/>
      <c r="T49" s="22" t="e">
        <f t="shared" si="0"/>
        <v>#REF!</v>
      </c>
      <c r="U49" s="23"/>
    </row>
    <row r="50" spans="1:21">
      <c r="A50" s="17"/>
      <c r="B50" s="19"/>
      <c r="C50" s="18" t="s">
        <v>1469</v>
      </c>
      <c r="D50" s="33"/>
      <c r="E50" s="20" t="e">
        <f>IF(#REF!="","",#REF!)</f>
        <v>#REF!</v>
      </c>
      <c r="F50" s="20" t="e">
        <f>IF(#REF!="","",#REF!)</f>
        <v>#REF!</v>
      </c>
      <c r="G50" s="20" t="e">
        <f>IF(#REF!="","",#REF!)</f>
        <v>#REF!</v>
      </c>
      <c r="H50" s="20"/>
      <c r="I50" s="20" t="e">
        <f>IF(#REF!="","",#REF!)</f>
        <v>#REF!</v>
      </c>
      <c r="J50" s="20" t="e">
        <f>IF(#REF!="","",#REF!)</f>
        <v>#REF!</v>
      </c>
      <c r="K50" s="20" t="e">
        <f>IF(#REF!="","",#REF!)</f>
        <v>#REF!</v>
      </c>
      <c r="L50" s="20"/>
      <c r="M50" s="20" t="e">
        <f>IF(#REF!="","",#REF!)</f>
        <v>#REF!</v>
      </c>
      <c r="N50" s="20"/>
      <c r="O50" s="20" t="e">
        <f>IF(#REF!="","",#REF!)</f>
        <v>#REF!</v>
      </c>
      <c r="P50" s="20" t="e">
        <f>IF(#REF!="","",#REF!)</f>
        <v>#REF!</v>
      </c>
      <c r="Q50" s="20"/>
      <c r="R50" s="20" t="e">
        <f>IF(#REF!="","",#REF!)</f>
        <v>#REF!</v>
      </c>
      <c r="S50" s="19"/>
      <c r="T50" s="22" t="e">
        <f t="shared" si="0"/>
        <v>#REF!</v>
      </c>
      <c r="U50" s="23"/>
    </row>
    <row r="51" spans="1:21">
      <c r="A51" s="12"/>
      <c r="B51" s="13"/>
      <c r="C51" s="18" t="s">
        <v>1470</v>
      </c>
      <c r="D51" s="24"/>
      <c r="E51" s="20" t="e">
        <f>IF(#REF!="","",#REF!)</f>
        <v>#REF!</v>
      </c>
      <c r="F51" s="20" t="e">
        <f>IF(#REF!="","",#REF!)</f>
        <v>#REF!</v>
      </c>
      <c r="G51" s="20" t="e">
        <f>IF(#REF!="","",#REF!)</f>
        <v>#REF!</v>
      </c>
      <c r="H51" s="20"/>
      <c r="I51" s="20" t="e">
        <f>IF(#REF!="","",#REF!)</f>
        <v>#REF!</v>
      </c>
      <c r="J51" s="20" t="e">
        <f>IF(#REF!="","",#REF!)</f>
        <v>#REF!</v>
      </c>
      <c r="K51" s="20" t="e">
        <f>IF(#REF!="","",#REF!)</f>
        <v>#REF!</v>
      </c>
      <c r="L51" s="20"/>
      <c r="M51" s="20" t="e">
        <f>IF(#REF!="","",#REF!)</f>
        <v>#REF!</v>
      </c>
      <c r="N51" s="20"/>
      <c r="O51" s="20" t="e">
        <f>IF(#REF!="","",#REF!)</f>
        <v>#REF!</v>
      </c>
      <c r="P51" s="20" t="e">
        <f>IF(#REF!="","",#REF!)</f>
        <v>#REF!</v>
      </c>
      <c r="Q51" s="20"/>
      <c r="R51" s="20" t="e">
        <f>IF(#REF!="","",#REF!)</f>
        <v>#REF!</v>
      </c>
      <c r="S51" s="19"/>
      <c r="T51" s="22" t="e">
        <f t="shared" si="0"/>
        <v>#REF!</v>
      </c>
      <c r="U51" s="23"/>
    </row>
    <row r="52" spans="1:21">
      <c r="A52" s="17">
        <v>2012</v>
      </c>
      <c r="B52" s="19"/>
      <c r="C52" s="18" t="s">
        <v>1467</v>
      </c>
      <c r="D52" s="32"/>
      <c r="E52" s="20" t="e">
        <f>IF(#REF!="","",#REF!)</f>
        <v>#REF!</v>
      </c>
      <c r="F52" s="20" t="e">
        <f>IF(#REF!="","",#REF!)</f>
        <v>#REF!</v>
      </c>
      <c r="G52" s="20" t="e">
        <f>IF(#REF!="","",#REF!)</f>
        <v>#REF!</v>
      </c>
      <c r="H52" s="20"/>
      <c r="I52" s="20" t="e">
        <f>IF(#REF!="","",#REF!)</f>
        <v>#REF!</v>
      </c>
      <c r="J52" s="20" t="e">
        <f>IF(#REF!="","",#REF!)</f>
        <v>#REF!</v>
      </c>
      <c r="K52" s="20" t="e">
        <f>IF(#REF!="","",#REF!)</f>
        <v>#REF!</v>
      </c>
      <c r="L52" s="20"/>
      <c r="M52" s="20" t="e">
        <f>IF(#REF!="","",#REF!)</f>
        <v>#REF!</v>
      </c>
      <c r="N52" s="20"/>
      <c r="O52" s="20" t="e">
        <f>IF(#REF!="","",#REF!)</f>
        <v>#REF!</v>
      </c>
      <c r="P52" s="20" t="e">
        <f>IF(#REF!="","",#REF!)</f>
        <v>#REF!</v>
      </c>
      <c r="Q52" s="20"/>
      <c r="R52" s="20" t="e">
        <f>IF(#REF!="","",#REF!)</f>
        <v>#REF!</v>
      </c>
      <c r="S52" s="19"/>
      <c r="T52" s="22" t="e">
        <f t="shared" si="0"/>
        <v>#REF!</v>
      </c>
      <c r="U52" s="23"/>
    </row>
    <row r="53" spans="1:21">
      <c r="A53" s="17"/>
      <c r="B53" s="19"/>
      <c r="C53" s="18" t="s">
        <v>1468</v>
      </c>
      <c r="D53" s="32"/>
      <c r="E53" s="20" t="e">
        <f>IF(#REF!="","",#REF!)</f>
        <v>#REF!</v>
      </c>
      <c r="F53" s="20" t="e">
        <f>IF(#REF!="","",#REF!)</f>
        <v>#REF!</v>
      </c>
      <c r="G53" s="20" t="e">
        <f>IF(#REF!="","",#REF!)</f>
        <v>#REF!</v>
      </c>
      <c r="H53" s="20"/>
      <c r="I53" s="20" t="e">
        <f>IF(#REF!="","",#REF!)</f>
        <v>#REF!</v>
      </c>
      <c r="J53" s="20" t="e">
        <f>IF(#REF!="","",#REF!)</f>
        <v>#REF!</v>
      </c>
      <c r="K53" s="20" t="e">
        <f>IF(#REF!="","",#REF!)</f>
        <v>#REF!</v>
      </c>
      <c r="L53" s="20"/>
      <c r="M53" s="20" t="e">
        <f>IF(#REF!="","",#REF!)</f>
        <v>#REF!</v>
      </c>
      <c r="N53" s="20"/>
      <c r="O53" s="20" t="e">
        <f>IF(#REF!="","",#REF!)</f>
        <v>#REF!</v>
      </c>
      <c r="P53" s="20" t="e">
        <f>IF(#REF!="","",#REF!)</f>
        <v>#REF!</v>
      </c>
      <c r="Q53" s="20"/>
      <c r="R53" s="20" t="e">
        <f>IF(#REF!="","",#REF!)</f>
        <v>#REF!</v>
      </c>
      <c r="S53" s="19"/>
      <c r="T53" s="22" t="e">
        <f t="shared" si="0"/>
        <v>#REF!</v>
      </c>
      <c r="U53" s="23"/>
    </row>
    <row r="54" spans="1:21">
      <c r="A54" s="17"/>
      <c r="B54" s="19"/>
      <c r="C54" s="18" t="s">
        <v>1469</v>
      </c>
      <c r="D54" s="33"/>
      <c r="E54" s="20" t="e">
        <f>IF(#REF!="","",#REF!)</f>
        <v>#REF!</v>
      </c>
      <c r="F54" s="20" t="e">
        <f>IF(#REF!="","",#REF!)</f>
        <v>#REF!</v>
      </c>
      <c r="G54" s="20" t="e">
        <f>IF(#REF!="","",#REF!)</f>
        <v>#REF!</v>
      </c>
      <c r="H54" s="20"/>
      <c r="I54" s="20" t="e">
        <f>IF(#REF!="","",#REF!)</f>
        <v>#REF!</v>
      </c>
      <c r="J54" s="20" t="e">
        <f>IF(#REF!="","",#REF!)</f>
        <v>#REF!</v>
      </c>
      <c r="K54" s="20" t="e">
        <f>IF(#REF!="","",#REF!)</f>
        <v>#REF!</v>
      </c>
      <c r="L54" s="20"/>
      <c r="M54" s="20" t="e">
        <f>IF(#REF!="","",#REF!)</f>
        <v>#REF!</v>
      </c>
      <c r="N54" s="20"/>
      <c r="O54" s="20" t="e">
        <f>IF(#REF!="","",#REF!)</f>
        <v>#REF!</v>
      </c>
      <c r="P54" s="20" t="e">
        <f>IF(#REF!="","",#REF!)</f>
        <v>#REF!</v>
      </c>
      <c r="Q54" s="20"/>
      <c r="R54" s="20" t="e">
        <f>IF(#REF!="","",#REF!)</f>
        <v>#REF!</v>
      </c>
      <c r="S54" s="19"/>
      <c r="T54" s="22" t="e">
        <f t="shared" si="0"/>
        <v>#REF!</v>
      </c>
      <c r="U54" s="23"/>
    </row>
    <row r="55" spans="1:21">
      <c r="A55" s="17"/>
      <c r="B55" s="19"/>
      <c r="C55" s="18" t="s">
        <v>1470</v>
      </c>
      <c r="D55" s="33"/>
      <c r="E55" s="20" t="e">
        <f>IF(#REF!="","",#REF!)</f>
        <v>#REF!</v>
      </c>
      <c r="F55" s="20" t="e">
        <f>IF(#REF!="","",#REF!)</f>
        <v>#REF!</v>
      </c>
      <c r="G55" s="20" t="e">
        <f>IF(#REF!="","",#REF!)</f>
        <v>#REF!</v>
      </c>
      <c r="H55" s="20"/>
      <c r="I55" s="20" t="e">
        <f>IF(#REF!="","",#REF!)</f>
        <v>#REF!</v>
      </c>
      <c r="J55" s="20" t="e">
        <f>IF(#REF!="","",#REF!)</f>
        <v>#REF!</v>
      </c>
      <c r="K55" s="20" t="e">
        <f>IF(#REF!="","",#REF!)</f>
        <v>#REF!</v>
      </c>
      <c r="L55" s="20"/>
      <c r="M55" s="20" t="e">
        <f>IF(#REF!="","",#REF!)</f>
        <v>#REF!</v>
      </c>
      <c r="N55" s="20"/>
      <c r="O55" s="20" t="e">
        <f>IF(#REF!="","",#REF!)</f>
        <v>#REF!</v>
      </c>
      <c r="P55" s="20" t="e">
        <f>IF(#REF!="","",#REF!)</f>
        <v>#REF!</v>
      </c>
      <c r="Q55" s="20"/>
      <c r="R55" s="20" t="e">
        <f>IF(#REF!="","",#REF!)</f>
        <v>#REF!</v>
      </c>
      <c r="S55" s="19"/>
      <c r="T55" s="22" t="e">
        <f t="shared" si="0"/>
        <v>#REF!</v>
      </c>
      <c r="U55" s="23"/>
    </row>
    <row r="56" spans="1:21">
      <c r="A56" s="17">
        <v>2013</v>
      </c>
      <c r="B56" s="19"/>
      <c r="C56" s="18" t="s">
        <v>1467</v>
      </c>
      <c r="D56" s="33"/>
      <c r="E56" s="20" t="e">
        <f>IF(#REF!="","",#REF!)</f>
        <v>#REF!</v>
      </c>
      <c r="F56" s="20" t="e">
        <f>IF(#REF!="","",#REF!)</f>
        <v>#REF!</v>
      </c>
      <c r="G56" s="20" t="e">
        <f>IF(#REF!="","",#REF!)</f>
        <v>#REF!</v>
      </c>
      <c r="H56" s="20"/>
      <c r="I56" s="20" t="e">
        <f>IF(#REF!="","",#REF!)</f>
        <v>#REF!</v>
      </c>
      <c r="J56" s="20" t="e">
        <f>IF(#REF!="","",#REF!)</f>
        <v>#REF!</v>
      </c>
      <c r="K56" s="20" t="e">
        <f>IF(#REF!="","",#REF!)</f>
        <v>#REF!</v>
      </c>
      <c r="L56" s="20"/>
      <c r="M56" s="20" t="e">
        <f>IF(#REF!="","",#REF!)</f>
        <v>#REF!</v>
      </c>
      <c r="N56" s="20"/>
      <c r="O56" s="20" t="e">
        <f>IF(#REF!="","",#REF!)</f>
        <v>#REF!</v>
      </c>
      <c r="P56" s="20" t="e">
        <f>IF(#REF!="","",#REF!)</f>
        <v>#REF!</v>
      </c>
      <c r="Q56" s="20"/>
      <c r="R56" s="20" t="e">
        <f>IF(#REF!="","",#REF!)</f>
        <v>#REF!</v>
      </c>
      <c r="S56" s="19"/>
      <c r="T56" s="22" t="e">
        <f t="shared" si="0"/>
        <v>#REF!</v>
      </c>
      <c r="U56" s="23"/>
    </row>
    <row r="57" spans="1:21">
      <c r="A57" s="17"/>
      <c r="B57" s="19"/>
      <c r="C57" s="18" t="s">
        <v>1468</v>
      </c>
      <c r="D57" s="33"/>
      <c r="E57" s="20" t="e">
        <f>IF(#REF!="","",#REF!)</f>
        <v>#REF!</v>
      </c>
      <c r="F57" s="20" t="e">
        <f>IF(#REF!="","",#REF!)</f>
        <v>#REF!</v>
      </c>
      <c r="G57" s="20" t="e">
        <f>IF(#REF!="","",#REF!)</f>
        <v>#REF!</v>
      </c>
      <c r="H57" s="20"/>
      <c r="I57" s="20" t="e">
        <f>IF(#REF!="","",#REF!)</f>
        <v>#REF!</v>
      </c>
      <c r="J57" s="20" t="e">
        <f>IF(#REF!="","",#REF!)</f>
        <v>#REF!</v>
      </c>
      <c r="K57" s="20" t="e">
        <f>IF(#REF!="","",#REF!)</f>
        <v>#REF!</v>
      </c>
      <c r="L57" s="20"/>
      <c r="M57" s="20" t="e">
        <f>IF(#REF!="","",#REF!)</f>
        <v>#REF!</v>
      </c>
      <c r="N57" s="20"/>
      <c r="O57" s="20" t="e">
        <f>IF(#REF!="","",#REF!)</f>
        <v>#REF!</v>
      </c>
      <c r="P57" s="20" t="e">
        <f>IF(#REF!="","",#REF!)</f>
        <v>#REF!</v>
      </c>
      <c r="Q57" s="20"/>
      <c r="R57" s="20" t="e">
        <f>IF(#REF!="","",#REF!)</f>
        <v>#REF!</v>
      </c>
      <c r="S57" s="19"/>
      <c r="T57" s="22" t="e">
        <f t="shared" si="0"/>
        <v>#REF!</v>
      </c>
      <c r="U57" s="23"/>
    </row>
    <row r="58" spans="1:21">
      <c r="A58" s="17"/>
      <c r="B58" s="19"/>
      <c r="C58" s="18" t="s">
        <v>1469</v>
      </c>
      <c r="D58" s="33"/>
      <c r="E58" s="20" t="e">
        <f>IF(#REF!="","",#REF!)</f>
        <v>#REF!</v>
      </c>
      <c r="F58" s="20" t="e">
        <f>IF(#REF!="","",#REF!)</f>
        <v>#REF!</v>
      </c>
      <c r="G58" s="20" t="e">
        <f>IF(#REF!="","",#REF!)</f>
        <v>#REF!</v>
      </c>
      <c r="H58" s="20"/>
      <c r="I58" s="20" t="e">
        <f>IF(#REF!="","",#REF!)</f>
        <v>#REF!</v>
      </c>
      <c r="J58" s="20" t="e">
        <f>IF(#REF!="","",#REF!)</f>
        <v>#REF!</v>
      </c>
      <c r="K58" s="20" t="e">
        <f>IF(#REF!="","",#REF!)</f>
        <v>#REF!</v>
      </c>
      <c r="L58" s="20"/>
      <c r="M58" s="20" t="e">
        <f>IF(#REF!="","",#REF!)</f>
        <v>#REF!</v>
      </c>
      <c r="N58" s="20"/>
      <c r="O58" s="20" t="e">
        <f>IF(#REF!="","",#REF!)</f>
        <v>#REF!</v>
      </c>
      <c r="P58" s="20" t="e">
        <f>IF(#REF!="","",#REF!)</f>
        <v>#REF!</v>
      </c>
      <c r="Q58" s="20"/>
      <c r="R58" s="20" t="e">
        <f>IF(#REF!="","",#REF!)</f>
        <v>#REF!</v>
      </c>
      <c r="S58" s="19"/>
      <c r="T58" s="22" t="e">
        <f t="shared" si="0"/>
        <v>#REF!</v>
      </c>
      <c r="U58" s="23"/>
    </row>
    <row r="59" spans="1:21">
      <c r="A59" s="12"/>
      <c r="B59" s="13"/>
      <c r="C59" s="18" t="s">
        <v>1470</v>
      </c>
      <c r="D59" s="24"/>
      <c r="E59" s="20" t="e">
        <f>IF(#REF!="","",#REF!)</f>
        <v>#REF!</v>
      </c>
      <c r="F59" s="20" t="e">
        <f>IF(#REF!="","",#REF!)</f>
        <v>#REF!</v>
      </c>
      <c r="G59" s="20" t="e">
        <f>IF(#REF!="","",#REF!)</f>
        <v>#REF!</v>
      </c>
      <c r="H59" s="20"/>
      <c r="I59" s="20" t="e">
        <f>IF(#REF!="","",#REF!)</f>
        <v>#REF!</v>
      </c>
      <c r="J59" s="20" t="e">
        <f>IF(#REF!="","",#REF!)</f>
        <v>#REF!</v>
      </c>
      <c r="K59" s="20" t="e">
        <f>IF(#REF!="","",#REF!)</f>
        <v>#REF!</v>
      </c>
      <c r="L59" s="20"/>
      <c r="M59" s="20" t="e">
        <f>IF(#REF!="","",#REF!)</f>
        <v>#REF!</v>
      </c>
      <c r="N59" s="20"/>
      <c r="O59" s="20" t="e">
        <f>IF(#REF!="","",#REF!)</f>
        <v>#REF!</v>
      </c>
      <c r="P59" s="20" t="e">
        <f>IF(#REF!="","",#REF!)</f>
        <v>#REF!</v>
      </c>
      <c r="Q59" s="20"/>
      <c r="R59" s="20" t="e">
        <f>IF(#REF!="","",#REF!)</f>
        <v>#REF!</v>
      </c>
      <c r="S59" s="19"/>
      <c r="T59" s="22" t="e">
        <f t="shared" si="0"/>
        <v>#REF!</v>
      </c>
      <c r="U59" s="23"/>
    </row>
    <row r="60" spans="1:21">
      <c r="A60" s="17">
        <v>2014</v>
      </c>
      <c r="B60" s="19"/>
      <c r="C60" s="18" t="s">
        <v>1467</v>
      </c>
      <c r="D60" s="24"/>
      <c r="E60" s="20" t="e">
        <f>IF(#REF!="","",#REF!)</f>
        <v>#REF!</v>
      </c>
      <c r="F60" s="20" t="e">
        <f>IF(#REF!="","",#REF!)</f>
        <v>#REF!</v>
      </c>
      <c r="G60" s="20" t="e">
        <f>IF(#REF!="","",#REF!)</f>
        <v>#REF!</v>
      </c>
      <c r="H60" s="20"/>
      <c r="I60" s="20" t="e">
        <f>IF(#REF!="","",#REF!)</f>
        <v>#REF!</v>
      </c>
      <c r="J60" s="20" t="e">
        <f>IF(#REF!="","",#REF!)</f>
        <v>#REF!</v>
      </c>
      <c r="K60" s="20" t="e">
        <f>IF(#REF!="","",#REF!)</f>
        <v>#REF!</v>
      </c>
      <c r="L60" s="20"/>
      <c r="M60" s="20" t="e">
        <f>IF(#REF!="","",#REF!)</f>
        <v>#REF!</v>
      </c>
      <c r="N60" s="20"/>
      <c r="O60" s="20" t="e">
        <f>IF(#REF!="","",#REF!)</f>
        <v>#REF!</v>
      </c>
      <c r="P60" s="20" t="e">
        <f>IF(#REF!="","",#REF!)</f>
        <v>#REF!</v>
      </c>
      <c r="Q60" s="20"/>
      <c r="R60" s="20" t="e">
        <f>IF(#REF!="","",#REF!)</f>
        <v>#REF!</v>
      </c>
      <c r="S60" s="19"/>
      <c r="T60" s="22" t="e">
        <f t="shared" si="0"/>
        <v>#REF!</v>
      </c>
      <c r="U60" s="23"/>
    </row>
    <row r="61" spans="1:21">
      <c r="A61" s="17"/>
      <c r="B61" s="19"/>
      <c r="C61" s="18" t="s">
        <v>1468</v>
      </c>
      <c r="D61" s="24"/>
      <c r="E61" s="20" t="e">
        <f>IF(#REF!="","",#REF!)</f>
        <v>#REF!</v>
      </c>
      <c r="F61" s="20" t="e">
        <f>IF(#REF!="","",#REF!)</f>
        <v>#REF!</v>
      </c>
      <c r="G61" s="20" t="e">
        <f>IF(#REF!="","",#REF!)</f>
        <v>#REF!</v>
      </c>
      <c r="H61" s="20"/>
      <c r="I61" s="20" t="e">
        <f>IF(#REF!="","",#REF!)</f>
        <v>#REF!</v>
      </c>
      <c r="J61" s="20" t="e">
        <f>IF(#REF!="","",#REF!)</f>
        <v>#REF!</v>
      </c>
      <c r="K61" s="20" t="e">
        <f>IF(#REF!="","",#REF!)</f>
        <v>#REF!</v>
      </c>
      <c r="L61" s="20"/>
      <c r="M61" s="20" t="e">
        <f>IF(#REF!="","",#REF!)</f>
        <v>#REF!</v>
      </c>
      <c r="N61" s="20"/>
      <c r="O61" s="20" t="e">
        <f>IF(#REF!="","",#REF!)</f>
        <v>#REF!</v>
      </c>
      <c r="P61" s="20" t="e">
        <f>IF(#REF!="","",#REF!)</f>
        <v>#REF!</v>
      </c>
      <c r="Q61" s="20"/>
      <c r="R61" s="20" t="e">
        <f>IF(#REF!="","",#REF!)</f>
        <v>#REF!</v>
      </c>
      <c r="S61" s="19"/>
      <c r="T61" s="22" t="e">
        <f t="shared" si="0"/>
        <v>#REF!</v>
      </c>
      <c r="U61" s="23"/>
    </row>
    <row r="62" spans="1:21">
      <c r="A62" s="17"/>
      <c r="B62" s="19"/>
      <c r="C62" s="18" t="s">
        <v>1469</v>
      </c>
      <c r="D62" s="24"/>
      <c r="E62" s="20" t="e">
        <f>IF(#REF!="","",#REF!)</f>
        <v>#REF!</v>
      </c>
      <c r="F62" s="20" t="e">
        <f>IF(#REF!="","",#REF!)</f>
        <v>#REF!</v>
      </c>
      <c r="G62" s="20" t="e">
        <f>IF(#REF!="","",#REF!)</f>
        <v>#REF!</v>
      </c>
      <c r="H62" s="20"/>
      <c r="I62" s="20" t="e">
        <f>IF(#REF!="","",#REF!)</f>
        <v>#REF!</v>
      </c>
      <c r="J62" s="20" t="e">
        <f>IF(#REF!="","",#REF!)</f>
        <v>#REF!</v>
      </c>
      <c r="K62" s="20" t="e">
        <f>IF(#REF!="","",#REF!)</f>
        <v>#REF!</v>
      </c>
      <c r="L62" s="20"/>
      <c r="M62" s="20" t="e">
        <f>IF(#REF!="","",#REF!)</f>
        <v>#REF!</v>
      </c>
      <c r="N62" s="20"/>
      <c r="O62" s="20" t="e">
        <f>IF(#REF!="","",#REF!)</f>
        <v>#REF!</v>
      </c>
      <c r="P62" s="20" t="e">
        <f>IF(#REF!="","",#REF!)</f>
        <v>#REF!</v>
      </c>
      <c r="Q62" s="20"/>
      <c r="R62" s="20" t="e">
        <f>IF(#REF!="","",#REF!)</f>
        <v>#REF!</v>
      </c>
      <c r="S62" s="19"/>
      <c r="T62" s="22" t="e">
        <f t="shared" si="0"/>
        <v>#REF!</v>
      </c>
      <c r="U62" s="23"/>
    </row>
    <row r="63" spans="1:21">
      <c r="A63" s="12"/>
      <c r="B63" s="13"/>
      <c r="C63" s="18" t="s">
        <v>1470</v>
      </c>
      <c r="D63" s="24"/>
      <c r="E63" s="20" t="e">
        <f>IF(#REF!="","",#REF!)</f>
        <v>#REF!</v>
      </c>
      <c r="F63" s="20" t="e">
        <f>IF(#REF!="","",#REF!)</f>
        <v>#REF!</v>
      </c>
      <c r="G63" s="20" t="e">
        <f>IF(#REF!="","",#REF!)</f>
        <v>#REF!</v>
      </c>
      <c r="H63" s="20"/>
      <c r="I63" s="20" t="e">
        <f>IF(#REF!="","",#REF!)</f>
        <v>#REF!</v>
      </c>
      <c r="J63" s="20" t="e">
        <f>IF(#REF!="","",#REF!)</f>
        <v>#REF!</v>
      </c>
      <c r="K63" s="20" t="e">
        <f>IF(#REF!="","",#REF!)</f>
        <v>#REF!</v>
      </c>
      <c r="L63" s="20"/>
      <c r="M63" s="20" t="e">
        <f>IF(#REF!="","",#REF!)</f>
        <v>#REF!</v>
      </c>
      <c r="N63" s="20"/>
      <c r="O63" s="20" t="e">
        <f>IF(#REF!="","",#REF!)</f>
        <v>#REF!</v>
      </c>
      <c r="P63" s="20" t="e">
        <f>IF(#REF!="","",#REF!)</f>
        <v>#REF!</v>
      </c>
      <c r="Q63" s="20"/>
      <c r="R63" s="20" t="e">
        <f>IF(#REF!="","",#REF!)</f>
        <v>#REF!</v>
      </c>
      <c r="S63" s="19"/>
      <c r="T63" s="22" t="e">
        <f t="shared" si="0"/>
        <v>#REF!</v>
      </c>
      <c r="U63" s="23"/>
    </row>
    <row r="64" spans="1:21">
      <c r="A64" s="17">
        <v>2015</v>
      </c>
      <c r="B64" s="13"/>
      <c r="C64" s="18" t="s">
        <v>1467</v>
      </c>
      <c r="D64" s="24"/>
      <c r="E64" s="20" t="e">
        <f>IF(#REF!="","",#REF!)</f>
        <v>#REF!</v>
      </c>
      <c r="F64" s="20" t="e">
        <f>IF(#REF!="","",#REF!)</f>
        <v>#REF!</v>
      </c>
      <c r="G64" s="20" t="e">
        <f>IF(#REF!="","",#REF!)</f>
        <v>#REF!</v>
      </c>
      <c r="H64" s="20"/>
      <c r="I64" s="20" t="e">
        <f>IF(#REF!="","",#REF!)</f>
        <v>#REF!</v>
      </c>
      <c r="J64" s="20" t="e">
        <f>IF(#REF!="","",#REF!)</f>
        <v>#REF!</v>
      </c>
      <c r="K64" s="20" t="e">
        <f>IF(#REF!="","",#REF!)</f>
        <v>#REF!</v>
      </c>
      <c r="L64" s="20"/>
      <c r="M64" s="20" t="e">
        <f>IF(#REF!="","",#REF!)</f>
        <v>#REF!</v>
      </c>
      <c r="N64" s="20"/>
      <c r="O64" s="20" t="e">
        <f>IF(#REF!="","",#REF!)</f>
        <v>#REF!</v>
      </c>
      <c r="P64" s="20" t="e">
        <f>IF(#REF!="","",#REF!)</f>
        <v>#REF!</v>
      </c>
      <c r="Q64" s="20"/>
      <c r="R64" s="20" t="e">
        <f>IF(#REF!="","",#REF!)</f>
        <v>#REF!</v>
      </c>
      <c r="S64" s="19"/>
      <c r="T64" s="22" t="e">
        <f t="shared" si="0"/>
        <v>#REF!</v>
      </c>
      <c r="U64" s="23"/>
    </row>
    <row r="65" spans="1:21">
      <c r="A65" s="12"/>
      <c r="B65" s="13"/>
      <c r="C65" s="18" t="s">
        <v>1468</v>
      </c>
      <c r="D65" s="24"/>
      <c r="E65" s="20" t="e">
        <f>IF(#REF!="","",#REF!)</f>
        <v>#REF!</v>
      </c>
      <c r="F65" s="20" t="e">
        <f>IF(#REF!="","",#REF!)</f>
        <v>#REF!</v>
      </c>
      <c r="G65" s="20" t="e">
        <f>IF(#REF!="","",#REF!)</f>
        <v>#REF!</v>
      </c>
      <c r="H65" s="20"/>
      <c r="I65" s="20" t="e">
        <f>IF(#REF!="","",#REF!)</f>
        <v>#REF!</v>
      </c>
      <c r="J65" s="20" t="e">
        <f>IF(#REF!="","",#REF!)</f>
        <v>#REF!</v>
      </c>
      <c r="K65" s="20" t="e">
        <f>IF(#REF!="","",#REF!)</f>
        <v>#REF!</v>
      </c>
      <c r="L65" s="20"/>
      <c r="M65" s="20" t="e">
        <f>IF(#REF!="","",#REF!)</f>
        <v>#REF!</v>
      </c>
      <c r="N65" s="20"/>
      <c r="O65" s="20" t="e">
        <f>IF(#REF!="","",#REF!)</f>
        <v>#REF!</v>
      </c>
      <c r="P65" s="20" t="e">
        <f>IF(#REF!="","",#REF!)</f>
        <v>#REF!</v>
      </c>
      <c r="Q65" s="20"/>
      <c r="R65" s="20" t="e">
        <f>IF(#REF!="","",#REF!)</f>
        <v>#REF!</v>
      </c>
      <c r="S65" s="19"/>
      <c r="T65" s="22" t="e">
        <f t="shared" si="0"/>
        <v>#REF!</v>
      </c>
      <c r="U65" s="23"/>
    </row>
    <row r="66" spans="1:21">
      <c r="A66" s="12"/>
      <c r="B66" s="13"/>
      <c r="C66" s="18" t="s">
        <v>1469</v>
      </c>
      <c r="D66" s="24"/>
      <c r="E66" s="20" t="e">
        <f>IF(#REF!="","",#REF!)</f>
        <v>#REF!</v>
      </c>
      <c r="F66" s="20" t="e">
        <f>IF(#REF!="","",#REF!)</f>
        <v>#REF!</v>
      </c>
      <c r="G66" s="20" t="e">
        <f>IF(#REF!="","",#REF!)</f>
        <v>#REF!</v>
      </c>
      <c r="H66" s="20"/>
      <c r="I66" s="20" t="e">
        <f>IF(#REF!="","",#REF!)</f>
        <v>#REF!</v>
      </c>
      <c r="J66" s="20" t="e">
        <f>IF(#REF!="","",#REF!)</f>
        <v>#REF!</v>
      </c>
      <c r="K66" s="20" t="e">
        <f>IF(#REF!="","",#REF!)</f>
        <v>#REF!</v>
      </c>
      <c r="L66" s="20"/>
      <c r="M66" s="20" t="e">
        <f>IF(#REF!="","",#REF!)</f>
        <v>#REF!</v>
      </c>
      <c r="N66" s="20"/>
      <c r="O66" s="20" t="e">
        <f>IF(#REF!="","",#REF!)</f>
        <v>#REF!</v>
      </c>
      <c r="P66" s="20" t="e">
        <f>IF(#REF!="","",#REF!)</f>
        <v>#REF!</v>
      </c>
      <c r="Q66" s="20"/>
      <c r="R66" s="20" t="e">
        <f>IF(#REF!="","",#REF!)</f>
        <v>#REF!</v>
      </c>
      <c r="S66" s="19"/>
      <c r="T66" s="22" t="e">
        <f t="shared" si="0"/>
        <v>#REF!</v>
      </c>
      <c r="U66" s="23"/>
    </row>
    <row r="67" spans="1:21" ht="13.5" thickBot="1">
      <c r="A67" s="26"/>
      <c r="B67" s="34"/>
      <c r="C67" s="27" t="s">
        <v>1470</v>
      </c>
      <c r="D67" s="35"/>
      <c r="E67" s="28" t="e">
        <f>IF(#REF!="","",#REF!)</f>
        <v>#REF!</v>
      </c>
      <c r="F67" s="28" t="e">
        <f>IF(#REF!="","",#REF!)</f>
        <v>#REF!</v>
      </c>
      <c r="G67" s="28" t="e">
        <f>IF(#REF!="","",#REF!)</f>
        <v>#REF!</v>
      </c>
      <c r="H67" s="28"/>
      <c r="I67" s="28" t="e">
        <f>IF(#REF!="","",#REF!)</f>
        <v>#REF!</v>
      </c>
      <c r="J67" s="28" t="e">
        <f>IF(#REF!="","",#REF!)</f>
        <v>#REF!</v>
      </c>
      <c r="K67" s="28" t="e">
        <f>IF(#REF!="","",#REF!)</f>
        <v>#REF!</v>
      </c>
      <c r="L67" s="28"/>
      <c r="M67" s="28" t="e">
        <f>IF(#REF!="","",#REF!)</f>
        <v>#REF!</v>
      </c>
      <c r="N67" s="28"/>
      <c r="O67" s="28" t="e">
        <f>IF(#REF!="","",#REF!)</f>
        <v>#REF!</v>
      </c>
      <c r="P67" s="28" t="e">
        <f>IF(#REF!="","",#REF!)</f>
        <v>#REF!</v>
      </c>
      <c r="Q67" s="28"/>
      <c r="R67" s="28" t="e">
        <f>IF(#REF!="","",#REF!)</f>
        <v>#REF!</v>
      </c>
      <c r="S67" s="36"/>
      <c r="T67" s="29" t="e">
        <f t="shared" si="0"/>
        <v>#REF!</v>
      </c>
      <c r="U67" s="23"/>
    </row>
    <row r="68" spans="1:21" ht="13.5" thickTop="1">
      <c r="A68" s="13"/>
      <c r="B68" s="13"/>
      <c r="C68" s="18"/>
      <c r="D68" s="24"/>
      <c r="E68" s="20"/>
      <c r="F68" s="20"/>
      <c r="G68" s="20"/>
      <c r="H68" s="20"/>
      <c r="I68" s="20"/>
      <c r="J68" s="20"/>
      <c r="K68" s="20"/>
      <c r="L68" s="20"/>
      <c r="M68" s="20"/>
      <c r="N68" s="20"/>
      <c r="O68" s="20"/>
      <c r="P68" s="20"/>
      <c r="Q68" s="20"/>
      <c r="R68" s="20"/>
      <c r="S68" s="19"/>
      <c r="T68" s="37"/>
      <c r="U68" s="23"/>
    </row>
    <row r="69" spans="1:21">
      <c r="A69" s="13"/>
      <c r="B69" s="13"/>
      <c r="C69" s="18"/>
      <c r="D69" s="24"/>
      <c r="E69" s="20"/>
      <c r="F69" s="20"/>
      <c r="G69" s="20"/>
      <c r="H69" s="20"/>
      <c r="I69" s="20"/>
      <c r="J69" s="20"/>
      <c r="K69" s="20"/>
      <c r="L69" s="20"/>
      <c r="M69" s="20"/>
      <c r="N69" s="20"/>
      <c r="O69" s="20"/>
      <c r="P69" s="20"/>
      <c r="Q69" s="20"/>
      <c r="R69" s="20"/>
      <c r="S69" s="19"/>
      <c r="T69" s="37"/>
      <c r="U69" s="23"/>
    </row>
    <row r="70" spans="1:21" ht="15.75">
      <c r="A70" s="38" t="s">
        <v>141</v>
      </c>
      <c r="B70" s="13"/>
      <c r="C70" s="24"/>
      <c r="D70" s="24"/>
      <c r="E70" s="20"/>
      <c r="F70" s="20"/>
      <c r="G70" s="20"/>
      <c r="H70" s="20"/>
      <c r="I70" s="20"/>
      <c r="J70" s="20"/>
      <c r="K70" s="25"/>
      <c r="L70" s="20"/>
      <c r="M70" s="20"/>
      <c r="N70" s="20"/>
      <c r="O70" s="20"/>
      <c r="P70" s="20"/>
      <c r="Q70" s="20"/>
      <c r="R70" s="21"/>
      <c r="S70" s="20"/>
      <c r="T70" s="37"/>
      <c r="U70" s="23"/>
    </row>
    <row r="71" spans="1:21" ht="15.75">
      <c r="A71" s="39" t="s">
        <v>1472</v>
      </c>
      <c r="B71" s="13"/>
      <c r="C71" s="24"/>
      <c r="D71" s="24"/>
      <c r="E71" s="20"/>
      <c r="F71" s="20"/>
      <c r="G71" s="20"/>
      <c r="H71" s="20"/>
      <c r="I71" s="20"/>
      <c r="J71" s="20"/>
      <c r="K71" s="25"/>
      <c r="L71" s="20"/>
      <c r="M71" s="20"/>
      <c r="N71" s="20"/>
      <c r="O71" s="20"/>
      <c r="P71" s="20"/>
      <c r="Q71" s="20"/>
      <c r="R71" s="21"/>
      <c r="S71" s="20"/>
      <c r="T71" s="37"/>
      <c r="U71" s="23"/>
    </row>
    <row r="72" spans="1:21" ht="15.75">
      <c r="A72" s="40"/>
      <c r="B72" s="13"/>
      <c r="C72" s="24"/>
      <c r="D72" s="24"/>
      <c r="E72" s="20"/>
      <c r="F72" s="20"/>
      <c r="G72" s="20"/>
      <c r="H72" s="20"/>
      <c r="I72" s="20"/>
      <c r="J72" s="20"/>
      <c r="K72" s="25"/>
      <c r="L72" s="20"/>
      <c r="M72" s="20"/>
      <c r="N72" s="20"/>
      <c r="O72" s="20"/>
      <c r="P72" s="20"/>
      <c r="Q72" s="20"/>
      <c r="R72" s="21"/>
      <c r="S72" s="20"/>
      <c r="T72" s="37"/>
      <c r="U72" s="23"/>
    </row>
    <row r="73" spans="1:21" ht="18.75">
      <c r="A73" s="41" t="s">
        <v>1473</v>
      </c>
      <c r="B73" s="42"/>
      <c r="C73" s="42"/>
      <c r="D73" s="42"/>
      <c r="E73" s="42"/>
      <c r="F73" s="42"/>
      <c r="G73" s="42"/>
      <c r="H73" s="42"/>
      <c r="I73" s="42"/>
      <c r="J73" s="42"/>
      <c r="K73" s="42"/>
      <c r="L73" s="42"/>
      <c r="M73" s="42"/>
      <c r="N73" s="42"/>
      <c r="O73" s="42"/>
      <c r="P73" s="42"/>
      <c r="Q73" s="42"/>
      <c r="R73" s="42"/>
      <c r="S73" s="42"/>
    </row>
    <row r="74" spans="1:21" ht="18.75">
      <c r="A74" s="41" t="s">
        <v>1474</v>
      </c>
      <c r="B74" s="43"/>
      <c r="C74" s="43"/>
      <c r="D74" s="43"/>
      <c r="E74" s="43"/>
      <c r="F74" s="43"/>
      <c r="G74" s="43"/>
      <c r="H74" s="43"/>
      <c r="I74" s="43"/>
      <c r="J74" s="43"/>
      <c r="K74" s="43"/>
      <c r="L74" s="43"/>
      <c r="M74" s="43"/>
      <c r="N74" s="43"/>
      <c r="O74" s="43"/>
      <c r="P74" s="43"/>
      <c r="Q74" s="43"/>
      <c r="R74" s="43"/>
      <c r="S74" s="43"/>
    </row>
    <row r="75" spans="1:21" ht="15.75">
      <c r="A75" s="44"/>
      <c r="B75" s="42"/>
      <c r="C75" s="42"/>
      <c r="D75" s="42"/>
      <c r="E75" s="45"/>
      <c r="F75" s="45"/>
      <c r="G75" s="45"/>
      <c r="H75" s="45"/>
      <c r="I75" s="45"/>
      <c r="J75" s="45"/>
      <c r="K75" s="45"/>
      <c r="L75" s="45"/>
      <c r="M75" s="45"/>
      <c r="N75" s="45"/>
      <c r="O75" s="45"/>
      <c r="P75" s="45"/>
      <c r="Q75" s="45"/>
      <c r="R75" s="45"/>
      <c r="S75" s="45"/>
      <c r="T75" s="45"/>
    </row>
    <row r="76" spans="1:21" ht="15.75">
      <c r="A76" s="39" t="s">
        <v>87</v>
      </c>
      <c r="B76" s="42"/>
      <c r="C76" s="42"/>
      <c r="D76" s="42"/>
      <c r="E76" s="45"/>
      <c r="F76" s="45"/>
      <c r="G76" s="45"/>
      <c r="H76" s="45"/>
      <c r="I76" s="45"/>
      <c r="J76" s="45"/>
      <c r="K76" s="45"/>
      <c r="L76" s="45"/>
      <c r="M76" s="45"/>
      <c r="N76" s="45"/>
      <c r="O76" s="45"/>
      <c r="P76" s="45"/>
      <c r="Q76" s="45"/>
      <c r="R76" s="45"/>
      <c r="S76" s="45"/>
      <c r="T76" s="45"/>
    </row>
  </sheetData>
  <mergeCells count="4">
    <mergeCell ref="E1:R1"/>
    <mergeCell ref="E2:G2"/>
    <mergeCell ref="I2:K2"/>
    <mergeCell ref="O2:P2"/>
  </mergeCells>
  <pageMargins left="0.7" right="0.7" top="0.75" bottom="0.75" header="0.3" footer="0.3"/>
  <pageSetup scale="68" fitToWidth="0" orientation="portrait"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B3D89-8F73-45D3-84EA-0E286C05291E}">
  <sheetPr>
    <tabColor rgb="FF66FF33"/>
    <pageSetUpPr fitToPage="1"/>
  </sheetPr>
  <dimension ref="A1:AS103"/>
  <sheetViews>
    <sheetView topLeftCell="N1" zoomScale="85" zoomScaleNormal="85" workbookViewId="0">
      <pane ySplit="3" topLeftCell="A88" activePane="bottomLeft" state="frozen"/>
      <selection pane="bottomLeft" activeCell="X92" sqref="X92"/>
      <selection activeCell="J33" sqref="J33"/>
    </sheetView>
  </sheetViews>
  <sheetFormatPr defaultColWidth="9.33203125" defaultRowHeight="12.75"/>
  <cols>
    <col min="1" max="1" width="8.83203125" style="788" customWidth="1"/>
    <col min="2" max="2" width="12.1640625" style="788" bestFit="1" customWidth="1"/>
    <col min="3" max="3" width="11" style="788" bestFit="1" customWidth="1"/>
    <col min="4" max="4" width="12" style="788" customWidth="1"/>
    <col min="5" max="5" width="12.1640625" style="788" customWidth="1"/>
    <col min="6" max="6" width="12.33203125" style="788" customWidth="1"/>
    <col min="7" max="8" width="11.83203125" style="788" customWidth="1"/>
    <col min="9" max="10" width="13.33203125" style="788" bestFit="1" customWidth="1"/>
    <col min="11" max="11" width="10.33203125" style="788" customWidth="1"/>
    <col min="12" max="12" width="9.33203125" style="788" bestFit="1" customWidth="1"/>
    <col min="13" max="13" width="11.1640625" style="788" bestFit="1" customWidth="1"/>
    <col min="14" max="14" width="16.1640625" style="788" bestFit="1" customWidth="1"/>
    <col min="15" max="16" width="9.33203125" style="788"/>
    <col min="17" max="17" width="19.33203125" style="788" customWidth="1"/>
    <col min="18" max="18" width="2.33203125" style="788" customWidth="1"/>
    <col min="19" max="19" width="10.33203125" style="788" bestFit="1" customWidth="1"/>
    <col min="20" max="22" width="12.33203125" style="788" bestFit="1" customWidth="1"/>
    <col min="23" max="23" width="10.33203125" style="788" bestFit="1" customWidth="1"/>
    <col min="24" max="24" width="10.33203125" style="788" customWidth="1"/>
    <col min="25" max="26" width="10.33203125" style="788" bestFit="1" customWidth="1"/>
    <col min="27" max="27" width="10.83203125" style="788" bestFit="1" customWidth="1"/>
    <col min="28" max="29" width="9.33203125" style="788"/>
    <col min="30" max="30" width="12.6640625" style="797" bestFit="1" customWidth="1"/>
    <col min="31" max="16384" width="9.33203125" style="788"/>
  </cols>
  <sheetData>
    <row r="1" spans="1:45" ht="14.25" thickTop="1" thickBot="1">
      <c r="A1" s="1417"/>
      <c r="B1" s="1418"/>
      <c r="C1" s="1993" t="s">
        <v>1451</v>
      </c>
      <c r="D1" s="1993"/>
      <c r="E1" s="1993"/>
      <c r="F1" s="1993"/>
      <c r="G1" s="1993"/>
      <c r="H1" s="1993"/>
      <c r="I1" s="1993"/>
      <c r="J1" s="1993"/>
      <c r="K1" s="1993"/>
      <c r="L1" s="1993"/>
      <c r="M1" s="1993"/>
      <c r="N1" s="1419"/>
      <c r="P1" s="8"/>
      <c r="Q1" s="9"/>
      <c r="R1" s="9"/>
      <c r="S1" s="1994" t="s">
        <v>1451</v>
      </c>
      <c r="T1" s="1994"/>
      <c r="U1" s="1994"/>
      <c r="V1" s="1994"/>
      <c r="W1" s="1994"/>
      <c r="X1" s="1994"/>
      <c r="Y1" s="1994"/>
      <c r="Z1" s="1994"/>
      <c r="AA1" s="1994"/>
      <c r="AB1" s="1994"/>
      <c r="AC1" s="1994"/>
      <c r="AD1" s="592"/>
    </row>
    <row r="2" spans="1:45" ht="26.25" thickBot="1">
      <c r="A2" s="1420"/>
      <c r="B2" s="13"/>
      <c r="C2" s="1992" t="s">
        <v>1124</v>
      </c>
      <c r="D2" s="1992"/>
      <c r="E2" s="1992"/>
      <c r="F2" s="1992" t="s">
        <v>1452</v>
      </c>
      <c r="G2" s="1992"/>
      <c r="H2" s="1992"/>
      <c r="I2" s="1992"/>
      <c r="J2" s="1706" t="s">
        <v>1125</v>
      </c>
      <c r="K2" s="1992" t="s">
        <v>1127</v>
      </c>
      <c r="L2" s="1992"/>
      <c r="M2" s="1706" t="s">
        <v>1453</v>
      </c>
      <c r="N2" s="1421"/>
      <c r="P2" s="12"/>
      <c r="Q2" s="13"/>
      <c r="R2" s="13"/>
      <c r="S2" s="1995" t="s">
        <v>1124</v>
      </c>
      <c r="T2" s="1995"/>
      <c r="U2" s="1995"/>
      <c r="V2" s="1995" t="s">
        <v>1452</v>
      </c>
      <c r="W2" s="1995"/>
      <c r="X2" s="1995"/>
      <c r="Y2" s="1995"/>
      <c r="Z2" s="1707" t="s">
        <v>1125</v>
      </c>
      <c r="AA2" s="1995" t="s">
        <v>1127</v>
      </c>
      <c r="AB2" s="1995"/>
      <c r="AC2" s="1707" t="s">
        <v>1453</v>
      </c>
      <c r="AD2" s="593"/>
    </row>
    <row r="3" spans="1:45" ht="51.75" thickBot="1">
      <c r="A3" s="1422" t="s">
        <v>1454</v>
      </c>
      <c r="B3" s="1708" t="s">
        <v>1455</v>
      </c>
      <c r="C3" s="1708" t="s">
        <v>1456</v>
      </c>
      <c r="D3" s="1708" t="s">
        <v>1457</v>
      </c>
      <c r="E3" s="1708" t="s">
        <v>1458</v>
      </c>
      <c r="F3" s="1708" t="s">
        <v>1459</v>
      </c>
      <c r="G3" s="1708" t="s">
        <v>1460</v>
      </c>
      <c r="H3" s="1708" t="s">
        <v>1475</v>
      </c>
      <c r="I3" s="1708" t="s">
        <v>1461</v>
      </c>
      <c r="J3" s="1708" t="s">
        <v>1462</v>
      </c>
      <c r="K3" s="1708" t="s">
        <v>1463</v>
      </c>
      <c r="L3" s="1708" t="s">
        <v>1464</v>
      </c>
      <c r="M3" s="1708" t="s">
        <v>1465</v>
      </c>
      <c r="N3" s="1423" t="s">
        <v>1466</v>
      </c>
      <c r="P3" s="594" t="s">
        <v>1454</v>
      </c>
      <c r="Q3" s="595" t="s">
        <v>1476</v>
      </c>
      <c r="R3" s="595"/>
      <c r="S3" s="679" t="s">
        <v>1456</v>
      </c>
      <c r="T3" s="679" t="s">
        <v>1457</v>
      </c>
      <c r="U3" s="679" t="s">
        <v>1458</v>
      </c>
      <c r="V3" s="679" t="s">
        <v>1459</v>
      </c>
      <c r="W3" s="679" t="s">
        <v>1460</v>
      </c>
      <c r="X3" s="1134" t="s">
        <v>1475</v>
      </c>
      <c r="Y3" s="679" t="s">
        <v>1461</v>
      </c>
      <c r="Z3" s="679" t="s">
        <v>1462</v>
      </c>
      <c r="AA3" s="679" t="s">
        <v>1463</v>
      </c>
      <c r="AB3" s="679" t="s">
        <v>1464</v>
      </c>
      <c r="AC3" s="679" t="s">
        <v>1465</v>
      </c>
      <c r="AD3" s="596" t="s">
        <v>1466</v>
      </c>
    </row>
    <row r="4" spans="1:45" ht="12.75" customHeight="1">
      <c r="A4" s="1424">
        <v>2000</v>
      </c>
      <c r="B4" s="18" t="s">
        <v>1467</v>
      </c>
      <c r="C4" s="20" t="s">
        <v>97</v>
      </c>
      <c r="D4" s="20" t="s">
        <v>97</v>
      </c>
      <c r="E4" s="20">
        <v>478062</v>
      </c>
      <c r="F4" s="20" t="s">
        <v>97</v>
      </c>
      <c r="G4" s="20">
        <v>390908</v>
      </c>
      <c r="H4" s="20" t="s">
        <v>97</v>
      </c>
      <c r="I4" s="20" t="s">
        <v>97</v>
      </c>
      <c r="J4" s="20" t="s">
        <v>97</v>
      </c>
      <c r="K4" s="20">
        <v>95940</v>
      </c>
      <c r="L4" s="20" t="s">
        <v>97</v>
      </c>
      <c r="M4" s="789" t="s">
        <v>97</v>
      </c>
      <c r="N4" s="1425">
        <f t="shared" ref="N4:N67" si="0">SUM(C4:M4)</f>
        <v>964910</v>
      </c>
      <c r="O4" s="23"/>
      <c r="P4" s="17">
        <v>2000</v>
      </c>
      <c r="Q4" s="24" t="s">
        <v>1467</v>
      </c>
      <c r="R4" s="24"/>
      <c r="S4" s="597" t="s">
        <v>97</v>
      </c>
      <c r="T4" s="597" t="s">
        <v>97</v>
      </c>
      <c r="U4" s="598">
        <v>478062</v>
      </c>
      <c r="V4" s="597" t="s">
        <v>97</v>
      </c>
      <c r="W4" s="598">
        <v>390908</v>
      </c>
      <c r="X4" s="597" t="s">
        <v>97</v>
      </c>
      <c r="Y4" s="597" t="s">
        <v>97</v>
      </c>
      <c r="Z4" s="597" t="s">
        <v>97</v>
      </c>
      <c r="AA4" s="598">
        <v>95940</v>
      </c>
      <c r="AB4" s="597" t="s">
        <v>97</v>
      </c>
      <c r="AC4" s="599" t="s">
        <v>97</v>
      </c>
      <c r="AD4" s="1103">
        <f t="shared" ref="AD4:AD67" si="1">SUM(S4:AC4)</f>
        <v>964910</v>
      </c>
      <c r="AE4" s="790">
        <f t="shared" ref="AE4:AE67" si="2">N4-AD4</f>
        <v>0</v>
      </c>
      <c r="AF4" s="788" t="b">
        <f>AD4=N4</f>
        <v>1</v>
      </c>
      <c r="AH4" s="788" t="b">
        <f t="shared" ref="AH4:AS4" si="3">S4=C4</f>
        <v>1</v>
      </c>
      <c r="AI4" s="788" t="b">
        <f t="shared" si="3"/>
        <v>1</v>
      </c>
      <c r="AJ4" s="788" t="b">
        <f t="shared" si="3"/>
        <v>1</v>
      </c>
      <c r="AK4" s="788" t="b">
        <f t="shared" si="3"/>
        <v>1</v>
      </c>
      <c r="AL4" s="788" t="b">
        <f t="shared" si="3"/>
        <v>1</v>
      </c>
      <c r="AM4" s="788" t="b">
        <f t="shared" si="3"/>
        <v>1</v>
      </c>
      <c r="AN4" s="788" t="b">
        <f t="shared" si="3"/>
        <v>1</v>
      </c>
      <c r="AO4" s="788" t="b">
        <f t="shared" si="3"/>
        <v>1</v>
      </c>
      <c r="AP4" s="788" t="b">
        <f t="shared" si="3"/>
        <v>1</v>
      </c>
      <c r="AQ4" s="788" t="b">
        <f t="shared" si="3"/>
        <v>1</v>
      </c>
      <c r="AR4" s="788" t="b">
        <f t="shared" si="3"/>
        <v>1</v>
      </c>
      <c r="AS4" s="788" t="b">
        <f t="shared" si="3"/>
        <v>1</v>
      </c>
    </row>
    <row r="5" spans="1:45" ht="12.75" customHeight="1">
      <c r="A5" s="1424"/>
      <c r="B5" s="18" t="s">
        <v>1468</v>
      </c>
      <c r="C5" s="20" t="s">
        <v>97</v>
      </c>
      <c r="D5" s="20">
        <v>669913</v>
      </c>
      <c r="E5" s="20">
        <v>205145</v>
      </c>
      <c r="F5" s="20" t="s">
        <v>97</v>
      </c>
      <c r="G5" s="20" t="s">
        <v>97</v>
      </c>
      <c r="H5" s="20" t="s">
        <v>97</v>
      </c>
      <c r="I5" s="20" t="s">
        <v>97</v>
      </c>
      <c r="J5" s="20" t="s">
        <v>97</v>
      </c>
      <c r="K5" s="20" t="s">
        <v>97</v>
      </c>
      <c r="L5" s="20" t="s">
        <v>97</v>
      </c>
      <c r="M5" s="789" t="s">
        <v>97</v>
      </c>
      <c r="N5" s="1425">
        <f t="shared" si="0"/>
        <v>875058</v>
      </c>
      <c r="O5" s="23"/>
      <c r="P5" s="17"/>
      <c r="Q5" s="24" t="s">
        <v>1477</v>
      </c>
      <c r="R5" s="24"/>
      <c r="S5" s="597" t="s">
        <v>97</v>
      </c>
      <c r="T5" s="598">
        <v>669913</v>
      </c>
      <c r="U5" s="598">
        <v>205145</v>
      </c>
      <c r="V5" s="597" t="s">
        <v>97</v>
      </c>
      <c r="W5" s="597" t="s">
        <v>97</v>
      </c>
      <c r="X5" s="597" t="s">
        <v>97</v>
      </c>
      <c r="Y5" s="597" t="s">
        <v>97</v>
      </c>
      <c r="Z5" s="597" t="s">
        <v>97</v>
      </c>
      <c r="AA5" s="597" t="s">
        <v>97</v>
      </c>
      <c r="AB5" s="597" t="s">
        <v>97</v>
      </c>
      <c r="AC5" s="599" t="s">
        <v>97</v>
      </c>
      <c r="AD5" s="1103">
        <f t="shared" si="1"/>
        <v>875058</v>
      </c>
      <c r="AE5" s="790">
        <f t="shared" si="2"/>
        <v>0</v>
      </c>
      <c r="AF5" s="788" t="b">
        <f t="shared" ref="AF5:AF68" si="4">AD5=N5</f>
        <v>1</v>
      </c>
      <c r="AH5" s="788" t="b">
        <f t="shared" ref="AH5:AH36" si="5">S5=C5</f>
        <v>1</v>
      </c>
      <c r="AI5" s="788" t="b">
        <f t="shared" ref="AI5:AI36" si="6">T5=D5</f>
        <v>1</v>
      </c>
      <c r="AJ5" s="788" t="b">
        <f t="shared" ref="AJ5:AJ36" si="7">U5=E5</f>
        <v>1</v>
      </c>
      <c r="AK5" s="788" t="b">
        <f t="shared" ref="AK5:AK36" si="8">V5=F5</f>
        <v>1</v>
      </c>
      <c r="AL5" s="788" t="b">
        <f t="shared" ref="AL5:AL36" si="9">W5=G5</f>
        <v>1</v>
      </c>
      <c r="AM5" s="788" t="b">
        <f t="shared" ref="AM5:AM68" si="10">X5=H5</f>
        <v>1</v>
      </c>
      <c r="AN5" s="788" t="b">
        <f t="shared" ref="AN5:AN36" si="11">Y5=I5</f>
        <v>1</v>
      </c>
      <c r="AO5" s="788" t="b">
        <f t="shared" ref="AO5:AO36" si="12">Z5=J5</f>
        <v>1</v>
      </c>
      <c r="AP5" s="788" t="b">
        <f t="shared" ref="AP5:AP36" si="13">AA5=K5</f>
        <v>1</v>
      </c>
      <c r="AQ5" s="788" t="b">
        <f t="shared" ref="AQ5:AQ36" si="14">AB5=L5</f>
        <v>1</v>
      </c>
      <c r="AR5" s="788" t="b">
        <f t="shared" ref="AR5:AR36" si="15">AC5=M5</f>
        <v>1</v>
      </c>
      <c r="AS5" s="788" t="b">
        <f t="shared" ref="AS5:AS36" si="16">AD5=N5</f>
        <v>1</v>
      </c>
    </row>
    <row r="6" spans="1:45" ht="12.75" customHeight="1">
      <c r="A6" s="1424"/>
      <c r="B6" s="18" t="s">
        <v>1469</v>
      </c>
      <c r="C6" s="20" t="s">
        <v>97</v>
      </c>
      <c r="D6" s="20" t="s">
        <v>97</v>
      </c>
      <c r="E6" s="20" t="s">
        <v>97</v>
      </c>
      <c r="F6" s="20">
        <v>4537448</v>
      </c>
      <c r="G6" s="20" t="s">
        <v>97</v>
      </c>
      <c r="H6" s="20" t="s">
        <v>97</v>
      </c>
      <c r="I6" s="20" t="s">
        <v>97</v>
      </c>
      <c r="J6" s="20" t="s">
        <v>97</v>
      </c>
      <c r="K6" s="20" t="s">
        <v>97</v>
      </c>
      <c r="L6" s="20" t="s">
        <v>97</v>
      </c>
      <c r="M6" s="789" t="s">
        <v>97</v>
      </c>
      <c r="N6" s="1425">
        <f t="shared" si="0"/>
        <v>4537448</v>
      </c>
      <c r="O6" s="23"/>
      <c r="P6" s="17"/>
      <c r="Q6" s="24" t="s">
        <v>1478</v>
      </c>
      <c r="R6" s="24"/>
      <c r="S6" s="597" t="s">
        <v>97</v>
      </c>
      <c r="T6" s="598" t="s">
        <v>97</v>
      </c>
      <c r="U6" s="598" t="s">
        <v>97</v>
      </c>
      <c r="V6" s="598">
        <v>4537448</v>
      </c>
      <c r="W6" s="597" t="s">
        <v>97</v>
      </c>
      <c r="X6" s="597" t="s">
        <v>97</v>
      </c>
      <c r="Y6" s="597" t="s">
        <v>97</v>
      </c>
      <c r="Z6" s="597" t="s">
        <v>97</v>
      </c>
      <c r="AA6" s="597" t="s">
        <v>97</v>
      </c>
      <c r="AB6" s="597" t="s">
        <v>97</v>
      </c>
      <c r="AC6" s="599" t="s">
        <v>97</v>
      </c>
      <c r="AD6" s="1103">
        <f t="shared" si="1"/>
        <v>4537448</v>
      </c>
      <c r="AE6" s="790">
        <f t="shared" si="2"/>
        <v>0</v>
      </c>
      <c r="AF6" s="788" t="b">
        <f t="shared" si="4"/>
        <v>1</v>
      </c>
      <c r="AH6" s="788" t="b">
        <f t="shared" si="5"/>
        <v>1</v>
      </c>
      <c r="AI6" s="788" t="b">
        <f t="shared" si="6"/>
        <v>1</v>
      </c>
      <c r="AJ6" s="788" t="b">
        <f t="shared" si="7"/>
        <v>1</v>
      </c>
      <c r="AK6" s="788" t="b">
        <f t="shared" si="8"/>
        <v>1</v>
      </c>
      <c r="AL6" s="788" t="b">
        <f t="shared" si="9"/>
        <v>1</v>
      </c>
      <c r="AM6" s="788" t="b">
        <f t="shared" si="10"/>
        <v>1</v>
      </c>
      <c r="AN6" s="788" t="b">
        <f t="shared" si="11"/>
        <v>1</v>
      </c>
      <c r="AO6" s="788" t="b">
        <f t="shared" si="12"/>
        <v>1</v>
      </c>
      <c r="AP6" s="788" t="b">
        <f t="shared" si="13"/>
        <v>1</v>
      </c>
      <c r="AQ6" s="788" t="b">
        <f t="shared" si="14"/>
        <v>1</v>
      </c>
      <c r="AR6" s="788" t="b">
        <f t="shared" si="15"/>
        <v>1</v>
      </c>
      <c r="AS6" s="788" t="b">
        <f t="shared" si="16"/>
        <v>1</v>
      </c>
    </row>
    <row r="7" spans="1:45" ht="12.75" customHeight="1">
      <c r="A7" s="1424"/>
      <c r="B7" s="18" t="s">
        <v>1470</v>
      </c>
      <c r="C7" s="20">
        <v>583248</v>
      </c>
      <c r="D7" s="20" t="s">
        <v>97</v>
      </c>
      <c r="E7" s="20">
        <v>1688696</v>
      </c>
      <c r="F7" s="20">
        <v>540898</v>
      </c>
      <c r="G7" s="20">
        <v>343842</v>
      </c>
      <c r="H7" s="20" t="s">
        <v>97</v>
      </c>
      <c r="I7" s="20" t="s">
        <v>97</v>
      </c>
      <c r="J7" s="20">
        <v>667758</v>
      </c>
      <c r="K7" s="20">
        <v>354557</v>
      </c>
      <c r="L7" s="20">
        <v>154107</v>
      </c>
      <c r="M7" s="789">
        <v>158598</v>
      </c>
      <c r="N7" s="1425">
        <f t="shared" si="0"/>
        <v>4491704</v>
      </c>
      <c r="O7" s="23"/>
      <c r="P7" s="17"/>
      <c r="Q7" s="24" t="s">
        <v>1479</v>
      </c>
      <c r="R7" s="24"/>
      <c r="S7" s="598">
        <v>583248</v>
      </c>
      <c r="T7" s="597" t="s">
        <v>97</v>
      </c>
      <c r="U7" s="598">
        <v>1688696</v>
      </c>
      <c r="V7" s="598">
        <v>540898</v>
      </c>
      <c r="W7" s="598">
        <v>343842</v>
      </c>
      <c r="X7" s="597" t="s">
        <v>97</v>
      </c>
      <c r="Y7" s="597" t="s">
        <v>97</v>
      </c>
      <c r="Z7" s="598">
        <v>667758</v>
      </c>
      <c r="AA7" s="598">
        <v>354557</v>
      </c>
      <c r="AB7" s="598">
        <v>154107</v>
      </c>
      <c r="AC7" s="600">
        <v>158598</v>
      </c>
      <c r="AD7" s="1103">
        <f t="shared" si="1"/>
        <v>4491704</v>
      </c>
      <c r="AE7" s="790">
        <f t="shared" si="2"/>
        <v>0</v>
      </c>
      <c r="AF7" s="788" t="b">
        <f t="shared" si="4"/>
        <v>1</v>
      </c>
      <c r="AH7" s="788" t="b">
        <f t="shared" si="5"/>
        <v>1</v>
      </c>
      <c r="AI7" s="788" t="b">
        <f t="shared" si="6"/>
        <v>1</v>
      </c>
      <c r="AJ7" s="788" t="b">
        <f t="shared" si="7"/>
        <v>1</v>
      </c>
      <c r="AK7" s="788" t="b">
        <f t="shared" si="8"/>
        <v>1</v>
      </c>
      <c r="AL7" s="788" t="b">
        <f t="shared" si="9"/>
        <v>1</v>
      </c>
      <c r="AM7" s="788" t="b">
        <f t="shared" si="10"/>
        <v>1</v>
      </c>
      <c r="AN7" s="788" t="b">
        <f t="shared" si="11"/>
        <v>1</v>
      </c>
      <c r="AO7" s="788" t="b">
        <f t="shared" si="12"/>
        <v>1</v>
      </c>
      <c r="AP7" s="788" t="b">
        <f t="shared" si="13"/>
        <v>1</v>
      </c>
      <c r="AQ7" s="788" t="b">
        <f t="shared" si="14"/>
        <v>1</v>
      </c>
      <c r="AR7" s="788" t="b">
        <f t="shared" si="15"/>
        <v>1</v>
      </c>
      <c r="AS7" s="788" t="b">
        <f t="shared" si="16"/>
        <v>1</v>
      </c>
    </row>
    <row r="8" spans="1:45" ht="12.75" customHeight="1">
      <c r="A8" s="1424">
        <v>2001</v>
      </c>
      <c r="B8" s="18" t="s">
        <v>1467</v>
      </c>
      <c r="C8" s="20" t="s">
        <v>97</v>
      </c>
      <c r="D8" s="20" t="s">
        <v>97</v>
      </c>
      <c r="E8" s="20">
        <v>451623</v>
      </c>
      <c r="F8" s="20" t="s">
        <v>97</v>
      </c>
      <c r="G8" s="20">
        <v>426309</v>
      </c>
      <c r="H8" s="20" t="s">
        <v>97</v>
      </c>
      <c r="I8" s="20" t="s">
        <v>97</v>
      </c>
      <c r="J8" s="20">
        <v>57797</v>
      </c>
      <c r="K8" s="20">
        <v>141904</v>
      </c>
      <c r="L8" s="20" t="s">
        <v>97</v>
      </c>
      <c r="M8" s="789" t="s">
        <v>97</v>
      </c>
      <c r="N8" s="1425">
        <f t="shared" si="0"/>
        <v>1077633</v>
      </c>
      <c r="O8" s="23"/>
      <c r="P8" s="17">
        <v>2001</v>
      </c>
      <c r="Q8" s="24" t="s">
        <v>1467</v>
      </c>
      <c r="R8" s="24"/>
      <c r="S8" s="597" t="s">
        <v>97</v>
      </c>
      <c r="T8" s="597" t="s">
        <v>97</v>
      </c>
      <c r="U8" s="598">
        <v>451623</v>
      </c>
      <c r="V8" s="597" t="s">
        <v>97</v>
      </c>
      <c r="W8" s="598">
        <v>426309</v>
      </c>
      <c r="X8" s="597" t="s">
        <v>97</v>
      </c>
      <c r="Y8" s="597" t="s">
        <v>97</v>
      </c>
      <c r="Z8" s="598">
        <v>57797</v>
      </c>
      <c r="AA8" s="598">
        <v>141904</v>
      </c>
      <c r="AB8" s="598" t="s">
        <v>97</v>
      </c>
      <c r="AC8" s="599" t="s">
        <v>97</v>
      </c>
      <c r="AD8" s="1103">
        <f t="shared" si="1"/>
        <v>1077633</v>
      </c>
      <c r="AE8" s="790">
        <f t="shared" si="2"/>
        <v>0</v>
      </c>
      <c r="AF8" s="788" t="b">
        <f t="shared" si="4"/>
        <v>1</v>
      </c>
      <c r="AH8" s="788" t="b">
        <f t="shared" si="5"/>
        <v>1</v>
      </c>
      <c r="AI8" s="788" t="b">
        <f t="shared" si="6"/>
        <v>1</v>
      </c>
      <c r="AJ8" s="788" t="b">
        <f t="shared" si="7"/>
        <v>1</v>
      </c>
      <c r="AK8" s="788" t="b">
        <f t="shared" si="8"/>
        <v>1</v>
      </c>
      <c r="AL8" s="788" t="b">
        <f t="shared" si="9"/>
        <v>1</v>
      </c>
      <c r="AM8" s="788" t="b">
        <f t="shared" si="10"/>
        <v>1</v>
      </c>
      <c r="AN8" s="788" t="b">
        <f t="shared" si="11"/>
        <v>1</v>
      </c>
      <c r="AO8" s="788" t="b">
        <f t="shared" si="12"/>
        <v>1</v>
      </c>
      <c r="AP8" s="788" t="b">
        <f t="shared" si="13"/>
        <v>1</v>
      </c>
      <c r="AQ8" s="788" t="b">
        <f t="shared" si="14"/>
        <v>1</v>
      </c>
      <c r="AR8" s="788" t="b">
        <f t="shared" si="15"/>
        <v>1</v>
      </c>
      <c r="AS8" s="788" t="b">
        <f t="shared" si="16"/>
        <v>1</v>
      </c>
    </row>
    <row r="9" spans="1:45" ht="12.75" customHeight="1">
      <c r="A9" s="1424"/>
      <c r="B9" s="18" t="s">
        <v>1468</v>
      </c>
      <c r="C9" s="20" t="s">
        <v>97</v>
      </c>
      <c r="D9" s="20">
        <v>620527</v>
      </c>
      <c r="E9" s="20">
        <v>467056</v>
      </c>
      <c r="F9" s="20" t="s">
        <v>97</v>
      </c>
      <c r="G9" s="20" t="s">
        <v>97</v>
      </c>
      <c r="H9" s="20" t="s">
        <v>97</v>
      </c>
      <c r="I9" s="20" t="s">
        <v>97</v>
      </c>
      <c r="J9" s="20" t="s">
        <v>97</v>
      </c>
      <c r="K9" s="20" t="s">
        <v>97</v>
      </c>
      <c r="L9" s="20" t="s">
        <v>97</v>
      </c>
      <c r="M9" s="789" t="s">
        <v>97</v>
      </c>
      <c r="N9" s="1425">
        <f t="shared" si="0"/>
        <v>1087583</v>
      </c>
      <c r="O9" s="23"/>
      <c r="P9" s="17"/>
      <c r="Q9" s="24" t="s">
        <v>1477</v>
      </c>
      <c r="R9" s="24"/>
      <c r="S9" s="597" t="s">
        <v>97</v>
      </c>
      <c r="T9" s="598">
        <v>620527</v>
      </c>
      <c r="U9" s="598">
        <v>467056</v>
      </c>
      <c r="V9" s="597" t="s">
        <v>97</v>
      </c>
      <c r="W9" s="597" t="s">
        <v>97</v>
      </c>
      <c r="X9" s="597" t="s">
        <v>97</v>
      </c>
      <c r="Y9" s="597" t="s">
        <v>97</v>
      </c>
      <c r="Z9" s="597" t="s">
        <v>97</v>
      </c>
      <c r="AA9" s="597" t="s">
        <v>97</v>
      </c>
      <c r="AB9" s="597" t="s">
        <v>97</v>
      </c>
      <c r="AC9" s="599" t="s">
        <v>97</v>
      </c>
      <c r="AD9" s="1103">
        <f t="shared" si="1"/>
        <v>1087583</v>
      </c>
      <c r="AE9" s="790">
        <f t="shared" si="2"/>
        <v>0</v>
      </c>
      <c r="AF9" s="788" t="b">
        <f t="shared" si="4"/>
        <v>1</v>
      </c>
      <c r="AH9" s="788" t="b">
        <f t="shared" si="5"/>
        <v>1</v>
      </c>
      <c r="AI9" s="788" t="b">
        <f t="shared" si="6"/>
        <v>1</v>
      </c>
      <c r="AJ9" s="788" t="b">
        <f t="shared" si="7"/>
        <v>1</v>
      </c>
      <c r="AK9" s="788" t="b">
        <f t="shared" si="8"/>
        <v>1</v>
      </c>
      <c r="AL9" s="788" t="b">
        <f t="shared" si="9"/>
        <v>1</v>
      </c>
      <c r="AM9" s="788" t="b">
        <f t="shared" si="10"/>
        <v>1</v>
      </c>
      <c r="AN9" s="788" t="b">
        <f t="shared" si="11"/>
        <v>1</v>
      </c>
      <c r="AO9" s="788" t="b">
        <f t="shared" si="12"/>
        <v>1</v>
      </c>
      <c r="AP9" s="788" t="b">
        <f t="shared" si="13"/>
        <v>1</v>
      </c>
      <c r="AQ9" s="788" t="b">
        <f t="shared" si="14"/>
        <v>1</v>
      </c>
      <c r="AR9" s="788" t="b">
        <f t="shared" si="15"/>
        <v>1</v>
      </c>
      <c r="AS9" s="788" t="b">
        <f t="shared" si="16"/>
        <v>1</v>
      </c>
    </row>
    <row r="10" spans="1:45" ht="12.75" customHeight="1">
      <c r="A10" s="1424"/>
      <c r="B10" s="18" t="s">
        <v>1469</v>
      </c>
      <c r="C10" s="20" t="s">
        <v>97</v>
      </c>
      <c r="D10" s="20" t="s">
        <v>97</v>
      </c>
      <c r="E10" s="20" t="s">
        <v>97</v>
      </c>
      <c r="F10" s="20">
        <v>5765933</v>
      </c>
      <c r="G10" s="20" t="s">
        <v>97</v>
      </c>
      <c r="H10" s="20" t="s">
        <v>97</v>
      </c>
      <c r="I10" s="20" t="s">
        <v>97</v>
      </c>
      <c r="J10" s="20" t="s">
        <v>97</v>
      </c>
      <c r="K10" s="20" t="s">
        <v>97</v>
      </c>
      <c r="L10" s="20" t="s">
        <v>97</v>
      </c>
      <c r="M10" s="789" t="s">
        <v>97</v>
      </c>
      <c r="N10" s="1425">
        <f t="shared" si="0"/>
        <v>5765933</v>
      </c>
      <c r="O10" s="23"/>
      <c r="P10" s="17"/>
      <c r="Q10" s="24" t="s">
        <v>1478</v>
      </c>
      <c r="R10" s="24"/>
      <c r="S10" s="597" t="s">
        <v>97</v>
      </c>
      <c r="T10" s="598" t="s">
        <v>97</v>
      </c>
      <c r="U10" s="598" t="s">
        <v>97</v>
      </c>
      <c r="V10" s="598">
        <v>5765933</v>
      </c>
      <c r="W10" s="597" t="s">
        <v>97</v>
      </c>
      <c r="X10" s="597" t="s">
        <v>97</v>
      </c>
      <c r="Y10" s="597" t="s">
        <v>97</v>
      </c>
      <c r="Z10" s="597" t="s">
        <v>97</v>
      </c>
      <c r="AA10" s="597" t="s">
        <v>97</v>
      </c>
      <c r="AB10" s="597" t="s">
        <v>97</v>
      </c>
      <c r="AC10" s="599" t="s">
        <v>97</v>
      </c>
      <c r="AD10" s="1103">
        <f t="shared" si="1"/>
        <v>5765933</v>
      </c>
      <c r="AE10" s="790">
        <f t="shared" si="2"/>
        <v>0</v>
      </c>
      <c r="AF10" s="788" t="b">
        <f t="shared" si="4"/>
        <v>1</v>
      </c>
      <c r="AH10" s="788" t="b">
        <f t="shared" si="5"/>
        <v>1</v>
      </c>
      <c r="AI10" s="788" t="b">
        <f t="shared" si="6"/>
        <v>1</v>
      </c>
      <c r="AJ10" s="788" t="b">
        <f t="shared" si="7"/>
        <v>1</v>
      </c>
      <c r="AK10" s="788" t="b">
        <f t="shared" si="8"/>
        <v>1</v>
      </c>
      <c r="AL10" s="788" t="b">
        <f t="shared" si="9"/>
        <v>1</v>
      </c>
      <c r="AM10" s="788" t="b">
        <f t="shared" si="10"/>
        <v>1</v>
      </c>
      <c r="AN10" s="788" t="b">
        <f t="shared" si="11"/>
        <v>1</v>
      </c>
      <c r="AO10" s="788" t="b">
        <f t="shared" si="12"/>
        <v>1</v>
      </c>
      <c r="AP10" s="788" t="b">
        <f t="shared" si="13"/>
        <v>1</v>
      </c>
      <c r="AQ10" s="788" t="b">
        <f t="shared" si="14"/>
        <v>1</v>
      </c>
      <c r="AR10" s="788" t="b">
        <f t="shared" si="15"/>
        <v>1</v>
      </c>
      <c r="AS10" s="788" t="b">
        <f t="shared" si="16"/>
        <v>1</v>
      </c>
    </row>
    <row r="11" spans="1:45" ht="12.75" customHeight="1">
      <c r="A11" s="1424"/>
      <c r="B11" s="18" t="s">
        <v>1470</v>
      </c>
      <c r="C11" s="20">
        <v>641555</v>
      </c>
      <c r="D11" s="20" t="s">
        <v>97</v>
      </c>
      <c r="E11" s="20">
        <v>1686711</v>
      </c>
      <c r="F11" s="20">
        <v>537085</v>
      </c>
      <c r="G11" s="20">
        <v>316804</v>
      </c>
      <c r="H11" s="20" t="s">
        <v>97</v>
      </c>
      <c r="I11" s="20" t="s">
        <v>97</v>
      </c>
      <c r="J11" s="20">
        <v>675712</v>
      </c>
      <c r="K11" s="20">
        <v>366435</v>
      </c>
      <c r="L11" s="20">
        <v>153000</v>
      </c>
      <c r="M11" s="789">
        <v>239635</v>
      </c>
      <c r="N11" s="1425">
        <f t="shared" si="0"/>
        <v>4616937</v>
      </c>
      <c r="O11" s="23"/>
      <c r="P11" s="17"/>
      <c r="Q11" s="24" t="s">
        <v>1479</v>
      </c>
      <c r="R11" s="24"/>
      <c r="S11" s="598">
        <v>641555</v>
      </c>
      <c r="T11" s="597" t="s">
        <v>97</v>
      </c>
      <c r="U11" s="598">
        <v>1686711</v>
      </c>
      <c r="V11" s="598">
        <v>537085</v>
      </c>
      <c r="W11" s="598">
        <v>316804</v>
      </c>
      <c r="X11" s="597" t="s">
        <v>97</v>
      </c>
      <c r="Y11" s="597" t="s">
        <v>97</v>
      </c>
      <c r="Z11" s="598">
        <v>675712</v>
      </c>
      <c r="AA11" s="598">
        <v>366435</v>
      </c>
      <c r="AB11" s="598">
        <v>153000</v>
      </c>
      <c r="AC11" s="600">
        <v>239635</v>
      </c>
      <c r="AD11" s="1103">
        <f t="shared" si="1"/>
        <v>4616937</v>
      </c>
      <c r="AE11" s="790">
        <f t="shared" si="2"/>
        <v>0</v>
      </c>
      <c r="AF11" s="788" t="b">
        <f t="shared" si="4"/>
        <v>1</v>
      </c>
      <c r="AH11" s="788" t="b">
        <f t="shared" si="5"/>
        <v>1</v>
      </c>
      <c r="AI11" s="788" t="b">
        <f t="shared" si="6"/>
        <v>1</v>
      </c>
      <c r="AJ11" s="788" t="b">
        <f t="shared" si="7"/>
        <v>1</v>
      </c>
      <c r="AK11" s="788" t="b">
        <f t="shared" si="8"/>
        <v>1</v>
      </c>
      <c r="AL11" s="788" t="b">
        <f t="shared" si="9"/>
        <v>1</v>
      </c>
      <c r="AM11" s="788" t="b">
        <f t="shared" si="10"/>
        <v>1</v>
      </c>
      <c r="AN11" s="788" t="b">
        <f t="shared" si="11"/>
        <v>1</v>
      </c>
      <c r="AO11" s="788" t="b">
        <f t="shared" si="12"/>
        <v>1</v>
      </c>
      <c r="AP11" s="788" t="b">
        <f t="shared" si="13"/>
        <v>1</v>
      </c>
      <c r="AQ11" s="788" t="b">
        <f t="shared" si="14"/>
        <v>1</v>
      </c>
      <c r="AR11" s="788" t="b">
        <f t="shared" si="15"/>
        <v>1</v>
      </c>
      <c r="AS11" s="788" t="b">
        <f t="shared" si="16"/>
        <v>1</v>
      </c>
    </row>
    <row r="12" spans="1:45" ht="12.75" customHeight="1">
      <c r="A12" s="1424">
        <v>2002</v>
      </c>
      <c r="B12" s="18" t="s">
        <v>1467</v>
      </c>
      <c r="C12" s="20">
        <v>639446</v>
      </c>
      <c r="D12" s="20" t="s">
        <v>97</v>
      </c>
      <c r="E12" s="20">
        <v>455825</v>
      </c>
      <c r="F12" s="20" t="s">
        <v>97</v>
      </c>
      <c r="G12" s="20">
        <v>408495</v>
      </c>
      <c r="H12" s="20" t="s">
        <v>97</v>
      </c>
      <c r="I12" s="20" t="s">
        <v>97</v>
      </c>
      <c r="J12" s="20">
        <v>48056</v>
      </c>
      <c r="K12" s="20">
        <v>97318</v>
      </c>
      <c r="L12" s="20" t="s">
        <v>97</v>
      </c>
      <c r="M12" s="789" t="s">
        <v>97</v>
      </c>
      <c r="N12" s="1425">
        <f t="shared" si="0"/>
        <v>1649140</v>
      </c>
      <c r="O12" s="23"/>
      <c r="P12" s="17">
        <v>2002</v>
      </c>
      <c r="Q12" s="24" t="s">
        <v>1467</v>
      </c>
      <c r="R12" s="24"/>
      <c r="S12" s="598">
        <v>639446</v>
      </c>
      <c r="T12" s="597" t="s">
        <v>97</v>
      </c>
      <c r="U12" s="598">
        <v>455825</v>
      </c>
      <c r="V12" s="597" t="s">
        <v>97</v>
      </c>
      <c r="W12" s="598">
        <v>408495</v>
      </c>
      <c r="X12" s="597" t="s">
        <v>97</v>
      </c>
      <c r="Y12" s="597" t="s">
        <v>97</v>
      </c>
      <c r="Z12" s="598">
        <v>48056</v>
      </c>
      <c r="AA12" s="598">
        <v>97318</v>
      </c>
      <c r="AB12" s="598" t="s">
        <v>97</v>
      </c>
      <c r="AC12" s="599" t="s">
        <v>97</v>
      </c>
      <c r="AD12" s="1103">
        <f t="shared" si="1"/>
        <v>1649140</v>
      </c>
      <c r="AE12" s="790">
        <f t="shared" si="2"/>
        <v>0</v>
      </c>
      <c r="AF12" s="788" t="b">
        <f t="shared" si="4"/>
        <v>1</v>
      </c>
      <c r="AH12" s="788" t="b">
        <f t="shared" si="5"/>
        <v>1</v>
      </c>
      <c r="AI12" s="788" t="b">
        <f t="shared" si="6"/>
        <v>1</v>
      </c>
      <c r="AJ12" s="788" t="b">
        <f t="shared" si="7"/>
        <v>1</v>
      </c>
      <c r="AK12" s="788" t="b">
        <f t="shared" si="8"/>
        <v>1</v>
      </c>
      <c r="AL12" s="788" t="b">
        <f t="shared" si="9"/>
        <v>1</v>
      </c>
      <c r="AM12" s="788" t="b">
        <f t="shared" si="10"/>
        <v>1</v>
      </c>
      <c r="AN12" s="788" t="b">
        <f t="shared" si="11"/>
        <v>1</v>
      </c>
      <c r="AO12" s="788" t="b">
        <f t="shared" si="12"/>
        <v>1</v>
      </c>
      <c r="AP12" s="788" t="b">
        <f t="shared" si="13"/>
        <v>1</v>
      </c>
      <c r="AQ12" s="788" t="b">
        <f t="shared" si="14"/>
        <v>1</v>
      </c>
      <c r="AR12" s="788" t="b">
        <f t="shared" si="15"/>
        <v>1</v>
      </c>
      <c r="AS12" s="788" t="b">
        <f t="shared" si="16"/>
        <v>1</v>
      </c>
    </row>
    <row r="13" spans="1:45" ht="12.75" customHeight="1">
      <c r="A13" s="1424"/>
      <c r="B13" s="18" t="s">
        <v>1468</v>
      </c>
      <c r="C13" s="20" t="s">
        <v>97</v>
      </c>
      <c r="D13" s="20">
        <v>702218</v>
      </c>
      <c r="E13" s="20">
        <v>780314</v>
      </c>
      <c r="F13" s="20" t="s">
        <v>97</v>
      </c>
      <c r="G13" s="20" t="s">
        <v>97</v>
      </c>
      <c r="H13" s="20" t="s">
        <v>97</v>
      </c>
      <c r="I13" s="20" t="s">
        <v>97</v>
      </c>
      <c r="J13" s="20" t="s">
        <v>97</v>
      </c>
      <c r="K13" s="20" t="s">
        <v>97</v>
      </c>
      <c r="L13" s="20" t="s">
        <v>97</v>
      </c>
      <c r="M13" s="789" t="s">
        <v>97</v>
      </c>
      <c r="N13" s="1425">
        <f t="shared" si="0"/>
        <v>1482532</v>
      </c>
      <c r="O13" s="23"/>
      <c r="P13" s="17"/>
      <c r="Q13" s="24" t="s">
        <v>1477</v>
      </c>
      <c r="R13" s="24"/>
      <c r="S13" s="597" t="s">
        <v>97</v>
      </c>
      <c r="T13" s="598">
        <v>702218</v>
      </c>
      <c r="U13" s="598">
        <v>780314</v>
      </c>
      <c r="V13" s="597" t="s">
        <v>97</v>
      </c>
      <c r="W13" s="597" t="s">
        <v>97</v>
      </c>
      <c r="X13" s="597" t="s">
        <v>97</v>
      </c>
      <c r="Y13" s="598" t="s">
        <v>97</v>
      </c>
      <c r="Z13" s="597" t="s">
        <v>97</v>
      </c>
      <c r="AA13" s="597" t="s">
        <v>97</v>
      </c>
      <c r="AB13" s="597" t="s">
        <v>97</v>
      </c>
      <c r="AC13" s="599" t="s">
        <v>97</v>
      </c>
      <c r="AD13" s="1103">
        <f t="shared" si="1"/>
        <v>1482532</v>
      </c>
      <c r="AE13" s="790">
        <f t="shared" si="2"/>
        <v>0</v>
      </c>
      <c r="AF13" s="788" t="b">
        <f t="shared" si="4"/>
        <v>1</v>
      </c>
      <c r="AH13" s="788" t="b">
        <f t="shared" si="5"/>
        <v>1</v>
      </c>
      <c r="AI13" s="788" t="b">
        <f t="shared" si="6"/>
        <v>1</v>
      </c>
      <c r="AJ13" s="788" t="b">
        <f t="shared" si="7"/>
        <v>1</v>
      </c>
      <c r="AK13" s="788" t="b">
        <f t="shared" si="8"/>
        <v>1</v>
      </c>
      <c r="AL13" s="788" t="b">
        <f t="shared" si="9"/>
        <v>1</v>
      </c>
      <c r="AM13" s="788" t="b">
        <f t="shared" si="10"/>
        <v>1</v>
      </c>
      <c r="AN13" s="788" t="b">
        <f t="shared" si="11"/>
        <v>1</v>
      </c>
      <c r="AO13" s="788" t="b">
        <f t="shared" si="12"/>
        <v>1</v>
      </c>
      <c r="AP13" s="788" t="b">
        <f t="shared" si="13"/>
        <v>1</v>
      </c>
      <c r="AQ13" s="788" t="b">
        <f t="shared" si="14"/>
        <v>1</v>
      </c>
      <c r="AR13" s="788" t="b">
        <f t="shared" si="15"/>
        <v>1</v>
      </c>
      <c r="AS13" s="788" t="b">
        <f t="shared" si="16"/>
        <v>1</v>
      </c>
    </row>
    <row r="14" spans="1:45" ht="12.75" customHeight="1">
      <c r="A14" s="1424"/>
      <c r="B14" s="18" t="s">
        <v>1469</v>
      </c>
      <c r="C14" s="20" t="s">
        <v>97</v>
      </c>
      <c r="D14" s="20" t="s">
        <v>97</v>
      </c>
      <c r="E14" s="20" t="s">
        <v>97</v>
      </c>
      <c r="F14" s="20">
        <v>5764833</v>
      </c>
      <c r="G14" s="20" t="s">
        <v>97</v>
      </c>
      <c r="H14" s="20" t="s">
        <v>97</v>
      </c>
      <c r="I14" s="20" t="s">
        <v>97</v>
      </c>
      <c r="J14" s="20" t="s">
        <v>97</v>
      </c>
      <c r="K14" s="20" t="s">
        <v>97</v>
      </c>
      <c r="L14" s="20" t="s">
        <v>97</v>
      </c>
      <c r="M14" s="789" t="s">
        <v>97</v>
      </c>
      <c r="N14" s="1425">
        <f t="shared" si="0"/>
        <v>5764833</v>
      </c>
      <c r="O14" s="23"/>
      <c r="P14" s="17"/>
      <c r="Q14" s="24" t="s">
        <v>1478</v>
      </c>
      <c r="R14" s="24"/>
      <c r="S14" s="597" t="s">
        <v>97</v>
      </c>
      <c r="T14" s="598" t="s">
        <v>97</v>
      </c>
      <c r="U14" s="598" t="s">
        <v>97</v>
      </c>
      <c r="V14" s="598">
        <v>5764833</v>
      </c>
      <c r="W14" s="597" t="s">
        <v>97</v>
      </c>
      <c r="X14" s="597" t="s">
        <v>97</v>
      </c>
      <c r="Y14" s="598" t="s">
        <v>97</v>
      </c>
      <c r="Z14" s="597" t="s">
        <v>97</v>
      </c>
      <c r="AA14" s="597" t="s">
        <v>97</v>
      </c>
      <c r="AB14" s="597" t="s">
        <v>97</v>
      </c>
      <c r="AC14" s="599" t="s">
        <v>97</v>
      </c>
      <c r="AD14" s="1103">
        <f t="shared" si="1"/>
        <v>5764833</v>
      </c>
      <c r="AE14" s="790">
        <f t="shared" si="2"/>
        <v>0</v>
      </c>
      <c r="AF14" s="788" t="b">
        <f t="shared" si="4"/>
        <v>1</v>
      </c>
      <c r="AH14" s="788" t="b">
        <f t="shared" si="5"/>
        <v>1</v>
      </c>
      <c r="AI14" s="788" t="b">
        <f t="shared" si="6"/>
        <v>1</v>
      </c>
      <c r="AJ14" s="788" t="b">
        <f t="shared" si="7"/>
        <v>1</v>
      </c>
      <c r="AK14" s="788" t="b">
        <f t="shared" si="8"/>
        <v>1</v>
      </c>
      <c r="AL14" s="788" t="b">
        <f t="shared" si="9"/>
        <v>1</v>
      </c>
      <c r="AM14" s="788" t="b">
        <f t="shared" si="10"/>
        <v>1</v>
      </c>
      <c r="AN14" s="788" t="b">
        <f t="shared" si="11"/>
        <v>1</v>
      </c>
      <c r="AO14" s="788" t="b">
        <f t="shared" si="12"/>
        <v>1</v>
      </c>
      <c r="AP14" s="788" t="b">
        <f t="shared" si="13"/>
        <v>1</v>
      </c>
      <c r="AQ14" s="788" t="b">
        <f t="shared" si="14"/>
        <v>1</v>
      </c>
      <c r="AR14" s="788" t="b">
        <f t="shared" si="15"/>
        <v>1</v>
      </c>
      <c r="AS14" s="788" t="b">
        <f t="shared" si="16"/>
        <v>1</v>
      </c>
    </row>
    <row r="15" spans="1:45" ht="12.75" customHeight="1">
      <c r="A15" s="1424"/>
      <c r="B15" s="18" t="s">
        <v>1470</v>
      </c>
      <c r="C15" s="20">
        <v>131185</v>
      </c>
      <c r="D15" s="20" t="s">
        <v>97</v>
      </c>
      <c r="E15" s="20">
        <v>1470914</v>
      </c>
      <c r="F15" s="20">
        <v>516942</v>
      </c>
      <c r="G15" s="20">
        <v>298748</v>
      </c>
      <c r="H15" s="20" t="s">
        <v>97</v>
      </c>
      <c r="I15" s="20" t="s">
        <v>97</v>
      </c>
      <c r="J15" s="20">
        <v>697522</v>
      </c>
      <c r="K15" s="20">
        <v>357200</v>
      </c>
      <c r="L15" s="20">
        <v>157000</v>
      </c>
      <c r="M15" s="789">
        <v>204600</v>
      </c>
      <c r="N15" s="1425">
        <f t="shared" si="0"/>
        <v>3834111</v>
      </c>
      <c r="O15" s="23"/>
      <c r="P15" s="17"/>
      <c r="Q15" s="24" t="s">
        <v>1479</v>
      </c>
      <c r="R15" s="24"/>
      <c r="S15" s="598">
        <v>131185</v>
      </c>
      <c r="T15" s="597" t="s">
        <v>97</v>
      </c>
      <c r="U15" s="598">
        <v>1470914</v>
      </c>
      <c r="V15" s="598">
        <v>516942</v>
      </c>
      <c r="W15" s="598">
        <v>298748</v>
      </c>
      <c r="X15" s="597" t="s">
        <v>97</v>
      </c>
      <c r="Y15" s="598" t="s">
        <v>97</v>
      </c>
      <c r="Z15" s="598">
        <v>697522</v>
      </c>
      <c r="AA15" s="598">
        <v>357200</v>
      </c>
      <c r="AB15" s="598">
        <v>157000</v>
      </c>
      <c r="AC15" s="600">
        <v>204600</v>
      </c>
      <c r="AD15" s="1103">
        <f t="shared" si="1"/>
        <v>3834111</v>
      </c>
      <c r="AE15" s="790">
        <f t="shared" si="2"/>
        <v>0</v>
      </c>
      <c r="AF15" s="788" t="b">
        <f t="shared" si="4"/>
        <v>1</v>
      </c>
      <c r="AH15" s="788" t="b">
        <f t="shared" si="5"/>
        <v>1</v>
      </c>
      <c r="AI15" s="788" t="b">
        <f t="shared" si="6"/>
        <v>1</v>
      </c>
      <c r="AJ15" s="788" t="b">
        <f t="shared" si="7"/>
        <v>1</v>
      </c>
      <c r="AK15" s="788" t="b">
        <f t="shared" si="8"/>
        <v>1</v>
      </c>
      <c r="AL15" s="788" t="b">
        <f t="shared" si="9"/>
        <v>1</v>
      </c>
      <c r="AM15" s="788" t="b">
        <f t="shared" si="10"/>
        <v>1</v>
      </c>
      <c r="AN15" s="788" t="b">
        <f t="shared" si="11"/>
        <v>1</v>
      </c>
      <c r="AO15" s="788" t="b">
        <f t="shared" si="12"/>
        <v>1</v>
      </c>
      <c r="AP15" s="788" t="b">
        <f t="shared" si="13"/>
        <v>1</v>
      </c>
      <c r="AQ15" s="788" t="b">
        <f t="shared" si="14"/>
        <v>1</v>
      </c>
      <c r="AR15" s="788" t="b">
        <f t="shared" si="15"/>
        <v>1</v>
      </c>
      <c r="AS15" s="788" t="b">
        <f t="shared" si="16"/>
        <v>1</v>
      </c>
    </row>
    <row r="16" spans="1:45" ht="12.75" customHeight="1">
      <c r="A16" s="1424">
        <v>2003</v>
      </c>
      <c r="B16" s="18" t="s">
        <v>1467</v>
      </c>
      <c r="C16" s="20">
        <v>458659</v>
      </c>
      <c r="D16" s="20" t="s">
        <v>97</v>
      </c>
      <c r="E16" s="20">
        <v>457994</v>
      </c>
      <c r="F16" s="20" t="s">
        <v>97</v>
      </c>
      <c r="G16" s="20">
        <v>433044</v>
      </c>
      <c r="H16" s="20" t="s">
        <v>97</v>
      </c>
      <c r="I16" s="20" t="s">
        <v>97</v>
      </c>
      <c r="J16" s="20">
        <v>53299</v>
      </c>
      <c r="K16" s="20">
        <v>254471</v>
      </c>
      <c r="L16" s="20" t="s">
        <v>97</v>
      </c>
      <c r="M16" s="789" t="s">
        <v>97</v>
      </c>
      <c r="N16" s="1425">
        <f t="shared" si="0"/>
        <v>1657467</v>
      </c>
      <c r="O16" s="23"/>
      <c r="P16" s="17">
        <v>2003</v>
      </c>
      <c r="Q16" s="24" t="s">
        <v>1467</v>
      </c>
      <c r="R16" s="24"/>
      <c r="S16" s="598">
        <v>458659</v>
      </c>
      <c r="T16" s="597" t="s">
        <v>97</v>
      </c>
      <c r="U16" s="598">
        <v>457994</v>
      </c>
      <c r="V16" s="597" t="s">
        <v>97</v>
      </c>
      <c r="W16" s="598">
        <v>433044</v>
      </c>
      <c r="X16" s="597" t="s">
        <v>97</v>
      </c>
      <c r="Y16" s="598" t="s">
        <v>97</v>
      </c>
      <c r="Z16" s="598">
        <v>53299</v>
      </c>
      <c r="AA16" s="598">
        <v>254471</v>
      </c>
      <c r="AB16" s="598" t="s">
        <v>97</v>
      </c>
      <c r="AC16" s="599" t="s">
        <v>97</v>
      </c>
      <c r="AD16" s="1103">
        <f t="shared" si="1"/>
        <v>1657467</v>
      </c>
      <c r="AE16" s="790">
        <f t="shared" si="2"/>
        <v>0</v>
      </c>
      <c r="AF16" s="788" t="b">
        <f t="shared" si="4"/>
        <v>1</v>
      </c>
      <c r="AH16" s="788" t="b">
        <f t="shared" si="5"/>
        <v>1</v>
      </c>
      <c r="AI16" s="788" t="b">
        <f t="shared" si="6"/>
        <v>1</v>
      </c>
      <c r="AJ16" s="788" t="b">
        <f t="shared" si="7"/>
        <v>1</v>
      </c>
      <c r="AK16" s="788" t="b">
        <f t="shared" si="8"/>
        <v>1</v>
      </c>
      <c r="AL16" s="788" t="b">
        <f t="shared" si="9"/>
        <v>1</v>
      </c>
      <c r="AM16" s="788" t="b">
        <f t="shared" si="10"/>
        <v>1</v>
      </c>
      <c r="AN16" s="788" t="b">
        <f t="shared" si="11"/>
        <v>1</v>
      </c>
      <c r="AO16" s="788" t="b">
        <f t="shared" si="12"/>
        <v>1</v>
      </c>
      <c r="AP16" s="788" t="b">
        <f t="shared" si="13"/>
        <v>1</v>
      </c>
      <c r="AQ16" s="788" t="b">
        <f t="shared" si="14"/>
        <v>1</v>
      </c>
      <c r="AR16" s="788" t="b">
        <f t="shared" si="15"/>
        <v>1</v>
      </c>
      <c r="AS16" s="788" t="b">
        <f t="shared" si="16"/>
        <v>1</v>
      </c>
    </row>
    <row r="17" spans="1:45" ht="12.75" customHeight="1">
      <c r="A17" s="1424"/>
      <c r="B17" s="18" t="s">
        <v>1468</v>
      </c>
      <c r="C17" s="20">
        <v>53963</v>
      </c>
      <c r="D17" s="20">
        <v>681155</v>
      </c>
      <c r="E17" s="20">
        <v>519676</v>
      </c>
      <c r="F17" s="20" t="s">
        <v>97</v>
      </c>
      <c r="G17" s="20" t="s">
        <v>97</v>
      </c>
      <c r="H17" s="20" t="s">
        <v>97</v>
      </c>
      <c r="I17" s="20" t="s">
        <v>97</v>
      </c>
      <c r="J17" s="20" t="s">
        <v>97</v>
      </c>
      <c r="K17" s="20" t="s">
        <v>97</v>
      </c>
      <c r="L17" s="20" t="s">
        <v>97</v>
      </c>
      <c r="M17" s="789" t="s">
        <v>97</v>
      </c>
      <c r="N17" s="1425">
        <f t="shared" si="0"/>
        <v>1254794</v>
      </c>
      <c r="O17" s="23"/>
      <c r="P17" s="17"/>
      <c r="Q17" s="24" t="s">
        <v>1477</v>
      </c>
      <c r="R17" s="601"/>
      <c r="S17" s="598">
        <v>53963</v>
      </c>
      <c r="T17" s="598">
        <v>681155</v>
      </c>
      <c r="U17" s="598">
        <v>519676</v>
      </c>
      <c r="V17" s="597" t="s">
        <v>97</v>
      </c>
      <c r="W17" s="597" t="s">
        <v>97</v>
      </c>
      <c r="X17" s="597" t="s">
        <v>97</v>
      </c>
      <c r="Y17" s="598" t="s">
        <v>97</v>
      </c>
      <c r="Z17" s="597" t="s">
        <v>97</v>
      </c>
      <c r="AA17" s="597" t="s">
        <v>97</v>
      </c>
      <c r="AB17" s="597" t="s">
        <v>97</v>
      </c>
      <c r="AC17" s="599" t="s">
        <v>97</v>
      </c>
      <c r="AD17" s="1103">
        <f t="shared" si="1"/>
        <v>1254794</v>
      </c>
      <c r="AE17" s="790">
        <f t="shared" si="2"/>
        <v>0</v>
      </c>
      <c r="AF17" s="788" t="b">
        <f t="shared" si="4"/>
        <v>1</v>
      </c>
      <c r="AH17" s="788" t="b">
        <f t="shared" si="5"/>
        <v>1</v>
      </c>
      <c r="AI17" s="788" t="b">
        <f t="shared" si="6"/>
        <v>1</v>
      </c>
      <c r="AJ17" s="788" t="b">
        <f t="shared" si="7"/>
        <v>1</v>
      </c>
      <c r="AK17" s="788" t="b">
        <f t="shared" si="8"/>
        <v>1</v>
      </c>
      <c r="AL17" s="788" t="b">
        <f t="shared" si="9"/>
        <v>1</v>
      </c>
      <c r="AM17" s="788" t="b">
        <f t="shared" si="10"/>
        <v>1</v>
      </c>
      <c r="AN17" s="788" t="b">
        <f t="shared" si="11"/>
        <v>1</v>
      </c>
      <c r="AO17" s="788" t="b">
        <f t="shared" si="12"/>
        <v>1</v>
      </c>
      <c r="AP17" s="788" t="b">
        <f t="shared" si="13"/>
        <v>1</v>
      </c>
      <c r="AQ17" s="788" t="b">
        <f t="shared" si="14"/>
        <v>1</v>
      </c>
      <c r="AR17" s="788" t="b">
        <f t="shared" si="15"/>
        <v>1</v>
      </c>
      <c r="AS17" s="788" t="b">
        <f t="shared" si="16"/>
        <v>1</v>
      </c>
    </row>
    <row r="18" spans="1:45" ht="12.75" customHeight="1">
      <c r="A18" s="1424"/>
      <c r="B18" s="18" t="s">
        <v>1469</v>
      </c>
      <c r="C18" s="20" t="s">
        <v>97</v>
      </c>
      <c r="D18" s="20" t="s">
        <v>97</v>
      </c>
      <c r="E18" s="20" t="s">
        <v>97</v>
      </c>
      <c r="F18" s="20">
        <v>5887836</v>
      </c>
      <c r="G18" s="20" t="s">
        <v>97</v>
      </c>
      <c r="H18" s="20" t="s">
        <v>97</v>
      </c>
      <c r="I18" s="20" t="s">
        <v>97</v>
      </c>
      <c r="J18" s="20" t="s">
        <v>97</v>
      </c>
      <c r="K18" s="20" t="s">
        <v>97</v>
      </c>
      <c r="L18" s="20" t="s">
        <v>97</v>
      </c>
      <c r="M18" s="789" t="s">
        <v>97</v>
      </c>
      <c r="N18" s="1425">
        <f t="shared" si="0"/>
        <v>5887836</v>
      </c>
      <c r="O18" s="23"/>
      <c r="P18" s="17"/>
      <c r="Q18" s="24" t="s">
        <v>1478</v>
      </c>
      <c r="R18" s="601"/>
      <c r="S18" s="598" t="s">
        <v>97</v>
      </c>
      <c r="T18" s="598" t="s">
        <v>97</v>
      </c>
      <c r="U18" s="598" t="s">
        <v>97</v>
      </c>
      <c r="V18" s="598">
        <v>5887836</v>
      </c>
      <c r="W18" s="597" t="s">
        <v>97</v>
      </c>
      <c r="X18" s="597" t="s">
        <v>97</v>
      </c>
      <c r="Y18" s="598" t="s">
        <v>97</v>
      </c>
      <c r="Z18" s="597" t="s">
        <v>97</v>
      </c>
      <c r="AA18" s="597" t="s">
        <v>97</v>
      </c>
      <c r="AB18" s="597" t="s">
        <v>97</v>
      </c>
      <c r="AC18" s="599" t="s">
        <v>97</v>
      </c>
      <c r="AD18" s="1103">
        <f t="shared" si="1"/>
        <v>5887836</v>
      </c>
      <c r="AE18" s="790">
        <f t="shared" si="2"/>
        <v>0</v>
      </c>
      <c r="AF18" s="788" t="b">
        <f t="shared" si="4"/>
        <v>1</v>
      </c>
      <c r="AH18" s="788" t="b">
        <f t="shared" si="5"/>
        <v>1</v>
      </c>
      <c r="AI18" s="788" t="b">
        <f t="shared" si="6"/>
        <v>1</v>
      </c>
      <c r="AJ18" s="788" t="b">
        <f t="shared" si="7"/>
        <v>1</v>
      </c>
      <c r="AK18" s="788" t="b">
        <f t="shared" si="8"/>
        <v>1</v>
      </c>
      <c r="AL18" s="788" t="b">
        <f t="shared" si="9"/>
        <v>1</v>
      </c>
      <c r="AM18" s="788" t="b">
        <f t="shared" si="10"/>
        <v>1</v>
      </c>
      <c r="AN18" s="788" t="b">
        <f t="shared" si="11"/>
        <v>1</v>
      </c>
      <c r="AO18" s="788" t="b">
        <f t="shared" si="12"/>
        <v>1</v>
      </c>
      <c r="AP18" s="788" t="b">
        <f t="shared" si="13"/>
        <v>1</v>
      </c>
      <c r="AQ18" s="788" t="b">
        <f t="shared" si="14"/>
        <v>1</v>
      </c>
      <c r="AR18" s="788" t="b">
        <f t="shared" si="15"/>
        <v>1</v>
      </c>
      <c r="AS18" s="788" t="b">
        <f t="shared" si="16"/>
        <v>1</v>
      </c>
    </row>
    <row r="19" spans="1:45" ht="12.75" customHeight="1">
      <c r="A19" s="1424"/>
      <c r="B19" s="18" t="s">
        <v>1470</v>
      </c>
      <c r="C19" s="20" t="s">
        <v>97</v>
      </c>
      <c r="D19" s="20" t="s">
        <v>97</v>
      </c>
      <c r="E19" s="20">
        <v>1146068</v>
      </c>
      <c r="F19" s="20">
        <v>506172</v>
      </c>
      <c r="G19" s="20">
        <v>309527</v>
      </c>
      <c r="H19" s="20" t="s">
        <v>97</v>
      </c>
      <c r="I19" s="20" t="s">
        <v>97</v>
      </c>
      <c r="J19" s="20">
        <v>202727</v>
      </c>
      <c r="K19" s="20">
        <v>144900</v>
      </c>
      <c r="L19" s="20">
        <v>146000</v>
      </c>
      <c r="M19" s="789" t="s">
        <v>97</v>
      </c>
      <c r="N19" s="1425">
        <f t="shared" si="0"/>
        <v>2455394</v>
      </c>
      <c r="O19" s="23"/>
      <c r="P19" s="17"/>
      <c r="Q19" s="24" t="s">
        <v>1479</v>
      </c>
      <c r="R19" s="601"/>
      <c r="S19" s="597" t="s">
        <v>97</v>
      </c>
      <c r="T19" s="597" t="s">
        <v>97</v>
      </c>
      <c r="U19" s="598">
        <v>1146068</v>
      </c>
      <c r="V19" s="598">
        <v>506172</v>
      </c>
      <c r="W19" s="598">
        <v>309527</v>
      </c>
      <c r="X19" s="597" t="s">
        <v>97</v>
      </c>
      <c r="Y19" s="598" t="s">
        <v>97</v>
      </c>
      <c r="Z19" s="598">
        <v>202727</v>
      </c>
      <c r="AA19" s="598">
        <v>144900</v>
      </c>
      <c r="AB19" s="598">
        <v>146000</v>
      </c>
      <c r="AC19" s="599" t="s">
        <v>97</v>
      </c>
      <c r="AD19" s="1103">
        <f t="shared" si="1"/>
        <v>2455394</v>
      </c>
      <c r="AE19" s="790">
        <f t="shared" si="2"/>
        <v>0</v>
      </c>
      <c r="AF19" s="788" t="b">
        <f t="shared" si="4"/>
        <v>1</v>
      </c>
      <c r="AH19" s="788" t="b">
        <f t="shared" si="5"/>
        <v>1</v>
      </c>
      <c r="AI19" s="788" t="b">
        <f t="shared" si="6"/>
        <v>1</v>
      </c>
      <c r="AJ19" s="788" t="b">
        <f t="shared" si="7"/>
        <v>1</v>
      </c>
      <c r="AK19" s="788" t="b">
        <f t="shared" si="8"/>
        <v>1</v>
      </c>
      <c r="AL19" s="788" t="b">
        <f t="shared" si="9"/>
        <v>1</v>
      </c>
      <c r="AM19" s="788" t="b">
        <f t="shared" si="10"/>
        <v>1</v>
      </c>
      <c r="AN19" s="788" t="b">
        <f t="shared" si="11"/>
        <v>1</v>
      </c>
      <c r="AO19" s="788" t="b">
        <f t="shared" si="12"/>
        <v>1</v>
      </c>
      <c r="AP19" s="788" t="b">
        <f t="shared" si="13"/>
        <v>1</v>
      </c>
      <c r="AQ19" s="788" t="b">
        <f t="shared" si="14"/>
        <v>1</v>
      </c>
      <c r="AR19" s="788" t="b">
        <f t="shared" si="15"/>
        <v>1</v>
      </c>
      <c r="AS19" s="788" t="b">
        <f t="shared" si="16"/>
        <v>1</v>
      </c>
    </row>
    <row r="20" spans="1:45" ht="12.75" customHeight="1">
      <c r="A20" s="1424">
        <v>2004</v>
      </c>
      <c r="B20" s="18" t="s">
        <v>1467</v>
      </c>
      <c r="C20" s="20">
        <v>566030</v>
      </c>
      <c r="D20" s="20" t="s">
        <v>97</v>
      </c>
      <c r="E20" s="20">
        <v>391843</v>
      </c>
      <c r="F20" s="20" t="s">
        <v>97</v>
      </c>
      <c r="G20" s="20">
        <v>451388</v>
      </c>
      <c r="H20" s="20" t="s">
        <v>97</v>
      </c>
      <c r="I20" s="20" t="s">
        <v>97</v>
      </c>
      <c r="J20" s="20">
        <v>82565</v>
      </c>
      <c r="K20" s="20">
        <v>336300</v>
      </c>
      <c r="L20" s="20" t="s">
        <v>97</v>
      </c>
      <c r="M20" s="789" t="s">
        <v>97</v>
      </c>
      <c r="N20" s="1425">
        <f t="shared" si="0"/>
        <v>1828126</v>
      </c>
      <c r="O20" s="23"/>
      <c r="P20" s="17">
        <v>2004</v>
      </c>
      <c r="Q20" s="24" t="s">
        <v>1467</v>
      </c>
      <c r="R20" s="601"/>
      <c r="S20" s="598">
        <v>566030</v>
      </c>
      <c r="T20" s="597" t="s">
        <v>97</v>
      </c>
      <c r="U20" s="598">
        <v>391843</v>
      </c>
      <c r="V20" s="597" t="s">
        <v>97</v>
      </c>
      <c r="W20" s="598">
        <v>451388</v>
      </c>
      <c r="X20" s="597" t="s">
        <v>97</v>
      </c>
      <c r="Y20" s="598" t="s">
        <v>97</v>
      </c>
      <c r="Z20" s="598">
        <v>82565</v>
      </c>
      <c r="AA20" s="598">
        <v>336300</v>
      </c>
      <c r="AB20" s="598" t="s">
        <v>97</v>
      </c>
      <c r="AC20" s="599" t="s">
        <v>97</v>
      </c>
      <c r="AD20" s="1103">
        <f t="shared" si="1"/>
        <v>1828126</v>
      </c>
      <c r="AE20" s="790">
        <f t="shared" si="2"/>
        <v>0</v>
      </c>
      <c r="AF20" s="788" t="b">
        <f t="shared" si="4"/>
        <v>1</v>
      </c>
      <c r="AH20" s="788" t="b">
        <f t="shared" si="5"/>
        <v>1</v>
      </c>
      <c r="AI20" s="788" t="b">
        <f t="shared" si="6"/>
        <v>1</v>
      </c>
      <c r="AJ20" s="788" t="b">
        <f t="shared" si="7"/>
        <v>1</v>
      </c>
      <c r="AK20" s="788" t="b">
        <f t="shared" si="8"/>
        <v>1</v>
      </c>
      <c r="AL20" s="788" t="b">
        <f t="shared" si="9"/>
        <v>1</v>
      </c>
      <c r="AM20" s="788" t="b">
        <f t="shared" si="10"/>
        <v>1</v>
      </c>
      <c r="AN20" s="788" t="b">
        <f t="shared" si="11"/>
        <v>1</v>
      </c>
      <c r="AO20" s="788" t="b">
        <f t="shared" si="12"/>
        <v>1</v>
      </c>
      <c r="AP20" s="788" t="b">
        <f t="shared" si="13"/>
        <v>1</v>
      </c>
      <c r="AQ20" s="788" t="b">
        <f t="shared" si="14"/>
        <v>1</v>
      </c>
      <c r="AR20" s="788" t="b">
        <f t="shared" si="15"/>
        <v>1</v>
      </c>
      <c r="AS20" s="788" t="b">
        <f t="shared" si="16"/>
        <v>1</v>
      </c>
    </row>
    <row r="21" spans="1:45" ht="12.75" customHeight="1">
      <c r="A21" s="1424"/>
      <c r="B21" s="18" t="s">
        <v>1468</v>
      </c>
      <c r="C21" s="20">
        <v>45247</v>
      </c>
      <c r="D21" s="20">
        <v>735066</v>
      </c>
      <c r="E21" s="20">
        <v>161237</v>
      </c>
      <c r="F21" s="20" t="s">
        <v>97</v>
      </c>
      <c r="G21" s="20" t="s">
        <v>97</v>
      </c>
      <c r="H21" s="20" t="s">
        <v>97</v>
      </c>
      <c r="I21" s="20" t="s">
        <v>97</v>
      </c>
      <c r="J21" s="20" t="s">
        <v>97</v>
      </c>
      <c r="K21" s="20" t="s">
        <v>97</v>
      </c>
      <c r="L21" s="20" t="s">
        <v>97</v>
      </c>
      <c r="M21" s="789" t="s">
        <v>97</v>
      </c>
      <c r="N21" s="1425">
        <f t="shared" si="0"/>
        <v>941550</v>
      </c>
      <c r="O21" s="23"/>
      <c r="P21" s="17"/>
      <c r="Q21" s="24" t="s">
        <v>1477</v>
      </c>
      <c r="R21" s="601"/>
      <c r="S21" s="598">
        <v>45247</v>
      </c>
      <c r="T21" s="598">
        <v>735066</v>
      </c>
      <c r="U21" s="598">
        <v>161237</v>
      </c>
      <c r="V21" s="597" t="s">
        <v>97</v>
      </c>
      <c r="W21" s="597" t="s">
        <v>97</v>
      </c>
      <c r="X21" s="597" t="s">
        <v>97</v>
      </c>
      <c r="Y21" s="598" t="s">
        <v>97</v>
      </c>
      <c r="Z21" s="597" t="s">
        <v>97</v>
      </c>
      <c r="AA21" s="597" t="s">
        <v>97</v>
      </c>
      <c r="AB21" s="597" t="s">
        <v>97</v>
      </c>
      <c r="AC21" s="599" t="s">
        <v>97</v>
      </c>
      <c r="AD21" s="1103">
        <f t="shared" si="1"/>
        <v>941550</v>
      </c>
      <c r="AE21" s="790">
        <f t="shared" si="2"/>
        <v>0</v>
      </c>
      <c r="AF21" s="788" t="b">
        <f t="shared" si="4"/>
        <v>1</v>
      </c>
      <c r="AH21" s="788" t="b">
        <f t="shared" si="5"/>
        <v>1</v>
      </c>
      <c r="AI21" s="788" t="b">
        <f t="shared" si="6"/>
        <v>1</v>
      </c>
      <c r="AJ21" s="788" t="b">
        <f t="shared" si="7"/>
        <v>1</v>
      </c>
      <c r="AK21" s="788" t="b">
        <f t="shared" si="8"/>
        <v>1</v>
      </c>
      <c r="AL21" s="788" t="b">
        <f t="shared" si="9"/>
        <v>1</v>
      </c>
      <c r="AM21" s="788" t="b">
        <f t="shared" si="10"/>
        <v>1</v>
      </c>
      <c r="AN21" s="788" t="b">
        <f t="shared" si="11"/>
        <v>1</v>
      </c>
      <c r="AO21" s="788" t="b">
        <f t="shared" si="12"/>
        <v>1</v>
      </c>
      <c r="AP21" s="788" t="b">
        <f t="shared" si="13"/>
        <v>1</v>
      </c>
      <c r="AQ21" s="788" t="b">
        <f t="shared" si="14"/>
        <v>1</v>
      </c>
      <c r="AR21" s="788" t="b">
        <f t="shared" si="15"/>
        <v>1</v>
      </c>
      <c r="AS21" s="788" t="b">
        <f t="shared" si="16"/>
        <v>1</v>
      </c>
    </row>
    <row r="22" spans="1:45" ht="12.75" customHeight="1">
      <c r="A22" s="1424"/>
      <c r="B22" s="18" t="s">
        <v>1469</v>
      </c>
      <c r="C22" s="20" t="s">
        <v>97</v>
      </c>
      <c r="D22" s="20" t="s">
        <v>97</v>
      </c>
      <c r="E22" s="20" t="s">
        <v>97</v>
      </c>
      <c r="F22" s="20">
        <v>5865175</v>
      </c>
      <c r="G22" s="20" t="s">
        <v>97</v>
      </c>
      <c r="H22" s="20" t="s">
        <v>97</v>
      </c>
      <c r="I22" s="20" t="s">
        <v>97</v>
      </c>
      <c r="J22" s="20" t="s">
        <v>97</v>
      </c>
      <c r="K22" s="20" t="s">
        <v>97</v>
      </c>
      <c r="L22" s="20" t="s">
        <v>97</v>
      </c>
      <c r="M22" s="789" t="s">
        <v>97</v>
      </c>
      <c r="N22" s="1425">
        <f t="shared" si="0"/>
        <v>5865175</v>
      </c>
      <c r="O22" s="23"/>
      <c r="P22" s="17"/>
      <c r="Q22" s="24" t="s">
        <v>1478</v>
      </c>
      <c r="R22" s="601"/>
      <c r="S22" s="598" t="s">
        <v>97</v>
      </c>
      <c r="T22" s="598" t="s">
        <v>97</v>
      </c>
      <c r="U22" s="598" t="s">
        <v>97</v>
      </c>
      <c r="V22" s="598">
        <v>5865175</v>
      </c>
      <c r="W22" s="597" t="s">
        <v>97</v>
      </c>
      <c r="X22" s="597" t="s">
        <v>97</v>
      </c>
      <c r="Y22" s="598" t="s">
        <v>97</v>
      </c>
      <c r="Z22" s="597" t="s">
        <v>97</v>
      </c>
      <c r="AA22" s="597" t="s">
        <v>97</v>
      </c>
      <c r="AB22" s="597" t="s">
        <v>97</v>
      </c>
      <c r="AC22" s="599" t="s">
        <v>97</v>
      </c>
      <c r="AD22" s="1103">
        <f t="shared" si="1"/>
        <v>5865175</v>
      </c>
      <c r="AE22" s="790">
        <f t="shared" si="2"/>
        <v>0</v>
      </c>
      <c r="AF22" s="788" t="b">
        <f t="shared" si="4"/>
        <v>1</v>
      </c>
      <c r="AH22" s="788" t="b">
        <f t="shared" si="5"/>
        <v>1</v>
      </c>
      <c r="AI22" s="788" t="b">
        <f t="shared" si="6"/>
        <v>1</v>
      </c>
      <c r="AJ22" s="788" t="b">
        <f t="shared" si="7"/>
        <v>1</v>
      </c>
      <c r="AK22" s="788" t="b">
        <f t="shared" si="8"/>
        <v>1</v>
      </c>
      <c r="AL22" s="788" t="b">
        <f t="shared" si="9"/>
        <v>1</v>
      </c>
      <c r="AM22" s="788" t="b">
        <f t="shared" si="10"/>
        <v>1</v>
      </c>
      <c r="AN22" s="788" t="b">
        <f t="shared" si="11"/>
        <v>1</v>
      </c>
      <c r="AO22" s="788" t="b">
        <f t="shared" si="12"/>
        <v>1</v>
      </c>
      <c r="AP22" s="788" t="b">
        <f t="shared" si="13"/>
        <v>1</v>
      </c>
      <c r="AQ22" s="788" t="b">
        <f t="shared" si="14"/>
        <v>1</v>
      </c>
      <c r="AR22" s="788" t="b">
        <f t="shared" si="15"/>
        <v>1</v>
      </c>
      <c r="AS22" s="788" t="b">
        <f t="shared" si="16"/>
        <v>1</v>
      </c>
    </row>
    <row r="23" spans="1:45" ht="12.75" customHeight="1">
      <c r="A23" s="1424"/>
      <c r="B23" s="18" t="s">
        <v>1470</v>
      </c>
      <c r="C23" s="20" t="s">
        <v>97</v>
      </c>
      <c r="D23" s="20" t="s">
        <v>97</v>
      </c>
      <c r="E23" s="20">
        <v>1125609</v>
      </c>
      <c r="F23" s="20">
        <v>527631</v>
      </c>
      <c r="G23" s="20">
        <v>305573</v>
      </c>
      <c r="H23" s="20" t="s">
        <v>97</v>
      </c>
      <c r="I23" s="20" t="s">
        <v>97</v>
      </c>
      <c r="J23" s="20">
        <v>194442</v>
      </c>
      <c r="K23" s="20">
        <v>201300</v>
      </c>
      <c r="L23" s="20">
        <v>156302</v>
      </c>
      <c r="M23" s="789" t="s">
        <v>97</v>
      </c>
      <c r="N23" s="1425">
        <f t="shared" si="0"/>
        <v>2510857</v>
      </c>
      <c r="O23" s="23"/>
      <c r="P23" s="17"/>
      <c r="Q23" s="24" t="s">
        <v>1479</v>
      </c>
      <c r="R23" s="601"/>
      <c r="S23" s="597" t="s">
        <v>97</v>
      </c>
      <c r="T23" s="597" t="s">
        <v>97</v>
      </c>
      <c r="U23" s="598">
        <v>1125609</v>
      </c>
      <c r="V23" s="598">
        <v>527631</v>
      </c>
      <c r="W23" s="598">
        <v>305573</v>
      </c>
      <c r="X23" s="597" t="s">
        <v>97</v>
      </c>
      <c r="Y23" s="598" t="s">
        <v>97</v>
      </c>
      <c r="Z23" s="598">
        <v>194442</v>
      </c>
      <c r="AA23" s="598">
        <v>201300</v>
      </c>
      <c r="AB23" s="598">
        <v>156302</v>
      </c>
      <c r="AC23" s="599" t="s">
        <v>97</v>
      </c>
      <c r="AD23" s="1103">
        <f t="shared" si="1"/>
        <v>2510857</v>
      </c>
      <c r="AE23" s="790">
        <f t="shared" si="2"/>
        <v>0</v>
      </c>
      <c r="AF23" s="788" t="b">
        <f t="shared" si="4"/>
        <v>1</v>
      </c>
      <c r="AH23" s="788" t="b">
        <f t="shared" si="5"/>
        <v>1</v>
      </c>
      <c r="AI23" s="788" t="b">
        <f t="shared" si="6"/>
        <v>1</v>
      </c>
      <c r="AJ23" s="788" t="b">
        <f t="shared" si="7"/>
        <v>1</v>
      </c>
      <c r="AK23" s="788" t="b">
        <f t="shared" si="8"/>
        <v>1</v>
      </c>
      <c r="AL23" s="788" t="b">
        <f t="shared" si="9"/>
        <v>1</v>
      </c>
      <c r="AM23" s="788" t="b">
        <f t="shared" si="10"/>
        <v>1</v>
      </c>
      <c r="AN23" s="788" t="b">
        <f t="shared" si="11"/>
        <v>1</v>
      </c>
      <c r="AO23" s="788" t="b">
        <f t="shared" si="12"/>
        <v>1</v>
      </c>
      <c r="AP23" s="788" t="b">
        <f t="shared" si="13"/>
        <v>1</v>
      </c>
      <c r="AQ23" s="788" t="b">
        <f t="shared" si="14"/>
        <v>1</v>
      </c>
      <c r="AR23" s="788" t="b">
        <f t="shared" si="15"/>
        <v>1</v>
      </c>
      <c r="AS23" s="788" t="b">
        <f t="shared" si="16"/>
        <v>1</v>
      </c>
    </row>
    <row r="24" spans="1:45" ht="12.75" customHeight="1">
      <c r="A24" s="1424">
        <v>2005</v>
      </c>
      <c r="B24" s="18" t="s">
        <v>1467</v>
      </c>
      <c r="C24" s="20" t="s">
        <v>97</v>
      </c>
      <c r="D24" s="20" t="s">
        <v>97</v>
      </c>
      <c r="E24" s="20">
        <v>417662</v>
      </c>
      <c r="F24" s="20" t="s">
        <v>97</v>
      </c>
      <c r="G24" s="20">
        <v>272226</v>
      </c>
      <c r="H24" s="20" t="s">
        <v>97</v>
      </c>
      <c r="I24" s="20" t="s">
        <v>97</v>
      </c>
      <c r="J24" s="20">
        <v>104149</v>
      </c>
      <c r="K24" s="20">
        <v>263600</v>
      </c>
      <c r="L24" s="20" t="s">
        <v>97</v>
      </c>
      <c r="M24" s="789" t="s">
        <v>97</v>
      </c>
      <c r="N24" s="1425">
        <f t="shared" si="0"/>
        <v>1057637</v>
      </c>
      <c r="O24" s="23"/>
      <c r="P24" s="17">
        <v>2005</v>
      </c>
      <c r="Q24" s="24" t="s">
        <v>1467</v>
      </c>
      <c r="R24" s="601"/>
      <c r="S24" s="597" t="s">
        <v>97</v>
      </c>
      <c r="T24" s="597" t="s">
        <v>97</v>
      </c>
      <c r="U24" s="598">
        <v>417662</v>
      </c>
      <c r="V24" s="597" t="s">
        <v>97</v>
      </c>
      <c r="W24" s="598">
        <v>272226</v>
      </c>
      <c r="X24" s="597" t="s">
        <v>97</v>
      </c>
      <c r="Y24" s="598" t="s">
        <v>97</v>
      </c>
      <c r="Z24" s="598">
        <v>104149</v>
      </c>
      <c r="AA24" s="598">
        <v>263600</v>
      </c>
      <c r="AB24" s="598" t="s">
        <v>97</v>
      </c>
      <c r="AC24" s="599" t="s">
        <v>97</v>
      </c>
      <c r="AD24" s="1103">
        <f t="shared" si="1"/>
        <v>1057637</v>
      </c>
      <c r="AE24" s="790">
        <f t="shared" si="2"/>
        <v>0</v>
      </c>
      <c r="AF24" s="788" t="b">
        <f t="shared" si="4"/>
        <v>1</v>
      </c>
      <c r="AH24" s="788" t="b">
        <f t="shared" si="5"/>
        <v>1</v>
      </c>
      <c r="AI24" s="788" t="b">
        <f t="shared" si="6"/>
        <v>1</v>
      </c>
      <c r="AJ24" s="788" t="b">
        <f t="shared" si="7"/>
        <v>1</v>
      </c>
      <c r="AK24" s="788" t="b">
        <f t="shared" si="8"/>
        <v>1</v>
      </c>
      <c r="AL24" s="788" t="b">
        <f t="shared" si="9"/>
        <v>1</v>
      </c>
      <c r="AM24" s="788" t="b">
        <f t="shared" si="10"/>
        <v>1</v>
      </c>
      <c r="AN24" s="788" t="b">
        <f t="shared" si="11"/>
        <v>1</v>
      </c>
      <c r="AO24" s="788" t="b">
        <f t="shared" si="12"/>
        <v>1</v>
      </c>
      <c r="AP24" s="788" t="b">
        <f t="shared" si="13"/>
        <v>1</v>
      </c>
      <c r="AQ24" s="788" t="b">
        <f t="shared" si="14"/>
        <v>1</v>
      </c>
      <c r="AR24" s="788" t="b">
        <f t="shared" si="15"/>
        <v>1</v>
      </c>
      <c r="AS24" s="788" t="b">
        <f t="shared" si="16"/>
        <v>1</v>
      </c>
    </row>
    <row r="25" spans="1:45" ht="12.75" customHeight="1">
      <c r="A25" s="1424"/>
      <c r="B25" s="18" t="s">
        <v>1468</v>
      </c>
      <c r="C25" s="20">
        <v>628888</v>
      </c>
      <c r="D25" s="20" t="s">
        <v>97</v>
      </c>
      <c r="E25" s="20">
        <v>476497</v>
      </c>
      <c r="F25" s="20" t="s">
        <v>97</v>
      </c>
      <c r="G25" s="20" t="s">
        <v>97</v>
      </c>
      <c r="H25" s="20" t="s">
        <v>97</v>
      </c>
      <c r="I25" s="20" t="s">
        <v>97</v>
      </c>
      <c r="J25" s="20" t="s">
        <v>97</v>
      </c>
      <c r="K25" s="20" t="s">
        <v>97</v>
      </c>
      <c r="L25" s="20" t="s">
        <v>97</v>
      </c>
      <c r="M25" s="789" t="s">
        <v>97</v>
      </c>
      <c r="N25" s="1425">
        <f t="shared" si="0"/>
        <v>1105385</v>
      </c>
      <c r="O25" s="23"/>
      <c r="P25" s="17"/>
      <c r="Q25" s="24" t="s">
        <v>1477</v>
      </c>
      <c r="R25" s="601"/>
      <c r="S25" s="598">
        <v>628888</v>
      </c>
      <c r="T25" s="597" t="s">
        <v>97</v>
      </c>
      <c r="U25" s="598">
        <v>476497</v>
      </c>
      <c r="V25" s="597" t="s">
        <v>97</v>
      </c>
      <c r="W25" s="597" t="s">
        <v>97</v>
      </c>
      <c r="X25" s="597" t="s">
        <v>97</v>
      </c>
      <c r="Y25" s="598" t="s">
        <v>97</v>
      </c>
      <c r="Z25" s="597" t="s">
        <v>97</v>
      </c>
      <c r="AA25" s="597" t="s">
        <v>97</v>
      </c>
      <c r="AB25" s="597" t="s">
        <v>97</v>
      </c>
      <c r="AC25" s="599" t="s">
        <v>97</v>
      </c>
      <c r="AD25" s="1103">
        <f t="shared" si="1"/>
        <v>1105385</v>
      </c>
      <c r="AE25" s="790">
        <f t="shared" si="2"/>
        <v>0</v>
      </c>
      <c r="AF25" s="788" t="b">
        <f t="shared" si="4"/>
        <v>1</v>
      </c>
      <c r="AH25" s="788" t="b">
        <f t="shared" si="5"/>
        <v>1</v>
      </c>
      <c r="AI25" s="788" t="b">
        <f t="shared" si="6"/>
        <v>1</v>
      </c>
      <c r="AJ25" s="788" t="b">
        <f t="shared" si="7"/>
        <v>1</v>
      </c>
      <c r="AK25" s="788" t="b">
        <f t="shared" si="8"/>
        <v>1</v>
      </c>
      <c r="AL25" s="788" t="b">
        <f t="shared" si="9"/>
        <v>1</v>
      </c>
      <c r="AM25" s="788" t="b">
        <f t="shared" si="10"/>
        <v>1</v>
      </c>
      <c r="AN25" s="788" t="b">
        <f t="shared" si="11"/>
        <v>1</v>
      </c>
      <c r="AO25" s="788" t="b">
        <f t="shared" si="12"/>
        <v>1</v>
      </c>
      <c r="AP25" s="788" t="b">
        <f t="shared" si="13"/>
        <v>1</v>
      </c>
      <c r="AQ25" s="788" t="b">
        <f t="shared" si="14"/>
        <v>1</v>
      </c>
      <c r="AR25" s="788" t="b">
        <f t="shared" si="15"/>
        <v>1</v>
      </c>
      <c r="AS25" s="788" t="b">
        <f t="shared" si="16"/>
        <v>1</v>
      </c>
    </row>
    <row r="26" spans="1:45" ht="12.75" customHeight="1">
      <c r="A26" s="1424"/>
      <c r="B26" s="18" t="s">
        <v>1469</v>
      </c>
      <c r="C26" s="20" t="s">
        <v>97</v>
      </c>
      <c r="D26" s="20" t="s">
        <v>97</v>
      </c>
      <c r="E26" s="20" t="s">
        <v>97</v>
      </c>
      <c r="F26" s="20">
        <v>5850219</v>
      </c>
      <c r="G26" s="20" t="s">
        <v>97</v>
      </c>
      <c r="H26" s="20" t="s">
        <v>97</v>
      </c>
      <c r="I26" s="20" t="s">
        <v>97</v>
      </c>
      <c r="J26" s="20" t="s">
        <v>97</v>
      </c>
      <c r="K26" s="20" t="s">
        <v>97</v>
      </c>
      <c r="L26" s="20" t="s">
        <v>97</v>
      </c>
      <c r="M26" s="789" t="s">
        <v>97</v>
      </c>
      <c r="N26" s="1425">
        <f t="shared" si="0"/>
        <v>5850219</v>
      </c>
      <c r="O26" s="23"/>
      <c r="P26" s="17"/>
      <c r="Q26" s="24" t="s">
        <v>1478</v>
      </c>
      <c r="R26" s="601"/>
      <c r="S26" s="598" t="s">
        <v>97</v>
      </c>
      <c r="T26" s="597" t="s">
        <v>97</v>
      </c>
      <c r="U26" s="598" t="s">
        <v>97</v>
      </c>
      <c r="V26" s="598">
        <v>5850219</v>
      </c>
      <c r="W26" s="597" t="s">
        <v>97</v>
      </c>
      <c r="X26" s="597" t="s">
        <v>97</v>
      </c>
      <c r="Y26" s="598" t="s">
        <v>97</v>
      </c>
      <c r="Z26" s="597" t="s">
        <v>97</v>
      </c>
      <c r="AA26" s="597" t="s">
        <v>97</v>
      </c>
      <c r="AB26" s="597" t="s">
        <v>97</v>
      </c>
      <c r="AC26" s="599" t="s">
        <v>97</v>
      </c>
      <c r="AD26" s="1103">
        <f t="shared" si="1"/>
        <v>5850219</v>
      </c>
      <c r="AE26" s="790">
        <f t="shared" si="2"/>
        <v>0</v>
      </c>
      <c r="AF26" s="788" t="b">
        <f t="shared" si="4"/>
        <v>1</v>
      </c>
      <c r="AH26" s="788" t="b">
        <f t="shared" si="5"/>
        <v>1</v>
      </c>
      <c r="AI26" s="788" t="b">
        <f t="shared" si="6"/>
        <v>1</v>
      </c>
      <c r="AJ26" s="788" t="b">
        <f t="shared" si="7"/>
        <v>1</v>
      </c>
      <c r="AK26" s="788" t="b">
        <f t="shared" si="8"/>
        <v>1</v>
      </c>
      <c r="AL26" s="788" t="b">
        <f t="shared" si="9"/>
        <v>1</v>
      </c>
      <c r="AM26" s="788" t="b">
        <f t="shared" si="10"/>
        <v>1</v>
      </c>
      <c r="AN26" s="788" t="b">
        <f t="shared" si="11"/>
        <v>1</v>
      </c>
      <c r="AO26" s="788" t="b">
        <f t="shared" si="12"/>
        <v>1</v>
      </c>
      <c r="AP26" s="788" t="b">
        <f t="shared" si="13"/>
        <v>1</v>
      </c>
      <c r="AQ26" s="788" t="b">
        <f t="shared" si="14"/>
        <v>1</v>
      </c>
      <c r="AR26" s="788" t="b">
        <f t="shared" si="15"/>
        <v>1</v>
      </c>
      <c r="AS26" s="788" t="b">
        <f t="shared" si="16"/>
        <v>1</v>
      </c>
    </row>
    <row r="27" spans="1:45" ht="12.75" customHeight="1">
      <c r="A27" s="1424"/>
      <c r="B27" s="18" t="s">
        <v>1470</v>
      </c>
      <c r="C27" s="20" t="s">
        <v>97</v>
      </c>
      <c r="D27" s="20" t="s">
        <v>97</v>
      </c>
      <c r="E27" s="20">
        <v>1157746</v>
      </c>
      <c r="F27" s="20">
        <v>529697</v>
      </c>
      <c r="G27" s="20">
        <v>304558</v>
      </c>
      <c r="H27" s="20" t="s">
        <v>97</v>
      </c>
      <c r="I27" s="20" t="s">
        <v>97</v>
      </c>
      <c r="J27" s="20">
        <v>174547</v>
      </c>
      <c r="K27" s="20">
        <v>449200</v>
      </c>
      <c r="L27" s="20">
        <v>157500</v>
      </c>
      <c r="M27" s="789" t="s">
        <v>97</v>
      </c>
      <c r="N27" s="1425">
        <f t="shared" si="0"/>
        <v>2773248</v>
      </c>
      <c r="O27" s="23"/>
      <c r="P27" s="17"/>
      <c r="Q27" s="24" t="s">
        <v>1479</v>
      </c>
      <c r="R27" s="601"/>
      <c r="S27" s="597" t="s">
        <v>97</v>
      </c>
      <c r="T27" s="597" t="s">
        <v>97</v>
      </c>
      <c r="U27" s="598">
        <v>1157746</v>
      </c>
      <c r="V27" s="598">
        <v>529697</v>
      </c>
      <c r="W27" s="598">
        <v>304558</v>
      </c>
      <c r="X27" s="597" t="s">
        <v>97</v>
      </c>
      <c r="Y27" s="598" t="s">
        <v>97</v>
      </c>
      <c r="Z27" s="598">
        <v>174547</v>
      </c>
      <c r="AA27" s="598">
        <v>449200</v>
      </c>
      <c r="AB27" s="598">
        <v>157500</v>
      </c>
      <c r="AC27" s="599" t="s">
        <v>97</v>
      </c>
      <c r="AD27" s="1103">
        <f t="shared" si="1"/>
        <v>2773248</v>
      </c>
      <c r="AE27" s="790">
        <f t="shared" si="2"/>
        <v>0</v>
      </c>
      <c r="AF27" s="788" t="b">
        <f t="shared" si="4"/>
        <v>1</v>
      </c>
      <c r="AH27" s="788" t="b">
        <f t="shared" si="5"/>
        <v>1</v>
      </c>
      <c r="AI27" s="788" t="b">
        <f t="shared" si="6"/>
        <v>1</v>
      </c>
      <c r="AJ27" s="788" t="b">
        <f t="shared" si="7"/>
        <v>1</v>
      </c>
      <c r="AK27" s="788" t="b">
        <f t="shared" si="8"/>
        <v>1</v>
      </c>
      <c r="AL27" s="788" t="b">
        <f t="shared" si="9"/>
        <v>1</v>
      </c>
      <c r="AM27" s="788" t="b">
        <f t="shared" si="10"/>
        <v>1</v>
      </c>
      <c r="AN27" s="788" t="b">
        <f t="shared" si="11"/>
        <v>1</v>
      </c>
      <c r="AO27" s="788" t="b">
        <f t="shared" si="12"/>
        <v>1</v>
      </c>
      <c r="AP27" s="788" t="b">
        <f t="shared" si="13"/>
        <v>1</v>
      </c>
      <c r="AQ27" s="788" t="b">
        <f t="shared" si="14"/>
        <v>1</v>
      </c>
      <c r="AR27" s="788" t="b">
        <f t="shared" si="15"/>
        <v>1</v>
      </c>
      <c r="AS27" s="788" t="b">
        <f t="shared" si="16"/>
        <v>1</v>
      </c>
    </row>
    <row r="28" spans="1:45" ht="12.75" customHeight="1">
      <c r="A28" s="1424">
        <v>2006</v>
      </c>
      <c r="B28" s="18" t="s">
        <v>1467</v>
      </c>
      <c r="C28" s="20" t="s">
        <v>97</v>
      </c>
      <c r="D28" s="20" t="s">
        <v>97</v>
      </c>
      <c r="E28" s="20">
        <v>543803</v>
      </c>
      <c r="F28" s="20" t="s">
        <v>97</v>
      </c>
      <c r="G28" s="20">
        <v>312962</v>
      </c>
      <c r="H28" s="20" t="s">
        <v>97</v>
      </c>
      <c r="I28" s="20" t="s">
        <v>97</v>
      </c>
      <c r="J28" s="20">
        <v>79343</v>
      </c>
      <c r="K28" s="20">
        <v>121500</v>
      </c>
      <c r="L28" s="20" t="s">
        <v>97</v>
      </c>
      <c r="M28" s="789" t="s">
        <v>97</v>
      </c>
      <c r="N28" s="1425">
        <f t="shared" si="0"/>
        <v>1057608</v>
      </c>
      <c r="O28" s="23"/>
      <c r="P28" s="17">
        <v>2006</v>
      </c>
      <c r="Q28" s="24" t="s">
        <v>1467</v>
      </c>
      <c r="R28" s="601"/>
      <c r="S28" s="597" t="s">
        <v>97</v>
      </c>
      <c r="T28" s="597" t="s">
        <v>97</v>
      </c>
      <c r="U28" s="598">
        <v>543803</v>
      </c>
      <c r="V28" s="597" t="s">
        <v>97</v>
      </c>
      <c r="W28" s="598">
        <v>312962</v>
      </c>
      <c r="X28" s="597" t="s">
        <v>97</v>
      </c>
      <c r="Y28" s="598" t="s">
        <v>97</v>
      </c>
      <c r="Z28" s="598">
        <v>79343</v>
      </c>
      <c r="AA28" s="598">
        <v>121500</v>
      </c>
      <c r="AB28" s="597" t="s">
        <v>97</v>
      </c>
      <c r="AC28" s="599" t="s">
        <v>97</v>
      </c>
      <c r="AD28" s="1103">
        <f t="shared" si="1"/>
        <v>1057608</v>
      </c>
      <c r="AE28" s="790">
        <f t="shared" si="2"/>
        <v>0</v>
      </c>
      <c r="AF28" s="788" t="b">
        <f t="shared" si="4"/>
        <v>1</v>
      </c>
      <c r="AH28" s="788" t="b">
        <f t="shared" si="5"/>
        <v>1</v>
      </c>
      <c r="AI28" s="788" t="b">
        <f t="shared" si="6"/>
        <v>1</v>
      </c>
      <c r="AJ28" s="788" t="b">
        <f t="shared" si="7"/>
        <v>1</v>
      </c>
      <c r="AK28" s="788" t="b">
        <f t="shared" si="8"/>
        <v>1</v>
      </c>
      <c r="AL28" s="788" t="b">
        <f t="shared" si="9"/>
        <v>1</v>
      </c>
      <c r="AM28" s="788" t="b">
        <f t="shared" si="10"/>
        <v>1</v>
      </c>
      <c r="AN28" s="788" t="b">
        <f t="shared" si="11"/>
        <v>1</v>
      </c>
      <c r="AO28" s="788" t="b">
        <f t="shared" si="12"/>
        <v>1</v>
      </c>
      <c r="AP28" s="788" t="b">
        <f t="shared" si="13"/>
        <v>1</v>
      </c>
      <c r="AQ28" s="788" t="b">
        <f t="shared" si="14"/>
        <v>1</v>
      </c>
      <c r="AR28" s="788" t="b">
        <f t="shared" si="15"/>
        <v>1</v>
      </c>
      <c r="AS28" s="788" t="b">
        <f t="shared" si="16"/>
        <v>1</v>
      </c>
    </row>
    <row r="29" spans="1:45" ht="12.75" customHeight="1">
      <c r="A29" s="1424"/>
      <c r="B29" s="18" t="s">
        <v>1468</v>
      </c>
      <c r="C29" s="20">
        <v>708412</v>
      </c>
      <c r="D29" s="20" t="s">
        <v>97</v>
      </c>
      <c r="E29" s="20">
        <v>564641</v>
      </c>
      <c r="F29" s="20" t="s">
        <v>97</v>
      </c>
      <c r="G29" s="20" t="s">
        <v>97</v>
      </c>
      <c r="H29" s="20" t="s">
        <v>97</v>
      </c>
      <c r="I29" s="20" t="s">
        <v>97</v>
      </c>
      <c r="J29" s="20" t="s">
        <v>97</v>
      </c>
      <c r="K29" s="20" t="s">
        <v>97</v>
      </c>
      <c r="L29" s="20" t="s">
        <v>97</v>
      </c>
      <c r="M29" s="789" t="s">
        <v>97</v>
      </c>
      <c r="N29" s="1425">
        <f t="shared" si="0"/>
        <v>1273053</v>
      </c>
      <c r="O29" s="23"/>
      <c r="P29" s="17"/>
      <c r="Q29" s="24" t="s">
        <v>1477</v>
      </c>
      <c r="R29" s="601"/>
      <c r="S29" s="598">
        <v>708412</v>
      </c>
      <c r="T29" s="597" t="s">
        <v>97</v>
      </c>
      <c r="U29" s="598">
        <v>564641</v>
      </c>
      <c r="V29" s="597" t="s">
        <v>97</v>
      </c>
      <c r="W29" s="597" t="s">
        <v>97</v>
      </c>
      <c r="X29" s="597" t="s">
        <v>97</v>
      </c>
      <c r="Y29" s="598" t="s">
        <v>97</v>
      </c>
      <c r="Z29" s="597" t="s">
        <v>97</v>
      </c>
      <c r="AA29" s="597" t="s">
        <v>97</v>
      </c>
      <c r="AB29" s="597" t="s">
        <v>97</v>
      </c>
      <c r="AC29" s="599" t="s">
        <v>97</v>
      </c>
      <c r="AD29" s="1103">
        <f t="shared" si="1"/>
        <v>1273053</v>
      </c>
      <c r="AE29" s="790">
        <f t="shared" si="2"/>
        <v>0</v>
      </c>
      <c r="AF29" s="788" t="b">
        <f t="shared" si="4"/>
        <v>1</v>
      </c>
      <c r="AH29" s="788" t="b">
        <f t="shared" si="5"/>
        <v>1</v>
      </c>
      <c r="AI29" s="788" t="b">
        <f t="shared" si="6"/>
        <v>1</v>
      </c>
      <c r="AJ29" s="788" t="b">
        <f t="shared" si="7"/>
        <v>1</v>
      </c>
      <c r="AK29" s="788" t="b">
        <f t="shared" si="8"/>
        <v>1</v>
      </c>
      <c r="AL29" s="788" t="b">
        <f t="shared" si="9"/>
        <v>1</v>
      </c>
      <c r="AM29" s="788" t="b">
        <f t="shared" si="10"/>
        <v>1</v>
      </c>
      <c r="AN29" s="788" t="b">
        <f t="shared" si="11"/>
        <v>1</v>
      </c>
      <c r="AO29" s="788" t="b">
        <f t="shared" si="12"/>
        <v>1</v>
      </c>
      <c r="AP29" s="788" t="b">
        <f t="shared" si="13"/>
        <v>1</v>
      </c>
      <c r="AQ29" s="788" t="b">
        <f t="shared" si="14"/>
        <v>1</v>
      </c>
      <c r="AR29" s="788" t="b">
        <f t="shared" si="15"/>
        <v>1</v>
      </c>
      <c r="AS29" s="788" t="b">
        <f t="shared" si="16"/>
        <v>1</v>
      </c>
    </row>
    <row r="30" spans="1:45" ht="12.75" customHeight="1">
      <c r="A30" s="1424"/>
      <c r="B30" s="18" t="s">
        <v>1469</v>
      </c>
      <c r="C30" s="20" t="s">
        <v>97</v>
      </c>
      <c r="D30" s="20" t="s">
        <v>97</v>
      </c>
      <c r="E30" s="20" t="s">
        <v>97</v>
      </c>
      <c r="F30" s="20">
        <v>4467016</v>
      </c>
      <c r="G30" s="20" t="s">
        <v>97</v>
      </c>
      <c r="H30" s="20" t="s">
        <v>97</v>
      </c>
      <c r="I30" s="20" t="s">
        <v>97</v>
      </c>
      <c r="J30" s="20" t="s">
        <v>97</v>
      </c>
      <c r="K30" s="20" t="s">
        <v>97</v>
      </c>
      <c r="L30" s="20" t="s">
        <v>97</v>
      </c>
      <c r="M30" s="789" t="s">
        <v>97</v>
      </c>
      <c r="N30" s="1425">
        <f t="shared" si="0"/>
        <v>4467016</v>
      </c>
      <c r="O30" s="23"/>
      <c r="P30" s="17"/>
      <c r="Q30" s="24" t="s">
        <v>1478</v>
      </c>
      <c r="R30" s="601"/>
      <c r="S30" s="598" t="s">
        <v>97</v>
      </c>
      <c r="T30" s="597" t="s">
        <v>97</v>
      </c>
      <c r="U30" s="598" t="s">
        <v>97</v>
      </c>
      <c r="V30" s="598">
        <v>4467016</v>
      </c>
      <c r="W30" s="597" t="s">
        <v>97</v>
      </c>
      <c r="X30" s="597" t="s">
        <v>97</v>
      </c>
      <c r="Y30" s="598" t="s">
        <v>97</v>
      </c>
      <c r="Z30" s="597" t="s">
        <v>97</v>
      </c>
      <c r="AA30" s="597" t="s">
        <v>97</v>
      </c>
      <c r="AB30" s="597" t="s">
        <v>97</v>
      </c>
      <c r="AC30" s="599" t="s">
        <v>97</v>
      </c>
      <c r="AD30" s="1103">
        <f t="shared" si="1"/>
        <v>4467016</v>
      </c>
      <c r="AE30" s="790">
        <f t="shared" si="2"/>
        <v>0</v>
      </c>
      <c r="AF30" s="788" t="b">
        <f t="shared" si="4"/>
        <v>1</v>
      </c>
      <c r="AH30" s="788" t="b">
        <f t="shared" si="5"/>
        <v>1</v>
      </c>
      <c r="AI30" s="788" t="b">
        <f t="shared" si="6"/>
        <v>1</v>
      </c>
      <c r="AJ30" s="788" t="b">
        <f t="shared" si="7"/>
        <v>1</v>
      </c>
      <c r="AK30" s="788" t="b">
        <f t="shared" si="8"/>
        <v>1</v>
      </c>
      <c r="AL30" s="788" t="b">
        <f t="shared" si="9"/>
        <v>1</v>
      </c>
      <c r="AM30" s="788" t="b">
        <f t="shared" si="10"/>
        <v>1</v>
      </c>
      <c r="AN30" s="788" t="b">
        <f t="shared" si="11"/>
        <v>1</v>
      </c>
      <c r="AO30" s="788" t="b">
        <f t="shared" si="12"/>
        <v>1</v>
      </c>
      <c r="AP30" s="788" t="b">
        <f t="shared" si="13"/>
        <v>1</v>
      </c>
      <c r="AQ30" s="788" t="b">
        <f t="shared" si="14"/>
        <v>1</v>
      </c>
      <c r="AR30" s="788" t="b">
        <f t="shared" si="15"/>
        <v>1</v>
      </c>
      <c r="AS30" s="788" t="b">
        <f t="shared" si="16"/>
        <v>1</v>
      </c>
    </row>
    <row r="31" spans="1:45" ht="12.75" customHeight="1">
      <c r="A31" s="1424"/>
      <c r="B31" s="18" t="s">
        <v>1470</v>
      </c>
      <c r="C31" s="20">
        <v>278944</v>
      </c>
      <c r="D31" s="20">
        <v>232455</v>
      </c>
      <c r="E31" s="20">
        <v>768960</v>
      </c>
      <c r="F31" s="20">
        <v>559717</v>
      </c>
      <c r="G31" s="20">
        <v>310133</v>
      </c>
      <c r="H31" s="20" t="s">
        <v>97</v>
      </c>
      <c r="I31" s="20" t="s">
        <v>97</v>
      </c>
      <c r="J31" s="20">
        <v>597754</v>
      </c>
      <c r="K31" s="20">
        <v>368000</v>
      </c>
      <c r="L31" s="20">
        <v>132188</v>
      </c>
      <c r="M31" s="789" t="s">
        <v>97</v>
      </c>
      <c r="N31" s="1425">
        <f t="shared" si="0"/>
        <v>3248151</v>
      </c>
      <c r="O31" s="23"/>
      <c r="P31" s="17"/>
      <c r="Q31" s="24" t="s">
        <v>1479</v>
      </c>
      <c r="R31" s="601"/>
      <c r="S31" s="598">
        <v>278944</v>
      </c>
      <c r="T31" s="598">
        <v>232455</v>
      </c>
      <c r="U31" s="598">
        <v>768960</v>
      </c>
      <c r="V31" s="598">
        <v>559717</v>
      </c>
      <c r="W31" s="598">
        <v>310133</v>
      </c>
      <c r="X31" s="597" t="s">
        <v>97</v>
      </c>
      <c r="Y31" s="598" t="s">
        <v>97</v>
      </c>
      <c r="Z31" s="598">
        <v>597754</v>
      </c>
      <c r="AA31" s="598">
        <v>368000</v>
      </c>
      <c r="AB31" s="598">
        <v>132188</v>
      </c>
      <c r="AC31" s="599" t="s">
        <v>97</v>
      </c>
      <c r="AD31" s="1103">
        <f t="shared" si="1"/>
        <v>3248151</v>
      </c>
      <c r="AE31" s="790">
        <f t="shared" si="2"/>
        <v>0</v>
      </c>
      <c r="AF31" s="788" t="b">
        <f t="shared" si="4"/>
        <v>1</v>
      </c>
      <c r="AH31" s="788" t="b">
        <f t="shared" si="5"/>
        <v>1</v>
      </c>
      <c r="AI31" s="788" t="b">
        <f t="shared" si="6"/>
        <v>1</v>
      </c>
      <c r="AJ31" s="788" t="b">
        <f t="shared" si="7"/>
        <v>1</v>
      </c>
      <c r="AK31" s="788" t="b">
        <f t="shared" si="8"/>
        <v>1</v>
      </c>
      <c r="AL31" s="788" t="b">
        <f t="shared" si="9"/>
        <v>1</v>
      </c>
      <c r="AM31" s="788" t="b">
        <f t="shared" si="10"/>
        <v>1</v>
      </c>
      <c r="AN31" s="788" t="b">
        <f t="shared" si="11"/>
        <v>1</v>
      </c>
      <c r="AO31" s="788" t="b">
        <f t="shared" si="12"/>
        <v>1</v>
      </c>
      <c r="AP31" s="788" t="b">
        <f t="shared" si="13"/>
        <v>1</v>
      </c>
      <c r="AQ31" s="788" t="b">
        <f t="shared" si="14"/>
        <v>1</v>
      </c>
      <c r="AR31" s="788" t="b">
        <f t="shared" si="15"/>
        <v>1</v>
      </c>
      <c r="AS31" s="788" t="b">
        <f t="shared" si="16"/>
        <v>1</v>
      </c>
    </row>
    <row r="32" spans="1:45" ht="12.75" customHeight="1">
      <c r="A32" s="1424">
        <v>2007</v>
      </c>
      <c r="B32" s="18" t="s">
        <v>1467</v>
      </c>
      <c r="C32" s="20" t="s">
        <v>97</v>
      </c>
      <c r="D32" s="20" t="s">
        <v>97</v>
      </c>
      <c r="E32" s="20">
        <v>457161</v>
      </c>
      <c r="F32" s="20" t="s">
        <v>97</v>
      </c>
      <c r="G32" s="20">
        <v>280437</v>
      </c>
      <c r="H32" s="20" t="s">
        <v>97</v>
      </c>
      <c r="I32" s="20" t="s">
        <v>97</v>
      </c>
      <c r="J32" s="20">
        <v>103060</v>
      </c>
      <c r="K32" s="20">
        <v>279811</v>
      </c>
      <c r="L32" s="20" t="s">
        <v>97</v>
      </c>
      <c r="M32" s="789" t="s">
        <v>97</v>
      </c>
      <c r="N32" s="1425">
        <f t="shared" si="0"/>
        <v>1120469</v>
      </c>
      <c r="O32" s="23"/>
      <c r="P32" s="17">
        <v>2007</v>
      </c>
      <c r="Q32" s="24" t="s">
        <v>1467</v>
      </c>
      <c r="R32" s="601"/>
      <c r="S32" s="597" t="s">
        <v>97</v>
      </c>
      <c r="T32" s="597" t="s">
        <v>97</v>
      </c>
      <c r="U32" s="598">
        <v>457161</v>
      </c>
      <c r="V32" s="597" t="s">
        <v>97</v>
      </c>
      <c r="W32" s="598">
        <v>280437</v>
      </c>
      <c r="X32" s="597" t="s">
        <v>97</v>
      </c>
      <c r="Y32" s="598" t="s">
        <v>97</v>
      </c>
      <c r="Z32" s="598">
        <v>103060</v>
      </c>
      <c r="AA32" s="598">
        <v>279811</v>
      </c>
      <c r="AB32" s="597" t="s">
        <v>97</v>
      </c>
      <c r="AC32" s="599" t="s">
        <v>97</v>
      </c>
      <c r="AD32" s="1103">
        <f t="shared" si="1"/>
        <v>1120469</v>
      </c>
      <c r="AE32" s="790">
        <f t="shared" si="2"/>
        <v>0</v>
      </c>
      <c r="AF32" s="788" t="b">
        <f t="shared" si="4"/>
        <v>1</v>
      </c>
      <c r="AH32" s="788" t="b">
        <f t="shared" si="5"/>
        <v>1</v>
      </c>
      <c r="AI32" s="788" t="b">
        <f t="shared" si="6"/>
        <v>1</v>
      </c>
      <c r="AJ32" s="788" t="b">
        <f t="shared" si="7"/>
        <v>1</v>
      </c>
      <c r="AK32" s="788" t="b">
        <f t="shared" si="8"/>
        <v>1</v>
      </c>
      <c r="AL32" s="788" t="b">
        <f t="shared" si="9"/>
        <v>1</v>
      </c>
      <c r="AM32" s="788" t="b">
        <f t="shared" si="10"/>
        <v>1</v>
      </c>
      <c r="AN32" s="788" t="b">
        <f t="shared" si="11"/>
        <v>1</v>
      </c>
      <c r="AO32" s="788" t="b">
        <f t="shared" si="12"/>
        <v>1</v>
      </c>
      <c r="AP32" s="788" t="b">
        <f t="shared" si="13"/>
        <v>1</v>
      </c>
      <c r="AQ32" s="788" t="b">
        <f t="shared" si="14"/>
        <v>1</v>
      </c>
      <c r="AR32" s="788" t="b">
        <f t="shared" si="15"/>
        <v>1</v>
      </c>
      <c r="AS32" s="788" t="b">
        <f t="shared" si="16"/>
        <v>1</v>
      </c>
    </row>
    <row r="33" spans="1:45" ht="12.75" customHeight="1">
      <c r="A33" s="1424"/>
      <c r="B33" s="18" t="s">
        <v>1468</v>
      </c>
      <c r="C33" s="20">
        <v>674181</v>
      </c>
      <c r="D33" s="20" t="s">
        <v>97</v>
      </c>
      <c r="E33" s="20">
        <v>574020</v>
      </c>
      <c r="F33" s="20" t="s">
        <v>97</v>
      </c>
      <c r="G33" s="20" t="s">
        <v>97</v>
      </c>
      <c r="H33" s="20" t="s">
        <v>97</v>
      </c>
      <c r="I33" s="20" t="s">
        <v>97</v>
      </c>
      <c r="J33" s="20" t="s">
        <v>97</v>
      </c>
      <c r="K33" s="20" t="s">
        <v>97</v>
      </c>
      <c r="L33" s="20" t="s">
        <v>97</v>
      </c>
      <c r="M33" s="789" t="s">
        <v>97</v>
      </c>
      <c r="N33" s="1425">
        <f t="shared" si="0"/>
        <v>1248201</v>
      </c>
      <c r="O33" s="23"/>
      <c r="P33" s="17"/>
      <c r="Q33" s="24" t="s">
        <v>1477</v>
      </c>
      <c r="R33" s="601"/>
      <c r="S33" s="598">
        <v>674181</v>
      </c>
      <c r="T33" s="597" t="s">
        <v>97</v>
      </c>
      <c r="U33" s="598">
        <v>574020</v>
      </c>
      <c r="V33" s="597" t="s">
        <v>97</v>
      </c>
      <c r="W33" s="597" t="s">
        <v>97</v>
      </c>
      <c r="X33" s="597" t="s">
        <v>97</v>
      </c>
      <c r="Y33" s="598" t="s">
        <v>97</v>
      </c>
      <c r="Z33" s="597" t="s">
        <v>97</v>
      </c>
      <c r="AA33" s="597" t="s">
        <v>97</v>
      </c>
      <c r="AB33" s="597" t="s">
        <v>97</v>
      </c>
      <c r="AC33" s="599" t="s">
        <v>97</v>
      </c>
      <c r="AD33" s="1103">
        <f t="shared" si="1"/>
        <v>1248201</v>
      </c>
      <c r="AE33" s="790">
        <f t="shared" si="2"/>
        <v>0</v>
      </c>
      <c r="AF33" s="788" t="b">
        <f t="shared" si="4"/>
        <v>1</v>
      </c>
      <c r="AH33" s="788" t="b">
        <f t="shared" si="5"/>
        <v>1</v>
      </c>
      <c r="AI33" s="788" t="b">
        <f t="shared" si="6"/>
        <v>1</v>
      </c>
      <c r="AJ33" s="788" t="b">
        <f t="shared" si="7"/>
        <v>1</v>
      </c>
      <c r="AK33" s="788" t="b">
        <f t="shared" si="8"/>
        <v>1</v>
      </c>
      <c r="AL33" s="788" t="b">
        <f t="shared" si="9"/>
        <v>1</v>
      </c>
      <c r="AM33" s="788" t="b">
        <f t="shared" si="10"/>
        <v>1</v>
      </c>
      <c r="AN33" s="788" t="b">
        <f t="shared" si="11"/>
        <v>1</v>
      </c>
      <c r="AO33" s="788" t="b">
        <f t="shared" si="12"/>
        <v>1</v>
      </c>
      <c r="AP33" s="788" t="b">
        <f t="shared" si="13"/>
        <v>1</v>
      </c>
      <c r="AQ33" s="788" t="b">
        <f t="shared" si="14"/>
        <v>1</v>
      </c>
      <c r="AR33" s="788" t="b">
        <f t="shared" si="15"/>
        <v>1</v>
      </c>
      <c r="AS33" s="788" t="b">
        <f t="shared" si="16"/>
        <v>1</v>
      </c>
    </row>
    <row r="34" spans="1:45" ht="12.75" customHeight="1">
      <c r="A34" s="1424"/>
      <c r="B34" s="18" t="s">
        <v>1469</v>
      </c>
      <c r="C34" s="20" t="s">
        <v>97</v>
      </c>
      <c r="D34" s="20" t="s">
        <v>97</v>
      </c>
      <c r="E34" s="20" t="s">
        <v>97</v>
      </c>
      <c r="F34" s="20">
        <v>4286153</v>
      </c>
      <c r="G34" s="20" t="s">
        <v>97</v>
      </c>
      <c r="H34" s="20" t="s">
        <v>97</v>
      </c>
      <c r="I34" s="20" t="s">
        <v>97</v>
      </c>
      <c r="J34" s="20" t="s">
        <v>97</v>
      </c>
      <c r="K34" s="20" t="s">
        <v>97</v>
      </c>
      <c r="L34" s="20" t="s">
        <v>97</v>
      </c>
      <c r="M34" s="789" t="s">
        <v>97</v>
      </c>
      <c r="N34" s="1425">
        <f t="shared" si="0"/>
        <v>4286153</v>
      </c>
      <c r="O34" s="23"/>
      <c r="P34" s="17"/>
      <c r="Q34" s="24" t="s">
        <v>1478</v>
      </c>
      <c r="R34" s="601"/>
      <c r="S34" s="598" t="s">
        <v>97</v>
      </c>
      <c r="T34" s="597" t="s">
        <v>97</v>
      </c>
      <c r="U34" s="598" t="s">
        <v>97</v>
      </c>
      <c r="V34" s="598">
        <v>4286153</v>
      </c>
      <c r="W34" s="597" t="s">
        <v>97</v>
      </c>
      <c r="X34" s="597" t="s">
        <v>97</v>
      </c>
      <c r="Y34" s="598" t="s">
        <v>97</v>
      </c>
      <c r="Z34" s="597" t="s">
        <v>97</v>
      </c>
      <c r="AA34" s="597" t="s">
        <v>97</v>
      </c>
      <c r="AB34" s="597" t="s">
        <v>97</v>
      </c>
      <c r="AC34" s="599" t="s">
        <v>97</v>
      </c>
      <c r="AD34" s="1103">
        <f t="shared" si="1"/>
        <v>4286153</v>
      </c>
      <c r="AE34" s="790">
        <f t="shared" si="2"/>
        <v>0</v>
      </c>
      <c r="AF34" s="788" t="b">
        <f t="shared" si="4"/>
        <v>1</v>
      </c>
      <c r="AH34" s="788" t="b">
        <f t="shared" si="5"/>
        <v>1</v>
      </c>
      <c r="AI34" s="788" t="b">
        <f t="shared" si="6"/>
        <v>1</v>
      </c>
      <c r="AJ34" s="788" t="b">
        <f t="shared" si="7"/>
        <v>1</v>
      </c>
      <c r="AK34" s="788" t="b">
        <f t="shared" si="8"/>
        <v>1</v>
      </c>
      <c r="AL34" s="788" t="b">
        <f t="shared" si="9"/>
        <v>1</v>
      </c>
      <c r="AM34" s="788" t="b">
        <f t="shared" si="10"/>
        <v>1</v>
      </c>
      <c r="AN34" s="788" t="b">
        <f t="shared" si="11"/>
        <v>1</v>
      </c>
      <c r="AO34" s="788" t="b">
        <f t="shared" si="12"/>
        <v>1</v>
      </c>
      <c r="AP34" s="788" t="b">
        <f t="shared" si="13"/>
        <v>1</v>
      </c>
      <c r="AQ34" s="788" t="b">
        <f t="shared" si="14"/>
        <v>1</v>
      </c>
      <c r="AR34" s="788" t="b">
        <f t="shared" si="15"/>
        <v>1</v>
      </c>
      <c r="AS34" s="788" t="b">
        <f t="shared" si="16"/>
        <v>1</v>
      </c>
    </row>
    <row r="35" spans="1:45" ht="12.75" customHeight="1">
      <c r="A35" s="1424"/>
      <c r="B35" s="18" t="s">
        <v>1470</v>
      </c>
      <c r="C35" s="20">
        <v>370796</v>
      </c>
      <c r="D35" s="20">
        <v>609400</v>
      </c>
      <c r="E35" s="20">
        <v>1014141</v>
      </c>
      <c r="F35" s="20">
        <v>540169</v>
      </c>
      <c r="G35" s="20">
        <v>300036</v>
      </c>
      <c r="H35" s="20" t="s">
        <v>97</v>
      </c>
      <c r="I35" s="20" t="s">
        <v>97</v>
      </c>
      <c r="J35" s="20">
        <v>477830</v>
      </c>
      <c r="K35" s="20">
        <v>706150</v>
      </c>
      <c r="L35" s="20">
        <v>158000</v>
      </c>
      <c r="M35" s="789" t="s">
        <v>97</v>
      </c>
      <c r="N35" s="1425">
        <f t="shared" si="0"/>
        <v>4176522</v>
      </c>
      <c r="O35" s="23"/>
      <c r="P35" s="17"/>
      <c r="Q35" s="24" t="s">
        <v>1479</v>
      </c>
      <c r="R35" s="601"/>
      <c r="S35" s="598">
        <v>370796</v>
      </c>
      <c r="T35" s="598">
        <v>609400</v>
      </c>
      <c r="U35" s="598">
        <v>1014141</v>
      </c>
      <c r="V35" s="598">
        <v>540169</v>
      </c>
      <c r="W35" s="598">
        <v>300036</v>
      </c>
      <c r="X35" s="597" t="s">
        <v>97</v>
      </c>
      <c r="Y35" s="598" t="s">
        <v>97</v>
      </c>
      <c r="Z35" s="598">
        <v>477830</v>
      </c>
      <c r="AA35" s="598">
        <v>706150</v>
      </c>
      <c r="AB35" s="598">
        <v>158000</v>
      </c>
      <c r="AC35" s="599" t="s">
        <v>97</v>
      </c>
      <c r="AD35" s="1103">
        <f t="shared" si="1"/>
        <v>4176522</v>
      </c>
      <c r="AE35" s="790">
        <f t="shared" si="2"/>
        <v>0</v>
      </c>
      <c r="AF35" s="788" t="b">
        <f t="shared" si="4"/>
        <v>1</v>
      </c>
      <c r="AH35" s="788" t="b">
        <f t="shared" si="5"/>
        <v>1</v>
      </c>
      <c r="AI35" s="788" t="b">
        <f t="shared" si="6"/>
        <v>1</v>
      </c>
      <c r="AJ35" s="788" t="b">
        <f t="shared" si="7"/>
        <v>1</v>
      </c>
      <c r="AK35" s="788" t="b">
        <f t="shared" si="8"/>
        <v>1</v>
      </c>
      <c r="AL35" s="788" t="b">
        <f t="shared" si="9"/>
        <v>1</v>
      </c>
      <c r="AM35" s="788" t="b">
        <f t="shared" si="10"/>
        <v>1</v>
      </c>
      <c r="AN35" s="788" t="b">
        <f t="shared" si="11"/>
        <v>1</v>
      </c>
      <c r="AO35" s="788" t="b">
        <f t="shared" si="12"/>
        <v>1</v>
      </c>
      <c r="AP35" s="788" t="b">
        <f t="shared" si="13"/>
        <v>1</v>
      </c>
      <c r="AQ35" s="788" t="b">
        <f t="shared" si="14"/>
        <v>1</v>
      </c>
      <c r="AR35" s="788" t="b">
        <f t="shared" si="15"/>
        <v>1</v>
      </c>
      <c r="AS35" s="788" t="b">
        <f t="shared" si="16"/>
        <v>1</v>
      </c>
    </row>
    <row r="36" spans="1:45" ht="12.75" customHeight="1">
      <c r="A36" s="1424">
        <v>2008</v>
      </c>
      <c r="B36" s="18" t="s">
        <v>1467</v>
      </c>
      <c r="C36" s="20" t="s">
        <v>97</v>
      </c>
      <c r="D36" s="20" t="s">
        <v>97</v>
      </c>
      <c r="E36" s="20">
        <v>804665</v>
      </c>
      <c r="F36" s="20" t="s">
        <v>97</v>
      </c>
      <c r="G36" s="20">
        <v>265832</v>
      </c>
      <c r="H36" s="20" t="s">
        <v>97</v>
      </c>
      <c r="I36" s="20" t="s">
        <v>97</v>
      </c>
      <c r="J36" s="20">
        <v>101700</v>
      </c>
      <c r="K36" s="20">
        <v>363000</v>
      </c>
      <c r="L36" s="20" t="s">
        <v>97</v>
      </c>
      <c r="M36" s="789" t="s">
        <v>97</v>
      </c>
      <c r="N36" s="1425">
        <f t="shared" si="0"/>
        <v>1535197</v>
      </c>
      <c r="O36" s="23"/>
      <c r="P36" s="17">
        <v>2008</v>
      </c>
      <c r="Q36" s="24" t="s">
        <v>1467</v>
      </c>
      <c r="R36" s="601"/>
      <c r="S36" s="597" t="s">
        <v>97</v>
      </c>
      <c r="T36" s="597" t="s">
        <v>97</v>
      </c>
      <c r="U36" s="598">
        <v>804665</v>
      </c>
      <c r="V36" s="597" t="s">
        <v>97</v>
      </c>
      <c r="W36" s="598">
        <v>265832</v>
      </c>
      <c r="X36" s="597" t="s">
        <v>97</v>
      </c>
      <c r="Y36" s="598" t="s">
        <v>97</v>
      </c>
      <c r="Z36" s="598">
        <v>101700</v>
      </c>
      <c r="AA36" s="598">
        <v>363000</v>
      </c>
      <c r="AB36" s="597" t="s">
        <v>97</v>
      </c>
      <c r="AC36" s="599" t="s">
        <v>97</v>
      </c>
      <c r="AD36" s="1103">
        <f t="shared" si="1"/>
        <v>1535197</v>
      </c>
      <c r="AE36" s="790">
        <f t="shared" si="2"/>
        <v>0</v>
      </c>
      <c r="AF36" s="788" t="b">
        <f t="shared" si="4"/>
        <v>1</v>
      </c>
      <c r="AH36" s="788" t="b">
        <f t="shared" si="5"/>
        <v>1</v>
      </c>
      <c r="AI36" s="788" t="b">
        <f t="shared" si="6"/>
        <v>1</v>
      </c>
      <c r="AJ36" s="788" t="b">
        <f t="shared" si="7"/>
        <v>1</v>
      </c>
      <c r="AK36" s="788" t="b">
        <f t="shared" si="8"/>
        <v>1</v>
      </c>
      <c r="AL36" s="788" t="b">
        <f t="shared" si="9"/>
        <v>1</v>
      </c>
      <c r="AM36" s="788" t="b">
        <f t="shared" si="10"/>
        <v>1</v>
      </c>
      <c r="AN36" s="788" t="b">
        <f t="shared" si="11"/>
        <v>1</v>
      </c>
      <c r="AO36" s="788" t="b">
        <f t="shared" si="12"/>
        <v>1</v>
      </c>
      <c r="AP36" s="788" t="b">
        <f t="shared" si="13"/>
        <v>1</v>
      </c>
      <c r="AQ36" s="788" t="b">
        <f t="shared" si="14"/>
        <v>1</v>
      </c>
      <c r="AR36" s="788" t="b">
        <f t="shared" si="15"/>
        <v>1</v>
      </c>
      <c r="AS36" s="788" t="b">
        <f t="shared" si="16"/>
        <v>1</v>
      </c>
    </row>
    <row r="37" spans="1:45" ht="12.75" customHeight="1">
      <c r="A37" s="1424"/>
      <c r="B37" s="18" t="s">
        <v>1468</v>
      </c>
      <c r="C37" s="20">
        <v>714118</v>
      </c>
      <c r="D37" s="20" t="s">
        <v>97</v>
      </c>
      <c r="E37" s="20">
        <v>702659</v>
      </c>
      <c r="F37" s="20" t="s">
        <v>97</v>
      </c>
      <c r="G37" s="20" t="s">
        <v>97</v>
      </c>
      <c r="H37" s="20" t="s">
        <v>97</v>
      </c>
      <c r="I37" s="20" t="s">
        <v>97</v>
      </c>
      <c r="J37" s="20" t="s">
        <v>97</v>
      </c>
      <c r="K37" s="20" t="s">
        <v>97</v>
      </c>
      <c r="L37" s="20" t="s">
        <v>97</v>
      </c>
      <c r="M37" s="789" t="s">
        <v>97</v>
      </c>
      <c r="N37" s="1425">
        <f t="shared" si="0"/>
        <v>1416777</v>
      </c>
      <c r="O37" s="23"/>
      <c r="P37" s="17"/>
      <c r="Q37" s="24" t="s">
        <v>1477</v>
      </c>
      <c r="R37" s="601"/>
      <c r="S37" s="598">
        <v>714118</v>
      </c>
      <c r="T37" s="597" t="s">
        <v>97</v>
      </c>
      <c r="U37" s="598">
        <v>702659</v>
      </c>
      <c r="V37" s="597" t="s">
        <v>97</v>
      </c>
      <c r="W37" s="597" t="s">
        <v>97</v>
      </c>
      <c r="X37" s="597" t="s">
        <v>97</v>
      </c>
      <c r="Y37" s="598" t="s">
        <v>97</v>
      </c>
      <c r="Z37" s="597" t="s">
        <v>97</v>
      </c>
      <c r="AA37" s="598" t="s">
        <v>97</v>
      </c>
      <c r="AB37" s="597" t="s">
        <v>97</v>
      </c>
      <c r="AC37" s="599" t="s">
        <v>97</v>
      </c>
      <c r="AD37" s="1103">
        <f t="shared" si="1"/>
        <v>1416777</v>
      </c>
      <c r="AE37" s="790">
        <f t="shared" si="2"/>
        <v>0</v>
      </c>
      <c r="AF37" s="788" t="b">
        <f t="shared" si="4"/>
        <v>1</v>
      </c>
      <c r="AH37" s="788" t="b">
        <f t="shared" ref="AH37:AH68" si="17">S37=C37</f>
        <v>1</v>
      </c>
      <c r="AI37" s="788" t="b">
        <f t="shared" ref="AI37:AI68" si="18">T37=D37</f>
        <v>1</v>
      </c>
      <c r="AJ37" s="788" t="b">
        <f t="shared" ref="AJ37:AJ68" si="19">U37=E37</f>
        <v>1</v>
      </c>
      <c r="AK37" s="788" t="b">
        <f t="shared" ref="AK37:AK68" si="20">V37=F37</f>
        <v>1</v>
      </c>
      <c r="AL37" s="788" t="b">
        <f t="shared" ref="AL37:AL68" si="21">W37=G37</f>
        <v>1</v>
      </c>
      <c r="AM37" s="788" t="b">
        <f t="shared" si="10"/>
        <v>1</v>
      </c>
      <c r="AN37" s="788" t="b">
        <f t="shared" ref="AN37:AN68" si="22">Y37=I37</f>
        <v>1</v>
      </c>
      <c r="AO37" s="788" t="b">
        <f t="shared" ref="AO37:AO68" si="23">Z37=J37</f>
        <v>1</v>
      </c>
      <c r="AP37" s="788" t="b">
        <f t="shared" ref="AP37:AP68" si="24">AA37=K37</f>
        <v>1</v>
      </c>
      <c r="AQ37" s="788" t="b">
        <f t="shared" ref="AQ37:AQ68" si="25">AB37=L37</f>
        <v>1</v>
      </c>
      <c r="AR37" s="788" t="b">
        <f t="shared" ref="AR37:AR68" si="26">AC37=M37</f>
        <v>1</v>
      </c>
      <c r="AS37" s="788" t="b">
        <f t="shared" ref="AS37:AS68" si="27">AD37=N37</f>
        <v>1</v>
      </c>
    </row>
    <row r="38" spans="1:45" ht="12.75" customHeight="1">
      <c r="A38" s="1424"/>
      <c r="B38" s="18" t="s">
        <v>1469</v>
      </c>
      <c r="C38" s="20" t="s">
        <v>97</v>
      </c>
      <c r="D38" s="20" t="s">
        <v>97</v>
      </c>
      <c r="E38" s="20" t="s">
        <v>97</v>
      </c>
      <c r="F38" s="20">
        <v>5666218</v>
      </c>
      <c r="G38" s="20" t="s">
        <v>97</v>
      </c>
      <c r="H38" s="20" t="s">
        <v>97</v>
      </c>
      <c r="I38" s="20" t="s">
        <v>97</v>
      </c>
      <c r="J38" s="20" t="s">
        <v>97</v>
      </c>
      <c r="K38" s="20">
        <v>700000</v>
      </c>
      <c r="L38" s="20" t="s">
        <v>97</v>
      </c>
      <c r="M38" s="789" t="s">
        <v>97</v>
      </c>
      <c r="N38" s="1425">
        <f t="shared" si="0"/>
        <v>6366218</v>
      </c>
      <c r="O38" s="23"/>
      <c r="P38" s="17"/>
      <c r="Q38" s="24" t="s">
        <v>1478</v>
      </c>
      <c r="R38" s="601"/>
      <c r="S38" s="598" t="s">
        <v>97</v>
      </c>
      <c r="T38" s="597" t="s">
        <v>97</v>
      </c>
      <c r="U38" s="598" t="s">
        <v>97</v>
      </c>
      <c r="V38" s="598">
        <v>5666218</v>
      </c>
      <c r="W38" s="597" t="s">
        <v>97</v>
      </c>
      <c r="X38" s="597" t="s">
        <v>97</v>
      </c>
      <c r="Y38" s="598" t="s">
        <v>97</v>
      </c>
      <c r="Z38" s="597" t="s">
        <v>97</v>
      </c>
      <c r="AA38" s="598">
        <v>700000</v>
      </c>
      <c r="AB38" s="597" t="s">
        <v>97</v>
      </c>
      <c r="AC38" s="599" t="s">
        <v>97</v>
      </c>
      <c r="AD38" s="1103">
        <f t="shared" si="1"/>
        <v>6366218</v>
      </c>
      <c r="AE38" s="790">
        <f t="shared" si="2"/>
        <v>0</v>
      </c>
      <c r="AF38" s="788" t="b">
        <f t="shared" si="4"/>
        <v>1</v>
      </c>
      <c r="AH38" s="788" t="b">
        <f t="shared" si="17"/>
        <v>1</v>
      </c>
      <c r="AI38" s="788" t="b">
        <f t="shared" si="18"/>
        <v>1</v>
      </c>
      <c r="AJ38" s="788" t="b">
        <f t="shared" si="19"/>
        <v>1</v>
      </c>
      <c r="AK38" s="788" t="b">
        <f t="shared" si="20"/>
        <v>1</v>
      </c>
      <c r="AL38" s="788" t="b">
        <f t="shared" si="21"/>
        <v>1</v>
      </c>
      <c r="AM38" s="788" t="b">
        <f t="shared" si="10"/>
        <v>1</v>
      </c>
      <c r="AN38" s="788" t="b">
        <f t="shared" si="22"/>
        <v>1</v>
      </c>
      <c r="AO38" s="788" t="b">
        <f t="shared" si="23"/>
        <v>1</v>
      </c>
      <c r="AP38" s="788" t="b">
        <f t="shared" si="24"/>
        <v>1</v>
      </c>
      <c r="AQ38" s="788" t="b">
        <f t="shared" si="25"/>
        <v>1</v>
      </c>
      <c r="AR38" s="788" t="b">
        <f t="shared" si="26"/>
        <v>1</v>
      </c>
      <c r="AS38" s="788" t="b">
        <f t="shared" si="27"/>
        <v>1</v>
      </c>
    </row>
    <row r="39" spans="1:45" ht="12.75" customHeight="1">
      <c r="A39" s="1424"/>
      <c r="B39" s="18" t="s">
        <v>1470</v>
      </c>
      <c r="C39" s="20">
        <v>347494</v>
      </c>
      <c r="D39" s="20">
        <v>561968</v>
      </c>
      <c r="E39" s="20">
        <v>783092</v>
      </c>
      <c r="F39" s="20">
        <v>516206</v>
      </c>
      <c r="G39" s="20">
        <v>417506</v>
      </c>
      <c r="H39" s="20" t="s">
        <v>97</v>
      </c>
      <c r="I39" s="20" t="s">
        <v>97</v>
      </c>
      <c r="J39" s="20">
        <v>483412</v>
      </c>
      <c r="K39" s="20">
        <v>747000</v>
      </c>
      <c r="L39" s="20">
        <v>153000</v>
      </c>
      <c r="M39" s="789" t="s">
        <v>97</v>
      </c>
      <c r="N39" s="1425">
        <f t="shared" si="0"/>
        <v>4009678</v>
      </c>
      <c r="O39" s="23"/>
      <c r="P39" s="17"/>
      <c r="Q39" s="24" t="s">
        <v>1479</v>
      </c>
      <c r="R39" s="601"/>
      <c r="S39" s="598">
        <v>347494</v>
      </c>
      <c r="T39" s="598">
        <v>561968</v>
      </c>
      <c r="U39" s="598">
        <v>783092</v>
      </c>
      <c r="V39" s="598">
        <v>516206</v>
      </c>
      <c r="W39" s="598">
        <v>417506</v>
      </c>
      <c r="X39" s="597" t="s">
        <v>97</v>
      </c>
      <c r="Y39" s="598" t="s">
        <v>97</v>
      </c>
      <c r="Z39" s="598">
        <v>483412</v>
      </c>
      <c r="AA39" s="598">
        <v>747000</v>
      </c>
      <c r="AB39" s="598">
        <v>153000</v>
      </c>
      <c r="AC39" s="599" t="s">
        <v>97</v>
      </c>
      <c r="AD39" s="1103">
        <f t="shared" si="1"/>
        <v>4009678</v>
      </c>
      <c r="AE39" s="790">
        <f t="shared" si="2"/>
        <v>0</v>
      </c>
      <c r="AF39" s="788" t="b">
        <f t="shared" si="4"/>
        <v>1</v>
      </c>
      <c r="AH39" s="788" t="b">
        <f t="shared" si="17"/>
        <v>1</v>
      </c>
      <c r="AI39" s="788" t="b">
        <f t="shared" si="18"/>
        <v>1</v>
      </c>
      <c r="AJ39" s="788" t="b">
        <f t="shared" si="19"/>
        <v>1</v>
      </c>
      <c r="AK39" s="788" t="b">
        <f t="shared" si="20"/>
        <v>1</v>
      </c>
      <c r="AL39" s="788" t="b">
        <f t="shared" si="21"/>
        <v>1</v>
      </c>
      <c r="AM39" s="788" t="b">
        <f t="shared" si="10"/>
        <v>1</v>
      </c>
      <c r="AN39" s="788" t="b">
        <f t="shared" si="22"/>
        <v>1</v>
      </c>
      <c r="AO39" s="788" t="b">
        <f t="shared" si="23"/>
        <v>1</v>
      </c>
      <c r="AP39" s="788" t="b">
        <f t="shared" si="24"/>
        <v>1</v>
      </c>
      <c r="AQ39" s="788" t="b">
        <f t="shared" si="25"/>
        <v>1</v>
      </c>
      <c r="AR39" s="788" t="b">
        <f t="shared" si="26"/>
        <v>1</v>
      </c>
      <c r="AS39" s="788" t="b">
        <f t="shared" si="27"/>
        <v>1</v>
      </c>
    </row>
    <row r="40" spans="1:45" ht="12.75" customHeight="1">
      <c r="A40" s="1424">
        <v>2009</v>
      </c>
      <c r="B40" s="18" t="s">
        <v>1467</v>
      </c>
      <c r="C40" s="20" t="s">
        <v>97</v>
      </c>
      <c r="D40" s="20" t="s">
        <v>97</v>
      </c>
      <c r="E40" s="20">
        <v>702609</v>
      </c>
      <c r="F40" s="20" t="s">
        <v>97</v>
      </c>
      <c r="G40" s="20">
        <v>253503</v>
      </c>
      <c r="H40" s="20" t="s">
        <v>97</v>
      </c>
      <c r="I40" s="20" t="s">
        <v>97</v>
      </c>
      <c r="J40" s="20">
        <v>100557</v>
      </c>
      <c r="K40" s="20">
        <v>234000</v>
      </c>
      <c r="L40" s="20" t="s">
        <v>97</v>
      </c>
      <c r="M40" s="789" t="s">
        <v>97</v>
      </c>
      <c r="N40" s="1425">
        <f t="shared" si="0"/>
        <v>1290669</v>
      </c>
      <c r="O40" s="23"/>
      <c r="P40" s="17">
        <v>2009</v>
      </c>
      <c r="Q40" s="24" t="s">
        <v>1467</v>
      </c>
      <c r="R40" s="601"/>
      <c r="S40" s="597" t="s">
        <v>97</v>
      </c>
      <c r="T40" s="597" t="s">
        <v>97</v>
      </c>
      <c r="U40" s="598">
        <v>702609</v>
      </c>
      <c r="V40" s="597" t="s">
        <v>97</v>
      </c>
      <c r="W40" s="598">
        <v>253503</v>
      </c>
      <c r="X40" s="597" t="s">
        <v>97</v>
      </c>
      <c r="Y40" s="598" t="s">
        <v>97</v>
      </c>
      <c r="Z40" s="598">
        <v>100557</v>
      </c>
      <c r="AA40" s="598">
        <v>234000</v>
      </c>
      <c r="AB40" s="597" t="s">
        <v>97</v>
      </c>
      <c r="AC40" s="599" t="s">
        <v>97</v>
      </c>
      <c r="AD40" s="1103">
        <f t="shared" si="1"/>
        <v>1290669</v>
      </c>
      <c r="AE40" s="790">
        <f t="shared" si="2"/>
        <v>0</v>
      </c>
      <c r="AF40" s="788" t="b">
        <f t="shared" si="4"/>
        <v>1</v>
      </c>
      <c r="AH40" s="788" t="b">
        <f t="shared" si="17"/>
        <v>1</v>
      </c>
      <c r="AI40" s="788" t="b">
        <f t="shared" si="18"/>
        <v>1</v>
      </c>
      <c r="AJ40" s="788" t="b">
        <f t="shared" si="19"/>
        <v>1</v>
      </c>
      <c r="AK40" s="788" t="b">
        <f t="shared" si="20"/>
        <v>1</v>
      </c>
      <c r="AL40" s="788" t="b">
        <f t="shared" si="21"/>
        <v>1</v>
      </c>
      <c r="AM40" s="788" t="b">
        <f t="shared" si="10"/>
        <v>1</v>
      </c>
      <c r="AN40" s="788" t="b">
        <f t="shared" si="22"/>
        <v>1</v>
      </c>
      <c r="AO40" s="788" t="b">
        <f t="shared" si="23"/>
        <v>1</v>
      </c>
      <c r="AP40" s="788" t="b">
        <f t="shared" si="24"/>
        <v>1</v>
      </c>
      <c r="AQ40" s="788" t="b">
        <f t="shared" si="25"/>
        <v>1</v>
      </c>
      <c r="AR40" s="788" t="b">
        <f t="shared" si="26"/>
        <v>1</v>
      </c>
      <c r="AS40" s="788" t="b">
        <f t="shared" si="27"/>
        <v>1</v>
      </c>
    </row>
    <row r="41" spans="1:45" ht="12.75" customHeight="1">
      <c r="A41" s="1424"/>
      <c r="B41" s="18" t="s">
        <v>1468</v>
      </c>
      <c r="C41" s="20">
        <v>685056</v>
      </c>
      <c r="D41" s="20" t="s">
        <v>97</v>
      </c>
      <c r="E41" s="20">
        <v>229105</v>
      </c>
      <c r="F41" s="20" t="s">
        <v>97</v>
      </c>
      <c r="G41" s="20" t="s">
        <v>97</v>
      </c>
      <c r="H41" s="20" t="s">
        <v>97</v>
      </c>
      <c r="I41" s="20" t="s">
        <v>97</v>
      </c>
      <c r="J41" s="20" t="s">
        <v>97</v>
      </c>
      <c r="K41" s="20" t="s">
        <v>97</v>
      </c>
      <c r="L41" s="20" t="s">
        <v>97</v>
      </c>
      <c r="M41" s="789" t="s">
        <v>97</v>
      </c>
      <c r="N41" s="1425">
        <f t="shared" si="0"/>
        <v>914161</v>
      </c>
      <c r="O41" s="23"/>
      <c r="P41" s="17"/>
      <c r="Q41" s="24" t="s">
        <v>1477</v>
      </c>
      <c r="R41" s="602"/>
      <c r="S41" s="598">
        <v>685056</v>
      </c>
      <c r="T41" s="598" t="s">
        <v>97</v>
      </c>
      <c r="U41" s="598">
        <v>229105</v>
      </c>
      <c r="V41" s="598" t="s">
        <v>97</v>
      </c>
      <c r="W41" s="597" t="s">
        <v>97</v>
      </c>
      <c r="X41" s="597" t="s">
        <v>97</v>
      </c>
      <c r="Y41" s="598" t="s">
        <v>97</v>
      </c>
      <c r="Z41" s="597" t="s">
        <v>97</v>
      </c>
      <c r="AA41" s="598" t="s">
        <v>97</v>
      </c>
      <c r="AB41" s="597" t="s">
        <v>97</v>
      </c>
      <c r="AC41" s="599" t="s">
        <v>97</v>
      </c>
      <c r="AD41" s="1103">
        <f t="shared" si="1"/>
        <v>914161</v>
      </c>
      <c r="AE41" s="790">
        <f t="shared" si="2"/>
        <v>0</v>
      </c>
      <c r="AF41" s="788" t="b">
        <f t="shared" si="4"/>
        <v>1</v>
      </c>
      <c r="AH41" s="788" t="b">
        <f t="shared" si="17"/>
        <v>1</v>
      </c>
      <c r="AI41" s="788" t="b">
        <f t="shared" si="18"/>
        <v>1</v>
      </c>
      <c r="AJ41" s="788" t="b">
        <f t="shared" si="19"/>
        <v>1</v>
      </c>
      <c r="AK41" s="788" t="b">
        <f t="shared" si="20"/>
        <v>1</v>
      </c>
      <c r="AL41" s="788" t="b">
        <f t="shared" si="21"/>
        <v>1</v>
      </c>
      <c r="AM41" s="788" t="b">
        <f t="shared" si="10"/>
        <v>1</v>
      </c>
      <c r="AN41" s="788" t="b">
        <f t="shared" si="22"/>
        <v>1</v>
      </c>
      <c r="AO41" s="788" t="b">
        <f t="shared" si="23"/>
        <v>1</v>
      </c>
      <c r="AP41" s="788" t="b">
        <f t="shared" si="24"/>
        <v>1</v>
      </c>
      <c r="AQ41" s="788" t="b">
        <f t="shared" si="25"/>
        <v>1</v>
      </c>
      <c r="AR41" s="788" t="b">
        <f t="shared" si="26"/>
        <v>1</v>
      </c>
      <c r="AS41" s="788" t="b">
        <f t="shared" si="27"/>
        <v>1</v>
      </c>
    </row>
    <row r="42" spans="1:45" ht="12.75" customHeight="1">
      <c r="A42" s="1424"/>
      <c r="B42" s="18" t="s">
        <v>1469</v>
      </c>
      <c r="C42" s="20" t="s">
        <v>97</v>
      </c>
      <c r="D42" s="20">
        <v>2093575</v>
      </c>
      <c r="E42" s="20" t="s">
        <v>97</v>
      </c>
      <c r="F42" s="20">
        <v>3948579</v>
      </c>
      <c r="G42" s="20" t="s">
        <v>97</v>
      </c>
      <c r="H42" s="20" t="s">
        <v>97</v>
      </c>
      <c r="I42" s="20" t="s">
        <v>97</v>
      </c>
      <c r="J42" s="20" t="s">
        <v>97</v>
      </c>
      <c r="K42" s="20">
        <v>700000</v>
      </c>
      <c r="L42" s="20" t="s">
        <v>97</v>
      </c>
      <c r="M42" s="789" t="s">
        <v>97</v>
      </c>
      <c r="N42" s="1425">
        <f t="shared" si="0"/>
        <v>6742154</v>
      </c>
      <c r="O42" s="23"/>
      <c r="P42" s="17"/>
      <c r="Q42" s="24" t="s">
        <v>1478</v>
      </c>
      <c r="R42" s="601"/>
      <c r="S42" s="598" t="s">
        <v>97</v>
      </c>
      <c r="T42" s="598">
        <v>2093575</v>
      </c>
      <c r="U42" s="598" t="s">
        <v>97</v>
      </c>
      <c r="V42" s="598">
        <v>3948579</v>
      </c>
      <c r="W42" s="597" t="s">
        <v>97</v>
      </c>
      <c r="X42" s="597" t="s">
        <v>97</v>
      </c>
      <c r="Y42" s="598" t="s">
        <v>97</v>
      </c>
      <c r="Z42" s="597" t="s">
        <v>97</v>
      </c>
      <c r="AA42" s="598">
        <v>700000</v>
      </c>
      <c r="AB42" s="597" t="s">
        <v>97</v>
      </c>
      <c r="AC42" s="599" t="s">
        <v>97</v>
      </c>
      <c r="AD42" s="1103">
        <f t="shared" si="1"/>
        <v>6742154</v>
      </c>
      <c r="AE42" s="790">
        <f t="shared" si="2"/>
        <v>0</v>
      </c>
      <c r="AF42" s="788" t="b">
        <f t="shared" si="4"/>
        <v>1</v>
      </c>
      <c r="AH42" s="788" t="b">
        <f t="shared" si="17"/>
        <v>1</v>
      </c>
      <c r="AI42" s="788" t="b">
        <f t="shared" si="18"/>
        <v>1</v>
      </c>
      <c r="AJ42" s="788" t="b">
        <f t="shared" si="19"/>
        <v>1</v>
      </c>
      <c r="AK42" s="788" t="b">
        <f t="shared" si="20"/>
        <v>1</v>
      </c>
      <c r="AL42" s="788" t="b">
        <f t="shared" si="21"/>
        <v>1</v>
      </c>
      <c r="AM42" s="788" t="b">
        <f t="shared" si="10"/>
        <v>1</v>
      </c>
      <c r="AN42" s="788" t="b">
        <f t="shared" si="22"/>
        <v>1</v>
      </c>
      <c r="AO42" s="788" t="b">
        <f t="shared" si="23"/>
        <v>1</v>
      </c>
      <c r="AP42" s="788" t="b">
        <f t="shared" si="24"/>
        <v>1</v>
      </c>
      <c r="AQ42" s="788" t="b">
        <f t="shared" si="25"/>
        <v>1</v>
      </c>
      <c r="AR42" s="788" t="b">
        <f t="shared" si="26"/>
        <v>1</v>
      </c>
      <c r="AS42" s="788" t="b">
        <f t="shared" si="27"/>
        <v>1</v>
      </c>
    </row>
    <row r="43" spans="1:45" ht="12.75" customHeight="1">
      <c r="A43" s="1420"/>
      <c r="B43" s="18" t="s">
        <v>1470</v>
      </c>
      <c r="C43" s="20">
        <v>368980</v>
      </c>
      <c r="D43" s="20">
        <v>392314</v>
      </c>
      <c r="E43" s="20">
        <v>796443</v>
      </c>
      <c r="F43" s="20">
        <v>538402</v>
      </c>
      <c r="G43" s="20">
        <v>388505</v>
      </c>
      <c r="H43" s="20" t="s">
        <v>97</v>
      </c>
      <c r="I43" s="20" t="s">
        <v>97</v>
      </c>
      <c r="J43" s="20">
        <v>479365</v>
      </c>
      <c r="K43" s="20">
        <v>692000</v>
      </c>
      <c r="L43" s="20">
        <v>155000</v>
      </c>
      <c r="M43" s="789" t="s">
        <v>97</v>
      </c>
      <c r="N43" s="1425">
        <f t="shared" si="0"/>
        <v>3811009</v>
      </c>
      <c r="O43" s="23"/>
      <c r="P43" s="12"/>
      <c r="Q43" s="24" t="s">
        <v>1479</v>
      </c>
      <c r="R43" s="601"/>
      <c r="S43" s="598">
        <v>368980</v>
      </c>
      <c r="T43" s="598">
        <v>392314</v>
      </c>
      <c r="U43" s="598">
        <v>796443</v>
      </c>
      <c r="V43" s="598">
        <v>538402</v>
      </c>
      <c r="W43" s="598">
        <v>388505</v>
      </c>
      <c r="X43" s="597" t="s">
        <v>97</v>
      </c>
      <c r="Y43" s="598" t="s">
        <v>97</v>
      </c>
      <c r="Z43" s="598">
        <v>479365</v>
      </c>
      <c r="AA43" s="598">
        <v>692000</v>
      </c>
      <c r="AB43" s="598">
        <v>155000</v>
      </c>
      <c r="AC43" s="599" t="s">
        <v>97</v>
      </c>
      <c r="AD43" s="1103">
        <f t="shared" si="1"/>
        <v>3811009</v>
      </c>
      <c r="AE43" s="790">
        <f t="shared" si="2"/>
        <v>0</v>
      </c>
      <c r="AF43" s="788" t="b">
        <f t="shared" si="4"/>
        <v>1</v>
      </c>
      <c r="AH43" s="788" t="b">
        <f t="shared" si="17"/>
        <v>1</v>
      </c>
      <c r="AI43" s="788" t="b">
        <f t="shared" si="18"/>
        <v>1</v>
      </c>
      <c r="AJ43" s="788" t="b">
        <f t="shared" si="19"/>
        <v>1</v>
      </c>
      <c r="AK43" s="788" t="b">
        <f t="shared" si="20"/>
        <v>1</v>
      </c>
      <c r="AL43" s="788" t="b">
        <f t="shared" si="21"/>
        <v>1</v>
      </c>
      <c r="AM43" s="788" t="b">
        <f t="shared" si="10"/>
        <v>1</v>
      </c>
      <c r="AN43" s="788" t="b">
        <f t="shared" si="22"/>
        <v>1</v>
      </c>
      <c r="AO43" s="788" t="b">
        <f t="shared" si="23"/>
        <v>1</v>
      </c>
      <c r="AP43" s="788" t="b">
        <f t="shared" si="24"/>
        <v>1</v>
      </c>
      <c r="AQ43" s="788" t="b">
        <f t="shared" si="25"/>
        <v>1</v>
      </c>
      <c r="AR43" s="788" t="b">
        <f t="shared" si="26"/>
        <v>1</v>
      </c>
      <c r="AS43" s="788" t="b">
        <f t="shared" si="27"/>
        <v>1</v>
      </c>
    </row>
    <row r="44" spans="1:45" ht="12.75" customHeight="1">
      <c r="A44" s="1424">
        <v>2010</v>
      </c>
      <c r="B44" s="18" t="s">
        <v>1467</v>
      </c>
      <c r="C44" s="20" t="s">
        <v>97</v>
      </c>
      <c r="D44" s="20" t="s">
        <v>97</v>
      </c>
      <c r="E44" s="20">
        <v>612330</v>
      </c>
      <c r="F44" s="20" t="s">
        <v>97</v>
      </c>
      <c r="G44" s="20">
        <v>258923</v>
      </c>
      <c r="H44" s="20" t="s">
        <v>97</v>
      </c>
      <c r="I44" s="20" t="s">
        <v>97</v>
      </c>
      <c r="J44" s="20">
        <v>253002</v>
      </c>
      <c r="K44" s="20">
        <v>405000</v>
      </c>
      <c r="L44" s="20" t="s">
        <v>97</v>
      </c>
      <c r="M44" s="789" t="s">
        <v>97</v>
      </c>
      <c r="N44" s="1425">
        <f t="shared" si="0"/>
        <v>1529255</v>
      </c>
      <c r="O44" s="23"/>
      <c r="P44" s="17">
        <v>2010</v>
      </c>
      <c r="Q44" s="24" t="s">
        <v>1467</v>
      </c>
      <c r="R44" s="602"/>
      <c r="S44" s="597" t="s">
        <v>97</v>
      </c>
      <c r="T44" s="597" t="s">
        <v>97</v>
      </c>
      <c r="U44" s="598">
        <v>612330</v>
      </c>
      <c r="V44" s="598" t="s">
        <v>97</v>
      </c>
      <c r="W44" s="598">
        <v>258923</v>
      </c>
      <c r="X44" s="597" t="s">
        <v>97</v>
      </c>
      <c r="Y44" s="598" t="s">
        <v>97</v>
      </c>
      <c r="Z44" s="598">
        <v>253002</v>
      </c>
      <c r="AA44" s="598">
        <v>405000</v>
      </c>
      <c r="AB44" s="597" t="s">
        <v>97</v>
      </c>
      <c r="AC44" s="599" t="s">
        <v>97</v>
      </c>
      <c r="AD44" s="1103">
        <f t="shared" si="1"/>
        <v>1529255</v>
      </c>
      <c r="AE44" s="790">
        <f t="shared" si="2"/>
        <v>0</v>
      </c>
      <c r="AF44" s="788" t="b">
        <f t="shared" si="4"/>
        <v>1</v>
      </c>
      <c r="AH44" s="788" t="b">
        <f t="shared" si="17"/>
        <v>1</v>
      </c>
      <c r="AI44" s="788" t="b">
        <f t="shared" si="18"/>
        <v>1</v>
      </c>
      <c r="AJ44" s="788" t="b">
        <f t="shared" si="19"/>
        <v>1</v>
      </c>
      <c r="AK44" s="788" t="b">
        <f t="shared" si="20"/>
        <v>1</v>
      </c>
      <c r="AL44" s="788" t="b">
        <f t="shared" si="21"/>
        <v>1</v>
      </c>
      <c r="AM44" s="788" t="b">
        <f t="shared" si="10"/>
        <v>1</v>
      </c>
      <c r="AN44" s="788" t="b">
        <f t="shared" si="22"/>
        <v>1</v>
      </c>
      <c r="AO44" s="788" t="b">
        <f t="shared" si="23"/>
        <v>1</v>
      </c>
      <c r="AP44" s="788" t="b">
        <f t="shared" si="24"/>
        <v>1</v>
      </c>
      <c r="AQ44" s="788" t="b">
        <f t="shared" si="25"/>
        <v>1</v>
      </c>
      <c r="AR44" s="788" t="b">
        <f t="shared" si="26"/>
        <v>1</v>
      </c>
      <c r="AS44" s="788" t="b">
        <f t="shared" si="27"/>
        <v>1</v>
      </c>
    </row>
    <row r="45" spans="1:45" ht="12.75" customHeight="1">
      <c r="A45" s="1424"/>
      <c r="B45" s="18" t="s">
        <v>1468</v>
      </c>
      <c r="C45" s="20">
        <v>672829</v>
      </c>
      <c r="D45" s="20" t="s">
        <v>97</v>
      </c>
      <c r="E45" s="20">
        <v>684030</v>
      </c>
      <c r="F45" s="20" t="s">
        <v>97</v>
      </c>
      <c r="G45" s="20" t="s">
        <v>97</v>
      </c>
      <c r="H45" s="20" t="s">
        <v>97</v>
      </c>
      <c r="I45" s="20" t="s">
        <v>97</v>
      </c>
      <c r="J45" s="20" t="s">
        <v>97</v>
      </c>
      <c r="K45" s="20" t="s">
        <v>97</v>
      </c>
      <c r="L45" s="20" t="s">
        <v>97</v>
      </c>
      <c r="M45" s="789" t="s">
        <v>97</v>
      </c>
      <c r="N45" s="1425">
        <f t="shared" si="0"/>
        <v>1356859</v>
      </c>
      <c r="O45" s="23"/>
      <c r="P45" s="17"/>
      <c r="Q45" s="24" t="s">
        <v>1477</v>
      </c>
      <c r="R45" s="601"/>
      <c r="S45" s="598">
        <v>672829</v>
      </c>
      <c r="T45" s="598" t="s">
        <v>97</v>
      </c>
      <c r="U45" s="598">
        <v>684030</v>
      </c>
      <c r="V45" s="598" t="s">
        <v>97</v>
      </c>
      <c r="W45" s="597" t="s">
        <v>97</v>
      </c>
      <c r="X45" s="597" t="s">
        <v>97</v>
      </c>
      <c r="Y45" s="598" t="s">
        <v>97</v>
      </c>
      <c r="Z45" s="597" t="s">
        <v>97</v>
      </c>
      <c r="AA45" s="598" t="s">
        <v>97</v>
      </c>
      <c r="AB45" s="597" t="s">
        <v>97</v>
      </c>
      <c r="AC45" s="599" t="s">
        <v>97</v>
      </c>
      <c r="AD45" s="1103">
        <f t="shared" si="1"/>
        <v>1356859</v>
      </c>
      <c r="AE45" s="790">
        <f t="shared" si="2"/>
        <v>0</v>
      </c>
      <c r="AF45" s="788" t="b">
        <f t="shared" si="4"/>
        <v>1</v>
      </c>
      <c r="AH45" s="788" t="b">
        <f t="shared" si="17"/>
        <v>1</v>
      </c>
      <c r="AI45" s="788" t="b">
        <f t="shared" si="18"/>
        <v>1</v>
      </c>
      <c r="AJ45" s="788" t="b">
        <f t="shared" si="19"/>
        <v>1</v>
      </c>
      <c r="AK45" s="788" t="b">
        <f t="shared" si="20"/>
        <v>1</v>
      </c>
      <c r="AL45" s="788" t="b">
        <f t="shared" si="21"/>
        <v>1</v>
      </c>
      <c r="AM45" s="788" t="b">
        <f t="shared" si="10"/>
        <v>1</v>
      </c>
      <c r="AN45" s="788" t="b">
        <f t="shared" si="22"/>
        <v>1</v>
      </c>
      <c r="AO45" s="788" t="b">
        <f t="shared" si="23"/>
        <v>1</v>
      </c>
      <c r="AP45" s="788" t="b">
        <f t="shared" si="24"/>
        <v>1</v>
      </c>
      <c r="AQ45" s="788" t="b">
        <f t="shared" si="25"/>
        <v>1</v>
      </c>
      <c r="AR45" s="788" t="b">
        <f t="shared" si="26"/>
        <v>1</v>
      </c>
      <c r="AS45" s="788" t="b">
        <f t="shared" si="27"/>
        <v>1</v>
      </c>
    </row>
    <row r="46" spans="1:45" ht="12.75" customHeight="1">
      <c r="A46" s="1424"/>
      <c r="B46" s="18" t="s">
        <v>1469</v>
      </c>
      <c r="C46" s="20" t="s">
        <v>97</v>
      </c>
      <c r="D46" s="20">
        <v>1932616</v>
      </c>
      <c r="E46" s="20" t="s">
        <v>97</v>
      </c>
      <c r="F46" s="20">
        <v>3255120</v>
      </c>
      <c r="G46" s="20" t="s">
        <v>97</v>
      </c>
      <c r="H46" s="20" t="s">
        <v>97</v>
      </c>
      <c r="I46" s="20" t="s">
        <v>97</v>
      </c>
      <c r="J46" s="20" t="s">
        <v>97</v>
      </c>
      <c r="K46" s="20">
        <v>862000</v>
      </c>
      <c r="L46" s="20" t="s">
        <v>97</v>
      </c>
      <c r="M46" s="789" t="s">
        <v>97</v>
      </c>
      <c r="N46" s="1425">
        <f t="shared" si="0"/>
        <v>6049736</v>
      </c>
      <c r="O46" s="23"/>
      <c r="P46" s="17"/>
      <c r="Q46" s="24" t="s">
        <v>1478</v>
      </c>
      <c r="R46" s="601"/>
      <c r="S46" s="598" t="s">
        <v>97</v>
      </c>
      <c r="T46" s="598">
        <v>1932616</v>
      </c>
      <c r="U46" s="598" t="s">
        <v>97</v>
      </c>
      <c r="V46" s="598">
        <v>3255120</v>
      </c>
      <c r="W46" s="597" t="s">
        <v>97</v>
      </c>
      <c r="X46" s="597" t="s">
        <v>97</v>
      </c>
      <c r="Y46" s="598" t="s">
        <v>97</v>
      </c>
      <c r="Z46" s="597" t="s">
        <v>97</v>
      </c>
      <c r="AA46" s="598">
        <v>862000</v>
      </c>
      <c r="AB46" s="597" t="s">
        <v>97</v>
      </c>
      <c r="AC46" s="599" t="s">
        <v>97</v>
      </c>
      <c r="AD46" s="1103">
        <f t="shared" si="1"/>
        <v>6049736</v>
      </c>
      <c r="AE46" s="790">
        <f t="shared" si="2"/>
        <v>0</v>
      </c>
      <c r="AF46" s="788" t="b">
        <f t="shared" si="4"/>
        <v>1</v>
      </c>
      <c r="AH46" s="788" t="b">
        <f t="shared" si="17"/>
        <v>1</v>
      </c>
      <c r="AI46" s="788" t="b">
        <f t="shared" si="18"/>
        <v>1</v>
      </c>
      <c r="AJ46" s="788" t="b">
        <f t="shared" si="19"/>
        <v>1</v>
      </c>
      <c r="AK46" s="788" t="b">
        <f t="shared" si="20"/>
        <v>1</v>
      </c>
      <c r="AL46" s="788" t="b">
        <f t="shared" si="21"/>
        <v>1</v>
      </c>
      <c r="AM46" s="788" t="b">
        <f t="shared" si="10"/>
        <v>1</v>
      </c>
      <c r="AN46" s="788" t="b">
        <f t="shared" si="22"/>
        <v>1</v>
      </c>
      <c r="AO46" s="788" t="b">
        <f t="shared" si="23"/>
        <v>1</v>
      </c>
      <c r="AP46" s="788" t="b">
        <f t="shared" si="24"/>
        <v>1</v>
      </c>
      <c r="AQ46" s="788" t="b">
        <f t="shared" si="25"/>
        <v>1</v>
      </c>
      <c r="AR46" s="788" t="b">
        <f t="shared" si="26"/>
        <v>1</v>
      </c>
      <c r="AS46" s="788" t="b">
        <f t="shared" si="27"/>
        <v>1</v>
      </c>
    </row>
    <row r="47" spans="1:45" ht="12.75" customHeight="1">
      <c r="A47" s="1420"/>
      <c r="B47" s="18" t="s">
        <v>1470</v>
      </c>
      <c r="C47" s="20">
        <v>390610</v>
      </c>
      <c r="D47" s="20">
        <v>489060</v>
      </c>
      <c r="E47" s="20">
        <v>757474</v>
      </c>
      <c r="F47" s="20">
        <v>532082</v>
      </c>
      <c r="G47" s="20">
        <v>372265</v>
      </c>
      <c r="H47" s="20" t="s">
        <v>97</v>
      </c>
      <c r="I47" s="20" t="s">
        <v>97</v>
      </c>
      <c r="J47" s="20">
        <v>491330</v>
      </c>
      <c r="K47" s="20">
        <v>800000</v>
      </c>
      <c r="L47" s="20">
        <v>163000</v>
      </c>
      <c r="M47" s="789" t="s">
        <v>97</v>
      </c>
      <c r="N47" s="1425">
        <f t="shared" si="0"/>
        <v>3995821</v>
      </c>
      <c r="O47" s="23"/>
      <c r="P47" s="12"/>
      <c r="Q47" s="24" t="s">
        <v>1479</v>
      </c>
      <c r="R47" s="601"/>
      <c r="S47" s="598">
        <v>390610</v>
      </c>
      <c r="T47" s="598">
        <v>489060</v>
      </c>
      <c r="U47" s="598">
        <v>757474</v>
      </c>
      <c r="V47" s="598">
        <v>532082</v>
      </c>
      <c r="W47" s="598">
        <v>372265</v>
      </c>
      <c r="X47" s="597" t="s">
        <v>97</v>
      </c>
      <c r="Y47" s="598" t="s">
        <v>97</v>
      </c>
      <c r="Z47" s="598">
        <v>491330</v>
      </c>
      <c r="AA47" s="598">
        <v>800000</v>
      </c>
      <c r="AB47" s="598">
        <v>163000</v>
      </c>
      <c r="AC47" s="599" t="s">
        <v>97</v>
      </c>
      <c r="AD47" s="1103">
        <f t="shared" si="1"/>
        <v>3995821</v>
      </c>
      <c r="AE47" s="790">
        <f t="shared" si="2"/>
        <v>0</v>
      </c>
      <c r="AF47" s="788" t="b">
        <f t="shared" si="4"/>
        <v>1</v>
      </c>
      <c r="AH47" s="788" t="b">
        <f t="shared" si="17"/>
        <v>1</v>
      </c>
      <c r="AI47" s="788" t="b">
        <f t="shared" si="18"/>
        <v>1</v>
      </c>
      <c r="AJ47" s="788" t="b">
        <f t="shared" si="19"/>
        <v>1</v>
      </c>
      <c r="AK47" s="788" t="b">
        <f t="shared" si="20"/>
        <v>1</v>
      </c>
      <c r="AL47" s="788" t="b">
        <f t="shared" si="21"/>
        <v>1</v>
      </c>
      <c r="AM47" s="788" t="b">
        <f t="shared" si="10"/>
        <v>1</v>
      </c>
      <c r="AN47" s="788" t="b">
        <f t="shared" si="22"/>
        <v>1</v>
      </c>
      <c r="AO47" s="788" t="b">
        <f t="shared" si="23"/>
        <v>1</v>
      </c>
      <c r="AP47" s="788" t="b">
        <f t="shared" si="24"/>
        <v>1</v>
      </c>
      <c r="AQ47" s="788" t="b">
        <f t="shared" si="25"/>
        <v>1</v>
      </c>
      <c r="AR47" s="788" t="b">
        <f t="shared" si="26"/>
        <v>1</v>
      </c>
      <c r="AS47" s="788" t="b">
        <f t="shared" si="27"/>
        <v>1</v>
      </c>
    </row>
    <row r="48" spans="1:45" ht="12.75" customHeight="1">
      <c r="A48" s="1424">
        <v>2011</v>
      </c>
      <c r="B48" s="18" t="s">
        <v>1467</v>
      </c>
      <c r="C48" s="20" t="s">
        <v>97</v>
      </c>
      <c r="D48" s="20" t="s">
        <v>97</v>
      </c>
      <c r="E48" s="20">
        <v>601862</v>
      </c>
      <c r="F48" s="20" t="s">
        <v>97</v>
      </c>
      <c r="G48" s="20">
        <v>326490</v>
      </c>
      <c r="H48" s="20" t="s">
        <v>97</v>
      </c>
      <c r="I48" s="20">
        <v>99190</v>
      </c>
      <c r="J48" s="20">
        <v>481617</v>
      </c>
      <c r="K48" s="20">
        <v>320000</v>
      </c>
      <c r="L48" s="20" t="s">
        <v>97</v>
      </c>
      <c r="M48" s="789" t="s">
        <v>97</v>
      </c>
      <c r="N48" s="1425">
        <f t="shared" si="0"/>
        <v>1829159</v>
      </c>
      <c r="O48" s="23"/>
      <c r="P48" s="17">
        <v>2011</v>
      </c>
      <c r="Q48" s="24" t="s">
        <v>1467</v>
      </c>
      <c r="R48" s="602"/>
      <c r="S48" s="598" t="s">
        <v>97</v>
      </c>
      <c r="T48" s="598" t="s">
        <v>97</v>
      </c>
      <c r="U48" s="598">
        <v>601862</v>
      </c>
      <c r="V48" s="597" t="s">
        <v>97</v>
      </c>
      <c r="W48" s="598">
        <v>326490</v>
      </c>
      <c r="X48" s="597" t="s">
        <v>97</v>
      </c>
      <c r="Y48" s="598">
        <v>99190</v>
      </c>
      <c r="Z48" s="598">
        <v>481617</v>
      </c>
      <c r="AA48" s="598">
        <v>320000</v>
      </c>
      <c r="AB48" s="598" t="s">
        <v>97</v>
      </c>
      <c r="AC48" s="599" t="s">
        <v>97</v>
      </c>
      <c r="AD48" s="1103">
        <f t="shared" si="1"/>
        <v>1829159</v>
      </c>
      <c r="AE48" s="790">
        <f t="shared" si="2"/>
        <v>0</v>
      </c>
      <c r="AF48" s="788" t="b">
        <f t="shared" si="4"/>
        <v>1</v>
      </c>
      <c r="AH48" s="788" t="b">
        <f t="shared" si="17"/>
        <v>1</v>
      </c>
      <c r="AI48" s="788" t="b">
        <f t="shared" si="18"/>
        <v>1</v>
      </c>
      <c r="AJ48" s="788" t="b">
        <f t="shared" si="19"/>
        <v>1</v>
      </c>
      <c r="AK48" s="788" t="b">
        <f t="shared" si="20"/>
        <v>1</v>
      </c>
      <c r="AL48" s="788" t="b">
        <f t="shared" si="21"/>
        <v>1</v>
      </c>
      <c r="AM48" s="788" t="b">
        <f t="shared" si="10"/>
        <v>1</v>
      </c>
      <c r="AN48" s="788" t="b">
        <f t="shared" si="22"/>
        <v>1</v>
      </c>
      <c r="AO48" s="788" t="b">
        <f t="shared" si="23"/>
        <v>1</v>
      </c>
      <c r="AP48" s="788" t="b">
        <f t="shared" si="24"/>
        <v>1</v>
      </c>
      <c r="AQ48" s="788" t="b">
        <f t="shared" si="25"/>
        <v>1</v>
      </c>
      <c r="AR48" s="788" t="b">
        <f t="shared" si="26"/>
        <v>1</v>
      </c>
      <c r="AS48" s="788" t="b">
        <f t="shared" si="27"/>
        <v>1</v>
      </c>
    </row>
    <row r="49" spans="1:45" ht="12.75" customHeight="1">
      <c r="A49" s="1424"/>
      <c r="B49" s="18" t="s">
        <v>1468</v>
      </c>
      <c r="C49" s="20">
        <v>704594</v>
      </c>
      <c r="D49" s="20" t="s">
        <v>97</v>
      </c>
      <c r="E49" s="20">
        <v>653452</v>
      </c>
      <c r="F49" s="1426" t="s">
        <v>97</v>
      </c>
      <c r="G49" s="20" t="s">
        <v>97</v>
      </c>
      <c r="H49" s="20" t="s">
        <v>97</v>
      </c>
      <c r="I49" s="20" t="s">
        <v>97</v>
      </c>
      <c r="J49" s="20" t="s">
        <v>97</v>
      </c>
      <c r="K49" s="20" t="s">
        <v>97</v>
      </c>
      <c r="L49" s="20" t="s">
        <v>97</v>
      </c>
      <c r="M49" s="789" t="s">
        <v>97</v>
      </c>
      <c r="N49" s="1425">
        <f t="shared" si="0"/>
        <v>1358046</v>
      </c>
      <c r="O49" s="23"/>
      <c r="P49" s="17"/>
      <c r="Q49" s="24" t="s">
        <v>1477</v>
      </c>
      <c r="R49" s="602"/>
      <c r="S49" s="598">
        <v>704594</v>
      </c>
      <c r="T49" s="598" t="s">
        <v>97</v>
      </c>
      <c r="U49" s="598">
        <v>653452</v>
      </c>
      <c r="V49" s="603" t="s">
        <v>97</v>
      </c>
      <c r="W49" s="598" t="s">
        <v>97</v>
      </c>
      <c r="X49" s="597" t="s">
        <v>97</v>
      </c>
      <c r="Y49" s="598" t="s">
        <v>97</v>
      </c>
      <c r="Z49" s="598" t="s">
        <v>97</v>
      </c>
      <c r="AA49" s="598" t="s">
        <v>97</v>
      </c>
      <c r="AB49" s="598" t="s">
        <v>97</v>
      </c>
      <c r="AC49" s="599" t="s">
        <v>97</v>
      </c>
      <c r="AD49" s="1103">
        <f t="shared" si="1"/>
        <v>1358046</v>
      </c>
      <c r="AE49" s="790">
        <f t="shared" si="2"/>
        <v>0</v>
      </c>
      <c r="AF49" s="788" t="b">
        <f t="shared" si="4"/>
        <v>1</v>
      </c>
      <c r="AH49" s="788" t="b">
        <f t="shared" si="17"/>
        <v>1</v>
      </c>
      <c r="AI49" s="788" t="b">
        <f t="shared" si="18"/>
        <v>1</v>
      </c>
      <c r="AJ49" s="788" t="b">
        <f t="shared" si="19"/>
        <v>1</v>
      </c>
      <c r="AK49" s="788" t="b">
        <f t="shared" si="20"/>
        <v>1</v>
      </c>
      <c r="AL49" s="788" t="b">
        <f t="shared" si="21"/>
        <v>1</v>
      </c>
      <c r="AM49" s="788" t="b">
        <f t="shared" si="10"/>
        <v>1</v>
      </c>
      <c r="AN49" s="788" t="b">
        <f t="shared" si="22"/>
        <v>1</v>
      </c>
      <c r="AO49" s="788" t="b">
        <f t="shared" si="23"/>
        <v>1</v>
      </c>
      <c r="AP49" s="788" t="b">
        <f t="shared" si="24"/>
        <v>1</v>
      </c>
      <c r="AQ49" s="788" t="b">
        <f t="shared" si="25"/>
        <v>1</v>
      </c>
      <c r="AR49" s="788" t="b">
        <f t="shared" si="26"/>
        <v>1</v>
      </c>
      <c r="AS49" s="788" t="b">
        <f t="shared" si="27"/>
        <v>1</v>
      </c>
    </row>
    <row r="50" spans="1:45" ht="12.75" customHeight="1">
      <c r="A50" s="1424"/>
      <c r="B50" s="18" t="s">
        <v>1469</v>
      </c>
      <c r="C50" s="20" t="s">
        <v>97</v>
      </c>
      <c r="D50" s="20">
        <v>1954732</v>
      </c>
      <c r="E50" s="20" t="s">
        <v>97</v>
      </c>
      <c r="F50" s="20">
        <v>3614747</v>
      </c>
      <c r="G50" s="20" t="s">
        <v>97</v>
      </c>
      <c r="H50" s="20" t="s">
        <v>97</v>
      </c>
      <c r="I50" s="20" t="s">
        <v>97</v>
      </c>
      <c r="J50" s="20" t="s">
        <v>97</v>
      </c>
      <c r="K50" s="20">
        <v>893000</v>
      </c>
      <c r="L50" s="20" t="s">
        <v>97</v>
      </c>
      <c r="M50" s="789" t="s">
        <v>97</v>
      </c>
      <c r="N50" s="1425">
        <f t="shared" si="0"/>
        <v>6462479</v>
      </c>
      <c r="O50" s="23"/>
      <c r="P50" s="17"/>
      <c r="Q50" s="24" t="s">
        <v>1478</v>
      </c>
      <c r="R50" s="604"/>
      <c r="S50" s="598" t="s">
        <v>97</v>
      </c>
      <c r="T50" s="598">
        <v>1954732</v>
      </c>
      <c r="U50" s="598" t="s">
        <v>97</v>
      </c>
      <c r="V50" s="598">
        <v>3614747</v>
      </c>
      <c r="W50" s="598" t="s">
        <v>97</v>
      </c>
      <c r="X50" s="597" t="s">
        <v>97</v>
      </c>
      <c r="Y50" s="598" t="s">
        <v>97</v>
      </c>
      <c r="Z50" s="598" t="s">
        <v>97</v>
      </c>
      <c r="AA50" s="598">
        <v>893000</v>
      </c>
      <c r="AB50" s="598" t="s">
        <v>97</v>
      </c>
      <c r="AC50" s="599" t="s">
        <v>97</v>
      </c>
      <c r="AD50" s="1103">
        <f t="shared" si="1"/>
        <v>6462479</v>
      </c>
      <c r="AE50" s="790">
        <f t="shared" si="2"/>
        <v>0</v>
      </c>
      <c r="AF50" s="788" t="b">
        <f t="shared" si="4"/>
        <v>1</v>
      </c>
      <c r="AH50" s="788" t="b">
        <f t="shared" si="17"/>
        <v>1</v>
      </c>
      <c r="AI50" s="788" t="b">
        <f t="shared" si="18"/>
        <v>1</v>
      </c>
      <c r="AJ50" s="788" t="b">
        <f t="shared" si="19"/>
        <v>1</v>
      </c>
      <c r="AK50" s="788" t="b">
        <f t="shared" si="20"/>
        <v>1</v>
      </c>
      <c r="AL50" s="788" t="b">
        <f t="shared" si="21"/>
        <v>1</v>
      </c>
      <c r="AM50" s="788" t="b">
        <f t="shared" si="10"/>
        <v>1</v>
      </c>
      <c r="AN50" s="788" t="b">
        <f t="shared" si="22"/>
        <v>1</v>
      </c>
      <c r="AO50" s="788" t="b">
        <f t="shared" si="23"/>
        <v>1</v>
      </c>
      <c r="AP50" s="788" t="b">
        <f t="shared" si="24"/>
        <v>1</v>
      </c>
      <c r="AQ50" s="788" t="b">
        <f t="shared" si="25"/>
        <v>1</v>
      </c>
      <c r="AR50" s="788" t="b">
        <f t="shared" si="26"/>
        <v>1</v>
      </c>
      <c r="AS50" s="788" t="b">
        <f t="shared" si="27"/>
        <v>1</v>
      </c>
    </row>
    <row r="51" spans="1:45" ht="12.75" customHeight="1">
      <c r="A51" s="1420"/>
      <c r="B51" s="18" t="s">
        <v>1470</v>
      </c>
      <c r="C51" s="20">
        <v>386668</v>
      </c>
      <c r="D51" s="20">
        <v>607824</v>
      </c>
      <c r="E51" s="20">
        <v>769971</v>
      </c>
      <c r="F51" s="20">
        <v>571616</v>
      </c>
      <c r="G51" s="20">
        <v>586277</v>
      </c>
      <c r="H51" s="20" t="s">
        <v>97</v>
      </c>
      <c r="I51" s="20" t="s">
        <v>97</v>
      </c>
      <c r="J51" s="20">
        <v>849381</v>
      </c>
      <c r="K51" s="20">
        <v>600000</v>
      </c>
      <c r="L51" s="20">
        <v>165000</v>
      </c>
      <c r="M51" s="789" t="s">
        <v>97</v>
      </c>
      <c r="N51" s="1425">
        <f t="shared" si="0"/>
        <v>4536737</v>
      </c>
      <c r="O51" s="23"/>
      <c r="P51" s="12"/>
      <c r="Q51" s="24" t="s">
        <v>1479</v>
      </c>
      <c r="R51" s="601"/>
      <c r="S51" s="598">
        <v>386668</v>
      </c>
      <c r="T51" s="598">
        <v>607824</v>
      </c>
      <c r="U51" s="598">
        <v>769971</v>
      </c>
      <c r="V51" s="598">
        <v>571616</v>
      </c>
      <c r="W51" s="598">
        <v>586277</v>
      </c>
      <c r="X51" s="597" t="s">
        <v>97</v>
      </c>
      <c r="Y51" s="598" t="s">
        <v>97</v>
      </c>
      <c r="Z51" s="598">
        <v>849381</v>
      </c>
      <c r="AA51" s="598">
        <v>600000</v>
      </c>
      <c r="AB51" s="598">
        <v>165000</v>
      </c>
      <c r="AC51" s="599" t="s">
        <v>97</v>
      </c>
      <c r="AD51" s="1103">
        <f t="shared" si="1"/>
        <v>4536737</v>
      </c>
      <c r="AE51" s="790">
        <f t="shared" si="2"/>
        <v>0</v>
      </c>
      <c r="AF51" s="788" t="b">
        <f t="shared" si="4"/>
        <v>1</v>
      </c>
      <c r="AH51" s="788" t="b">
        <f t="shared" si="17"/>
        <v>1</v>
      </c>
      <c r="AI51" s="788" t="b">
        <f t="shared" si="18"/>
        <v>1</v>
      </c>
      <c r="AJ51" s="788" t="b">
        <f t="shared" si="19"/>
        <v>1</v>
      </c>
      <c r="AK51" s="788" t="b">
        <f t="shared" si="20"/>
        <v>1</v>
      </c>
      <c r="AL51" s="788" t="b">
        <f t="shared" si="21"/>
        <v>1</v>
      </c>
      <c r="AM51" s="788" t="b">
        <f t="shared" si="10"/>
        <v>1</v>
      </c>
      <c r="AN51" s="788" t="b">
        <f t="shared" si="22"/>
        <v>1</v>
      </c>
      <c r="AO51" s="788" t="b">
        <f t="shared" si="23"/>
        <v>1</v>
      </c>
      <c r="AP51" s="788" t="b">
        <f t="shared" si="24"/>
        <v>1</v>
      </c>
      <c r="AQ51" s="788" t="b">
        <f t="shared" si="25"/>
        <v>1</v>
      </c>
      <c r="AR51" s="788" t="b">
        <f t="shared" si="26"/>
        <v>1</v>
      </c>
      <c r="AS51" s="788" t="b">
        <f t="shared" si="27"/>
        <v>1</v>
      </c>
    </row>
    <row r="52" spans="1:45" ht="12.75" customHeight="1">
      <c r="A52" s="1424">
        <v>2012</v>
      </c>
      <c r="B52" s="18" t="s">
        <v>1467</v>
      </c>
      <c r="C52" s="20" t="s">
        <v>97</v>
      </c>
      <c r="D52" s="20" t="s">
        <v>97</v>
      </c>
      <c r="E52" s="1427">
        <v>630450</v>
      </c>
      <c r="F52" s="20" t="s">
        <v>97</v>
      </c>
      <c r="G52" s="20">
        <v>370858</v>
      </c>
      <c r="H52" s="20" t="s">
        <v>97</v>
      </c>
      <c r="I52" s="20">
        <v>150834</v>
      </c>
      <c r="J52" s="20">
        <v>493595</v>
      </c>
      <c r="K52" s="20" t="s">
        <v>97</v>
      </c>
      <c r="L52" s="20" t="s">
        <v>97</v>
      </c>
      <c r="M52" s="789" t="s">
        <v>97</v>
      </c>
      <c r="N52" s="1425">
        <f t="shared" si="0"/>
        <v>1645737</v>
      </c>
      <c r="O52" s="23"/>
      <c r="P52" s="17">
        <v>2012</v>
      </c>
      <c r="Q52" s="24" t="s">
        <v>1467</v>
      </c>
      <c r="R52" s="602"/>
      <c r="S52" s="598" t="s">
        <v>97</v>
      </c>
      <c r="T52" s="598" t="s">
        <v>97</v>
      </c>
      <c r="U52" s="598">
        <v>630450</v>
      </c>
      <c r="V52" s="597" t="s">
        <v>97</v>
      </c>
      <c r="W52" s="598">
        <v>370858</v>
      </c>
      <c r="X52" s="597" t="s">
        <v>97</v>
      </c>
      <c r="Y52" s="598">
        <v>150834</v>
      </c>
      <c r="Z52" s="598">
        <v>493595</v>
      </c>
      <c r="AA52" s="598" t="s">
        <v>97</v>
      </c>
      <c r="AB52" s="598" t="s">
        <v>97</v>
      </c>
      <c r="AC52" s="599" t="s">
        <v>97</v>
      </c>
      <c r="AD52" s="1103">
        <f t="shared" si="1"/>
        <v>1645737</v>
      </c>
      <c r="AE52" s="790">
        <f t="shared" si="2"/>
        <v>0</v>
      </c>
      <c r="AF52" s="788" t="b">
        <f t="shared" si="4"/>
        <v>1</v>
      </c>
      <c r="AH52" s="788" t="b">
        <f t="shared" si="17"/>
        <v>1</v>
      </c>
      <c r="AI52" s="788" t="b">
        <f t="shared" si="18"/>
        <v>1</v>
      </c>
      <c r="AJ52" s="788" t="b">
        <f t="shared" si="19"/>
        <v>1</v>
      </c>
      <c r="AK52" s="788" t="b">
        <f t="shared" si="20"/>
        <v>1</v>
      </c>
      <c r="AL52" s="788" t="b">
        <f t="shared" si="21"/>
        <v>1</v>
      </c>
      <c r="AM52" s="788" t="b">
        <f t="shared" si="10"/>
        <v>1</v>
      </c>
      <c r="AN52" s="788" t="b">
        <f t="shared" si="22"/>
        <v>1</v>
      </c>
      <c r="AO52" s="788" t="b">
        <f t="shared" si="23"/>
        <v>1</v>
      </c>
      <c r="AP52" s="788" t="b">
        <f t="shared" si="24"/>
        <v>1</v>
      </c>
      <c r="AQ52" s="788" t="b">
        <f t="shared" si="25"/>
        <v>1</v>
      </c>
      <c r="AR52" s="788" t="b">
        <f t="shared" si="26"/>
        <v>1</v>
      </c>
      <c r="AS52" s="788" t="b">
        <f t="shared" si="27"/>
        <v>1</v>
      </c>
    </row>
    <row r="53" spans="1:45" ht="12.75" customHeight="1">
      <c r="A53" s="1424"/>
      <c r="B53" s="18" t="s">
        <v>1468</v>
      </c>
      <c r="C53" s="20">
        <v>680806</v>
      </c>
      <c r="D53" s="20">
        <v>481663</v>
      </c>
      <c r="E53" s="20">
        <v>687801</v>
      </c>
      <c r="F53" s="1426" t="s">
        <v>97</v>
      </c>
      <c r="G53" s="20" t="s">
        <v>97</v>
      </c>
      <c r="H53" s="20" t="s">
        <v>97</v>
      </c>
      <c r="I53" s="20" t="s">
        <v>97</v>
      </c>
      <c r="J53" s="20" t="s">
        <v>97</v>
      </c>
      <c r="K53" s="20" t="s">
        <v>97</v>
      </c>
      <c r="L53" s="20" t="s">
        <v>97</v>
      </c>
      <c r="M53" s="789" t="s">
        <v>97</v>
      </c>
      <c r="N53" s="1425">
        <f t="shared" si="0"/>
        <v>1850270</v>
      </c>
      <c r="O53" s="23"/>
      <c r="P53" s="17"/>
      <c r="Q53" s="24" t="s">
        <v>1477</v>
      </c>
      <c r="R53" s="602"/>
      <c r="S53" s="598">
        <v>680806</v>
      </c>
      <c r="T53" s="598">
        <v>481663</v>
      </c>
      <c r="U53" s="598">
        <v>687801</v>
      </c>
      <c r="V53" s="603" t="s">
        <v>97</v>
      </c>
      <c r="W53" s="598" t="s">
        <v>97</v>
      </c>
      <c r="X53" s="597" t="s">
        <v>97</v>
      </c>
      <c r="Y53" s="598" t="s">
        <v>97</v>
      </c>
      <c r="Z53" s="598" t="s">
        <v>97</v>
      </c>
      <c r="AA53" s="598" t="s">
        <v>97</v>
      </c>
      <c r="AB53" s="598" t="s">
        <v>97</v>
      </c>
      <c r="AC53" s="599" t="s">
        <v>97</v>
      </c>
      <c r="AD53" s="1103">
        <f t="shared" si="1"/>
        <v>1850270</v>
      </c>
      <c r="AE53" s="790">
        <f t="shared" si="2"/>
        <v>0</v>
      </c>
      <c r="AF53" s="788" t="b">
        <f t="shared" si="4"/>
        <v>1</v>
      </c>
      <c r="AH53" s="788" t="b">
        <f t="shared" si="17"/>
        <v>1</v>
      </c>
      <c r="AI53" s="788" t="b">
        <f t="shared" si="18"/>
        <v>1</v>
      </c>
      <c r="AJ53" s="788" t="b">
        <f t="shared" si="19"/>
        <v>1</v>
      </c>
      <c r="AK53" s="788" t="b">
        <f t="shared" si="20"/>
        <v>1</v>
      </c>
      <c r="AL53" s="788" t="b">
        <f t="shared" si="21"/>
        <v>1</v>
      </c>
      <c r="AM53" s="788" t="b">
        <f t="shared" si="10"/>
        <v>1</v>
      </c>
      <c r="AN53" s="788" t="b">
        <f t="shared" si="22"/>
        <v>1</v>
      </c>
      <c r="AO53" s="788" t="b">
        <f t="shared" si="23"/>
        <v>1</v>
      </c>
      <c r="AP53" s="788" t="b">
        <f t="shared" si="24"/>
        <v>1</v>
      </c>
      <c r="AQ53" s="788" t="b">
        <f t="shared" si="25"/>
        <v>1</v>
      </c>
      <c r="AR53" s="788" t="b">
        <f t="shared" si="26"/>
        <v>1</v>
      </c>
      <c r="AS53" s="788" t="b">
        <f t="shared" si="27"/>
        <v>1</v>
      </c>
    </row>
    <row r="54" spans="1:45" ht="12.75" customHeight="1">
      <c r="A54" s="1424"/>
      <c r="B54" s="18" t="s">
        <v>1469</v>
      </c>
      <c r="C54" s="20" t="s">
        <v>97</v>
      </c>
      <c r="D54" s="20">
        <v>1986471</v>
      </c>
      <c r="E54" s="20" t="s">
        <v>97</v>
      </c>
      <c r="F54" s="20">
        <v>2956068</v>
      </c>
      <c r="G54" s="20" t="s">
        <v>97</v>
      </c>
      <c r="H54" s="20" t="s">
        <v>97</v>
      </c>
      <c r="I54" s="20" t="s">
        <v>97</v>
      </c>
      <c r="J54" s="20" t="s">
        <v>97</v>
      </c>
      <c r="K54" s="20">
        <v>2620000</v>
      </c>
      <c r="L54" s="20" t="s">
        <v>97</v>
      </c>
      <c r="M54" s="789" t="s">
        <v>97</v>
      </c>
      <c r="N54" s="1425">
        <f t="shared" si="0"/>
        <v>7562539</v>
      </c>
      <c r="O54" s="23"/>
      <c r="P54" s="17"/>
      <c r="Q54" s="24" t="s">
        <v>1478</v>
      </c>
      <c r="R54" s="604"/>
      <c r="S54" s="598" t="s">
        <v>97</v>
      </c>
      <c r="T54" s="598">
        <v>1986471</v>
      </c>
      <c r="U54" s="598" t="s">
        <v>97</v>
      </c>
      <c r="V54" s="598">
        <v>2956068</v>
      </c>
      <c r="W54" s="598" t="s">
        <v>97</v>
      </c>
      <c r="X54" s="597" t="s">
        <v>97</v>
      </c>
      <c r="Y54" s="598" t="s">
        <v>97</v>
      </c>
      <c r="Z54" s="598" t="s">
        <v>97</v>
      </c>
      <c r="AA54" s="598">
        <v>2620000</v>
      </c>
      <c r="AB54" s="598" t="s">
        <v>97</v>
      </c>
      <c r="AC54" s="599" t="s">
        <v>97</v>
      </c>
      <c r="AD54" s="1103">
        <f t="shared" si="1"/>
        <v>7562539</v>
      </c>
      <c r="AE54" s="790">
        <f t="shared" si="2"/>
        <v>0</v>
      </c>
      <c r="AF54" s="788" t="b">
        <f t="shared" si="4"/>
        <v>1</v>
      </c>
      <c r="AH54" s="788" t="b">
        <f t="shared" si="17"/>
        <v>1</v>
      </c>
      <c r="AI54" s="788" t="b">
        <f t="shared" si="18"/>
        <v>1</v>
      </c>
      <c r="AJ54" s="788" t="b">
        <f t="shared" si="19"/>
        <v>1</v>
      </c>
      <c r="AK54" s="788" t="b">
        <f t="shared" si="20"/>
        <v>1</v>
      </c>
      <c r="AL54" s="788" t="b">
        <f t="shared" si="21"/>
        <v>1</v>
      </c>
      <c r="AM54" s="788" t="b">
        <f t="shared" si="10"/>
        <v>1</v>
      </c>
      <c r="AN54" s="788" t="b">
        <f t="shared" si="22"/>
        <v>1</v>
      </c>
      <c r="AO54" s="788" t="b">
        <f t="shared" si="23"/>
        <v>1</v>
      </c>
      <c r="AP54" s="788" t="b">
        <f t="shared" si="24"/>
        <v>1</v>
      </c>
      <c r="AQ54" s="788" t="b">
        <f t="shared" si="25"/>
        <v>1</v>
      </c>
      <c r="AR54" s="788" t="b">
        <f t="shared" si="26"/>
        <v>1</v>
      </c>
      <c r="AS54" s="788" t="b">
        <f t="shared" si="27"/>
        <v>1</v>
      </c>
    </row>
    <row r="55" spans="1:45" ht="12.75" customHeight="1">
      <c r="A55" s="1424"/>
      <c r="B55" s="18" t="s">
        <v>1470</v>
      </c>
      <c r="C55" s="20">
        <v>336856</v>
      </c>
      <c r="D55" s="20">
        <v>732994</v>
      </c>
      <c r="E55" s="20">
        <v>774533</v>
      </c>
      <c r="F55" s="20">
        <v>537811</v>
      </c>
      <c r="G55" s="20">
        <v>623649</v>
      </c>
      <c r="H55" s="20" t="s">
        <v>97</v>
      </c>
      <c r="I55" s="20" t="s">
        <v>97</v>
      </c>
      <c r="J55" s="20">
        <v>928589</v>
      </c>
      <c r="K55" s="20">
        <v>725000</v>
      </c>
      <c r="L55" s="20">
        <v>155000</v>
      </c>
      <c r="M55" s="789" t="s">
        <v>97</v>
      </c>
      <c r="N55" s="1425">
        <f t="shared" si="0"/>
        <v>4814432</v>
      </c>
      <c r="O55" s="23"/>
      <c r="P55" s="17"/>
      <c r="Q55" s="24" t="s">
        <v>1479</v>
      </c>
      <c r="R55" s="604"/>
      <c r="S55" s="598">
        <v>336856</v>
      </c>
      <c r="T55" s="598">
        <v>732994</v>
      </c>
      <c r="U55" s="598">
        <v>774533</v>
      </c>
      <c r="V55" s="598">
        <v>537811</v>
      </c>
      <c r="W55" s="598">
        <v>623649</v>
      </c>
      <c r="X55" s="597" t="s">
        <v>97</v>
      </c>
      <c r="Y55" s="598" t="s">
        <v>97</v>
      </c>
      <c r="Z55" s="598">
        <v>928589</v>
      </c>
      <c r="AA55" s="598">
        <v>725000</v>
      </c>
      <c r="AB55" s="598">
        <v>155000</v>
      </c>
      <c r="AC55" s="599" t="s">
        <v>97</v>
      </c>
      <c r="AD55" s="1103">
        <f t="shared" si="1"/>
        <v>4814432</v>
      </c>
      <c r="AE55" s="790">
        <f t="shared" si="2"/>
        <v>0</v>
      </c>
      <c r="AF55" s="788" t="b">
        <f t="shared" si="4"/>
        <v>1</v>
      </c>
      <c r="AH55" s="788" t="b">
        <f t="shared" si="17"/>
        <v>1</v>
      </c>
      <c r="AI55" s="788" t="b">
        <f t="shared" si="18"/>
        <v>1</v>
      </c>
      <c r="AJ55" s="788" t="b">
        <f t="shared" si="19"/>
        <v>1</v>
      </c>
      <c r="AK55" s="788" t="b">
        <f t="shared" si="20"/>
        <v>1</v>
      </c>
      <c r="AL55" s="788" t="b">
        <f t="shared" si="21"/>
        <v>1</v>
      </c>
      <c r="AM55" s="788" t="b">
        <f t="shared" si="10"/>
        <v>1</v>
      </c>
      <c r="AN55" s="788" t="b">
        <f t="shared" si="22"/>
        <v>1</v>
      </c>
      <c r="AO55" s="788" t="b">
        <f t="shared" si="23"/>
        <v>1</v>
      </c>
      <c r="AP55" s="788" t="b">
        <f t="shared" si="24"/>
        <v>1</v>
      </c>
      <c r="AQ55" s="788" t="b">
        <f t="shared" si="25"/>
        <v>1</v>
      </c>
      <c r="AR55" s="788" t="b">
        <f t="shared" si="26"/>
        <v>1</v>
      </c>
      <c r="AS55" s="788" t="b">
        <f t="shared" si="27"/>
        <v>1</v>
      </c>
    </row>
    <row r="56" spans="1:45" ht="12.75" customHeight="1">
      <c r="A56" s="1424">
        <v>2013</v>
      </c>
      <c r="B56" s="18" t="s">
        <v>1467</v>
      </c>
      <c r="C56" s="20" t="s">
        <v>97</v>
      </c>
      <c r="D56" s="20" t="s">
        <v>97</v>
      </c>
      <c r="E56" s="20">
        <v>560520</v>
      </c>
      <c r="F56" s="20" t="s">
        <v>97</v>
      </c>
      <c r="G56" s="20">
        <v>437583</v>
      </c>
      <c r="H56" s="20" t="s">
        <v>97</v>
      </c>
      <c r="I56" s="20">
        <v>142959</v>
      </c>
      <c r="J56" s="20">
        <v>465420</v>
      </c>
      <c r="K56" s="20" t="s">
        <v>97</v>
      </c>
      <c r="L56" s="20" t="s">
        <v>97</v>
      </c>
      <c r="M56" s="789" t="s">
        <v>97</v>
      </c>
      <c r="N56" s="1425">
        <f t="shared" si="0"/>
        <v>1606482</v>
      </c>
      <c r="O56" s="23"/>
      <c r="P56" s="17">
        <v>2013</v>
      </c>
      <c r="Q56" s="24" t="s">
        <v>1467</v>
      </c>
      <c r="R56" s="604"/>
      <c r="S56" s="598" t="s">
        <v>97</v>
      </c>
      <c r="T56" s="598" t="s">
        <v>97</v>
      </c>
      <c r="U56" s="598">
        <v>560520</v>
      </c>
      <c r="V56" s="597" t="s">
        <v>97</v>
      </c>
      <c r="W56" s="598">
        <v>437583</v>
      </c>
      <c r="X56" s="597" t="s">
        <v>97</v>
      </c>
      <c r="Y56" s="598">
        <v>142959</v>
      </c>
      <c r="Z56" s="598">
        <v>465420</v>
      </c>
      <c r="AA56" s="598" t="s">
        <v>97</v>
      </c>
      <c r="AB56" s="598" t="s">
        <v>97</v>
      </c>
      <c r="AC56" s="599" t="s">
        <v>97</v>
      </c>
      <c r="AD56" s="1103">
        <f t="shared" si="1"/>
        <v>1606482</v>
      </c>
      <c r="AE56" s="790">
        <f t="shared" si="2"/>
        <v>0</v>
      </c>
      <c r="AF56" s="788" t="b">
        <f t="shared" si="4"/>
        <v>1</v>
      </c>
      <c r="AH56" s="788" t="b">
        <f t="shared" si="17"/>
        <v>1</v>
      </c>
      <c r="AI56" s="788" t="b">
        <f t="shared" si="18"/>
        <v>1</v>
      </c>
      <c r="AJ56" s="788" t="b">
        <f t="shared" si="19"/>
        <v>1</v>
      </c>
      <c r="AK56" s="788" t="b">
        <f t="shared" si="20"/>
        <v>1</v>
      </c>
      <c r="AL56" s="788" t="b">
        <f t="shared" si="21"/>
        <v>1</v>
      </c>
      <c r="AM56" s="788" t="b">
        <f t="shared" si="10"/>
        <v>1</v>
      </c>
      <c r="AN56" s="788" t="b">
        <f t="shared" si="22"/>
        <v>1</v>
      </c>
      <c r="AO56" s="788" t="b">
        <f t="shared" si="23"/>
        <v>1</v>
      </c>
      <c r="AP56" s="788" t="b">
        <f t="shared" si="24"/>
        <v>1</v>
      </c>
      <c r="AQ56" s="788" t="b">
        <f t="shared" si="25"/>
        <v>1</v>
      </c>
      <c r="AR56" s="788" t="b">
        <f t="shared" si="26"/>
        <v>1</v>
      </c>
      <c r="AS56" s="788" t="b">
        <f t="shared" si="27"/>
        <v>1</v>
      </c>
    </row>
    <row r="57" spans="1:45" ht="12.75" customHeight="1">
      <c r="A57" s="1424"/>
      <c r="B57" s="18" t="s">
        <v>1468</v>
      </c>
      <c r="C57" s="20">
        <v>697554</v>
      </c>
      <c r="D57" s="20">
        <v>822825</v>
      </c>
      <c r="E57" s="20">
        <v>706974</v>
      </c>
      <c r="F57" s="1426" t="s">
        <v>97</v>
      </c>
      <c r="G57" s="20" t="s">
        <v>97</v>
      </c>
      <c r="H57" s="20" t="s">
        <v>97</v>
      </c>
      <c r="I57" s="20" t="s">
        <v>97</v>
      </c>
      <c r="J57" s="20" t="s">
        <v>97</v>
      </c>
      <c r="K57" s="20" t="s">
        <v>97</v>
      </c>
      <c r="L57" s="20" t="s">
        <v>97</v>
      </c>
      <c r="M57" s="789" t="s">
        <v>97</v>
      </c>
      <c r="N57" s="1425">
        <f t="shared" si="0"/>
        <v>2227353</v>
      </c>
      <c r="O57" s="23"/>
      <c r="P57" s="17"/>
      <c r="Q57" s="24" t="s">
        <v>1477</v>
      </c>
      <c r="R57" s="604"/>
      <c r="S57" s="598">
        <v>697554</v>
      </c>
      <c r="T57" s="598">
        <v>822825</v>
      </c>
      <c r="U57" s="598">
        <v>706974</v>
      </c>
      <c r="V57" s="603" t="s">
        <v>97</v>
      </c>
      <c r="W57" s="598" t="s">
        <v>97</v>
      </c>
      <c r="X57" s="597" t="s">
        <v>97</v>
      </c>
      <c r="Y57" s="598" t="s">
        <v>97</v>
      </c>
      <c r="Z57" s="598" t="s">
        <v>97</v>
      </c>
      <c r="AA57" s="598" t="s">
        <v>97</v>
      </c>
      <c r="AB57" s="598" t="s">
        <v>97</v>
      </c>
      <c r="AC57" s="599" t="s">
        <v>97</v>
      </c>
      <c r="AD57" s="1103">
        <f t="shared" si="1"/>
        <v>2227353</v>
      </c>
      <c r="AE57" s="790">
        <f t="shared" si="2"/>
        <v>0</v>
      </c>
      <c r="AF57" s="788" t="b">
        <f t="shared" si="4"/>
        <v>1</v>
      </c>
      <c r="AH57" s="788" t="b">
        <f t="shared" si="17"/>
        <v>1</v>
      </c>
      <c r="AI57" s="788" t="b">
        <f t="shared" si="18"/>
        <v>1</v>
      </c>
      <c r="AJ57" s="788" t="b">
        <f t="shared" si="19"/>
        <v>1</v>
      </c>
      <c r="AK57" s="788" t="b">
        <f t="shared" si="20"/>
        <v>1</v>
      </c>
      <c r="AL57" s="788" t="b">
        <f t="shared" si="21"/>
        <v>1</v>
      </c>
      <c r="AM57" s="788" t="b">
        <f t="shared" si="10"/>
        <v>1</v>
      </c>
      <c r="AN57" s="788" t="b">
        <f t="shared" si="22"/>
        <v>1</v>
      </c>
      <c r="AO57" s="788" t="b">
        <f t="shared" si="23"/>
        <v>1</v>
      </c>
      <c r="AP57" s="788" t="b">
        <f t="shared" si="24"/>
        <v>1</v>
      </c>
      <c r="AQ57" s="788" t="b">
        <f t="shared" si="25"/>
        <v>1</v>
      </c>
      <c r="AR57" s="788" t="b">
        <f t="shared" si="26"/>
        <v>1</v>
      </c>
      <c r="AS57" s="788" t="b">
        <f t="shared" si="27"/>
        <v>1</v>
      </c>
    </row>
    <row r="58" spans="1:45" ht="12.75" customHeight="1">
      <c r="A58" s="1424"/>
      <c r="B58" s="18" t="s">
        <v>1469</v>
      </c>
      <c r="C58" s="20" t="s">
        <v>97</v>
      </c>
      <c r="D58" s="20">
        <v>1644974</v>
      </c>
      <c r="E58" s="20" t="s">
        <v>97</v>
      </c>
      <c r="F58" s="20">
        <v>2837901</v>
      </c>
      <c r="G58" s="20" t="s">
        <v>97</v>
      </c>
      <c r="H58" s="20" t="s">
        <v>97</v>
      </c>
      <c r="I58" s="20" t="s">
        <v>97</v>
      </c>
      <c r="J58" s="20" t="s">
        <v>97</v>
      </c>
      <c r="K58" s="20">
        <v>930000</v>
      </c>
      <c r="L58" s="20" t="s">
        <v>97</v>
      </c>
      <c r="M58" s="789" t="s">
        <v>97</v>
      </c>
      <c r="N58" s="1425">
        <f t="shared" si="0"/>
        <v>5412875</v>
      </c>
      <c r="O58" s="23"/>
      <c r="P58" s="17"/>
      <c r="Q58" s="24" t="s">
        <v>1478</v>
      </c>
      <c r="R58" s="604"/>
      <c r="S58" s="598" t="s">
        <v>97</v>
      </c>
      <c r="T58" s="598">
        <v>1644974</v>
      </c>
      <c r="U58" s="598" t="s">
        <v>97</v>
      </c>
      <c r="V58" s="598">
        <v>2837901</v>
      </c>
      <c r="W58" s="598" t="s">
        <v>97</v>
      </c>
      <c r="X58" s="597" t="s">
        <v>97</v>
      </c>
      <c r="Y58" s="598" t="s">
        <v>97</v>
      </c>
      <c r="Z58" s="598" t="s">
        <v>97</v>
      </c>
      <c r="AA58" s="598">
        <v>930000</v>
      </c>
      <c r="AB58" s="598" t="s">
        <v>97</v>
      </c>
      <c r="AC58" s="599" t="s">
        <v>97</v>
      </c>
      <c r="AD58" s="1103">
        <f t="shared" si="1"/>
        <v>5412875</v>
      </c>
      <c r="AE58" s="790">
        <f t="shared" si="2"/>
        <v>0</v>
      </c>
      <c r="AF58" s="788" t="b">
        <f t="shared" si="4"/>
        <v>1</v>
      </c>
      <c r="AH58" s="788" t="b">
        <f t="shared" si="17"/>
        <v>1</v>
      </c>
      <c r="AI58" s="788" t="b">
        <f t="shared" si="18"/>
        <v>1</v>
      </c>
      <c r="AJ58" s="788" t="b">
        <f t="shared" si="19"/>
        <v>1</v>
      </c>
      <c r="AK58" s="788" t="b">
        <f t="shared" si="20"/>
        <v>1</v>
      </c>
      <c r="AL58" s="788" t="b">
        <f t="shared" si="21"/>
        <v>1</v>
      </c>
      <c r="AM58" s="788" t="b">
        <f t="shared" si="10"/>
        <v>1</v>
      </c>
      <c r="AN58" s="788" t="b">
        <f t="shared" si="22"/>
        <v>1</v>
      </c>
      <c r="AO58" s="788" t="b">
        <f t="shared" si="23"/>
        <v>1</v>
      </c>
      <c r="AP58" s="788" t="b">
        <f t="shared" si="24"/>
        <v>1</v>
      </c>
      <c r="AQ58" s="788" t="b">
        <f t="shared" si="25"/>
        <v>1</v>
      </c>
      <c r="AR58" s="788" t="b">
        <f t="shared" si="26"/>
        <v>1</v>
      </c>
      <c r="AS58" s="788" t="b">
        <f t="shared" si="27"/>
        <v>1</v>
      </c>
    </row>
    <row r="59" spans="1:45" ht="12.75" customHeight="1">
      <c r="A59" s="1420"/>
      <c r="B59" s="18" t="s">
        <v>1470</v>
      </c>
      <c r="C59" s="20">
        <v>260289</v>
      </c>
      <c r="D59" s="20">
        <v>903119</v>
      </c>
      <c r="E59" s="20">
        <v>684309</v>
      </c>
      <c r="F59" s="20">
        <v>537661</v>
      </c>
      <c r="G59" s="20">
        <v>569921</v>
      </c>
      <c r="H59" s="20" t="s">
        <v>97</v>
      </c>
      <c r="I59" s="20" t="s">
        <v>97</v>
      </c>
      <c r="J59" s="20">
        <v>935023</v>
      </c>
      <c r="K59" s="20">
        <v>654000</v>
      </c>
      <c r="L59" s="20">
        <v>165000</v>
      </c>
      <c r="M59" s="789" t="s">
        <v>97</v>
      </c>
      <c r="N59" s="1425">
        <f t="shared" si="0"/>
        <v>4709322</v>
      </c>
      <c r="O59" s="23"/>
      <c r="P59" s="12"/>
      <c r="Q59" s="24" t="s">
        <v>1479</v>
      </c>
      <c r="R59" s="601"/>
      <c r="S59" s="598">
        <v>260289</v>
      </c>
      <c r="T59" s="598">
        <v>903119</v>
      </c>
      <c r="U59" s="598">
        <v>684309</v>
      </c>
      <c r="V59" s="598">
        <v>537661</v>
      </c>
      <c r="W59" s="598">
        <v>569921</v>
      </c>
      <c r="X59" s="597" t="s">
        <v>97</v>
      </c>
      <c r="Y59" s="598" t="s">
        <v>97</v>
      </c>
      <c r="Z59" s="598">
        <v>935023</v>
      </c>
      <c r="AA59" s="598">
        <v>654000</v>
      </c>
      <c r="AB59" s="598">
        <v>165000</v>
      </c>
      <c r="AC59" s="599" t="s">
        <v>97</v>
      </c>
      <c r="AD59" s="1103">
        <f t="shared" si="1"/>
        <v>4709322</v>
      </c>
      <c r="AE59" s="790">
        <f t="shared" si="2"/>
        <v>0</v>
      </c>
      <c r="AF59" s="788" t="b">
        <f t="shared" si="4"/>
        <v>1</v>
      </c>
      <c r="AH59" s="788" t="b">
        <f t="shared" si="17"/>
        <v>1</v>
      </c>
      <c r="AI59" s="788" t="b">
        <f t="shared" si="18"/>
        <v>1</v>
      </c>
      <c r="AJ59" s="788" t="b">
        <f t="shared" si="19"/>
        <v>1</v>
      </c>
      <c r="AK59" s="788" t="b">
        <f t="shared" si="20"/>
        <v>1</v>
      </c>
      <c r="AL59" s="788" t="b">
        <f t="shared" si="21"/>
        <v>1</v>
      </c>
      <c r="AM59" s="788" t="b">
        <f t="shared" si="10"/>
        <v>1</v>
      </c>
      <c r="AN59" s="788" t="b">
        <f t="shared" si="22"/>
        <v>1</v>
      </c>
      <c r="AO59" s="788" t="b">
        <f t="shared" si="23"/>
        <v>1</v>
      </c>
      <c r="AP59" s="788" t="b">
        <f t="shared" si="24"/>
        <v>1</v>
      </c>
      <c r="AQ59" s="788" t="b">
        <f t="shared" si="25"/>
        <v>1</v>
      </c>
      <c r="AR59" s="788" t="b">
        <f t="shared" si="26"/>
        <v>1</v>
      </c>
      <c r="AS59" s="788" t="b">
        <f t="shared" si="27"/>
        <v>1</v>
      </c>
    </row>
    <row r="60" spans="1:45" ht="12.75" customHeight="1">
      <c r="A60" s="1424">
        <v>2014</v>
      </c>
      <c r="B60" s="18" t="s">
        <v>1467</v>
      </c>
      <c r="C60" s="20" t="s">
        <v>97</v>
      </c>
      <c r="D60" s="20">
        <v>275973</v>
      </c>
      <c r="E60" s="20">
        <v>627857</v>
      </c>
      <c r="F60" s="20" t="s">
        <v>97</v>
      </c>
      <c r="G60" s="20">
        <v>128700</v>
      </c>
      <c r="H60" s="20" t="s">
        <v>97</v>
      </c>
      <c r="I60" s="20">
        <v>380848</v>
      </c>
      <c r="J60" s="20">
        <v>437585</v>
      </c>
      <c r="K60" s="20" t="s">
        <v>97</v>
      </c>
      <c r="L60" s="20" t="s">
        <v>97</v>
      </c>
      <c r="M60" s="789" t="s">
        <v>97</v>
      </c>
      <c r="N60" s="1425">
        <f t="shared" si="0"/>
        <v>1850963</v>
      </c>
      <c r="O60" s="23"/>
      <c r="P60" s="17">
        <v>2014</v>
      </c>
      <c r="Q60" s="24" t="s">
        <v>1467</v>
      </c>
      <c r="R60" s="604"/>
      <c r="S60" s="598" t="s">
        <v>97</v>
      </c>
      <c r="T60" s="598">
        <v>275973</v>
      </c>
      <c r="U60" s="598">
        <v>627857</v>
      </c>
      <c r="V60" s="597" t="s">
        <v>97</v>
      </c>
      <c r="W60" s="598">
        <v>128700</v>
      </c>
      <c r="X60" s="597" t="s">
        <v>97</v>
      </c>
      <c r="Y60" s="598">
        <v>380848</v>
      </c>
      <c r="Z60" s="598">
        <v>437585</v>
      </c>
      <c r="AA60" s="598" t="s">
        <v>97</v>
      </c>
      <c r="AB60" s="598" t="s">
        <v>97</v>
      </c>
      <c r="AC60" s="599" t="s">
        <v>97</v>
      </c>
      <c r="AD60" s="1103">
        <f t="shared" si="1"/>
        <v>1850963</v>
      </c>
      <c r="AE60" s="790">
        <f t="shared" si="2"/>
        <v>0</v>
      </c>
      <c r="AF60" s="788" t="b">
        <f t="shared" si="4"/>
        <v>1</v>
      </c>
      <c r="AH60" s="788" t="b">
        <f t="shared" si="17"/>
        <v>1</v>
      </c>
      <c r="AI60" s="788" t="b">
        <f t="shared" si="18"/>
        <v>1</v>
      </c>
      <c r="AJ60" s="788" t="b">
        <f t="shared" si="19"/>
        <v>1</v>
      </c>
      <c r="AK60" s="788" t="b">
        <f t="shared" si="20"/>
        <v>1</v>
      </c>
      <c r="AL60" s="788" t="b">
        <f t="shared" si="21"/>
        <v>1</v>
      </c>
      <c r="AM60" s="788" t="b">
        <f t="shared" si="10"/>
        <v>1</v>
      </c>
      <c r="AN60" s="788" t="b">
        <f t="shared" si="22"/>
        <v>1</v>
      </c>
      <c r="AO60" s="788" t="b">
        <f t="shared" si="23"/>
        <v>1</v>
      </c>
      <c r="AP60" s="788" t="b">
        <f t="shared" si="24"/>
        <v>1</v>
      </c>
      <c r="AQ60" s="788" t="b">
        <f t="shared" si="25"/>
        <v>1</v>
      </c>
      <c r="AR60" s="788" t="b">
        <f t="shared" si="26"/>
        <v>1</v>
      </c>
      <c r="AS60" s="788" t="b">
        <f t="shared" si="27"/>
        <v>1</v>
      </c>
    </row>
    <row r="61" spans="1:45" ht="12.75" customHeight="1">
      <c r="A61" s="1420"/>
      <c r="B61" s="18" t="s">
        <v>1468</v>
      </c>
      <c r="C61" s="20">
        <v>672387</v>
      </c>
      <c r="D61" s="20">
        <v>525600</v>
      </c>
      <c r="E61" s="20">
        <v>472678</v>
      </c>
      <c r="F61" s="20" t="s">
        <v>97</v>
      </c>
      <c r="G61" s="20" t="s">
        <v>97</v>
      </c>
      <c r="H61" s="20" t="s">
        <v>97</v>
      </c>
      <c r="I61" s="20" t="s">
        <v>97</v>
      </c>
      <c r="J61" s="20" t="s">
        <v>97</v>
      </c>
      <c r="K61" s="20" t="s">
        <v>97</v>
      </c>
      <c r="L61" s="20" t="s">
        <v>97</v>
      </c>
      <c r="M61" s="789" t="s">
        <v>97</v>
      </c>
      <c r="N61" s="1425">
        <f t="shared" si="0"/>
        <v>1670665</v>
      </c>
      <c r="O61" s="23"/>
      <c r="P61" s="17"/>
      <c r="Q61" s="24" t="s">
        <v>1477</v>
      </c>
      <c r="R61" s="604"/>
      <c r="S61" s="598">
        <v>672387</v>
      </c>
      <c r="T61" s="598">
        <v>525600</v>
      </c>
      <c r="U61" s="598">
        <v>472678</v>
      </c>
      <c r="V61" s="597" t="s">
        <v>97</v>
      </c>
      <c r="W61" s="598" t="s">
        <v>97</v>
      </c>
      <c r="X61" s="597" t="s">
        <v>97</v>
      </c>
      <c r="Y61" s="598" t="s">
        <v>97</v>
      </c>
      <c r="Z61" s="598" t="s">
        <v>97</v>
      </c>
      <c r="AA61" s="598" t="s">
        <v>97</v>
      </c>
      <c r="AB61" s="598" t="s">
        <v>97</v>
      </c>
      <c r="AC61" s="599" t="s">
        <v>97</v>
      </c>
      <c r="AD61" s="1103">
        <f t="shared" si="1"/>
        <v>1670665</v>
      </c>
      <c r="AE61" s="790">
        <f t="shared" si="2"/>
        <v>0</v>
      </c>
      <c r="AF61" s="788" t="b">
        <f t="shared" si="4"/>
        <v>1</v>
      </c>
      <c r="AH61" s="788" t="b">
        <f t="shared" si="17"/>
        <v>1</v>
      </c>
      <c r="AI61" s="788" t="b">
        <f t="shared" si="18"/>
        <v>1</v>
      </c>
      <c r="AJ61" s="788" t="b">
        <f t="shared" si="19"/>
        <v>1</v>
      </c>
      <c r="AK61" s="788" t="b">
        <f t="shared" si="20"/>
        <v>1</v>
      </c>
      <c r="AL61" s="788" t="b">
        <f t="shared" si="21"/>
        <v>1</v>
      </c>
      <c r="AM61" s="788" t="b">
        <f t="shared" si="10"/>
        <v>1</v>
      </c>
      <c r="AN61" s="788" t="b">
        <f t="shared" si="22"/>
        <v>1</v>
      </c>
      <c r="AO61" s="788" t="b">
        <f t="shared" si="23"/>
        <v>1</v>
      </c>
      <c r="AP61" s="788" t="b">
        <f t="shared" si="24"/>
        <v>1</v>
      </c>
      <c r="AQ61" s="788" t="b">
        <f t="shared" si="25"/>
        <v>1</v>
      </c>
      <c r="AR61" s="788" t="b">
        <f t="shared" si="26"/>
        <v>1</v>
      </c>
      <c r="AS61" s="788" t="b">
        <f t="shared" si="27"/>
        <v>1</v>
      </c>
    </row>
    <row r="62" spans="1:45" ht="12.75" customHeight="1">
      <c r="A62" s="1420"/>
      <c r="B62" s="18" t="s">
        <v>1469</v>
      </c>
      <c r="C62" s="20" t="s">
        <v>97</v>
      </c>
      <c r="D62" s="20">
        <v>4118792</v>
      </c>
      <c r="E62" s="20" t="s">
        <v>97</v>
      </c>
      <c r="F62" s="20">
        <v>3120715</v>
      </c>
      <c r="G62" s="20" t="s">
        <v>97</v>
      </c>
      <c r="H62" s="20" t="s">
        <v>97</v>
      </c>
      <c r="I62" s="20" t="s">
        <v>97</v>
      </c>
      <c r="J62" s="20" t="s">
        <v>97</v>
      </c>
      <c r="K62" s="20">
        <v>975000</v>
      </c>
      <c r="L62" s="20" t="s">
        <v>97</v>
      </c>
      <c r="M62" s="789" t="s">
        <v>97</v>
      </c>
      <c r="N62" s="1425">
        <f t="shared" si="0"/>
        <v>8214507</v>
      </c>
      <c r="O62" s="23"/>
      <c r="P62" s="17"/>
      <c r="Q62" s="24" t="s">
        <v>1478</v>
      </c>
      <c r="R62" s="604"/>
      <c r="S62" s="598" t="s">
        <v>97</v>
      </c>
      <c r="T62" s="598">
        <v>4118792</v>
      </c>
      <c r="U62" s="598" t="s">
        <v>97</v>
      </c>
      <c r="V62" s="597">
        <v>3120715</v>
      </c>
      <c r="W62" s="598" t="s">
        <v>97</v>
      </c>
      <c r="X62" s="597" t="s">
        <v>97</v>
      </c>
      <c r="Y62" s="598" t="s">
        <v>97</v>
      </c>
      <c r="Z62" s="598" t="s">
        <v>97</v>
      </c>
      <c r="AA62" s="598">
        <v>975000</v>
      </c>
      <c r="AB62" s="598" t="s">
        <v>97</v>
      </c>
      <c r="AC62" s="599" t="s">
        <v>97</v>
      </c>
      <c r="AD62" s="1103">
        <f t="shared" si="1"/>
        <v>8214507</v>
      </c>
      <c r="AE62" s="790">
        <f t="shared" si="2"/>
        <v>0</v>
      </c>
      <c r="AF62" s="788" t="b">
        <f t="shared" si="4"/>
        <v>1</v>
      </c>
      <c r="AH62" s="788" t="b">
        <f t="shared" si="17"/>
        <v>1</v>
      </c>
      <c r="AI62" s="788" t="b">
        <f t="shared" si="18"/>
        <v>1</v>
      </c>
      <c r="AJ62" s="788" t="b">
        <f t="shared" si="19"/>
        <v>1</v>
      </c>
      <c r="AK62" s="788" t="b">
        <f t="shared" si="20"/>
        <v>1</v>
      </c>
      <c r="AL62" s="788" t="b">
        <f t="shared" si="21"/>
        <v>1</v>
      </c>
      <c r="AM62" s="788" t="b">
        <f t="shared" si="10"/>
        <v>1</v>
      </c>
      <c r="AN62" s="788" t="b">
        <f t="shared" si="22"/>
        <v>1</v>
      </c>
      <c r="AO62" s="788" t="b">
        <f t="shared" si="23"/>
        <v>1</v>
      </c>
      <c r="AP62" s="788" t="b">
        <f t="shared" si="24"/>
        <v>1</v>
      </c>
      <c r="AQ62" s="788" t="b">
        <f t="shared" si="25"/>
        <v>1</v>
      </c>
      <c r="AR62" s="788" t="b">
        <f t="shared" si="26"/>
        <v>1</v>
      </c>
      <c r="AS62" s="788" t="b">
        <f t="shared" si="27"/>
        <v>1</v>
      </c>
    </row>
    <row r="63" spans="1:45" ht="12.75" customHeight="1">
      <c r="A63" s="1420"/>
      <c r="B63" s="18" t="s">
        <v>1470</v>
      </c>
      <c r="C63" s="20">
        <v>209923</v>
      </c>
      <c r="D63" s="20">
        <v>1552458</v>
      </c>
      <c r="E63" s="20">
        <v>766193</v>
      </c>
      <c r="F63" s="20">
        <v>568328</v>
      </c>
      <c r="G63" s="20">
        <v>574243</v>
      </c>
      <c r="H63" s="20" t="s">
        <v>97</v>
      </c>
      <c r="I63" s="20" t="s">
        <v>97</v>
      </c>
      <c r="J63" s="20">
        <v>842341</v>
      </c>
      <c r="K63" s="20">
        <v>920000</v>
      </c>
      <c r="L63" s="20">
        <v>156000</v>
      </c>
      <c r="M63" s="789" t="s">
        <v>97</v>
      </c>
      <c r="N63" s="1425">
        <f t="shared" si="0"/>
        <v>5589486</v>
      </c>
      <c r="O63" s="23"/>
      <c r="P63" s="17"/>
      <c r="Q63" s="24" t="s">
        <v>1479</v>
      </c>
      <c r="R63" s="604"/>
      <c r="S63" s="598">
        <v>209923</v>
      </c>
      <c r="T63" s="598">
        <v>1552458</v>
      </c>
      <c r="U63" s="598">
        <v>766193</v>
      </c>
      <c r="V63" s="598">
        <v>568328</v>
      </c>
      <c r="W63" s="598">
        <v>574243</v>
      </c>
      <c r="X63" s="597" t="s">
        <v>97</v>
      </c>
      <c r="Y63" s="598" t="s">
        <v>97</v>
      </c>
      <c r="Z63" s="598">
        <v>842341</v>
      </c>
      <c r="AA63" s="598">
        <v>920000</v>
      </c>
      <c r="AB63" s="598">
        <v>156000</v>
      </c>
      <c r="AC63" s="605" t="s">
        <v>97</v>
      </c>
      <c r="AD63" s="1103">
        <f t="shared" si="1"/>
        <v>5589486</v>
      </c>
      <c r="AE63" s="790">
        <f t="shared" si="2"/>
        <v>0</v>
      </c>
      <c r="AF63" s="788" t="b">
        <f t="shared" si="4"/>
        <v>1</v>
      </c>
      <c r="AH63" s="788" t="b">
        <f t="shared" si="17"/>
        <v>1</v>
      </c>
      <c r="AI63" s="788" t="b">
        <f t="shared" si="18"/>
        <v>1</v>
      </c>
      <c r="AJ63" s="788" t="b">
        <f t="shared" si="19"/>
        <v>1</v>
      </c>
      <c r="AK63" s="788" t="b">
        <f t="shared" si="20"/>
        <v>1</v>
      </c>
      <c r="AL63" s="788" t="b">
        <f t="shared" si="21"/>
        <v>1</v>
      </c>
      <c r="AM63" s="788" t="b">
        <f t="shared" si="10"/>
        <v>1</v>
      </c>
      <c r="AN63" s="788" t="b">
        <f t="shared" si="22"/>
        <v>1</v>
      </c>
      <c r="AO63" s="788" t="b">
        <f t="shared" si="23"/>
        <v>1</v>
      </c>
      <c r="AP63" s="788" t="b">
        <f t="shared" si="24"/>
        <v>1</v>
      </c>
      <c r="AQ63" s="788" t="b">
        <f t="shared" si="25"/>
        <v>1</v>
      </c>
      <c r="AR63" s="788" t="b">
        <f t="shared" si="26"/>
        <v>1</v>
      </c>
      <c r="AS63" s="788" t="b">
        <f t="shared" si="27"/>
        <v>1</v>
      </c>
    </row>
    <row r="64" spans="1:45" ht="12.75" customHeight="1">
      <c r="A64" s="1424">
        <v>2015</v>
      </c>
      <c r="B64" s="18" t="s">
        <v>1467</v>
      </c>
      <c r="C64" s="20" t="s">
        <v>97</v>
      </c>
      <c r="D64" s="20" t="s">
        <v>97</v>
      </c>
      <c r="E64" s="20">
        <v>910343</v>
      </c>
      <c r="F64" s="20" t="s">
        <v>97</v>
      </c>
      <c r="G64" s="20">
        <v>116114</v>
      </c>
      <c r="H64" s="20" t="s">
        <v>97</v>
      </c>
      <c r="I64" s="20">
        <v>379653</v>
      </c>
      <c r="J64" s="20">
        <v>399621</v>
      </c>
      <c r="K64" s="20" t="s">
        <v>97</v>
      </c>
      <c r="L64" s="20" t="s">
        <v>97</v>
      </c>
      <c r="M64" s="789" t="s">
        <v>97</v>
      </c>
      <c r="N64" s="1425">
        <f>SUM(C64:M64)</f>
        <v>1805731</v>
      </c>
      <c r="O64" s="23"/>
      <c r="P64" s="17">
        <v>2015</v>
      </c>
      <c r="Q64" s="24" t="s">
        <v>1467</v>
      </c>
      <c r="R64" s="604"/>
      <c r="S64" s="598" t="s">
        <v>97</v>
      </c>
      <c r="T64" s="598" t="s">
        <v>97</v>
      </c>
      <c r="U64" s="598">
        <v>910343</v>
      </c>
      <c r="V64" s="598" t="s">
        <v>97</v>
      </c>
      <c r="W64" s="598">
        <v>116114</v>
      </c>
      <c r="X64" s="597" t="s">
        <v>97</v>
      </c>
      <c r="Y64" s="598">
        <v>379653</v>
      </c>
      <c r="Z64" s="598">
        <v>399621</v>
      </c>
      <c r="AA64" s="598" t="s">
        <v>97</v>
      </c>
      <c r="AB64" s="598" t="s">
        <v>97</v>
      </c>
      <c r="AC64" s="605" t="s">
        <v>97</v>
      </c>
      <c r="AD64" s="1103">
        <f t="shared" si="1"/>
        <v>1805731</v>
      </c>
      <c r="AE64" s="790">
        <f t="shared" si="2"/>
        <v>0</v>
      </c>
      <c r="AF64" s="788" t="b">
        <f t="shared" si="4"/>
        <v>1</v>
      </c>
      <c r="AH64" s="788" t="b">
        <f t="shared" si="17"/>
        <v>1</v>
      </c>
      <c r="AI64" s="788" t="b">
        <f t="shared" si="18"/>
        <v>1</v>
      </c>
      <c r="AJ64" s="788" t="b">
        <f t="shared" si="19"/>
        <v>1</v>
      </c>
      <c r="AK64" s="788" t="b">
        <f t="shared" si="20"/>
        <v>1</v>
      </c>
      <c r="AL64" s="788" t="b">
        <f t="shared" si="21"/>
        <v>1</v>
      </c>
      <c r="AM64" s="788" t="b">
        <f t="shared" si="10"/>
        <v>1</v>
      </c>
      <c r="AN64" s="788" t="b">
        <f t="shared" si="22"/>
        <v>1</v>
      </c>
      <c r="AO64" s="788" t="b">
        <f t="shared" si="23"/>
        <v>1</v>
      </c>
      <c r="AP64" s="788" t="b">
        <f t="shared" si="24"/>
        <v>1</v>
      </c>
      <c r="AQ64" s="788" t="b">
        <f t="shared" si="25"/>
        <v>1</v>
      </c>
      <c r="AR64" s="788" t="b">
        <f t="shared" si="26"/>
        <v>1</v>
      </c>
      <c r="AS64" s="788" t="b">
        <f t="shared" si="27"/>
        <v>1</v>
      </c>
    </row>
    <row r="65" spans="1:45" ht="12.75" customHeight="1">
      <c r="A65" s="1420"/>
      <c r="B65" s="18" t="s">
        <v>1468</v>
      </c>
      <c r="C65" s="20">
        <v>160487</v>
      </c>
      <c r="D65" s="20">
        <v>461441</v>
      </c>
      <c r="E65" s="20" t="s">
        <v>97</v>
      </c>
      <c r="F65" s="20" t="s">
        <v>97</v>
      </c>
      <c r="G65" s="20" t="s">
        <v>97</v>
      </c>
      <c r="H65" s="20" t="s">
        <v>97</v>
      </c>
      <c r="I65" s="20" t="s">
        <v>97</v>
      </c>
      <c r="J65" s="20" t="s">
        <v>97</v>
      </c>
      <c r="K65" s="20" t="s">
        <v>97</v>
      </c>
      <c r="L65" s="20" t="s">
        <v>97</v>
      </c>
      <c r="M65" s="789" t="s">
        <v>97</v>
      </c>
      <c r="N65" s="1425">
        <f t="shared" si="0"/>
        <v>621928</v>
      </c>
      <c r="P65" s="17"/>
      <c r="Q65" s="24" t="s">
        <v>1477</v>
      </c>
      <c r="R65" s="604"/>
      <c r="S65" s="598">
        <v>160487</v>
      </c>
      <c r="T65" s="598">
        <v>461441</v>
      </c>
      <c r="U65" s="598" t="s">
        <v>97</v>
      </c>
      <c r="V65" s="598" t="s">
        <v>97</v>
      </c>
      <c r="W65" s="598" t="s">
        <v>97</v>
      </c>
      <c r="X65" s="597" t="s">
        <v>97</v>
      </c>
      <c r="Y65" s="598" t="s">
        <v>97</v>
      </c>
      <c r="Z65" s="598" t="s">
        <v>97</v>
      </c>
      <c r="AA65" s="598" t="s">
        <v>97</v>
      </c>
      <c r="AB65" s="598" t="s">
        <v>97</v>
      </c>
      <c r="AC65" s="605" t="s">
        <v>97</v>
      </c>
      <c r="AD65" s="1103">
        <f t="shared" si="1"/>
        <v>621928</v>
      </c>
      <c r="AE65" s="790">
        <f t="shared" si="2"/>
        <v>0</v>
      </c>
      <c r="AF65" s="788" t="b">
        <f t="shared" si="4"/>
        <v>1</v>
      </c>
      <c r="AH65" s="788" t="b">
        <f t="shared" si="17"/>
        <v>1</v>
      </c>
      <c r="AI65" s="788" t="b">
        <f t="shared" si="18"/>
        <v>1</v>
      </c>
      <c r="AJ65" s="788" t="b">
        <f t="shared" si="19"/>
        <v>1</v>
      </c>
      <c r="AK65" s="788" t="b">
        <f t="shared" si="20"/>
        <v>1</v>
      </c>
      <c r="AL65" s="788" t="b">
        <f t="shared" si="21"/>
        <v>1</v>
      </c>
      <c r="AM65" s="788" t="b">
        <f t="shared" si="10"/>
        <v>1</v>
      </c>
      <c r="AN65" s="788" t="b">
        <f t="shared" si="22"/>
        <v>1</v>
      </c>
      <c r="AO65" s="788" t="b">
        <f t="shared" si="23"/>
        <v>1</v>
      </c>
      <c r="AP65" s="788" t="b">
        <f t="shared" si="24"/>
        <v>1</v>
      </c>
      <c r="AQ65" s="788" t="b">
        <f t="shared" si="25"/>
        <v>1</v>
      </c>
      <c r="AR65" s="788" t="b">
        <f t="shared" si="26"/>
        <v>1</v>
      </c>
      <c r="AS65" s="788" t="b">
        <f t="shared" si="27"/>
        <v>1</v>
      </c>
    </row>
    <row r="66" spans="1:45" ht="12.75" customHeight="1">
      <c r="A66" s="1420"/>
      <c r="B66" s="18" t="s">
        <v>1469</v>
      </c>
      <c r="C66" s="20" t="s">
        <v>97</v>
      </c>
      <c r="D66" s="20">
        <v>2802981</v>
      </c>
      <c r="E66" s="20" t="s">
        <v>97</v>
      </c>
      <c r="F66" s="20">
        <v>3090605</v>
      </c>
      <c r="G66" s="20" t="s">
        <v>97</v>
      </c>
      <c r="H66" s="20" t="s">
        <v>97</v>
      </c>
      <c r="I66" s="20" t="s">
        <v>97</v>
      </c>
      <c r="J66" s="20" t="s">
        <v>97</v>
      </c>
      <c r="K66" s="20">
        <v>875000</v>
      </c>
      <c r="L66" s="20" t="s">
        <v>97</v>
      </c>
      <c r="M66" s="789" t="s">
        <v>97</v>
      </c>
      <c r="N66" s="1425">
        <f t="shared" si="0"/>
        <v>6768586</v>
      </c>
      <c r="P66" s="17"/>
      <c r="Q66" s="24" t="s">
        <v>1478</v>
      </c>
      <c r="R66" s="604"/>
      <c r="S66" s="598" t="s">
        <v>97</v>
      </c>
      <c r="T66" s="598">
        <v>2802981</v>
      </c>
      <c r="U66" s="598" t="s">
        <v>97</v>
      </c>
      <c r="V66" s="598">
        <v>3090605</v>
      </c>
      <c r="W66" s="598" t="s">
        <v>97</v>
      </c>
      <c r="X66" s="597" t="s">
        <v>97</v>
      </c>
      <c r="Y66" s="598" t="s">
        <v>97</v>
      </c>
      <c r="Z66" s="598" t="s">
        <v>97</v>
      </c>
      <c r="AA66" s="598">
        <v>875000</v>
      </c>
      <c r="AB66" s="598" t="s">
        <v>97</v>
      </c>
      <c r="AC66" s="605" t="s">
        <v>97</v>
      </c>
      <c r="AD66" s="1103">
        <f t="shared" si="1"/>
        <v>6768586</v>
      </c>
      <c r="AE66" s="790">
        <f t="shared" si="2"/>
        <v>0</v>
      </c>
      <c r="AF66" s="788" t="b">
        <f t="shared" si="4"/>
        <v>1</v>
      </c>
      <c r="AH66" s="788" t="b">
        <f t="shared" si="17"/>
        <v>1</v>
      </c>
      <c r="AI66" s="788" t="b">
        <f t="shared" si="18"/>
        <v>1</v>
      </c>
      <c r="AJ66" s="788" t="b">
        <f t="shared" si="19"/>
        <v>1</v>
      </c>
      <c r="AK66" s="788" t="b">
        <f t="shared" si="20"/>
        <v>1</v>
      </c>
      <c r="AL66" s="788" t="b">
        <f t="shared" si="21"/>
        <v>1</v>
      </c>
      <c r="AM66" s="788" t="b">
        <f t="shared" si="10"/>
        <v>1</v>
      </c>
      <c r="AN66" s="788" t="b">
        <f t="shared" si="22"/>
        <v>1</v>
      </c>
      <c r="AO66" s="788" t="b">
        <f t="shared" si="23"/>
        <v>1</v>
      </c>
      <c r="AP66" s="788" t="b">
        <f t="shared" si="24"/>
        <v>1</v>
      </c>
      <c r="AQ66" s="788" t="b">
        <f t="shared" si="25"/>
        <v>1</v>
      </c>
      <c r="AR66" s="788" t="b">
        <f t="shared" si="26"/>
        <v>1</v>
      </c>
      <c r="AS66" s="788" t="b">
        <f t="shared" si="27"/>
        <v>1</v>
      </c>
    </row>
    <row r="67" spans="1:45" ht="12.75" customHeight="1">
      <c r="A67" s="1420"/>
      <c r="B67" s="18" t="s">
        <v>1470</v>
      </c>
      <c r="C67" s="20">
        <v>209745</v>
      </c>
      <c r="D67" s="20">
        <v>1487362</v>
      </c>
      <c r="E67" s="20">
        <v>550062</v>
      </c>
      <c r="F67" s="20">
        <v>536144</v>
      </c>
      <c r="G67" s="20">
        <v>349156</v>
      </c>
      <c r="H67" s="20" t="s">
        <v>97</v>
      </c>
      <c r="I67" s="20" t="s">
        <v>97</v>
      </c>
      <c r="J67" s="1428">
        <v>747060</v>
      </c>
      <c r="K67" s="20">
        <v>855000</v>
      </c>
      <c r="L67" s="20">
        <v>53000</v>
      </c>
      <c r="M67" s="789" t="s">
        <v>97</v>
      </c>
      <c r="N67" s="1425">
        <f t="shared" si="0"/>
        <v>4787529</v>
      </c>
      <c r="P67" s="17"/>
      <c r="Q67" s="24" t="s">
        <v>1479</v>
      </c>
      <c r="R67" s="604"/>
      <c r="S67" s="598">
        <v>209745</v>
      </c>
      <c r="T67" s="598">
        <v>1487362</v>
      </c>
      <c r="U67" s="598">
        <v>550062</v>
      </c>
      <c r="V67" s="598">
        <v>536144</v>
      </c>
      <c r="W67" s="598">
        <v>349156</v>
      </c>
      <c r="X67" s="597" t="s">
        <v>97</v>
      </c>
      <c r="Y67" s="598" t="s">
        <v>97</v>
      </c>
      <c r="Z67" s="598">
        <v>747060</v>
      </c>
      <c r="AA67" s="598">
        <v>855000</v>
      </c>
      <c r="AB67" s="598">
        <v>53000</v>
      </c>
      <c r="AC67" s="605" t="s">
        <v>97</v>
      </c>
      <c r="AD67" s="1103">
        <f t="shared" si="1"/>
        <v>4787529</v>
      </c>
      <c r="AE67" s="790">
        <f t="shared" si="2"/>
        <v>0</v>
      </c>
      <c r="AF67" s="788" t="b">
        <f t="shared" si="4"/>
        <v>1</v>
      </c>
      <c r="AH67" s="788" t="b">
        <f t="shared" si="17"/>
        <v>1</v>
      </c>
      <c r="AI67" s="788" t="b">
        <f t="shared" si="18"/>
        <v>1</v>
      </c>
      <c r="AJ67" s="788" t="b">
        <f t="shared" si="19"/>
        <v>1</v>
      </c>
      <c r="AK67" s="788" t="b">
        <f t="shared" si="20"/>
        <v>1</v>
      </c>
      <c r="AL67" s="788" t="b">
        <f t="shared" si="21"/>
        <v>1</v>
      </c>
      <c r="AM67" s="788" t="b">
        <f t="shared" si="10"/>
        <v>1</v>
      </c>
      <c r="AN67" s="788" t="b">
        <f t="shared" si="22"/>
        <v>1</v>
      </c>
      <c r="AO67" s="788" t="b">
        <f t="shared" si="23"/>
        <v>1</v>
      </c>
      <c r="AP67" s="788" t="b">
        <f t="shared" si="24"/>
        <v>1</v>
      </c>
      <c r="AQ67" s="788" t="b">
        <f t="shared" si="25"/>
        <v>1</v>
      </c>
      <c r="AR67" s="788" t="b">
        <f t="shared" si="26"/>
        <v>1</v>
      </c>
      <c r="AS67" s="788" t="b">
        <f t="shared" si="27"/>
        <v>1</v>
      </c>
    </row>
    <row r="68" spans="1:45">
      <c r="A68" s="1424">
        <v>2016</v>
      </c>
      <c r="B68" s="18" t="s">
        <v>1467</v>
      </c>
      <c r="C68" s="20" t="s">
        <v>97</v>
      </c>
      <c r="D68" s="20" t="s">
        <v>97</v>
      </c>
      <c r="E68" s="1427">
        <v>1159889</v>
      </c>
      <c r="F68" s="20" t="s">
        <v>97</v>
      </c>
      <c r="G68" s="20">
        <v>129830</v>
      </c>
      <c r="H68" s="20" t="s">
        <v>97</v>
      </c>
      <c r="I68" s="20">
        <v>385563</v>
      </c>
      <c r="J68" s="20">
        <v>459832</v>
      </c>
      <c r="K68" s="20" t="s">
        <v>97</v>
      </c>
      <c r="L68" s="20" t="s">
        <v>97</v>
      </c>
      <c r="M68" s="789" t="s">
        <v>97</v>
      </c>
      <c r="N68" s="1425">
        <f t="shared" ref="N68:N95" si="28">SUM(C68:M68)</f>
        <v>2135114</v>
      </c>
      <c r="P68" s="17">
        <v>2016</v>
      </c>
      <c r="Q68" s="24" t="s">
        <v>1467</v>
      </c>
      <c r="R68" s="604"/>
      <c r="S68" s="598" t="s">
        <v>97</v>
      </c>
      <c r="T68" s="598" t="s">
        <v>97</v>
      </c>
      <c r="U68" s="598">
        <v>1159889</v>
      </c>
      <c r="V68" s="598" t="s">
        <v>97</v>
      </c>
      <c r="W68" s="598">
        <v>129830</v>
      </c>
      <c r="X68" s="597" t="s">
        <v>97</v>
      </c>
      <c r="Y68" s="598">
        <v>385563</v>
      </c>
      <c r="Z68" s="598">
        <v>459832</v>
      </c>
      <c r="AA68" s="598" t="s">
        <v>97</v>
      </c>
      <c r="AB68" s="598" t="s">
        <v>97</v>
      </c>
      <c r="AC68" s="605" t="s">
        <v>97</v>
      </c>
      <c r="AD68" s="1103">
        <f t="shared" ref="AD68:AD84" si="29">SUM(S68:AC68)</f>
        <v>2135114</v>
      </c>
      <c r="AE68" s="790">
        <f>N68-AD68</f>
        <v>0</v>
      </c>
      <c r="AF68" s="788" t="b">
        <f t="shared" si="4"/>
        <v>1</v>
      </c>
      <c r="AH68" s="788" t="b">
        <f t="shared" si="17"/>
        <v>1</v>
      </c>
      <c r="AI68" s="788" t="b">
        <f t="shared" si="18"/>
        <v>1</v>
      </c>
      <c r="AJ68" s="788" t="b">
        <f t="shared" si="19"/>
        <v>1</v>
      </c>
      <c r="AK68" s="788" t="b">
        <f t="shared" si="20"/>
        <v>1</v>
      </c>
      <c r="AL68" s="788" t="b">
        <f t="shared" si="21"/>
        <v>1</v>
      </c>
      <c r="AM68" s="788" t="b">
        <f t="shared" si="10"/>
        <v>1</v>
      </c>
      <c r="AN68" s="788" t="b">
        <f t="shared" si="22"/>
        <v>1</v>
      </c>
      <c r="AO68" s="788" t="b">
        <f t="shared" si="23"/>
        <v>1</v>
      </c>
      <c r="AP68" s="788" t="b">
        <f t="shared" si="24"/>
        <v>1</v>
      </c>
      <c r="AQ68" s="788" t="b">
        <f t="shared" si="25"/>
        <v>1</v>
      </c>
      <c r="AR68" s="788" t="b">
        <f t="shared" si="26"/>
        <v>1</v>
      </c>
      <c r="AS68" s="788" t="b">
        <f t="shared" si="27"/>
        <v>1</v>
      </c>
    </row>
    <row r="69" spans="1:45">
      <c r="A69" s="1420"/>
      <c r="B69" s="18" t="s">
        <v>1468</v>
      </c>
      <c r="C69" s="20" t="s">
        <v>97</v>
      </c>
      <c r="D69" s="20">
        <v>599463</v>
      </c>
      <c r="E69" s="20" t="s">
        <v>97</v>
      </c>
      <c r="F69" s="20" t="s">
        <v>97</v>
      </c>
      <c r="G69" s="20" t="s">
        <v>97</v>
      </c>
      <c r="H69" s="20" t="s">
        <v>97</v>
      </c>
      <c r="I69" s="20" t="s">
        <v>97</v>
      </c>
      <c r="J69" s="20" t="s">
        <v>97</v>
      </c>
      <c r="K69" s="20" t="s">
        <v>97</v>
      </c>
      <c r="L69" s="20" t="s">
        <v>97</v>
      </c>
      <c r="M69" s="789" t="s">
        <v>97</v>
      </c>
      <c r="N69" s="1425">
        <f t="shared" si="28"/>
        <v>599463</v>
      </c>
      <c r="P69" s="17"/>
      <c r="Q69" s="24" t="s">
        <v>1477</v>
      </c>
      <c r="R69" s="604"/>
      <c r="S69" s="598" t="s">
        <v>97</v>
      </c>
      <c r="T69" s="598">
        <v>599463</v>
      </c>
      <c r="U69" s="598" t="s">
        <v>97</v>
      </c>
      <c r="V69" s="598" t="s">
        <v>97</v>
      </c>
      <c r="W69" s="598" t="s">
        <v>97</v>
      </c>
      <c r="X69" s="597" t="s">
        <v>97</v>
      </c>
      <c r="Y69" s="598" t="s">
        <v>97</v>
      </c>
      <c r="Z69" s="598" t="s">
        <v>97</v>
      </c>
      <c r="AA69" s="598" t="s">
        <v>97</v>
      </c>
      <c r="AB69" s="598" t="s">
        <v>97</v>
      </c>
      <c r="AC69" s="605" t="s">
        <v>97</v>
      </c>
      <c r="AD69" s="1103">
        <f t="shared" si="29"/>
        <v>599463</v>
      </c>
      <c r="AE69" s="790">
        <f t="shared" ref="AE69:AE74" si="30">N69-AD69</f>
        <v>0</v>
      </c>
      <c r="AF69" s="788" t="b">
        <f t="shared" ref="AF69:AF73" si="31">AD69=N69</f>
        <v>1</v>
      </c>
      <c r="AH69" s="788" t="b">
        <f t="shared" ref="AH69:AH87" si="32">S69=C69</f>
        <v>1</v>
      </c>
      <c r="AI69" s="788" t="b">
        <f t="shared" ref="AI69:AI87" si="33">T69=D69</f>
        <v>1</v>
      </c>
      <c r="AJ69" s="788" t="b">
        <f t="shared" ref="AJ69:AJ87" si="34">U69=E69</f>
        <v>1</v>
      </c>
      <c r="AK69" s="788" t="b">
        <f t="shared" ref="AK69:AK87" si="35">V69=F69</f>
        <v>1</v>
      </c>
      <c r="AL69" s="788" t="b">
        <f t="shared" ref="AL69:AL87" si="36">W69=G69</f>
        <v>1</v>
      </c>
      <c r="AM69" s="788" t="b">
        <f t="shared" ref="AM69:AM91" si="37">X69=H69</f>
        <v>1</v>
      </c>
      <c r="AN69" s="788" t="b">
        <f t="shared" ref="AN69:AN87" si="38">Y69=I69</f>
        <v>1</v>
      </c>
      <c r="AO69" s="788" t="b">
        <f t="shared" ref="AO69:AO87" si="39">Z69=J69</f>
        <v>1</v>
      </c>
      <c r="AP69" s="788" t="b">
        <f t="shared" ref="AP69:AP87" si="40">AA69=K69</f>
        <v>1</v>
      </c>
      <c r="AQ69" s="788" t="b">
        <f t="shared" ref="AQ69:AQ87" si="41">AB69=L69</f>
        <v>1</v>
      </c>
      <c r="AR69" s="788" t="b">
        <f t="shared" ref="AR69:AR87" si="42">AC69=M69</f>
        <v>1</v>
      </c>
      <c r="AS69" s="788" t="b">
        <f t="shared" ref="AS69:AS87" si="43">AD69=N69</f>
        <v>1</v>
      </c>
    </row>
    <row r="70" spans="1:45">
      <c r="A70" s="1420"/>
      <c r="B70" s="18" t="s">
        <v>1469</v>
      </c>
      <c r="C70" s="20" t="s">
        <v>97</v>
      </c>
      <c r="D70" s="20" t="s">
        <v>97</v>
      </c>
      <c r="E70" s="20" t="s">
        <v>97</v>
      </c>
      <c r="F70" s="20">
        <v>2312352</v>
      </c>
      <c r="G70" s="20" t="s">
        <v>97</v>
      </c>
      <c r="H70" s="20" t="s">
        <v>97</v>
      </c>
      <c r="I70" s="20" t="s">
        <v>97</v>
      </c>
      <c r="J70" s="20" t="s">
        <v>97</v>
      </c>
      <c r="K70" s="20">
        <v>910000</v>
      </c>
      <c r="L70" s="20" t="s">
        <v>97</v>
      </c>
      <c r="M70" s="789" t="s">
        <v>97</v>
      </c>
      <c r="N70" s="1425">
        <f t="shared" si="28"/>
        <v>3222352</v>
      </c>
      <c r="P70" s="17"/>
      <c r="Q70" s="24" t="s">
        <v>1478</v>
      </c>
      <c r="R70" s="604"/>
      <c r="S70" s="598" t="s">
        <v>97</v>
      </c>
      <c r="T70" s="598" t="s">
        <v>97</v>
      </c>
      <c r="U70" s="598" t="s">
        <v>97</v>
      </c>
      <c r="V70" s="598">
        <v>2312352</v>
      </c>
      <c r="W70" s="598" t="s">
        <v>97</v>
      </c>
      <c r="X70" s="597" t="s">
        <v>97</v>
      </c>
      <c r="Y70" s="598" t="s">
        <v>97</v>
      </c>
      <c r="Z70" s="598" t="s">
        <v>97</v>
      </c>
      <c r="AA70" s="598">
        <v>910000</v>
      </c>
      <c r="AB70" s="598" t="s">
        <v>97</v>
      </c>
      <c r="AC70" s="605" t="s">
        <v>97</v>
      </c>
      <c r="AD70" s="1103">
        <f t="shared" si="29"/>
        <v>3222352</v>
      </c>
      <c r="AE70" s="790">
        <f t="shared" si="30"/>
        <v>0</v>
      </c>
      <c r="AF70" s="788" t="b">
        <f t="shared" si="31"/>
        <v>1</v>
      </c>
      <c r="AH70" s="788" t="b">
        <f t="shared" si="32"/>
        <v>1</v>
      </c>
      <c r="AI70" s="788" t="b">
        <f t="shared" si="33"/>
        <v>1</v>
      </c>
      <c r="AJ70" s="788" t="b">
        <f t="shared" si="34"/>
        <v>1</v>
      </c>
      <c r="AK70" s="788" t="b">
        <f t="shared" si="35"/>
        <v>1</v>
      </c>
      <c r="AL70" s="788" t="b">
        <f t="shared" si="36"/>
        <v>1</v>
      </c>
      <c r="AM70" s="788" t="b">
        <f t="shared" si="37"/>
        <v>1</v>
      </c>
      <c r="AN70" s="788" t="b">
        <f t="shared" si="38"/>
        <v>1</v>
      </c>
      <c r="AO70" s="788" t="b">
        <f t="shared" si="39"/>
        <v>1</v>
      </c>
      <c r="AP70" s="788" t="b">
        <f t="shared" si="40"/>
        <v>1</v>
      </c>
      <c r="AQ70" s="788" t="b">
        <f t="shared" si="41"/>
        <v>1</v>
      </c>
      <c r="AR70" s="788" t="b">
        <f t="shared" si="42"/>
        <v>1</v>
      </c>
      <c r="AS70" s="788" t="b">
        <f t="shared" si="43"/>
        <v>1</v>
      </c>
    </row>
    <row r="71" spans="1:45">
      <c r="A71" s="1420"/>
      <c r="B71" s="18" t="s">
        <v>1470</v>
      </c>
      <c r="C71" s="1428">
        <v>487409</v>
      </c>
      <c r="D71" s="1428">
        <v>1694036</v>
      </c>
      <c r="E71" s="20">
        <v>761511</v>
      </c>
      <c r="F71" s="20">
        <v>567394</v>
      </c>
      <c r="G71" s="20">
        <v>509235</v>
      </c>
      <c r="H71" s="20" t="s">
        <v>97</v>
      </c>
      <c r="I71" s="20" t="s">
        <v>97</v>
      </c>
      <c r="J71" s="20">
        <v>922456</v>
      </c>
      <c r="K71" s="20">
        <v>723000</v>
      </c>
      <c r="L71" s="20">
        <v>43550</v>
      </c>
      <c r="M71" s="789" t="s">
        <v>97</v>
      </c>
      <c r="N71" s="1425">
        <f t="shared" si="28"/>
        <v>5708591</v>
      </c>
      <c r="P71" s="17"/>
      <c r="Q71" s="24" t="s">
        <v>1479</v>
      </c>
      <c r="R71" s="604"/>
      <c r="S71" s="598">
        <v>487409</v>
      </c>
      <c r="T71" s="598">
        <v>1694036</v>
      </c>
      <c r="U71" s="598">
        <v>761511</v>
      </c>
      <c r="V71" s="598">
        <v>567394</v>
      </c>
      <c r="W71" s="598">
        <v>509235</v>
      </c>
      <c r="X71" s="597" t="s">
        <v>97</v>
      </c>
      <c r="Y71" s="598" t="s">
        <v>97</v>
      </c>
      <c r="Z71" s="598">
        <v>922456</v>
      </c>
      <c r="AA71" s="598">
        <v>723000</v>
      </c>
      <c r="AB71" s="598">
        <v>43550</v>
      </c>
      <c r="AC71" s="605" t="s">
        <v>97</v>
      </c>
      <c r="AD71" s="1103">
        <f t="shared" si="29"/>
        <v>5708591</v>
      </c>
      <c r="AE71" s="790">
        <f t="shared" si="30"/>
        <v>0</v>
      </c>
      <c r="AF71" s="788" t="b">
        <f t="shared" si="31"/>
        <v>1</v>
      </c>
      <c r="AH71" s="788" t="b">
        <f t="shared" si="32"/>
        <v>1</v>
      </c>
      <c r="AI71" s="788" t="b">
        <f t="shared" si="33"/>
        <v>1</v>
      </c>
      <c r="AJ71" s="788" t="b">
        <f t="shared" si="34"/>
        <v>1</v>
      </c>
      <c r="AK71" s="788" t="b">
        <f t="shared" si="35"/>
        <v>1</v>
      </c>
      <c r="AL71" s="788" t="b">
        <f t="shared" si="36"/>
        <v>1</v>
      </c>
      <c r="AM71" s="788" t="b">
        <f t="shared" si="37"/>
        <v>1</v>
      </c>
      <c r="AN71" s="788" t="b">
        <f t="shared" si="38"/>
        <v>1</v>
      </c>
      <c r="AO71" s="788" t="b">
        <f t="shared" si="39"/>
        <v>1</v>
      </c>
      <c r="AP71" s="788" t="b">
        <f t="shared" si="40"/>
        <v>1</v>
      </c>
      <c r="AQ71" s="788" t="b">
        <f t="shared" si="41"/>
        <v>1</v>
      </c>
      <c r="AR71" s="788" t="b">
        <f t="shared" si="42"/>
        <v>1</v>
      </c>
      <c r="AS71" s="788" t="b">
        <f t="shared" si="43"/>
        <v>1</v>
      </c>
    </row>
    <row r="72" spans="1:45">
      <c r="A72" s="1424">
        <v>2017</v>
      </c>
      <c r="B72" s="18" t="s">
        <v>1467</v>
      </c>
      <c r="C72" s="20" t="s">
        <v>97</v>
      </c>
      <c r="D72" s="20">
        <v>117495</v>
      </c>
      <c r="E72" s="20">
        <v>968404</v>
      </c>
      <c r="F72" s="20"/>
      <c r="G72" s="20">
        <v>130489</v>
      </c>
      <c r="H72" s="20" t="s">
        <v>97</v>
      </c>
      <c r="I72" s="20">
        <v>646836</v>
      </c>
      <c r="J72" s="1427">
        <v>419609</v>
      </c>
      <c r="K72" s="789">
        <v>170000</v>
      </c>
      <c r="L72" s="789" t="s">
        <v>97</v>
      </c>
      <c r="M72" s="789" t="s">
        <v>97</v>
      </c>
      <c r="N72" s="1425">
        <f t="shared" si="28"/>
        <v>2452833</v>
      </c>
      <c r="P72" s="17">
        <v>2017</v>
      </c>
      <c r="Q72" s="24" t="s">
        <v>1467</v>
      </c>
      <c r="R72" s="604"/>
      <c r="S72" s="598" t="s">
        <v>97</v>
      </c>
      <c r="T72" s="598">
        <v>117495</v>
      </c>
      <c r="U72" s="598">
        <v>968404</v>
      </c>
      <c r="V72" s="598"/>
      <c r="W72" s="598">
        <v>130489</v>
      </c>
      <c r="X72" s="597" t="s">
        <v>97</v>
      </c>
      <c r="Y72" s="598">
        <v>646836</v>
      </c>
      <c r="Z72" s="598">
        <v>419609</v>
      </c>
      <c r="AA72" s="598">
        <v>170000</v>
      </c>
      <c r="AB72" s="598" t="s">
        <v>97</v>
      </c>
      <c r="AC72" s="605" t="s">
        <v>97</v>
      </c>
      <c r="AD72" s="1103">
        <f t="shared" si="29"/>
        <v>2452833</v>
      </c>
      <c r="AE72" s="790">
        <f t="shared" si="30"/>
        <v>0</v>
      </c>
      <c r="AF72" s="788" t="b">
        <f t="shared" si="31"/>
        <v>1</v>
      </c>
      <c r="AH72" s="788" t="b">
        <f t="shared" si="32"/>
        <v>1</v>
      </c>
      <c r="AI72" s="788" t="b">
        <f t="shared" si="33"/>
        <v>1</v>
      </c>
      <c r="AJ72" s="788" t="b">
        <f t="shared" si="34"/>
        <v>1</v>
      </c>
      <c r="AK72" s="788" t="b">
        <f t="shared" si="35"/>
        <v>1</v>
      </c>
      <c r="AL72" s="788" t="b">
        <f t="shared" si="36"/>
        <v>1</v>
      </c>
      <c r="AM72" s="788" t="b">
        <f t="shared" si="37"/>
        <v>1</v>
      </c>
      <c r="AN72" s="788" t="b">
        <f t="shared" si="38"/>
        <v>1</v>
      </c>
      <c r="AO72" s="788" t="b">
        <f t="shared" si="39"/>
        <v>1</v>
      </c>
      <c r="AP72" s="788" t="b">
        <f t="shared" si="40"/>
        <v>1</v>
      </c>
      <c r="AQ72" s="788" t="b">
        <f t="shared" si="41"/>
        <v>1</v>
      </c>
      <c r="AR72" s="788" t="b">
        <f t="shared" si="42"/>
        <v>1</v>
      </c>
      <c r="AS72" s="788" t="b">
        <f t="shared" si="43"/>
        <v>1</v>
      </c>
    </row>
    <row r="73" spans="1:45">
      <c r="A73" s="1420"/>
      <c r="B73" s="18" t="s">
        <v>1468</v>
      </c>
      <c r="C73" s="789" t="s">
        <v>97</v>
      </c>
      <c r="D73" s="20">
        <v>300460</v>
      </c>
      <c r="E73" s="789" t="s">
        <v>97</v>
      </c>
      <c r="F73" s="789" t="s">
        <v>97</v>
      </c>
      <c r="G73" s="789" t="s">
        <v>97</v>
      </c>
      <c r="H73" s="20" t="s">
        <v>97</v>
      </c>
      <c r="I73" s="789" t="s">
        <v>97</v>
      </c>
      <c r="J73" s="789" t="s">
        <v>97</v>
      </c>
      <c r="K73" s="789" t="s">
        <v>97</v>
      </c>
      <c r="L73" s="789" t="s">
        <v>97</v>
      </c>
      <c r="M73" s="789" t="s">
        <v>97</v>
      </c>
      <c r="N73" s="1425">
        <f t="shared" si="28"/>
        <v>300460</v>
      </c>
      <c r="P73" s="17"/>
      <c r="Q73" s="24" t="s">
        <v>1477</v>
      </c>
      <c r="R73" s="604"/>
      <c r="S73" s="598" t="s">
        <v>97</v>
      </c>
      <c r="T73" s="598">
        <v>300460</v>
      </c>
      <c r="U73" s="598" t="s">
        <v>97</v>
      </c>
      <c r="V73" s="598" t="s">
        <v>97</v>
      </c>
      <c r="W73" s="598" t="s">
        <v>97</v>
      </c>
      <c r="X73" s="597" t="s">
        <v>97</v>
      </c>
      <c r="Y73" s="598" t="s">
        <v>97</v>
      </c>
      <c r="Z73" s="598" t="s">
        <v>97</v>
      </c>
      <c r="AA73" s="598" t="s">
        <v>97</v>
      </c>
      <c r="AB73" s="598" t="s">
        <v>97</v>
      </c>
      <c r="AC73" s="605" t="s">
        <v>97</v>
      </c>
      <c r="AD73" s="1103">
        <f t="shared" si="29"/>
        <v>300460</v>
      </c>
      <c r="AE73" s="790">
        <f t="shared" si="30"/>
        <v>0</v>
      </c>
      <c r="AF73" s="788" t="b">
        <f t="shared" si="31"/>
        <v>1</v>
      </c>
      <c r="AH73" s="788" t="b">
        <f t="shared" si="32"/>
        <v>1</v>
      </c>
      <c r="AI73" s="788" t="b">
        <f t="shared" si="33"/>
        <v>1</v>
      </c>
      <c r="AJ73" s="788" t="b">
        <f t="shared" si="34"/>
        <v>1</v>
      </c>
      <c r="AK73" s="788" t="b">
        <f t="shared" si="35"/>
        <v>1</v>
      </c>
      <c r="AL73" s="788" t="b">
        <f t="shared" si="36"/>
        <v>1</v>
      </c>
      <c r="AM73" s="788" t="b">
        <f t="shared" si="37"/>
        <v>1</v>
      </c>
      <c r="AN73" s="788" t="b">
        <f t="shared" si="38"/>
        <v>1</v>
      </c>
      <c r="AO73" s="788" t="b">
        <f t="shared" si="39"/>
        <v>1</v>
      </c>
      <c r="AP73" s="788" t="b">
        <f t="shared" si="40"/>
        <v>1</v>
      </c>
      <c r="AQ73" s="788" t="b">
        <f t="shared" si="41"/>
        <v>1</v>
      </c>
      <c r="AR73" s="788" t="b">
        <f t="shared" si="42"/>
        <v>1</v>
      </c>
      <c r="AS73" s="788" t="b">
        <f t="shared" si="43"/>
        <v>1</v>
      </c>
    </row>
    <row r="74" spans="1:45">
      <c r="A74" s="1420"/>
      <c r="B74" s="18" t="s">
        <v>1469</v>
      </c>
      <c r="C74" s="789" t="s">
        <v>97</v>
      </c>
      <c r="D74" s="20">
        <v>1686452</v>
      </c>
      <c r="E74" s="789" t="s">
        <v>97</v>
      </c>
      <c r="F74" s="20">
        <v>2250280</v>
      </c>
      <c r="G74" s="789" t="s">
        <v>97</v>
      </c>
      <c r="H74" s="20" t="s">
        <v>97</v>
      </c>
      <c r="I74" s="789" t="s">
        <v>97</v>
      </c>
      <c r="J74" s="789" t="s">
        <v>97</v>
      </c>
      <c r="K74" s="789" t="s">
        <v>97</v>
      </c>
      <c r="L74" s="789" t="s">
        <v>97</v>
      </c>
      <c r="M74" s="789" t="s">
        <v>97</v>
      </c>
      <c r="N74" s="1425">
        <f t="shared" si="28"/>
        <v>3936732</v>
      </c>
      <c r="P74" s="791"/>
      <c r="Q74" s="24" t="s">
        <v>1478</v>
      </c>
      <c r="S74" s="792" t="s">
        <v>97</v>
      </c>
      <c r="T74" s="792">
        <v>1686452</v>
      </c>
      <c r="U74" s="792" t="s">
        <v>97</v>
      </c>
      <c r="V74" s="792">
        <v>2250280</v>
      </c>
      <c r="W74" s="792" t="s">
        <v>97</v>
      </c>
      <c r="X74" s="597" t="s">
        <v>97</v>
      </c>
      <c r="Y74" s="792" t="s">
        <v>97</v>
      </c>
      <c r="Z74" s="792" t="s">
        <v>97</v>
      </c>
      <c r="AA74" s="792" t="s">
        <v>97</v>
      </c>
      <c r="AB74" s="792" t="s">
        <v>97</v>
      </c>
      <c r="AC74" s="792" t="s">
        <v>97</v>
      </c>
      <c r="AD74" s="1103">
        <f t="shared" si="29"/>
        <v>3936732</v>
      </c>
      <c r="AE74" s="790">
        <f t="shared" si="30"/>
        <v>0</v>
      </c>
      <c r="AF74" s="788" t="b">
        <f>AD74=N74</f>
        <v>1</v>
      </c>
      <c r="AH74" s="788" t="b">
        <f t="shared" si="32"/>
        <v>1</v>
      </c>
      <c r="AI74" s="788" t="b">
        <f t="shared" si="33"/>
        <v>1</v>
      </c>
      <c r="AJ74" s="788" t="b">
        <f t="shared" si="34"/>
        <v>1</v>
      </c>
      <c r="AK74" s="788" t="b">
        <f t="shared" si="35"/>
        <v>1</v>
      </c>
      <c r="AL74" s="788" t="b">
        <f t="shared" si="36"/>
        <v>1</v>
      </c>
      <c r="AM74" s="788" t="b">
        <f t="shared" si="37"/>
        <v>1</v>
      </c>
      <c r="AN74" s="788" t="b">
        <f t="shared" si="38"/>
        <v>1</v>
      </c>
      <c r="AO74" s="788" t="b">
        <f t="shared" si="39"/>
        <v>1</v>
      </c>
      <c r="AP74" s="788" t="b">
        <f t="shared" si="40"/>
        <v>1</v>
      </c>
      <c r="AQ74" s="788" t="b">
        <f t="shared" si="41"/>
        <v>1</v>
      </c>
      <c r="AR74" s="788" t="b">
        <f t="shared" si="42"/>
        <v>1</v>
      </c>
      <c r="AS74" s="788" t="b">
        <f t="shared" si="43"/>
        <v>1</v>
      </c>
    </row>
    <row r="75" spans="1:45">
      <c r="A75" s="1420"/>
      <c r="B75" s="18" t="s">
        <v>1470</v>
      </c>
      <c r="C75" s="20">
        <v>384452</v>
      </c>
      <c r="D75" s="20">
        <v>1317407</v>
      </c>
      <c r="E75" s="20">
        <v>631898</v>
      </c>
      <c r="F75" s="20">
        <v>733835</v>
      </c>
      <c r="G75" s="20">
        <v>426637</v>
      </c>
      <c r="H75" s="20" t="s">
        <v>97</v>
      </c>
      <c r="I75" s="789" t="s">
        <v>97</v>
      </c>
      <c r="J75" s="20">
        <v>424659</v>
      </c>
      <c r="K75" s="20">
        <v>700000</v>
      </c>
      <c r="L75" s="789" t="s">
        <v>97</v>
      </c>
      <c r="M75" s="789" t="s">
        <v>97</v>
      </c>
      <c r="N75" s="1425">
        <f t="shared" si="28"/>
        <v>4618888</v>
      </c>
      <c r="P75" s="791"/>
      <c r="Q75" s="24" t="s">
        <v>1479</v>
      </c>
      <c r="S75" s="792">
        <v>384452</v>
      </c>
      <c r="T75" s="792">
        <v>1317407</v>
      </c>
      <c r="U75" s="792">
        <v>631898</v>
      </c>
      <c r="V75" s="792">
        <v>733835</v>
      </c>
      <c r="W75" s="792">
        <v>426637</v>
      </c>
      <c r="X75" s="597" t="s">
        <v>97</v>
      </c>
      <c r="Y75" s="792" t="s">
        <v>97</v>
      </c>
      <c r="Z75" s="792">
        <v>424659</v>
      </c>
      <c r="AA75" s="792">
        <v>700000</v>
      </c>
      <c r="AB75" s="792" t="s">
        <v>97</v>
      </c>
      <c r="AC75" s="792" t="s">
        <v>97</v>
      </c>
      <c r="AD75" s="1103">
        <f t="shared" si="29"/>
        <v>4618888</v>
      </c>
      <c r="AE75" s="793">
        <f>N75-AD75</f>
        <v>0</v>
      </c>
      <c r="AF75" s="788" t="b">
        <f>AD75=N75</f>
        <v>1</v>
      </c>
      <c r="AH75" s="788" t="b">
        <f t="shared" si="32"/>
        <v>1</v>
      </c>
      <c r="AI75" s="788" t="b">
        <f t="shared" si="33"/>
        <v>1</v>
      </c>
      <c r="AJ75" s="788" t="b">
        <f t="shared" si="34"/>
        <v>1</v>
      </c>
      <c r="AK75" s="788" t="b">
        <f t="shared" si="35"/>
        <v>1</v>
      </c>
      <c r="AL75" s="788" t="b">
        <f t="shared" si="36"/>
        <v>1</v>
      </c>
      <c r="AM75" s="788" t="b">
        <f t="shared" si="37"/>
        <v>1</v>
      </c>
      <c r="AN75" s="788" t="b">
        <f t="shared" si="38"/>
        <v>1</v>
      </c>
      <c r="AO75" s="788" t="b">
        <f t="shared" si="39"/>
        <v>1</v>
      </c>
      <c r="AP75" s="788" t="b">
        <f t="shared" si="40"/>
        <v>1</v>
      </c>
      <c r="AQ75" s="788" t="b">
        <f t="shared" si="41"/>
        <v>1</v>
      </c>
      <c r="AR75" s="788" t="b">
        <f t="shared" si="42"/>
        <v>1</v>
      </c>
      <c r="AS75" s="788" t="b">
        <f t="shared" si="43"/>
        <v>1</v>
      </c>
    </row>
    <row r="76" spans="1:45">
      <c r="A76" s="1424">
        <v>2018</v>
      </c>
      <c r="B76" s="18" t="s">
        <v>1467</v>
      </c>
      <c r="C76" s="789" t="s">
        <v>97</v>
      </c>
      <c r="D76" s="1429">
        <v>235455</v>
      </c>
      <c r="E76" s="20">
        <v>1264888</v>
      </c>
      <c r="F76" s="789" t="s">
        <v>97</v>
      </c>
      <c r="G76" s="20">
        <v>310114</v>
      </c>
      <c r="H76" s="20" t="s">
        <v>97</v>
      </c>
      <c r="I76" s="789">
        <v>585258</v>
      </c>
      <c r="J76" s="20">
        <v>409815</v>
      </c>
      <c r="K76" s="20">
        <v>262000</v>
      </c>
      <c r="L76" s="789" t="s">
        <v>97</v>
      </c>
      <c r="M76" s="789" t="s">
        <v>97</v>
      </c>
      <c r="N76" s="1425">
        <f t="shared" si="28"/>
        <v>3067530</v>
      </c>
      <c r="P76" s="794">
        <v>2018</v>
      </c>
      <c r="Q76" s="24" t="s">
        <v>1467</v>
      </c>
      <c r="S76" s="795" t="s">
        <v>97</v>
      </c>
      <c r="T76" s="598">
        <v>235455</v>
      </c>
      <c r="U76" s="598">
        <v>1264888</v>
      </c>
      <c r="V76" s="795" t="s">
        <v>97</v>
      </c>
      <c r="W76" s="598">
        <v>310114</v>
      </c>
      <c r="X76" s="597" t="s">
        <v>97</v>
      </c>
      <c r="Y76" s="795">
        <v>585258</v>
      </c>
      <c r="Z76" s="598">
        <v>409815</v>
      </c>
      <c r="AA76" s="598">
        <v>262000</v>
      </c>
      <c r="AB76" s="795" t="s">
        <v>97</v>
      </c>
      <c r="AC76" s="795" t="s">
        <v>97</v>
      </c>
      <c r="AD76" s="1103">
        <f t="shared" si="29"/>
        <v>3067530</v>
      </c>
      <c r="AE76" s="793">
        <f t="shared" ref="AE76:AE87" si="44">N76-AD76</f>
        <v>0</v>
      </c>
      <c r="AF76" s="788" t="b">
        <f t="shared" ref="AF76:AF82" si="45">AD76=N76</f>
        <v>1</v>
      </c>
      <c r="AH76" s="788" t="b">
        <f t="shared" si="32"/>
        <v>1</v>
      </c>
      <c r="AI76" s="788" t="b">
        <f t="shared" si="33"/>
        <v>1</v>
      </c>
      <c r="AJ76" s="788" t="b">
        <f t="shared" si="34"/>
        <v>1</v>
      </c>
      <c r="AK76" s="788" t="b">
        <f t="shared" si="35"/>
        <v>1</v>
      </c>
      <c r="AL76" s="788" t="b">
        <f t="shared" si="36"/>
        <v>1</v>
      </c>
      <c r="AM76" s="788" t="b">
        <f t="shared" si="37"/>
        <v>1</v>
      </c>
      <c r="AN76" s="788" t="b">
        <f t="shared" si="38"/>
        <v>1</v>
      </c>
      <c r="AO76" s="788" t="b">
        <f t="shared" si="39"/>
        <v>1</v>
      </c>
      <c r="AP76" s="788" t="b">
        <f t="shared" si="40"/>
        <v>1</v>
      </c>
      <c r="AQ76" s="788" t="b">
        <f t="shared" si="41"/>
        <v>1</v>
      </c>
      <c r="AR76" s="788" t="b">
        <f t="shared" si="42"/>
        <v>1</v>
      </c>
      <c r="AS76" s="788" t="b">
        <f t="shared" si="43"/>
        <v>1</v>
      </c>
    </row>
    <row r="77" spans="1:45">
      <c r="A77" s="1420"/>
      <c r="B77" s="18" t="s">
        <v>1468</v>
      </c>
      <c r="C77" s="789" t="s">
        <v>97</v>
      </c>
      <c r="D77" s="1428">
        <v>391525</v>
      </c>
      <c r="E77" s="789" t="s">
        <v>97</v>
      </c>
      <c r="F77" s="789" t="s">
        <v>97</v>
      </c>
      <c r="G77" s="789" t="s">
        <v>97</v>
      </c>
      <c r="H77" s="20" t="s">
        <v>97</v>
      </c>
      <c r="I77" s="789" t="s">
        <v>97</v>
      </c>
      <c r="J77" s="789" t="s">
        <v>97</v>
      </c>
      <c r="K77" s="789" t="s">
        <v>97</v>
      </c>
      <c r="L77" s="789" t="s">
        <v>97</v>
      </c>
      <c r="M77" s="789" t="s">
        <v>97</v>
      </c>
      <c r="N77" s="1425">
        <f t="shared" si="28"/>
        <v>391525</v>
      </c>
      <c r="P77" s="791"/>
      <c r="Q77" s="24" t="s">
        <v>1477</v>
      </c>
      <c r="S77" s="795" t="s">
        <v>97</v>
      </c>
      <c r="T77" s="598">
        <v>391525</v>
      </c>
      <c r="U77" s="795" t="s">
        <v>97</v>
      </c>
      <c r="V77" s="795" t="s">
        <v>97</v>
      </c>
      <c r="W77" s="795" t="s">
        <v>97</v>
      </c>
      <c r="X77" s="597" t="s">
        <v>97</v>
      </c>
      <c r="Y77" s="795" t="s">
        <v>97</v>
      </c>
      <c r="Z77" s="795" t="s">
        <v>97</v>
      </c>
      <c r="AA77" s="795" t="s">
        <v>97</v>
      </c>
      <c r="AB77" s="795" t="s">
        <v>97</v>
      </c>
      <c r="AC77" s="795" t="s">
        <v>97</v>
      </c>
      <c r="AD77" s="1103">
        <f t="shared" si="29"/>
        <v>391525</v>
      </c>
      <c r="AE77" s="793">
        <f t="shared" si="44"/>
        <v>0</v>
      </c>
      <c r="AF77" s="788" t="b">
        <f t="shared" si="45"/>
        <v>1</v>
      </c>
      <c r="AH77" s="788" t="b">
        <f t="shared" si="32"/>
        <v>1</v>
      </c>
      <c r="AI77" s="788" t="b">
        <f t="shared" si="33"/>
        <v>1</v>
      </c>
      <c r="AJ77" s="788" t="b">
        <f t="shared" si="34"/>
        <v>1</v>
      </c>
      <c r="AK77" s="788" t="b">
        <f t="shared" si="35"/>
        <v>1</v>
      </c>
      <c r="AL77" s="788" t="b">
        <f t="shared" si="36"/>
        <v>1</v>
      </c>
      <c r="AM77" s="788" t="b">
        <f t="shared" si="37"/>
        <v>1</v>
      </c>
      <c r="AN77" s="788" t="b">
        <f t="shared" si="38"/>
        <v>1</v>
      </c>
      <c r="AO77" s="788" t="b">
        <f t="shared" si="39"/>
        <v>1</v>
      </c>
      <c r="AP77" s="788" t="b">
        <f t="shared" si="40"/>
        <v>1</v>
      </c>
      <c r="AQ77" s="788" t="b">
        <f t="shared" si="41"/>
        <v>1</v>
      </c>
      <c r="AR77" s="788" t="b">
        <f t="shared" si="42"/>
        <v>1</v>
      </c>
      <c r="AS77" s="788" t="b">
        <f t="shared" si="43"/>
        <v>1</v>
      </c>
    </row>
    <row r="78" spans="1:45">
      <c r="A78" s="1420"/>
      <c r="B78" s="18" t="s">
        <v>1469</v>
      </c>
      <c r="C78" s="789" t="s">
        <v>97</v>
      </c>
      <c r="D78" s="789">
        <v>2447240</v>
      </c>
      <c r="E78" s="789" t="s">
        <v>97</v>
      </c>
      <c r="F78" s="789">
        <v>1848665</v>
      </c>
      <c r="G78" s="789" t="s">
        <v>97</v>
      </c>
      <c r="H78" s="20" t="s">
        <v>97</v>
      </c>
      <c r="I78" s="789" t="s">
        <v>97</v>
      </c>
      <c r="J78" s="789" t="s">
        <v>97</v>
      </c>
      <c r="K78" s="789" t="s">
        <v>97</v>
      </c>
      <c r="L78" s="789" t="s">
        <v>97</v>
      </c>
      <c r="M78" s="789" t="s">
        <v>97</v>
      </c>
      <c r="N78" s="1425">
        <f t="shared" si="28"/>
        <v>4295905</v>
      </c>
      <c r="P78" s="791"/>
      <c r="Q78" s="24" t="s">
        <v>1478</v>
      </c>
      <c r="S78" s="795" t="s">
        <v>97</v>
      </c>
      <c r="T78" s="795">
        <v>2447240</v>
      </c>
      <c r="U78" s="795" t="s">
        <v>97</v>
      </c>
      <c r="V78" s="795">
        <v>1848665</v>
      </c>
      <c r="W78" s="795" t="s">
        <v>97</v>
      </c>
      <c r="X78" s="597" t="s">
        <v>97</v>
      </c>
      <c r="Y78" s="795" t="s">
        <v>97</v>
      </c>
      <c r="Z78" s="795" t="s">
        <v>97</v>
      </c>
      <c r="AA78" s="795" t="s">
        <v>97</v>
      </c>
      <c r="AB78" s="795" t="s">
        <v>97</v>
      </c>
      <c r="AC78" s="795" t="s">
        <v>97</v>
      </c>
      <c r="AD78" s="1103">
        <f t="shared" si="29"/>
        <v>4295905</v>
      </c>
      <c r="AE78" s="793">
        <f t="shared" si="44"/>
        <v>0</v>
      </c>
      <c r="AF78" s="788" t="b">
        <f t="shared" si="45"/>
        <v>1</v>
      </c>
      <c r="AH78" s="788" t="b">
        <f t="shared" si="32"/>
        <v>1</v>
      </c>
      <c r="AI78" s="788" t="b">
        <f t="shared" si="33"/>
        <v>1</v>
      </c>
      <c r="AJ78" s="788" t="b">
        <f t="shared" si="34"/>
        <v>1</v>
      </c>
      <c r="AK78" s="788" t="b">
        <f t="shared" si="35"/>
        <v>1</v>
      </c>
      <c r="AL78" s="788" t="b">
        <f t="shared" si="36"/>
        <v>1</v>
      </c>
      <c r="AM78" s="788" t="b">
        <f t="shared" si="37"/>
        <v>1</v>
      </c>
      <c r="AN78" s="788" t="b">
        <f t="shared" si="38"/>
        <v>1</v>
      </c>
      <c r="AO78" s="788" t="b">
        <f t="shared" si="39"/>
        <v>1</v>
      </c>
      <c r="AP78" s="788" t="b">
        <f t="shared" si="40"/>
        <v>1</v>
      </c>
      <c r="AQ78" s="788" t="b">
        <f t="shared" si="41"/>
        <v>1</v>
      </c>
      <c r="AR78" s="788" t="b">
        <f t="shared" si="42"/>
        <v>1</v>
      </c>
      <c r="AS78" s="788" t="b">
        <f t="shared" si="43"/>
        <v>1</v>
      </c>
    </row>
    <row r="79" spans="1:45">
      <c r="A79" s="1430"/>
      <c r="B79" s="18" t="s">
        <v>1470</v>
      </c>
      <c r="C79" s="789">
        <v>333094</v>
      </c>
      <c r="D79" s="789">
        <v>1407597</v>
      </c>
      <c r="E79" s="789">
        <v>717121</v>
      </c>
      <c r="F79" s="789">
        <v>747950</v>
      </c>
      <c r="G79" s="789">
        <v>350934</v>
      </c>
      <c r="H79" s="20" t="s">
        <v>97</v>
      </c>
      <c r="I79" s="789" t="s">
        <v>97</v>
      </c>
      <c r="J79" s="789">
        <v>620979</v>
      </c>
      <c r="K79" s="789">
        <v>706000</v>
      </c>
      <c r="L79" s="789" t="s">
        <v>97</v>
      </c>
      <c r="M79" s="789" t="s">
        <v>97</v>
      </c>
      <c r="N79" s="1425">
        <f t="shared" si="28"/>
        <v>4883675</v>
      </c>
      <c r="P79" s="791"/>
      <c r="Q79" s="24" t="s">
        <v>1479</v>
      </c>
      <c r="S79" s="795">
        <v>333094</v>
      </c>
      <c r="T79" s="795">
        <v>1407597</v>
      </c>
      <c r="U79" s="795">
        <v>717121</v>
      </c>
      <c r="V79" s="795">
        <v>747950</v>
      </c>
      <c r="W79" s="795">
        <v>350934</v>
      </c>
      <c r="X79" s="597" t="s">
        <v>97</v>
      </c>
      <c r="Y79" s="795" t="s">
        <v>97</v>
      </c>
      <c r="Z79" s="795">
        <v>620979</v>
      </c>
      <c r="AA79" s="795">
        <v>706000</v>
      </c>
      <c r="AB79" s="795" t="s">
        <v>97</v>
      </c>
      <c r="AC79" s="795" t="s">
        <v>97</v>
      </c>
      <c r="AD79" s="1103">
        <f t="shared" si="29"/>
        <v>4883675</v>
      </c>
      <c r="AE79" s="790">
        <f t="shared" si="44"/>
        <v>0</v>
      </c>
      <c r="AF79" s="788" t="b">
        <f t="shared" si="45"/>
        <v>1</v>
      </c>
      <c r="AH79" s="788" t="b">
        <f t="shared" si="32"/>
        <v>1</v>
      </c>
      <c r="AI79" s="788" t="b">
        <f t="shared" si="33"/>
        <v>1</v>
      </c>
      <c r="AJ79" s="788" t="b">
        <f t="shared" si="34"/>
        <v>1</v>
      </c>
      <c r="AK79" s="788" t="b">
        <f t="shared" si="35"/>
        <v>1</v>
      </c>
      <c r="AL79" s="788" t="b">
        <f t="shared" si="36"/>
        <v>1</v>
      </c>
      <c r="AM79" s="788" t="b">
        <f t="shared" si="37"/>
        <v>1</v>
      </c>
      <c r="AN79" s="788" t="b">
        <f t="shared" si="38"/>
        <v>1</v>
      </c>
      <c r="AO79" s="788" t="b">
        <f t="shared" si="39"/>
        <v>1</v>
      </c>
      <c r="AP79" s="788" t="b">
        <f t="shared" si="40"/>
        <v>1</v>
      </c>
      <c r="AQ79" s="788" t="b">
        <f t="shared" si="41"/>
        <v>1</v>
      </c>
      <c r="AR79" s="788" t="b">
        <f t="shared" si="42"/>
        <v>1</v>
      </c>
      <c r="AS79" s="788" t="b">
        <f t="shared" si="43"/>
        <v>1</v>
      </c>
    </row>
    <row r="80" spans="1:45">
      <c r="A80" s="1431">
        <v>2019</v>
      </c>
      <c r="B80" s="18" t="s">
        <v>1467</v>
      </c>
      <c r="C80" s="789" t="s">
        <v>97</v>
      </c>
      <c r="D80" s="1432">
        <v>502403</v>
      </c>
      <c r="E80" s="789">
        <v>1331398</v>
      </c>
      <c r="F80" s="1433">
        <v>238381</v>
      </c>
      <c r="G80" s="789">
        <v>411810</v>
      </c>
      <c r="H80" s="20" t="s">
        <v>97</v>
      </c>
      <c r="I80" s="1434">
        <v>630663</v>
      </c>
      <c r="J80" s="789">
        <v>375927</v>
      </c>
      <c r="K80" s="789">
        <v>245800</v>
      </c>
      <c r="L80" s="789" t="s">
        <v>97</v>
      </c>
      <c r="M80" s="789" t="s">
        <v>97</v>
      </c>
      <c r="N80" s="1425">
        <f t="shared" si="28"/>
        <v>3736382</v>
      </c>
      <c r="P80" s="791">
        <v>2019</v>
      </c>
      <c r="Q80" s="24" t="s">
        <v>1467</v>
      </c>
      <c r="S80" s="795" t="s">
        <v>97</v>
      </c>
      <c r="T80">
        <v>502403</v>
      </c>
      <c r="U80" s="795">
        <v>1331398</v>
      </c>
      <c r="V80" s="59">
        <v>238381</v>
      </c>
      <c r="W80" s="795">
        <v>411810</v>
      </c>
      <c r="X80" s="597" t="s">
        <v>97</v>
      </c>
      <c r="Y80" s="678">
        <v>630663</v>
      </c>
      <c r="Z80" s="795">
        <v>375927</v>
      </c>
      <c r="AA80" s="795">
        <v>245800</v>
      </c>
      <c r="AB80" s="795" t="s">
        <v>97</v>
      </c>
      <c r="AC80" s="795" t="s">
        <v>97</v>
      </c>
      <c r="AD80" s="1103">
        <f t="shared" si="29"/>
        <v>3736382</v>
      </c>
      <c r="AE80" s="790">
        <f t="shared" si="44"/>
        <v>0</v>
      </c>
      <c r="AF80" s="788" t="b">
        <f t="shared" si="45"/>
        <v>1</v>
      </c>
      <c r="AH80" s="788" t="b">
        <f t="shared" si="32"/>
        <v>1</v>
      </c>
      <c r="AI80" s="788" t="b">
        <f t="shared" si="33"/>
        <v>1</v>
      </c>
      <c r="AJ80" s="788" t="b">
        <f t="shared" si="34"/>
        <v>1</v>
      </c>
      <c r="AK80" s="788" t="b">
        <f t="shared" si="35"/>
        <v>1</v>
      </c>
      <c r="AL80" s="788" t="b">
        <f t="shared" si="36"/>
        <v>1</v>
      </c>
      <c r="AM80" s="788" t="b">
        <f t="shared" si="37"/>
        <v>1</v>
      </c>
      <c r="AN80" s="788" t="b">
        <f t="shared" si="38"/>
        <v>1</v>
      </c>
      <c r="AO80" s="788" t="b">
        <f t="shared" si="39"/>
        <v>1</v>
      </c>
      <c r="AP80" s="788" t="b">
        <f t="shared" si="40"/>
        <v>1</v>
      </c>
      <c r="AQ80" s="788" t="b">
        <f t="shared" si="41"/>
        <v>1</v>
      </c>
      <c r="AR80" s="788" t="b">
        <f t="shared" si="42"/>
        <v>1</v>
      </c>
      <c r="AS80" s="788" t="b">
        <f t="shared" si="43"/>
        <v>1</v>
      </c>
    </row>
    <row r="81" spans="1:45">
      <c r="A81" s="1430"/>
      <c r="B81" s="18" t="s">
        <v>1468</v>
      </c>
      <c r="C81" s="789" t="s">
        <v>97</v>
      </c>
      <c r="D81" s="789">
        <v>196215</v>
      </c>
      <c r="E81" s="789" t="s">
        <v>97</v>
      </c>
      <c r="F81" s="789" t="s">
        <v>97</v>
      </c>
      <c r="G81" s="789" t="s">
        <v>97</v>
      </c>
      <c r="H81" s="20" t="s">
        <v>97</v>
      </c>
      <c r="I81" s="789" t="s">
        <v>97</v>
      </c>
      <c r="J81" s="789" t="s">
        <v>97</v>
      </c>
      <c r="K81" s="789" t="s">
        <v>97</v>
      </c>
      <c r="L81" s="789" t="s">
        <v>97</v>
      </c>
      <c r="M81" s="789" t="s">
        <v>97</v>
      </c>
      <c r="N81" s="1425">
        <f t="shared" si="28"/>
        <v>196215</v>
      </c>
      <c r="P81" s="791"/>
      <c r="Q81" s="24" t="s">
        <v>1477</v>
      </c>
      <c r="S81" s="795" t="s">
        <v>97</v>
      </c>
      <c r="T81" s="795">
        <v>196215</v>
      </c>
      <c r="U81" s="795" t="s">
        <v>97</v>
      </c>
      <c r="V81" s="795" t="s">
        <v>97</v>
      </c>
      <c r="W81" s="795" t="s">
        <v>97</v>
      </c>
      <c r="X81" s="597" t="s">
        <v>97</v>
      </c>
      <c r="Y81" s="795" t="s">
        <v>97</v>
      </c>
      <c r="Z81" s="795" t="s">
        <v>97</v>
      </c>
      <c r="AA81" s="795" t="s">
        <v>97</v>
      </c>
      <c r="AB81" s="795" t="s">
        <v>97</v>
      </c>
      <c r="AC81" s="795" t="s">
        <v>97</v>
      </c>
      <c r="AD81" s="1103">
        <f t="shared" si="29"/>
        <v>196215</v>
      </c>
      <c r="AE81" s="790">
        <f t="shared" si="44"/>
        <v>0</v>
      </c>
      <c r="AF81" s="788" t="b">
        <f t="shared" si="45"/>
        <v>1</v>
      </c>
      <c r="AH81" s="788" t="b">
        <f t="shared" si="32"/>
        <v>1</v>
      </c>
      <c r="AI81" s="788" t="b">
        <f t="shared" si="33"/>
        <v>1</v>
      </c>
      <c r="AJ81" s="788" t="b">
        <f t="shared" si="34"/>
        <v>1</v>
      </c>
      <c r="AK81" s="788" t="b">
        <f t="shared" si="35"/>
        <v>1</v>
      </c>
      <c r="AL81" s="788" t="b">
        <f t="shared" si="36"/>
        <v>1</v>
      </c>
      <c r="AM81" s="788" t="b">
        <f t="shared" si="37"/>
        <v>1</v>
      </c>
      <c r="AN81" s="788" t="b">
        <f t="shared" si="38"/>
        <v>1</v>
      </c>
      <c r="AO81" s="788" t="b">
        <f t="shared" si="39"/>
        <v>1</v>
      </c>
      <c r="AP81" s="788" t="b">
        <f t="shared" si="40"/>
        <v>1</v>
      </c>
      <c r="AQ81" s="788" t="b">
        <f t="shared" si="41"/>
        <v>1</v>
      </c>
      <c r="AR81" s="788" t="b">
        <f t="shared" si="42"/>
        <v>1</v>
      </c>
      <c r="AS81" s="788" t="b">
        <f t="shared" si="43"/>
        <v>1</v>
      </c>
    </row>
    <row r="82" spans="1:45">
      <c r="A82" s="1430"/>
      <c r="B82" s="18" t="s">
        <v>1469</v>
      </c>
      <c r="C82" s="789" t="s">
        <v>97</v>
      </c>
      <c r="D82" s="789">
        <v>558797</v>
      </c>
      <c r="E82" s="789" t="s">
        <v>97</v>
      </c>
      <c r="F82" s="789">
        <v>1946024</v>
      </c>
      <c r="G82" s="789" t="s">
        <v>97</v>
      </c>
      <c r="H82" s="20" t="s">
        <v>97</v>
      </c>
      <c r="I82" s="789" t="s">
        <v>97</v>
      </c>
      <c r="J82" s="789" t="s">
        <v>97</v>
      </c>
      <c r="K82" s="789" t="s">
        <v>97</v>
      </c>
      <c r="L82" s="789" t="s">
        <v>97</v>
      </c>
      <c r="M82" s="789" t="s">
        <v>97</v>
      </c>
      <c r="N82" s="1425">
        <f t="shared" si="28"/>
        <v>2504821</v>
      </c>
      <c r="P82" s="791"/>
      <c r="Q82" s="24" t="s">
        <v>1478</v>
      </c>
      <c r="S82" s="795" t="s">
        <v>97</v>
      </c>
      <c r="T82" s="795">
        <v>558797</v>
      </c>
      <c r="U82" s="795" t="s">
        <v>97</v>
      </c>
      <c r="V82" s="795">
        <v>1946024</v>
      </c>
      <c r="W82" s="795" t="s">
        <v>97</v>
      </c>
      <c r="X82" s="597" t="s">
        <v>97</v>
      </c>
      <c r="Y82" s="795" t="s">
        <v>97</v>
      </c>
      <c r="Z82" s="795" t="s">
        <v>97</v>
      </c>
      <c r="AA82" s="795" t="s">
        <v>97</v>
      </c>
      <c r="AB82" s="795" t="s">
        <v>97</v>
      </c>
      <c r="AC82" s="795" t="s">
        <v>97</v>
      </c>
      <c r="AD82" s="1103">
        <f t="shared" si="29"/>
        <v>2504821</v>
      </c>
      <c r="AE82" s="790">
        <f t="shared" si="44"/>
        <v>0</v>
      </c>
      <c r="AF82" s="788" t="b">
        <f t="shared" si="45"/>
        <v>1</v>
      </c>
      <c r="AH82" s="788" t="b">
        <f t="shared" si="32"/>
        <v>1</v>
      </c>
      <c r="AI82" s="788" t="b">
        <f t="shared" si="33"/>
        <v>1</v>
      </c>
      <c r="AJ82" s="788" t="b">
        <f t="shared" si="34"/>
        <v>1</v>
      </c>
      <c r="AK82" s="788" t="b">
        <f t="shared" si="35"/>
        <v>1</v>
      </c>
      <c r="AL82" s="788" t="b">
        <f t="shared" si="36"/>
        <v>1</v>
      </c>
      <c r="AM82" s="788" t="b">
        <f t="shared" si="37"/>
        <v>1</v>
      </c>
      <c r="AN82" s="788" t="b">
        <f t="shared" si="38"/>
        <v>1</v>
      </c>
      <c r="AO82" s="788" t="b">
        <f t="shared" si="39"/>
        <v>1</v>
      </c>
      <c r="AP82" s="788" t="b">
        <f t="shared" si="40"/>
        <v>1</v>
      </c>
      <c r="AQ82" s="788" t="b">
        <f t="shared" si="41"/>
        <v>1</v>
      </c>
      <c r="AR82" s="788" t="b">
        <f t="shared" si="42"/>
        <v>1</v>
      </c>
      <c r="AS82" s="788" t="b">
        <f t="shared" si="43"/>
        <v>1</v>
      </c>
    </row>
    <row r="83" spans="1:45">
      <c r="A83" s="1430"/>
      <c r="B83" s="18" t="s">
        <v>1470</v>
      </c>
      <c r="C83" s="789">
        <v>436803</v>
      </c>
      <c r="D83" s="789">
        <v>1425603</v>
      </c>
      <c r="E83" s="789">
        <v>745478</v>
      </c>
      <c r="F83" s="1435">
        <v>751019</v>
      </c>
      <c r="G83" s="789">
        <v>367768</v>
      </c>
      <c r="H83" s="20" t="s">
        <v>97</v>
      </c>
      <c r="I83" s="789" t="s">
        <v>97</v>
      </c>
      <c r="J83" s="789">
        <v>646199</v>
      </c>
      <c r="K83" s="789">
        <v>176000</v>
      </c>
      <c r="L83" s="789" t="s">
        <v>97</v>
      </c>
      <c r="M83" s="789" t="s">
        <v>97</v>
      </c>
      <c r="N83" s="1425">
        <f t="shared" si="28"/>
        <v>4548870</v>
      </c>
      <c r="P83" s="791"/>
      <c r="Q83" s="24" t="s">
        <v>1479</v>
      </c>
      <c r="S83" s="795">
        <v>436803</v>
      </c>
      <c r="T83" s="795">
        <v>1425603</v>
      </c>
      <c r="U83" s="795">
        <v>745478</v>
      </c>
      <c r="V83" s="795">
        <v>751019</v>
      </c>
      <c r="W83" s="795">
        <v>367768</v>
      </c>
      <c r="X83" s="597" t="s">
        <v>97</v>
      </c>
      <c r="Y83" s="795" t="s">
        <v>97</v>
      </c>
      <c r="Z83" s="795">
        <v>646199</v>
      </c>
      <c r="AA83" s="795">
        <v>176000</v>
      </c>
      <c r="AB83" s="795" t="s">
        <v>97</v>
      </c>
      <c r="AC83" s="795" t="s">
        <v>97</v>
      </c>
      <c r="AD83" s="1103">
        <f t="shared" si="29"/>
        <v>4548870</v>
      </c>
      <c r="AE83" s="790">
        <f t="shared" si="44"/>
        <v>0</v>
      </c>
      <c r="AF83" s="788" t="b">
        <f>AD83=N83</f>
        <v>1</v>
      </c>
      <c r="AH83" s="788" t="b">
        <f t="shared" si="32"/>
        <v>1</v>
      </c>
      <c r="AI83" s="788" t="b">
        <f t="shared" si="33"/>
        <v>1</v>
      </c>
      <c r="AJ83" s="788" t="b">
        <f t="shared" si="34"/>
        <v>1</v>
      </c>
      <c r="AK83" s="788" t="b">
        <f t="shared" si="35"/>
        <v>1</v>
      </c>
      <c r="AL83" s="788" t="b">
        <f t="shared" si="36"/>
        <v>1</v>
      </c>
      <c r="AM83" s="788" t="b">
        <f t="shared" si="37"/>
        <v>1</v>
      </c>
      <c r="AN83" s="788" t="b">
        <f t="shared" si="38"/>
        <v>1</v>
      </c>
      <c r="AO83" s="788" t="b">
        <f t="shared" si="39"/>
        <v>1</v>
      </c>
      <c r="AP83" s="788" t="b">
        <f t="shared" si="40"/>
        <v>1</v>
      </c>
      <c r="AQ83" s="788" t="b">
        <f t="shared" si="41"/>
        <v>1</v>
      </c>
      <c r="AR83" s="788" t="b">
        <f t="shared" si="42"/>
        <v>1</v>
      </c>
      <c r="AS83" s="788" t="b">
        <f t="shared" si="43"/>
        <v>1</v>
      </c>
    </row>
    <row r="84" spans="1:45">
      <c r="A84" s="1431">
        <v>2020</v>
      </c>
      <c r="B84" s="18" t="s">
        <v>1467</v>
      </c>
      <c r="C84" s="789" t="s">
        <v>97</v>
      </c>
      <c r="D84" s="789">
        <v>429065</v>
      </c>
      <c r="E84" s="789">
        <v>1261978</v>
      </c>
      <c r="F84" s="1433">
        <v>281229</v>
      </c>
      <c r="G84" s="789">
        <v>371470</v>
      </c>
      <c r="H84" s="789" t="s">
        <v>97</v>
      </c>
      <c r="I84" s="789">
        <v>564789</v>
      </c>
      <c r="J84" s="1433">
        <v>397488</v>
      </c>
      <c r="K84" s="789">
        <v>19713</v>
      </c>
      <c r="L84" s="789" t="s">
        <v>97</v>
      </c>
      <c r="M84" s="789" t="s">
        <v>97</v>
      </c>
      <c r="N84" s="1425">
        <f t="shared" si="28"/>
        <v>3325732</v>
      </c>
      <c r="P84" s="1106">
        <v>2020</v>
      </c>
      <c r="Q84" s="19" t="s">
        <v>1467</v>
      </c>
      <c r="R84" s="1107"/>
      <c r="S84" s="795" t="s">
        <v>97</v>
      </c>
      <c r="T84" s="795">
        <v>429065</v>
      </c>
      <c r="U84" s="789">
        <v>1261978</v>
      </c>
      <c r="V84" s="795">
        <v>281229</v>
      </c>
      <c r="W84" s="795">
        <v>371470</v>
      </c>
      <c r="X84" s="597" t="s">
        <v>97</v>
      </c>
      <c r="Y84" s="795">
        <v>564789</v>
      </c>
      <c r="Z84" s="795">
        <v>397488</v>
      </c>
      <c r="AA84" s="795">
        <v>19713</v>
      </c>
      <c r="AB84" s="795" t="s">
        <v>97</v>
      </c>
      <c r="AC84" s="795" t="s">
        <v>97</v>
      </c>
      <c r="AD84" s="1103">
        <f t="shared" si="29"/>
        <v>3325732</v>
      </c>
      <c r="AE84" s="790">
        <f t="shared" si="44"/>
        <v>0</v>
      </c>
      <c r="AF84" s="788" t="b">
        <f t="shared" ref="AF84:AF87" si="46">AD84=N84</f>
        <v>1</v>
      </c>
      <c r="AH84" s="788" t="b">
        <f t="shared" si="32"/>
        <v>1</v>
      </c>
      <c r="AI84" s="788" t="b">
        <f t="shared" si="33"/>
        <v>1</v>
      </c>
      <c r="AJ84" s="788" t="b">
        <f t="shared" si="34"/>
        <v>1</v>
      </c>
      <c r="AK84" s="788" t="b">
        <f t="shared" si="35"/>
        <v>1</v>
      </c>
      <c r="AL84" s="788" t="b">
        <f t="shared" si="36"/>
        <v>1</v>
      </c>
      <c r="AM84" s="788" t="b">
        <f t="shared" si="37"/>
        <v>1</v>
      </c>
      <c r="AN84" s="788" t="b">
        <f t="shared" si="38"/>
        <v>1</v>
      </c>
      <c r="AO84" s="788" t="b">
        <f t="shared" si="39"/>
        <v>1</v>
      </c>
      <c r="AP84" s="788" t="b">
        <f t="shared" si="40"/>
        <v>1</v>
      </c>
      <c r="AQ84" s="788" t="b">
        <f t="shared" si="41"/>
        <v>1</v>
      </c>
      <c r="AR84" s="788" t="b">
        <f t="shared" si="42"/>
        <v>1</v>
      </c>
      <c r="AS84" s="788" t="b">
        <f t="shared" si="43"/>
        <v>1</v>
      </c>
    </row>
    <row r="85" spans="1:45">
      <c r="A85" s="1430"/>
      <c r="B85" s="18" t="s">
        <v>1468</v>
      </c>
      <c r="C85" s="789" t="s">
        <v>97</v>
      </c>
      <c r="D85" s="789">
        <v>87325</v>
      </c>
      <c r="E85" s="789" t="s">
        <v>97</v>
      </c>
      <c r="F85" s="789" t="s">
        <v>97</v>
      </c>
      <c r="G85" s="789" t="s">
        <v>97</v>
      </c>
      <c r="H85" s="789" t="s">
        <v>97</v>
      </c>
      <c r="I85" s="789" t="s">
        <v>97</v>
      </c>
      <c r="J85" s="789" t="s">
        <v>97</v>
      </c>
      <c r="K85" s="789" t="s">
        <v>97</v>
      </c>
      <c r="L85" s="789" t="s">
        <v>97</v>
      </c>
      <c r="M85" s="789" t="s">
        <v>97</v>
      </c>
      <c r="N85" s="1425">
        <f t="shared" si="28"/>
        <v>87325</v>
      </c>
      <c r="P85" s="1106"/>
      <c r="Q85" s="19" t="s">
        <v>1477</v>
      </c>
      <c r="R85" s="1107"/>
      <c r="S85" s="795" t="s">
        <v>97</v>
      </c>
      <c r="T85" s="795">
        <v>87325</v>
      </c>
      <c r="U85" s="795" t="s">
        <v>97</v>
      </c>
      <c r="V85" s="795" t="s">
        <v>97</v>
      </c>
      <c r="W85" s="795" t="s">
        <v>97</v>
      </c>
      <c r="X85" s="597" t="s">
        <v>97</v>
      </c>
      <c r="Y85" s="795" t="s">
        <v>97</v>
      </c>
      <c r="Z85" s="795" t="s">
        <v>97</v>
      </c>
      <c r="AA85" s="795" t="s">
        <v>97</v>
      </c>
      <c r="AB85" s="795" t="s">
        <v>97</v>
      </c>
      <c r="AC85" s="795" t="s">
        <v>97</v>
      </c>
      <c r="AD85" s="1103">
        <f t="shared" ref="AD85:AD95" si="47">SUM(S85:AC85)</f>
        <v>87325</v>
      </c>
      <c r="AE85" s="790">
        <f t="shared" si="44"/>
        <v>0</v>
      </c>
      <c r="AF85" s="788" t="b">
        <f t="shared" si="46"/>
        <v>1</v>
      </c>
      <c r="AH85" s="788" t="b">
        <f t="shared" si="32"/>
        <v>1</v>
      </c>
      <c r="AI85" s="788" t="b">
        <f t="shared" si="33"/>
        <v>1</v>
      </c>
      <c r="AJ85" s="788" t="b">
        <f t="shared" si="34"/>
        <v>1</v>
      </c>
      <c r="AK85" s="788" t="b">
        <f t="shared" si="35"/>
        <v>1</v>
      </c>
      <c r="AL85" s="788" t="b">
        <f t="shared" si="36"/>
        <v>1</v>
      </c>
      <c r="AM85" s="788" t="b">
        <f t="shared" si="37"/>
        <v>1</v>
      </c>
      <c r="AN85" s="788" t="b">
        <f t="shared" si="38"/>
        <v>1</v>
      </c>
      <c r="AO85" s="788" t="b">
        <f t="shared" si="39"/>
        <v>1</v>
      </c>
      <c r="AP85" s="788" t="b">
        <f t="shared" si="40"/>
        <v>1</v>
      </c>
      <c r="AQ85" s="788" t="b">
        <f t="shared" si="41"/>
        <v>1</v>
      </c>
      <c r="AR85" s="788" t="b">
        <f t="shared" si="42"/>
        <v>1</v>
      </c>
      <c r="AS85" s="788" t="b">
        <f t="shared" si="43"/>
        <v>1</v>
      </c>
    </row>
    <row r="86" spans="1:45">
      <c r="A86" s="1430"/>
      <c r="B86" s="18" t="s">
        <v>1469</v>
      </c>
      <c r="C86" s="789" t="s">
        <v>97</v>
      </c>
      <c r="D86" s="789">
        <v>1177570</v>
      </c>
      <c r="E86" s="789" t="s">
        <v>97</v>
      </c>
      <c r="F86" s="789">
        <v>1401313</v>
      </c>
      <c r="G86" s="789" t="s">
        <v>97</v>
      </c>
      <c r="H86" s="789" t="s">
        <v>97</v>
      </c>
      <c r="I86" s="789" t="s">
        <v>97</v>
      </c>
      <c r="J86" s="789" t="s">
        <v>97</v>
      </c>
      <c r="K86" s="789" t="s">
        <v>97</v>
      </c>
      <c r="L86" s="789" t="s">
        <v>97</v>
      </c>
      <c r="M86" s="789" t="s">
        <v>97</v>
      </c>
      <c r="N86" s="1425">
        <f t="shared" si="28"/>
        <v>2578883</v>
      </c>
      <c r="P86" s="1106"/>
      <c r="Q86" s="19" t="s">
        <v>1478</v>
      </c>
      <c r="R86" s="1107"/>
      <c r="S86" s="795" t="s">
        <v>97</v>
      </c>
      <c r="T86" s="795">
        <v>1177570</v>
      </c>
      <c r="U86" s="795" t="s">
        <v>97</v>
      </c>
      <c r="V86" s="795">
        <v>1401313</v>
      </c>
      <c r="W86" s="795" t="s">
        <v>97</v>
      </c>
      <c r="X86" s="597" t="s">
        <v>97</v>
      </c>
      <c r="Y86" s="795" t="s">
        <v>97</v>
      </c>
      <c r="Z86" s="795" t="s">
        <v>97</v>
      </c>
      <c r="AA86" s="795" t="s">
        <v>97</v>
      </c>
      <c r="AB86" s="795" t="s">
        <v>97</v>
      </c>
      <c r="AC86" s="795" t="s">
        <v>97</v>
      </c>
      <c r="AD86" s="1103">
        <f t="shared" si="47"/>
        <v>2578883</v>
      </c>
      <c r="AE86" s="790">
        <f t="shared" si="44"/>
        <v>0</v>
      </c>
      <c r="AF86" s="788" t="b">
        <f t="shared" si="46"/>
        <v>1</v>
      </c>
      <c r="AH86" s="788" t="b">
        <f t="shared" si="32"/>
        <v>1</v>
      </c>
      <c r="AI86" s="788" t="b">
        <f t="shared" si="33"/>
        <v>1</v>
      </c>
      <c r="AJ86" s="788" t="b">
        <f t="shared" si="34"/>
        <v>1</v>
      </c>
      <c r="AK86" s="788" t="b">
        <f t="shared" si="35"/>
        <v>1</v>
      </c>
      <c r="AL86" s="788" t="b">
        <f t="shared" si="36"/>
        <v>1</v>
      </c>
      <c r="AM86" s="788" t="b">
        <f t="shared" si="37"/>
        <v>1</v>
      </c>
      <c r="AN86" s="788" t="b">
        <f t="shared" si="38"/>
        <v>1</v>
      </c>
      <c r="AO86" s="788" t="b">
        <f t="shared" si="39"/>
        <v>1</v>
      </c>
      <c r="AP86" s="788" t="b">
        <f t="shared" si="40"/>
        <v>1</v>
      </c>
      <c r="AQ86" s="788" t="b">
        <f t="shared" si="41"/>
        <v>1</v>
      </c>
      <c r="AR86" s="788" t="b">
        <f t="shared" si="42"/>
        <v>1</v>
      </c>
      <c r="AS86" s="788" t="b">
        <f t="shared" si="43"/>
        <v>1</v>
      </c>
    </row>
    <row r="87" spans="1:45">
      <c r="A87" s="1430"/>
      <c r="B87" s="18" t="s">
        <v>1470</v>
      </c>
      <c r="C87" s="790">
        <v>372109</v>
      </c>
      <c r="D87" s="789">
        <v>1284059</v>
      </c>
      <c r="E87" s="790">
        <v>560733</v>
      </c>
      <c r="F87" s="790">
        <v>728225</v>
      </c>
      <c r="G87" s="790">
        <v>406158</v>
      </c>
      <c r="H87" s="789" t="s">
        <v>97</v>
      </c>
      <c r="I87" s="789" t="s">
        <v>97</v>
      </c>
      <c r="J87" s="790">
        <v>336845</v>
      </c>
      <c r="K87" s="790">
        <v>154000</v>
      </c>
      <c r="L87" s="789" t="s">
        <v>97</v>
      </c>
      <c r="M87" s="789" t="s">
        <v>97</v>
      </c>
      <c r="N87" s="1425">
        <f t="shared" si="28"/>
        <v>3842129</v>
      </c>
      <c r="P87" s="1106"/>
      <c r="Q87" s="19" t="s">
        <v>1479</v>
      </c>
      <c r="R87" s="1107"/>
      <c r="S87" s="789">
        <v>372109</v>
      </c>
      <c r="T87" s="1107">
        <v>1284059</v>
      </c>
      <c r="U87" s="1107">
        <v>560733</v>
      </c>
      <c r="V87" s="1107">
        <v>728225</v>
      </c>
      <c r="W87" s="795">
        <v>406158</v>
      </c>
      <c r="X87" s="597" t="s">
        <v>97</v>
      </c>
      <c r="Y87" s="795" t="s">
        <v>97</v>
      </c>
      <c r="Z87" s="1107">
        <v>336845</v>
      </c>
      <c r="AA87" s="1107">
        <v>154000</v>
      </c>
      <c r="AB87" s="795" t="s">
        <v>97</v>
      </c>
      <c r="AC87" s="795" t="s">
        <v>97</v>
      </c>
      <c r="AD87" s="1103">
        <f t="shared" si="47"/>
        <v>3842129</v>
      </c>
      <c r="AE87" s="793">
        <f t="shared" si="44"/>
        <v>0</v>
      </c>
      <c r="AF87" s="788" t="b">
        <f t="shared" si="46"/>
        <v>1</v>
      </c>
      <c r="AH87" s="788" t="b">
        <f t="shared" si="32"/>
        <v>1</v>
      </c>
      <c r="AI87" s="788" t="b">
        <f t="shared" si="33"/>
        <v>1</v>
      </c>
      <c r="AJ87" s="788" t="b">
        <f t="shared" si="34"/>
        <v>1</v>
      </c>
      <c r="AK87" s="788" t="b">
        <f t="shared" si="35"/>
        <v>1</v>
      </c>
      <c r="AL87" s="788" t="b">
        <f t="shared" si="36"/>
        <v>1</v>
      </c>
      <c r="AM87" s="788" t="b">
        <f t="shared" si="37"/>
        <v>1</v>
      </c>
      <c r="AN87" s="788" t="b">
        <f t="shared" si="38"/>
        <v>1</v>
      </c>
      <c r="AO87" s="788" t="b">
        <f t="shared" si="39"/>
        <v>1</v>
      </c>
      <c r="AP87" s="788" t="b">
        <f t="shared" si="40"/>
        <v>1</v>
      </c>
      <c r="AQ87" s="788" t="b">
        <f t="shared" si="41"/>
        <v>1</v>
      </c>
      <c r="AR87" s="788" t="b">
        <f t="shared" si="42"/>
        <v>1</v>
      </c>
      <c r="AS87" s="788" t="b">
        <f t="shared" si="43"/>
        <v>1</v>
      </c>
    </row>
    <row r="88" spans="1:45">
      <c r="A88" s="1431">
        <v>2021</v>
      </c>
      <c r="B88" s="18" t="s">
        <v>1467</v>
      </c>
      <c r="C88" s="1100" t="s">
        <v>97</v>
      </c>
      <c r="D88" s="1436">
        <v>489423</v>
      </c>
      <c r="E88" s="1099">
        <v>1156485</v>
      </c>
      <c r="F88" s="1099">
        <v>230728</v>
      </c>
      <c r="G88" s="1099">
        <v>379989</v>
      </c>
      <c r="H88" s="1099">
        <v>292049</v>
      </c>
      <c r="I88" s="212">
        <v>372045</v>
      </c>
      <c r="J88" s="1099">
        <v>374028</v>
      </c>
      <c r="K88" s="1099">
        <v>609000</v>
      </c>
      <c r="L88" s="789" t="s">
        <v>97</v>
      </c>
      <c r="M88" s="789" t="s">
        <v>97</v>
      </c>
      <c r="N88" s="1425">
        <f t="shared" si="28"/>
        <v>3903747</v>
      </c>
      <c r="P88" s="1106">
        <v>2021</v>
      </c>
      <c r="Q88" s="19" t="s">
        <v>1467</v>
      </c>
      <c r="R88" s="1107"/>
      <c r="S88" s="1098" t="s">
        <v>97</v>
      </c>
      <c r="T88" s="1104">
        <v>489423</v>
      </c>
      <c r="U88" s="1100">
        <v>1156485</v>
      </c>
      <c r="V88" s="1100">
        <v>230728</v>
      </c>
      <c r="W88" s="1100">
        <v>379989</v>
      </c>
      <c r="X88" s="1099">
        <v>292049</v>
      </c>
      <c r="Y88" s="212">
        <v>372045</v>
      </c>
      <c r="Z88" s="1100">
        <v>374028</v>
      </c>
      <c r="AA88" s="1100">
        <v>609000</v>
      </c>
      <c r="AB88" s="789" t="s">
        <v>97</v>
      </c>
      <c r="AC88" s="789" t="s">
        <v>97</v>
      </c>
      <c r="AD88" s="1103">
        <f t="shared" si="47"/>
        <v>3903747</v>
      </c>
      <c r="AE88" s="790">
        <f t="shared" ref="AE88:AE91" si="48">N88-AD88</f>
        <v>0</v>
      </c>
      <c r="AF88" s="788" t="b">
        <f>AD88=N88</f>
        <v>1</v>
      </c>
      <c r="AH88" s="788" t="b">
        <f t="shared" ref="AH88:AH91" si="49">S88=C88</f>
        <v>1</v>
      </c>
      <c r="AI88" s="788" t="b">
        <f t="shared" ref="AI88:AI91" si="50">T88=D88</f>
        <v>1</v>
      </c>
      <c r="AJ88" s="788" t="b">
        <f t="shared" ref="AJ88:AJ91" si="51">U88=E88</f>
        <v>1</v>
      </c>
      <c r="AK88" s="788" t="b">
        <f t="shared" ref="AK88:AK91" si="52">V88=F88</f>
        <v>1</v>
      </c>
      <c r="AL88" s="788" t="b">
        <f t="shared" ref="AL88:AL91" si="53">W88=G88</f>
        <v>1</v>
      </c>
      <c r="AM88" s="788" t="b">
        <f t="shared" si="37"/>
        <v>1</v>
      </c>
      <c r="AN88" s="788" t="b">
        <f t="shared" ref="AN88:AN91" si="54">Y88=I88</f>
        <v>1</v>
      </c>
      <c r="AO88" s="788" t="b">
        <f t="shared" ref="AO88:AO91" si="55">Z88=J88</f>
        <v>1</v>
      </c>
      <c r="AP88" s="788" t="b">
        <f t="shared" ref="AP88:AP91" si="56">AA88=K88</f>
        <v>1</v>
      </c>
      <c r="AQ88" s="788" t="b">
        <f t="shared" ref="AQ88:AQ91" si="57">AB88=L88</f>
        <v>1</v>
      </c>
      <c r="AR88" s="788" t="b">
        <f t="shared" ref="AR88:AR91" si="58">AC88=M88</f>
        <v>1</v>
      </c>
      <c r="AS88" s="788" t="b">
        <f t="shared" ref="AS88:AS91" si="59">AD88=N88</f>
        <v>1</v>
      </c>
    </row>
    <row r="89" spans="1:45">
      <c r="A89" s="1430"/>
      <c r="B89" s="18" t="s">
        <v>1468</v>
      </c>
      <c r="C89" s="1222" t="s">
        <v>97</v>
      </c>
      <c r="D89" s="1220">
        <v>784592</v>
      </c>
      <c r="E89" s="1222" t="s">
        <v>97</v>
      </c>
      <c r="F89" s="1222" t="s">
        <v>97</v>
      </c>
      <c r="G89" s="1222" t="s">
        <v>97</v>
      </c>
      <c r="H89" s="1222" t="s">
        <v>97</v>
      </c>
      <c r="I89" s="1222" t="s">
        <v>97</v>
      </c>
      <c r="J89" s="1222" t="s">
        <v>97</v>
      </c>
      <c r="K89" s="1222" t="s">
        <v>97</v>
      </c>
      <c r="L89" s="1222" t="s">
        <v>97</v>
      </c>
      <c r="M89" s="1222" t="s">
        <v>97</v>
      </c>
      <c r="N89" s="1425">
        <f t="shared" si="28"/>
        <v>784592</v>
      </c>
      <c r="P89" s="1106"/>
      <c r="Q89" s="19" t="s">
        <v>1477</v>
      </c>
      <c r="R89" s="1107"/>
      <c r="S89" s="1101" t="s">
        <v>97</v>
      </c>
      <c r="T89" s="1105">
        <v>784592</v>
      </c>
      <c r="U89" s="1101" t="s">
        <v>97</v>
      </c>
      <c r="V89" s="1101" t="s">
        <v>97</v>
      </c>
      <c r="W89" s="1101" t="s">
        <v>97</v>
      </c>
      <c r="X89" s="1101" t="s">
        <v>97</v>
      </c>
      <c r="Y89" s="1101" t="s">
        <v>97</v>
      </c>
      <c r="Z89" s="1101" t="s">
        <v>97</v>
      </c>
      <c r="AA89" s="1101" t="s">
        <v>97</v>
      </c>
      <c r="AB89" s="1101" t="s">
        <v>97</v>
      </c>
      <c r="AC89" s="1101" t="s">
        <v>97</v>
      </c>
      <c r="AD89" s="1103">
        <f t="shared" si="47"/>
        <v>784592</v>
      </c>
      <c r="AE89" s="790">
        <f t="shared" si="48"/>
        <v>0</v>
      </c>
      <c r="AF89" s="788" t="b">
        <f t="shared" ref="AF89:AF91" si="60">AD89=N89</f>
        <v>1</v>
      </c>
      <c r="AH89" s="788" t="b">
        <f t="shared" si="49"/>
        <v>1</v>
      </c>
      <c r="AI89" s="788" t="b">
        <f t="shared" si="50"/>
        <v>1</v>
      </c>
      <c r="AJ89" s="788" t="b">
        <f t="shared" si="51"/>
        <v>1</v>
      </c>
      <c r="AK89" s="788" t="b">
        <f t="shared" si="52"/>
        <v>1</v>
      </c>
      <c r="AL89" s="788" t="b">
        <f t="shared" si="53"/>
        <v>1</v>
      </c>
      <c r="AM89" s="788" t="b">
        <f t="shared" si="37"/>
        <v>1</v>
      </c>
      <c r="AN89" s="788" t="b">
        <f t="shared" si="54"/>
        <v>1</v>
      </c>
      <c r="AO89" s="788" t="b">
        <f t="shared" si="55"/>
        <v>1</v>
      </c>
      <c r="AP89" s="788" t="b">
        <f t="shared" si="56"/>
        <v>1</v>
      </c>
      <c r="AQ89" s="788" t="b">
        <f t="shared" si="57"/>
        <v>1</v>
      </c>
      <c r="AR89" s="788" t="b">
        <f t="shared" si="58"/>
        <v>1</v>
      </c>
      <c r="AS89" s="788" t="b">
        <f t="shared" si="59"/>
        <v>1</v>
      </c>
    </row>
    <row r="90" spans="1:45">
      <c r="A90" s="1430"/>
      <c r="B90" s="18" t="s">
        <v>1469</v>
      </c>
      <c r="C90" s="1222" t="s">
        <v>97</v>
      </c>
      <c r="D90" s="1222" t="s">
        <v>97</v>
      </c>
      <c r="E90" s="1220">
        <v>4650840</v>
      </c>
      <c r="F90" s="1221">
        <v>1371098</v>
      </c>
      <c r="G90" s="1222" t="s">
        <v>97</v>
      </c>
      <c r="H90" s="1222" t="s">
        <v>97</v>
      </c>
      <c r="I90" s="1222" t="s">
        <v>97</v>
      </c>
      <c r="J90" s="1222" t="s">
        <v>97</v>
      </c>
      <c r="K90" s="1222" t="s">
        <v>97</v>
      </c>
      <c r="L90" s="1222" t="s">
        <v>97</v>
      </c>
      <c r="M90" s="1222" t="s">
        <v>97</v>
      </c>
      <c r="N90" s="1425">
        <f t="shared" si="28"/>
        <v>6021938</v>
      </c>
      <c r="P90" s="1106"/>
      <c r="Q90" s="19" t="s">
        <v>1478</v>
      </c>
      <c r="R90" s="1107"/>
      <c r="S90" s="1101" t="s">
        <v>97</v>
      </c>
      <c r="T90" s="1101" t="s">
        <v>97</v>
      </c>
      <c r="U90" s="1105">
        <v>4650840</v>
      </c>
      <c r="V90" s="1105">
        <v>1371098</v>
      </c>
      <c r="W90" s="1101" t="s">
        <v>97</v>
      </c>
      <c r="X90" s="1101" t="s">
        <v>97</v>
      </c>
      <c r="Y90" s="1101" t="s">
        <v>97</v>
      </c>
      <c r="Z90" s="1101" t="s">
        <v>97</v>
      </c>
      <c r="AA90" s="1101" t="s">
        <v>97</v>
      </c>
      <c r="AB90" s="1101" t="s">
        <v>97</v>
      </c>
      <c r="AC90" s="1101" t="s">
        <v>97</v>
      </c>
      <c r="AD90" s="1103">
        <f t="shared" si="47"/>
        <v>6021938</v>
      </c>
      <c r="AE90" s="790">
        <f t="shared" si="48"/>
        <v>0</v>
      </c>
      <c r="AF90" s="788" t="b">
        <f t="shared" si="60"/>
        <v>1</v>
      </c>
      <c r="AH90" s="788" t="b">
        <f t="shared" si="49"/>
        <v>1</v>
      </c>
      <c r="AI90" s="788" t="b">
        <f t="shared" si="50"/>
        <v>1</v>
      </c>
      <c r="AJ90" s="788" t="b">
        <f t="shared" si="51"/>
        <v>1</v>
      </c>
      <c r="AK90" s="788" t="b">
        <f t="shared" si="52"/>
        <v>1</v>
      </c>
      <c r="AL90" s="788" t="b">
        <f t="shared" si="53"/>
        <v>1</v>
      </c>
      <c r="AM90" s="788" t="b">
        <f t="shared" si="37"/>
        <v>1</v>
      </c>
      <c r="AN90" s="788" t="b">
        <f t="shared" si="54"/>
        <v>1</v>
      </c>
      <c r="AO90" s="788" t="b">
        <f t="shared" si="55"/>
        <v>1</v>
      </c>
      <c r="AP90" s="788" t="b">
        <f t="shared" si="56"/>
        <v>1</v>
      </c>
      <c r="AQ90" s="788" t="b">
        <f t="shared" si="57"/>
        <v>1</v>
      </c>
      <c r="AR90" s="788" t="b">
        <f t="shared" si="58"/>
        <v>1</v>
      </c>
      <c r="AS90" s="788" t="b">
        <f t="shared" si="59"/>
        <v>1</v>
      </c>
    </row>
    <row r="91" spans="1:45">
      <c r="A91" s="1430"/>
      <c r="B91" s="18" t="s">
        <v>1470</v>
      </c>
      <c r="C91" s="1220">
        <v>379759</v>
      </c>
      <c r="D91" s="1220">
        <v>1367170</v>
      </c>
      <c r="E91" s="1220">
        <v>793056</v>
      </c>
      <c r="F91" s="1220">
        <v>745236</v>
      </c>
      <c r="G91" s="1221">
        <v>413874</v>
      </c>
      <c r="H91" s="1222" t="s">
        <v>97</v>
      </c>
      <c r="I91" s="1222" t="s">
        <v>97</v>
      </c>
      <c r="J91" s="1221">
        <v>611269</v>
      </c>
      <c r="K91" s="1221">
        <v>709400</v>
      </c>
      <c r="L91" s="1222" t="s">
        <v>97</v>
      </c>
      <c r="M91" s="1222" t="s">
        <v>97</v>
      </c>
      <c r="N91" s="1425">
        <f t="shared" si="28"/>
        <v>5019764</v>
      </c>
      <c r="P91" s="1106"/>
      <c r="Q91" s="19" t="s">
        <v>1479</v>
      </c>
      <c r="R91" s="1107"/>
      <c r="S91" s="1223">
        <v>379759</v>
      </c>
      <c r="T91" s="1223">
        <v>1367170</v>
      </c>
      <c r="U91" s="1223">
        <v>793056</v>
      </c>
      <c r="V91" s="1223">
        <v>745236</v>
      </c>
      <c r="W91" s="1223">
        <v>413874</v>
      </c>
      <c r="X91" s="1222" t="s">
        <v>97</v>
      </c>
      <c r="Y91" s="1222" t="s">
        <v>97</v>
      </c>
      <c r="Z91" s="1223">
        <v>611269</v>
      </c>
      <c r="AA91" s="1221">
        <v>709400</v>
      </c>
      <c r="AB91" s="1222" t="s">
        <v>97</v>
      </c>
      <c r="AC91" s="1222" t="s">
        <v>97</v>
      </c>
      <c r="AD91" s="1103">
        <f t="shared" si="47"/>
        <v>5019764</v>
      </c>
      <c r="AE91" s="790">
        <f t="shared" si="48"/>
        <v>0</v>
      </c>
      <c r="AF91" s="788" t="b">
        <f t="shared" si="60"/>
        <v>1</v>
      </c>
      <c r="AH91" s="788" t="b">
        <f t="shared" si="49"/>
        <v>1</v>
      </c>
      <c r="AI91" s="788" t="b">
        <f t="shared" si="50"/>
        <v>1</v>
      </c>
      <c r="AJ91" s="788" t="b">
        <f t="shared" si="51"/>
        <v>1</v>
      </c>
      <c r="AK91" s="788" t="b">
        <f t="shared" si="52"/>
        <v>1</v>
      </c>
      <c r="AL91" s="788" t="b">
        <f t="shared" si="53"/>
        <v>1</v>
      </c>
      <c r="AM91" s="788" t="b">
        <f t="shared" si="37"/>
        <v>1</v>
      </c>
      <c r="AN91" s="788" t="b">
        <f t="shared" si="54"/>
        <v>1</v>
      </c>
      <c r="AO91" s="788" t="b">
        <f t="shared" si="55"/>
        <v>1</v>
      </c>
      <c r="AP91" s="788" t="b">
        <f t="shared" si="56"/>
        <v>1</v>
      </c>
      <c r="AQ91" s="788" t="b">
        <f t="shared" si="57"/>
        <v>1</v>
      </c>
      <c r="AR91" s="788" t="b">
        <f t="shared" si="58"/>
        <v>1</v>
      </c>
      <c r="AS91" s="788" t="b">
        <f t="shared" si="59"/>
        <v>1</v>
      </c>
    </row>
    <row r="92" spans="1:45">
      <c r="A92" s="1430">
        <v>2022</v>
      </c>
      <c r="B92" s="18" t="s">
        <v>1467</v>
      </c>
      <c r="C92" s="1222" t="s">
        <v>97</v>
      </c>
      <c r="D92" s="1220">
        <v>496271</v>
      </c>
      <c r="E92" s="1220">
        <v>1201743</v>
      </c>
      <c r="F92" s="1220">
        <v>250441</v>
      </c>
      <c r="G92" s="1221">
        <v>369602</v>
      </c>
      <c r="H92" s="1222">
        <v>289788</v>
      </c>
      <c r="I92" s="1222">
        <v>289592</v>
      </c>
      <c r="J92" s="1221">
        <v>467360</v>
      </c>
      <c r="K92" s="1221">
        <v>214800</v>
      </c>
      <c r="L92" s="1222" t="s">
        <v>97</v>
      </c>
      <c r="M92" s="1222" t="s">
        <v>97</v>
      </c>
      <c r="N92" s="1425">
        <f t="shared" si="28"/>
        <v>3579597</v>
      </c>
      <c r="P92" s="1106">
        <v>2022</v>
      </c>
      <c r="Q92" s="19" t="s">
        <v>1467</v>
      </c>
      <c r="R92" s="1107"/>
      <c r="S92" s="1101" t="s">
        <v>97</v>
      </c>
      <c r="T92" s="1220">
        <v>496271</v>
      </c>
      <c r="U92" s="1220">
        <v>1201743</v>
      </c>
      <c r="V92" s="1220">
        <v>250441</v>
      </c>
      <c r="W92" s="1221">
        <v>369602</v>
      </c>
      <c r="X92" s="1222">
        <v>289788</v>
      </c>
      <c r="Y92" s="1222">
        <v>289592</v>
      </c>
      <c r="Z92" s="1221">
        <v>467360</v>
      </c>
      <c r="AA92" s="1221">
        <v>214800</v>
      </c>
      <c r="AB92" s="1222" t="s">
        <v>97</v>
      </c>
      <c r="AC92" s="1222" t="s">
        <v>97</v>
      </c>
      <c r="AD92" s="22">
        <f t="shared" si="47"/>
        <v>3579597</v>
      </c>
      <c r="AE92" s="790">
        <f t="shared" ref="AE92:AE99" si="61">N92-AD92</f>
        <v>0</v>
      </c>
      <c r="AF92" s="788" t="b">
        <f>AD92=N92</f>
        <v>1</v>
      </c>
      <c r="AH92" s="788" t="b">
        <f t="shared" ref="AH92:AH95" si="62">S92=C92</f>
        <v>1</v>
      </c>
      <c r="AI92" s="788" t="b">
        <f t="shared" ref="AI92:AI95" si="63">T92=D92</f>
        <v>1</v>
      </c>
      <c r="AJ92" s="788" t="b">
        <f t="shared" ref="AJ92:AJ95" si="64">U92=E92</f>
        <v>1</v>
      </c>
      <c r="AK92" s="788" t="b">
        <f t="shared" ref="AK92:AK95" si="65">V92=F92</f>
        <v>1</v>
      </c>
      <c r="AL92" s="788" t="b">
        <f t="shared" ref="AL92:AL95" si="66">W92=G92</f>
        <v>1</v>
      </c>
      <c r="AM92" s="788" t="b">
        <f t="shared" ref="AM92:AM96" si="67">X92=H92</f>
        <v>1</v>
      </c>
      <c r="AN92" s="788" t="b">
        <f t="shared" ref="AN92:AN96" si="68">Y92=I92</f>
        <v>1</v>
      </c>
      <c r="AO92" s="788" t="b">
        <f t="shared" ref="AO92:AO96" si="69">Z92=J92</f>
        <v>1</v>
      </c>
      <c r="AP92" s="788" t="b">
        <f t="shared" ref="AP92:AP95" si="70">AA92=K92</f>
        <v>1</v>
      </c>
      <c r="AQ92" s="788" t="b">
        <f t="shared" ref="AQ92:AQ95" si="71">AB92=L92</f>
        <v>1</v>
      </c>
      <c r="AR92" s="788" t="b">
        <f t="shared" ref="AR92:AR95" si="72">AC92=M92</f>
        <v>1</v>
      </c>
      <c r="AS92" s="788" t="b">
        <f t="shared" ref="AS92:AS95" si="73">AD92=N92</f>
        <v>1</v>
      </c>
    </row>
    <row r="93" spans="1:45">
      <c r="A93" s="1430"/>
      <c r="B93" s="18" t="s">
        <v>1468</v>
      </c>
      <c r="C93" s="1222" t="s">
        <v>97</v>
      </c>
      <c r="D93" s="1220">
        <v>266226</v>
      </c>
      <c r="E93" s="1222" t="s">
        <v>97</v>
      </c>
      <c r="F93" s="1222" t="s">
        <v>97</v>
      </c>
      <c r="G93" s="1222" t="s">
        <v>97</v>
      </c>
      <c r="H93" s="1222" t="s">
        <v>97</v>
      </c>
      <c r="I93" s="1222" t="s">
        <v>97</v>
      </c>
      <c r="J93" s="1222" t="s">
        <v>97</v>
      </c>
      <c r="K93" s="1222" t="s">
        <v>97</v>
      </c>
      <c r="L93" s="1222" t="s">
        <v>97</v>
      </c>
      <c r="M93" s="1222" t="s">
        <v>97</v>
      </c>
      <c r="N93" s="1425">
        <f t="shared" si="28"/>
        <v>266226</v>
      </c>
      <c r="P93" s="1106"/>
      <c r="Q93" s="19" t="s">
        <v>1477</v>
      </c>
      <c r="R93" s="1107"/>
      <c r="S93" s="1101" t="s">
        <v>97</v>
      </c>
      <c r="T93" s="1220">
        <v>266226</v>
      </c>
      <c r="U93" s="1101" t="s">
        <v>97</v>
      </c>
      <c r="V93" s="1101" t="s">
        <v>97</v>
      </c>
      <c r="W93" s="1101" t="s">
        <v>97</v>
      </c>
      <c r="X93" s="1101" t="s">
        <v>97</v>
      </c>
      <c r="Y93" s="1101" t="s">
        <v>97</v>
      </c>
      <c r="Z93" s="1101" t="s">
        <v>97</v>
      </c>
      <c r="AA93" s="1101" t="s">
        <v>97</v>
      </c>
      <c r="AB93" s="1222" t="s">
        <v>97</v>
      </c>
      <c r="AC93" s="1222" t="s">
        <v>97</v>
      </c>
      <c r="AD93" s="22">
        <f t="shared" si="47"/>
        <v>266226</v>
      </c>
      <c r="AE93" s="790">
        <f t="shared" si="61"/>
        <v>0</v>
      </c>
      <c r="AF93" s="788" t="b">
        <f t="shared" ref="AF93:AF99" si="74">AD93=N93</f>
        <v>1</v>
      </c>
      <c r="AH93" s="788" t="b">
        <f t="shared" si="62"/>
        <v>1</v>
      </c>
      <c r="AI93" s="788" t="b">
        <f t="shared" si="63"/>
        <v>1</v>
      </c>
      <c r="AJ93" s="788" t="b">
        <f t="shared" si="64"/>
        <v>1</v>
      </c>
      <c r="AK93" s="788" t="b">
        <f t="shared" si="65"/>
        <v>1</v>
      </c>
      <c r="AL93" s="788" t="b">
        <f t="shared" si="66"/>
        <v>1</v>
      </c>
      <c r="AM93" s="788" t="b">
        <f t="shared" si="67"/>
        <v>1</v>
      </c>
      <c r="AN93" s="788" t="b">
        <f t="shared" si="68"/>
        <v>1</v>
      </c>
      <c r="AO93" s="788" t="b">
        <f t="shared" si="69"/>
        <v>1</v>
      </c>
      <c r="AP93" s="788" t="b">
        <f t="shared" si="70"/>
        <v>1</v>
      </c>
      <c r="AQ93" s="788" t="b">
        <f t="shared" si="71"/>
        <v>1</v>
      </c>
      <c r="AR93" s="788" t="b">
        <f t="shared" si="72"/>
        <v>1</v>
      </c>
      <c r="AS93" s="788" t="b">
        <f t="shared" si="73"/>
        <v>1</v>
      </c>
    </row>
    <row r="94" spans="1:45">
      <c r="A94" s="1430"/>
      <c r="B94" s="18" t="s">
        <v>1469</v>
      </c>
      <c r="C94" s="1222" t="s">
        <v>97</v>
      </c>
      <c r="D94" s="1222" t="s">
        <v>97</v>
      </c>
      <c r="E94" s="1222" t="s">
        <v>97</v>
      </c>
      <c r="F94" s="1220">
        <v>1557087</v>
      </c>
      <c r="G94" s="1222" t="s">
        <v>97</v>
      </c>
      <c r="H94" s="1222" t="s">
        <v>97</v>
      </c>
      <c r="I94" s="1222" t="s">
        <v>97</v>
      </c>
      <c r="J94" s="1222" t="s">
        <v>97</v>
      </c>
      <c r="K94" s="1222" t="s">
        <v>97</v>
      </c>
      <c r="L94" s="1222" t="s">
        <v>97</v>
      </c>
      <c r="M94" s="1222" t="s">
        <v>97</v>
      </c>
      <c r="N94" s="1425">
        <f t="shared" si="28"/>
        <v>1557087</v>
      </c>
      <c r="P94" s="791"/>
      <c r="Q94" s="19" t="s">
        <v>1478</v>
      </c>
      <c r="R94" s="1107"/>
      <c r="S94" s="1101" t="s">
        <v>97</v>
      </c>
      <c r="T94" s="1101" t="s">
        <v>97</v>
      </c>
      <c r="U94" s="1101" t="s">
        <v>97</v>
      </c>
      <c r="V94" s="1220">
        <v>1557087</v>
      </c>
      <c r="W94" s="1101" t="s">
        <v>97</v>
      </c>
      <c r="X94" s="1101" t="s">
        <v>97</v>
      </c>
      <c r="Y94" s="1101" t="s">
        <v>97</v>
      </c>
      <c r="Z94" s="1101" t="s">
        <v>97</v>
      </c>
      <c r="AA94" s="1101" t="s">
        <v>97</v>
      </c>
      <c r="AB94" s="1222" t="s">
        <v>97</v>
      </c>
      <c r="AC94" s="1222" t="s">
        <v>97</v>
      </c>
      <c r="AD94" s="22">
        <f t="shared" si="47"/>
        <v>1557087</v>
      </c>
      <c r="AE94" s="790">
        <f t="shared" si="61"/>
        <v>0</v>
      </c>
      <c r="AF94" s="788" t="b">
        <f t="shared" si="74"/>
        <v>1</v>
      </c>
      <c r="AH94" s="788" t="b">
        <f t="shared" si="62"/>
        <v>1</v>
      </c>
      <c r="AI94" s="788" t="b">
        <f t="shared" si="63"/>
        <v>1</v>
      </c>
      <c r="AJ94" s="788" t="b">
        <f t="shared" si="64"/>
        <v>1</v>
      </c>
      <c r="AK94" s="788" t="b">
        <f t="shared" si="65"/>
        <v>1</v>
      </c>
      <c r="AL94" s="788" t="b">
        <f t="shared" si="66"/>
        <v>1</v>
      </c>
      <c r="AM94" s="788" t="b">
        <f t="shared" si="67"/>
        <v>1</v>
      </c>
      <c r="AN94" s="788" t="b">
        <f t="shared" si="68"/>
        <v>1</v>
      </c>
      <c r="AO94" s="788" t="b">
        <f t="shared" si="69"/>
        <v>1</v>
      </c>
      <c r="AP94" s="788" t="b">
        <f t="shared" si="70"/>
        <v>1</v>
      </c>
      <c r="AQ94" s="788" t="b">
        <f t="shared" si="71"/>
        <v>1</v>
      </c>
      <c r="AR94" s="788" t="b">
        <f t="shared" si="72"/>
        <v>1</v>
      </c>
      <c r="AS94" s="788" t="b">
        <f t="shared" si="73"/>
        <v>1</v>
      </c>
    </row>
    <row r="95" spans="1:45">
      <c r="A95" s="1430"/>
      <c r="B95" s="18" t="s">
        <v>1470</v>
      </c>
      <c r="C95" s="790">
        <v>332629</v>
      </c>
      <c r="D95" s="790">
        <v>1159295</v>
      </c>
      <c r="E95" s="790">
        <v>673629</v>
      </c>
      <c r="F95" s="790">
        <v>726006</v>
      </c>
      <c r="G95" s="790">
        <v>418455</v>
      </c>
      <c r="H95" s="1222" t="s">
        <v>97</v>
      </c>
      <c r="I95" s="1222" t="s">
        <v>97</v>
      </c>
      <c r="J95" s="790">
        <v>605933</v>
      </c>
      <c r="K95" s="790">
        <v>682600</v>
      </c>
      <c r="L95" s="1222" t="s">
        <v>97</v>
      </c>
      <c r="M95" s="1222" t="s">
        <v>97</v>
      </c>
      <c r="N95" s="1425">
        <f t="shared" si="28"/>
        <v>4598547</v>
      </c>
      <c r="P95" s="791"/>
      <c r="Q95" s="19" t="s">
        <v>1479</v>
      </c>
      <c r="S95" s="790">
        <v>332629</v>
      </c>
      <c r="T95" s="790">
        <v>1159295</v>
      </c>
      <c r="U95" s="790">
        <v>673629</v>
      </c>
      <c r="V95" s="790">
        <v>726006</v>
      </c>
      <c r="W95" s="790">
        <v>418455</v>
      </c>
      <c r="X95" s="1222" t="s">
        <v>97</v>
      </c>
      <c r="Y95" s="1222" t="s">
        <v>97</v>
      </c>
      <c r="Z95" s="790">
        <v>605933</v>
      </c>
      <c r="AA95" s="790">
        <v>682600</v>
      </c>
      <c r="AB95" s="1222" t="s">
        <v>97</v>
      </c>
      <c r="AC95" s="1222" t="s">
        <v>97</v>
      </c>
      <c r="AD95" s="22">
        <f t="shared" si="47"/>
        <v>4598547</v>
      </c>
      <c r="AE95" s="790">
        <f t="shared" si="61"/>
        <v>0</v>
      </c>
      <c r="AF95" s="788" t="b">
        <f t="shared" si="74"/>
        <v>1</v>
      </c>
      <c r="AH95" s="788" t="b">
        <f t="shared" si="62"/>
        <v>1</v>
      </c>
      <c r="AI95" s="788" t="b">
        <f t="shared" si="63"/>
        <v>1</v>
      </c>
      <c r="AJ95" s="788" t="b">
        <f t="shared" si="64"/>
        <v>1</v>
      </c>
      <c r="AK95" s="788" t="b">
        <f t="shared" si="65"/>
        <v>1</v>
      </c>
      <c r="AL95" s="788" t="b">
        <f t="shared" si="66"/>
        <v>1</v>
      </c>
      <c r="AM95" s="788" t="b">
        <f t="shared" si="67"/>
        <v>1</v>
      </c>
      <c r="AN95" s="788" t="b">
        <f t="shared" si="68"/>
        <v>1</v>
      </c>
      <c r="AO95" s="788" t="b">
        <f t="shared" si="69"/>
        <v>1</v>
      </c>
      <c r="AP95" s="788" t="b">
        <f t="shared" si="70"/>
        <v>1</v>
      </c>
      <c r="AQ95" s="788" t="b">
        <f t="shared" si="71"/>
        <v>1</v>
      </c>
      <c r="AR95" s="788" t="b">
        <f t="shared" si="72"/>
        <v>1</v>
      </c>
      <c r="AS95" s="788" t="b">
        <f t="shared" si="73"/>
        <v>1</v>
      </c>
    </row>
    <row r="96" spans="1:45">
      <c r="A96" s="1430">
        <v>2023</v>
      </c>
      <c r="B96" s="18" t="s">
        <v>1467</v>
      </c>
      <c r="C96" s="1222" t="s">
        <v>97</v>
      </c>
      <c r="D96" s="1220">
        <v>495876</v>
      </c>
      <c r="E96" s="1220">
        <v>1262930</v>
      </c>
      <c r="F96" s="1220">
        <v>221386</v>
      </c>
      <c r="G96" s="1221">
        <v>367468</v>
      </c>
      <c r="H96" s="1222">
        <v>283927</v>
      </c>
      <c r="I96" s="1462">
        <v>265290</v>
      </c>
      <c r="J96" s="1221">
        <v>429187</v>
      </c>
      <c r="K96" s="1221">
        <v>229938</v>
      </c>
      <c r="L96" s="1222" t="s">
        <v>97</v>
      </c>
      <c r="M96" s="1222" t="s">
        <v>97</v>
      </c>
      <c r="N96" s="1425">
        <f>SUM(C96:M96)</f>
        <v>3556002</v>
      </c>
      <c r="P96" s="1106">
        <v>2023</v>
      </c>
      <c r="Q96" s="19" t="s">
        <v>1467</v>
      </c>
      <c r="R96" s="1107"/>
      <c r="S96" s="1222" t="s">
        <v>97</v>
      </c>
      <c r="T96" s="1220">
        <v>495876</v>
      </c>
      <c r="U96" s="1220">
        <v>1262930</v>
      </c>
      <c r="V96" s="1220">
        <v>221386</v>
      </c>
      <c r="W96" s="1221">
        <v>367468</v>
      </c>
      <c r="X96" s="1222">
        <v>283927</v>
      </c>
      <c r="Y96" s="1222">
        <v>265290</v>
      </c>
      <c r="Z96" s="1221">
        <v>429187</v>
      </c>
      <c r="AA96" s="1221">
        <v>229938</v>
      </c>
      <c r="AB96" s="1222" t="s">
        <v>97</v>
      </c>
      <c r="AC96" s="1222" t="s">
        <v>97</v>
      </c>
      <c r="AD96" s="22">
        <f>SUM(S96:AC96)</f>
        <v>3556002</v>
      </c>
      <c r="AE96" s="790">
        <f t="shared" si="61"/>
        <v>0</v>
      </c>
      <c r="AF96" s="788" t="b">
        <f t="shared" si="74"/>
        <v>1</v>
      </c>
      <c r="AH96" s="788" t="b">
        <f t="shared" ref="AH96:AH99" si="75">S96=C96</f>
        <v>1</v>
      </c>
      <c r="AI96" s="788" t="b">
        <f t="shared" ref="AI96:AI99" si="76">T96=D96</f>
        <v>1</v>
      </c>
      <c r="AJ96" s="788" t="b">
        <f t="shared" ref="AJ96:AJ99" si="77">U96=E96</f>
        <v>1</v>
      </c>
      <c r="AK96" s="788" t="b">
        <f t="shared" ref="AK96:AK99" si="78">V96=F96</f>
        <v>1</v>
      </c>
      <c r="AL96" s="788" t="b">
        <f t="shared" ref="AL96:AL99" si="79">W96=G96</f>
        <v>1</v>
      </c>
      <c r="AM96" s="788" t="b">
        <f t="shared" si="67"/>
        <v>1</v>
      </c>
      <c r="AN96" s="788" t="b">
        <f t="shared" si="68"/>
        <v>1</v>
      </c>
      <c r="AO96" s="788" t="b">
        <f t="shared" si="69"/>
        <v>1</v>
      </c>
      <c r="AP96" s="788" t="b">
        <f t="shared" ref="AP96:AP99" si="80">AA96=K96</f>
        <v>1</v>
      </c>
      <c r="AQ96" s="788" t="b">
        <f t="shared" ref="AQ96:AQ99" si="81">AB96=L96</f>
        <v>1</v>
      </c>
      <c r="AR96" s="788" t="b">
        <f t="shared" ref="AR96:AR99" si="82">AC96=M96</f>
        <v>1</v>
      </c>
      <c r="AS96" s="788" t="b">
        <f t="shared" ref="AS96:AS99" si="83">AD96=N96</f>
        <v>1</v>
      </c>
    </row>
    <row r="97" spans="1:45">
      <c r="A97" s="1430"/>
      <c r="B97" s="18" t="s">
        <v>1468</v>
      </c>
      <c r="C97" s="1222" t="s">
        <v>97</v>
      </c>
      <c r="D97" s="1220">
        <v>182639</v>
      </c>
      <c r="E97" s="1222" t="s">
        <v>97</v>
      </c>
      <c r="F97" s="1222" t="s">
        <v>97</v>
      </c>
      <c r="G97" s="1222" t="s">
        <v>97</v>
      </c>
      <c r="H97" s="1222" t="s">
        <v>97</v>
      </c>
      <c r="I97" s="1222" t="s">
        <v>97</v>
      </c>
      <c r="J97" s="1222" t="s">
        <v>97</v>
      </c>
      <c r="K97" s="1222" t="s">
        <v>97</v>
      </c>
      <c r="L97" s="1222" t="s">
        <v>97</v>
      </c>
      <c r="M97" s="1222" t="s">
        <v>97</v>
      </c>
      <c r="N97" s="1425">
        <f t="shared" ref="N97:N99" si="84">SUM(C97:M97)</f>
        <v>182639</v>
      </c>
      <c r="P97" s="1106"/>
      <c r="Q97" s="19" t="s">
        <v>1477</v>
      </c>
      <c r="R97" s="1107"/>
      <c r="S97" s="1222" t="s">
        <v>97</v>
      </c>
      <c r="T97" s="1220">
        <v>182639</v>
      </c>
      <c r="U97" s="1222" t="s">
        <v>97</v>
      </c>
      <c r="V97" s="1222" t="s">
        <v>97</v>
      </c>
      <c r="W97" s="1222" t="s">
        <v>97</v>
      </c>
      <c r="X97" s="1222" t="s">
        <v>97</v>
      </c>
      <c r="Y97" s="1222" t="s">
        <v>97</v>
      </c>
      <c r="Z97" s="1222" t="s">
        <v>97</v>
      </c>
      <c r="AA97" s="1222" t="s">
        <v>97</v>
      </c>
      <c r="AB97" s="1222" t="s">
        <v>97</v>
      </c>
      <c r="AC97" s="1222" t="s">
        <v>97</v>
      </c>
      <c r="AD97" s="22">
        <f t="shared" ref="AD97:AD99" si="85">SUM(S97:AC97)</f>
        <v>182639</v>
      </c>
      <c r="AE97" s="790">
        <f t="shared" si="61"/>
        <v>0</v>
      </c>
      <c r="AF97" s="788" t="b">
        <f t="shared" si="74"/>
        <v>1</v>
      </c>
      <c r="AH97" s="788" t="b">
        <f t="shared" si="75"/>
        <v>1</v>
      </c>
      <c r="AI97" s="788" t="b">
        <f t="shared" si="76"/>
        <v>1</v>
      </c>
      <c r="AJ97" s="788" t="b">
        <f t="shared" si="77"/>
        <v>1</v>
      </c>
      <c r="AK97" s="788" t="b">
        <f t="shared" si="78"/>
        <v>1</v>
      </c>
      <c r="AL97" s="788" t="b">
        <f t="shared" si="79"/>
        <v>1</v>
      </c>
      <c r="AM97" s="788" t="b">
        <f t="shared" ref="AM97:AM99" si="86">X97=H97</f>
        <v>1</v>
      </c>
      <c r="AN97" s="788" t="b">
        <f t="shared" ref="AN97:AN99" si="87">Y97=I97</f>
        <v>1</v>
      </c>
      <c r="AO97" s="788" t="b">
        <f t="shared" ref="AO97:AO99" si="88">Z97=J97</f>
        <v>1</v>
      </c>
      <c r="AP97" s="788" t="b">
        <f t="shared" si="80"/>
        <v>1</v>
      </c>
      <c r="AQ97" s="788" t="b">
        <f t="shared" si="81"/>
        <v>1</v>
      </c>
      <c r="AR97" s="788" t="b">
        <f t="shared" si="82"/>
        <v>1</v>
      </c>
      <c r="AS97" s="788" t="b">
        <f t="shared" si="83"/>
        <v>1</v>
      </c>
    </row>
    <row r="98" spans="1:45">
      <c r="A98" s="1430"/>
      <c r="B98" s="18" t="s">
        <v>1469</v>
      </c>
      <c r="C98" s="1222" t="s">
        <v>97</v>
      </c>
      <c r="D98" s="1222" t="s">
        <v>97</v>
      </c>
      <c r="E98" s="1222">
        <v>2499349</v>
      </c>
      <c r="F98" s="1220">
        <v>1427891</v>
      </c>
      <c r="G98" s="1222" t="s">
        <v>97</v>
      </c>
      <c r="H98" s="1222" t="s">
        <v>97</v>
      </c>
      <c r="I98" s="1222" t="s">
        <v>97</v>
      </c>
      <c r="J98" s="1222" t="s">
        <v>97</v>
      </c>
      <c r="K98" s="1222" t="s">
        <v>97</v>
      </c>
      <c r="L98" s="1222" t="s">
        <v>97</v>
      </c>
      <c r="M98" s="1222" t="s">
        <v>97</v>
      </c>
      <c r="N98" s="1425">
        <f t="shared" si="84"/>
        <v>3927240</v>
      </c>
      <c r="P98" s="791"/>
      <c r="Q98" s="19" t="s">
        <v>1478</v>
      </c>
      <c r="R98" s="1107"/>
      <c r="S98" s="1101" t="s">
        <v>97</v>
      </c>
      <c r="T98" s="1101" t="s">
        <v>97</v>
      </c>
      <c r="U98" s="1101">
        <v>2499349</v>
      </c>
      <c r="V98" s="1220">
        <v>1427891</v>
      </c>
      <c r="W98" s="1101" t="s">
        <v>97</v>
      </c>
      <c r="X98" s="1101" t="s">
        <v>97</v>
      </c>
      <c r="Y98" s="1101" t="s">
        <v>97</v>
      </c>
      <c r="Z98" s="1101" t="s">
        <v>97</v>
      </c>
      <c r="AA98" s="1101" t="s">
        <v>97</v>
      </c>
      <c r="AB98" s="1222" t="s">
        <v>97</v>
      </c>
      <c r="AC98" s="1222" t="s">
        <v>97</v>
      </c>
      <c r="AD98" s="22">
        <f t="shared" si="85"/>
        <v>3927240</v>
      </c>
      <c r="AE98" s="790">
        <f t="shared" si="61"/>
        <v>0</v>
      </c>
      <c r="AF98" s="788" t="b">
        <f t="shared" si="74"/>
        <v>1</v>
      </c>
      <c r="AH98" s="788" t="b">
        <f t="shared" si="75"/>
        <v>1</v>
      </c>
      <c r="AI98" s="788" t="b">
        <f t="shared" si="76"/>
        <v>1</v>
      </c>
      <c r="AJ98" s="788" t="b">
        <f t="shared" si="77"/>
        <v>1</v>
      </c>
      <c r="AK98" s="788" t="b">
        <f t="shared" si="78"/>
        <v>1</v>
      </c>
      <c r="AL98" s="788" t="b">
        <f t="shared" si="79"/>
        <v>1</v>
      </c>
      <c r="AM98" s="788" t="b">
        <f t="shared" si="86"/>
        <v>1</v>
      </c>
      <c r="AN98" s="788" t="b">
        <f t="shared" si="87"/>
        <v>1</v>
      </c>
      <c r="AO98" s="788" t="b">
        <f t="shared" si="88"/>
        <v>1</v>
      </c>
      <c r="AP98" s="788" t="b">
        <f t="shared" si="80"/>
        <v>1</v>
      </c>
      <c r="AQ98" s="788" t="b">
        <f t="shared" si="81"/>
        <v>1</v>
      </c>
      <c r="AR98" s="788" t="b">
        <f t="shared" si="82"/>
        <v>1</v>
      </c>
      <c r="AS98" s="788" t="b">
        <f t="shared" si="83"/>
        <v>1</v>
      </c>
    </row>
    <row r="99" spans="1:45" ht="13.5" thickBot="1">
      <c r="A99" s="1437"/>
      <c r="B99" s="1438" t="s">
        <v>1470</v>
      </c>
      <c r="C99" s="1439">
        <v>430187</v>
      </c>
      <c r="D99" s="1439">
        <v>1212384</v>
      </c>
      <c r="E99" s="1439">
        <v>655343</v>
      </c>
      <c r="F99" s="1439">
        <v>729123</v>
      </c>
      <c r="G99" s="1439">
        <v>409501</v>
      </c>
      <c r="H99" s="1440" t="s">
        <v>97</v>
      </c>
      <c r="I99" s="1440" t="s">
        <v>97</v>
      </c>
      <c r="J99" s="1439">
        <v>654269</v>
      </c>
      <c r="K99" s="1439">
        <v>727579</v>
      </c>
      <c r="L99" s="1440" t="s">
        <v>97</v>
      </c>
      <c r="M99" s="1440" t="s">
        <v>97</v>
      </c>
      <c r="N99" s="1441">
        <f t="shared" si="84"/>
        <v>4818386</v>
      </c>
      <c r="P99" s="796"/>
      <c r="Q99" s="36" t="s">
        <v>1479</v>
      </c>
      <c r="R99" s="1224"/>
      <c r="S99" s="1225">
        <v>430187</v>
      </c>
      <c r="T99" s="1225">
        <v>1212384</v>
      </c>
      <c r="U99" s="1225">
        <v>655343</v>
      </c>
      <c r="V99" s="1225">
        <v>729123</v>
      </c>
      <c r="W99" s="1225">
        <v>409501</v>
      </c>
      <c r="X99" s="1102" t="s">
        <v>97</v>
      </c>
      <c r="Y99" s="1102" t="s">
        <v>97</v>
      </c>
      <c r="Z99" s="1225">
        <v>654269</v>
      </c>
      <c r="AA99" s="1225">
        <v>727579</v>
      </c>
      <c r="AB99" s="1102" t="s">
        <v>97</v>
      </c>
      <c r="AC99" s="1102" t="s">
        <v>97</v>
      </c>
      <c r="AD99" s="29">
        <f t="shared" si="85"/>
        <v>4818386</v>
      </c>
      <c r="AE99" s="790">
        <f t="shared" si="61"/>
        <v>0</v>
      </c>
      <c r="AF99" s="788" t="b">
        <f t="shared" si="74"/>
        <v>1</v>
      </c>
      <c r="AH99" s="788" t="b">
        <f t="shared" si="75"/>
        <v>1</v>
      </c>
      <c r="AI99" s="788" t="b">
        <f t="shared" si="76"/>
        <v>1</v>
      </c>
      <c r="AJ99" s="788" t="b">
        <f t="shared" si="77"/>
        <v>1</v>
      </c>
      <c r="AK99" s="788" t="b">
        <f t="shared" si="78"/>
        <v>1</v>
      </c>
      <c r="AL99" s="788" t="b">
        <f t="shared" si="79"/>
        <v>1</v>
      </c>
      <c r="AM99" s="788" t="b">
        <f t="shared" si="86"/>
        <v>1</v>
      </c>
      <c r="AN99" s="788" t="b">
        <f t="shared" si="87"/>
        <v>1</v>
      </c>
      <c r="AO99" s="788" t="b">
        <f t="shared" si="88"/>
        <v>1</v>
      </c>
      <c r="AP99" s="788" t="b">
        <f t="shared" si="80"/>
        <v>1</v>
      </c>
      <c r="AQ99" s="788" t="b">
        <f t="shared" si="81"/>
        <v>1</v>
      </c>
      <c r="AR99" s="788" t="b">
        <f t="shared" si="82"/>
        <v>1</v>
      </c>
      <c r="AS99" s="788" t="b">
        <f t="shared" si="83"/>
        <v>1</v>
      </c>
    </row>
    <row r="100" spans="1:45">
      <c r="B100" s="18"/>
      <c r="C100" s="790"/>
      <c r="D100" s="789"/>
      <c r="E100" s="790"/>
      <c r="F100" s="790"/>
      <c r="G100" s="790"/>
      <c r="H100" s="790"/>
      <c r="I100" s="789"/>
      <c r="J100" s="790"/>
      <c r="K100" s="790"/>
      <c r="L100" s="789"/>
      <c r="M100" s="789"/>
      <c r="N100" s="37"/>
    </row>
    <row r="102" spans="1:45">
      <c r="A102" s="788" t="s">
        <v>1480</v>
      </c>
      <c r="B102" s="788" t="s">
        <v>1481</v>
      </c>
    </row>
    <row r="103" spans="1:45">
      <c r="A103" s="788" t="s">
        <v>1482</v>
      </c>
      <c r="B103" s="798" t="s">
        <v>1483</v>
      </c>
    </row>
  </sheetData>
  <mergeCells count="8">
    <mergeCell ref="C1:M1"/>
    <mergeCell ref="S1:AC1"/>
    <mergeCell ref="C2:E2"/>
    <mergeCell ref="F2:I2"/>
    <mergeCell ref="K2:L2"/>
    <mergeCell ref="S2:U2"/>
    <mergeCell ref="V2:Y2"/>
    <mergeCell ref="AA2:AB2"/>
  </mergeCells>
  <conditionalFormatting sqref="AF4:AS4 AF5:AL75 AM5:AS99 AG76:AG78 AF76:AF99 AH76:AL99">
    <cfRule type="containsText" dxfId="1" priority="1" operator="containsText" text="false">
      <formula>NOT(ISERROR(SEARCH("false",AF4)))</formula>
    </cfRule>
  </conditionalFormatting>
  <pageMargins left="0.7" right="0.7" top="0.75" bottom="0.75" header="0.3" footer="0.3"/>
  <pageSetup scale="63" fitToWidth="0" orientation="portrait" r:id="rId1"/>
  <legacy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FDBAA-44E4-4EC1-9370-00768C468849}">
  <sheetPr>
    <tabColor rgb="FF66FF33"/>
    <pageSetUpPr fitToPage="1"/>
  </sheetPr>
  <dimension ref="A1:AA99"/>
  <sheetViews>
    <sheetView showGridLines="0" zoomScale="85" zoomScaleNormal="85" workbookViewId="0">
      <pane ySplit="6" topLeftCell="A67" activePane="bottomLeft" state="frozen"/>
      <selection pane="bottomLeft" activeCell="V74" sqref="V74"/>
      <selection activeCell="J33" sqref="J33"/>
    </sheetView>
  </sheetViews>
  <sheetFormatPr defaultColWidth="9.33203125" defaultRowHeight="12.75"/>
  <cols>
    <col min="1" max="1" width="8.83203125" style="799" customWidth="1"/>
    <col min="2" max="2" width="1.33203125" style="799" customWidth="1"/>
    <col min="3" max="3" width="8.83203125" style="799" customWidth="1"/>
    <col min="4" max="4" width="1.33203125" style="799" customWidth="1"/>
    <col min="5" max="5" width="13.1640625" style="799" customWidth="1"/>
    <col min="6" max="6" width="11" style="799" bestFit="1" customWidth="1"/>
    <col min="7" max="7" width="10.83203125" style="799" bestFit="1" customWidth="1"/>
    <col min="8" max="8" width="1.33203125" style="799" customWidth="1"/>
    <col min="9" max="9" width="10.83203125" style="799" bestFit="1" customWidth="1"/>
    <col min="10" max="10" width="11.1640625" style="799" bestFit="1" customWidth="1"/>
    <col min="11" max="11" width="11.1640625" style="799" customWidth="1"/>
    <col min="12" max="12" width="9.33203125" style="799" bestFit="1" customWidth="1"/>
    <col min="13" max="13" width="1.33203125" style="799" customWidth="1"/>
    <col min="14" max="14" width="13.33203125" style="799" bestFit="1" customWidth="1"/>
    <col min="15" max="15" width="1.33203125" style="799" customWidth="1"/>
    <col min="16" max="16" width="11.6640625" style="799" customWidth="1"/>
    <col min="17" max="17" width="9.33203125" style="799" bestFit="1" customWidth="1"/>
    <col min="18" max="18" width="1.33203125" style="799" customWidth="1"/>
    <col min="19" max="19" width="13.83203125" style="799" customWidth="1"/>
    <col min="20" max="20" width="9.83203125" style="799" bestFit="1" customWidth="1"/>
    <col min="21" max="22" width="10.83203125" style="799" bestFit="1" customWidth="1"/>
    <col min="23" max="23" width="9.33203125" style="799"/>
    <col min="24" max="25" width="10.83203125" style="799" bestFit="1" customWidth="1"/>
    <col min="26" max="26" width="9.33203125" style="799"/>
    <col min="27" max="27" width="10.83203125" style="799" bestFit="1" customWidth="1"/>
    <col min="28" max="16384" width="9.33203125" style="799"/>
  </cols>
  <sheetData>
    <row r="1" spans="1:20" ht="15.75">
      <c r="A1" s="38" t="s">
        <v>141</v>
      </c>
      <c r="B1" s="13"/>
      <c r="C1" s="24"/>
      <c r="D1" s="24"/>
      <c r="E1" s="20"/>
      <c r="F1" s="20"/>
      <c r="G1" s="20"/>
      <c r="H1" s="20"/>
      <c r="I1" s="20"/>
      <c r="J1" s="20"/>
      <c r="K1" s="20"/>
      <c r="L1" s="25"/>
      <c r="M1" s="20"/>
      <c r="N1" s="20"/>
      <c r="O1" s="20"/>
      <c r="P1" s="20"/>
      <c r="Q1" s="20"/>
      <c r="R1" s="20"/>
      <c r="S1" s="37"/>
      <c r="T1" s="23"/>
    </row>
    <row r="2" spans="1:20" ht="15.75">
      <c r="A2" s="800" t="s">
        <v>1484</v>
      </c>
      <c r="B2" s="13"/>
      <c r="C2" s="24"/>
      <c r="D2" s="24"/>
      <c r="E2" s="20"/>
      <c r="F2" s="20"/>
      <c r="G2" s="20"/>
      <c r="H2" s="20"/>
      <c r="I2" s="20"/>
      <c r="J2" s="20"/>
      <c r="K2" s="20"/>
      <c r="L2" s="25"/>
      <c r="M2" s="20"/>
      <c r="N2" s="20"/>
      <c r="O2" s="20"/>
      <c r="P2" s="20"/>
      <c r="Q2" s="20"/>
      <c r="R2" s="20"/>
      <c r="S2" s="37"/>
      <c r="T2" s="23"/>
    </row>
    <row r="3" spans="1:20" ht="15.75">
      <c r="A3" s="40"/>
      <c r="B3" s="13"/>
      <c r="C3" s="24"/>
      <c r="D3" s="24"/>
      <c r="E3" s="20"/>
      <c r="F3" s="20"/>
      <c r="G3" s="20"/>
      <c r="H3" s="20"/>
      <c r="I3" s="20"/>
      <c r="J3" s="20"/>
      <c r="K3" s="20"/>
      <c r="L3" s="25"/>
      <c r="M3" s="20"/>
      <c r="N3" s="20"/>
      <c r="O3" s="20"/>
      <c r="P3" s="20"/>
      <c r="Q3" s="20"/>
      <c r="R3" s="20"/>
      <c r="S3" s="37"/>
      <c r="T3" s="23"/>
    </row>
    <row r="4" spans="1:20">
      <c r="A4" s="770"/>
      <c r="B4" s="771"/>
      <c r="C4" s="771"/>
      <c r="D4" s="771"/>
      <c r="E4" s="1996" t="s">
        <v>1451</v>
      </c>
      <c r="F4" s="1997"/>
      <c r="G4" s="1997"/>
      <c r="H4" s="1997"/>
      <c r="I4" s="1997"/>
      <c r="J4" s="1997"/>
      <c r="K4" s="1997"/>
      <c r="L4" s="1997"/>
      <c r="M4" s="1997"/>
      <c r="N4" s="1997"/>
      <c r="O4" s="1997"/>
      <c r="P4" s="1997"/>
      <c r="Q4" s="1998"/>
      <c r="R4" s="771"/>
      <c r="S4" s="772"/>
    </row>
    <row r="5" spans="1:20" ht="29.25" customHeight="1" thickBot="1">
      <c r="A5" s="773"/>
      <c r="B5" s="13"/>
      <c r="C5" s="13"/>
      <c r="D5" s="13"/>
      <c r="E5" s="1999" t="s">
        <v>1124</v>
      </c>
      <c r="F5" s="1999"/>
      <c r="G5" s="1999"/>
      <c r="H5" s="19"/>
      <c r="I5" s="1999" t="s">
        <v>1452</v>
      </c>
      <c r="J5" s="1999"/>
      <c r="K5" s="1999"/>
      <c r="L5" s="1999"/>
      <c r="M5" s="30"/>
      <c r="N5" s="1708" t="s">
        <v>1125</v>
      </c>
      <c r="O5" s="19"/>
      <c r="P5" s="1999" t="s">
        <v>1127</v>
      </c>
      <c r="Q5" s="1999"/>
      <c r="R5" s="13"/>
      <c r="S5" s="774"/>
    </row>
    <row r="6" spans="1:20" ht="52.5" customHeight="1" thickBot="1">
      <c r="A6" s="775" t="s">
        <v>1454</v>
      </c>
      <c r="B6" s="1708"/>
      <c r="C6" s="1708" t="s">
        <v>1455</v>
      </c>
      <c r="D6" s="1708"/>
      <c r="E6" s="1708" t="s">
        <v>1456</v>
      </c>
      <c r="F6" s="1708" t="s">
        <v>1457</v>
      </c>
      <c r="G6" s="1708" t="s">
        <v>1458</v>
      </c>
      <c r="H6" s="1708"/>
      <c r="I6" s="1708" t="s">
        <v>1459</v>
      </c>
      <c r="J6" s="1708" t="s">
        <v>1460</v>
      </c>
      <c r="K6" s="1708" t="s">
        <v>1475</v>
      </c>
      <c r="L6" s="1708" t="s">
        <v>1461</v>
      </c>
      <c r="M6" s="1708"/>
      <c r="N6" s="1708" t="s">
        <v>1462</v>
      </c>
      <c r="O6" s="1708"/>
      <c r="P6" s="1708" t="s">
        <v>1485</v>
      </c>
      <c r="Q6" s="1708" t="s">
        <v>1464</v>
      </c>
      <c r="R6" s="1708"/>
      <c r="S6" s="776" t="s">
        <v>36</v>
      </c>
    </row>
    <row r="7" spans="1:20">
      <c r="A7" s="777">
        <v>2005</v>
      </c>
      <c r="B7" s="19"/>
      <c r="C7" s="18" t="s">
        <v>1467</v>
      </c>
      <c r="D7" s="24"/>
      <c r="E7" s="20" t="str">
        <f>IF(T29Manip!C24="","",T29Manip!C24)</f>
        <v>—</v>
      </c>
      <c r="F7" s="20" t="str">
        <f>IF(T29Manip!D24="","",T29Manip!D24)</f>
        <v>—</v>
      </c>
      <c r="G7" s="20">
        <f>IF(T29Manip!E24="","",T29Manip!E24)</f>
        <v>417662</v>
      </c>
      <c r="H7" s="20"/>
      <c r="I7" s="20" t="str">
        <f>IF(T29Manip!F24="","",T29Manip!F24)</f>
        <v>—</v>
      </c>
      <c r="J7" s="20">
        <f>IF(T29Manip!G24="","",T29Manip!G24)</f>
        <v>272226</v>
      </c>
      <c r="K7" s="20" t="str">
        <f>IF(T29Manip!H24="","",T29Manip!H24)</f>
        <v>—</v>
      </c>
      <c r="L7" s="20" t="str">
        <f>IF(T29Manip!I24="","",T29Manip!I24)</f>
        <v>—</v>
      </c>
      <c r="M7" s="20"/>
      <c r="N7" s="20">
        <f>IF(T29Manip!J24="","",T29Manip!J24)</f>
        <v>104149</v>
      </c>
      <c r="O7" s="20"/>
      <c r="P7" s="20">
        <f>IF(T29Manip!K24="","",T29Manip!K24)</f>
        <v>263600</v>
      </c>
      <c r="Q7" s="20" t="str">
        <f>IF(T29Manip!L24="","",T29Manip!L24)</f>
        <v>—</v>
      </c>
      <c r="R7" s="19"/>
      <c r="S7" s="778">
        <f t="shared" ref="S7:S70" si="0">SUM(E7:Q7)</f>
        <v>1057637</v>
      </c>
      <c r="T7" s="23"/>
    </row>
    <row r="8" spans="1:20">
      <c r="A8" s="777"/>
      <c r="B8" s="19"/>
      <c r="C8" s="18" t="s">
        <v>1468</v>
      </c>
      <c r="D8" s="24"/>
      <c r="E8" s="20">
        <f>IF(T29Manip!C25="","",T29Manip!C25)</f>
        <v>628888</v>
      </c>
      <c r="F8" s="20" t="str">
        <f>IF(T29Manip!D25="","",T29Manip!D25)</f>
        <v>—</v>
      </c>
      <c r="G8" s="20">
        <f>IF(T29Manip!E25="","",T29Manip!E25)</f>
        <v>476497</v>
      </c>
      <c r="H8" s="20"/>
      <c r="I8" s="20" t="str">
        <f>IF(T29Manip!F25="","",T29Manip!F25)</f>
        <v>—</v>
      </c>
      <c r="J8" s="20" t="str">
        <f>IF(T29Manip!G25="","",T29Manip!G25)</f>
        <v>—</v>
      </c>
      <c r="K8" s="20" t="str">
        <f>IF(T29Manip!H25="","",T29Manip!H25)</f>
        <v>—</v>
      </c>
      <c r="L8" s="20" t="str">
        <f>IF(T29Manip!I25="","",T29Manip!I25)</f>
        <v>—</v>
      </c>
      <c r="M8" s="20"/>
      <c r="N8" s="20" t="str">
        <f>IF(T29Manip!J25="","",T29Manip!J25)</f>
        <v>—</v>
      </c>
      <c r="O8" s="20"/>
      <c r="P8" s="20" t="str">
        <f>IF(T29Manip!K25="","",T29Manip!K25)</f>
        <v>—</v>
      </c>
      <c r="Q8" s="20" t="str">
        <f>IF(T29Manip!L25="","",T29Manip!L25)</f>
        <v>—</v>
      </c>
      <c r="R8" s="19"/>
      <c r="S8" s="778">
        <f t="shared" si="0"/>
        <v>1105385</v>
      </c>
      <c r="T8" s="23"/>
    </row>
    <row r="9" spans="1:20">
      <c r="A9" s="777"/>
      <c r="B9" s="19"/>
      <c r="C9" s="18" t="s">
        <v>1469</v>
      </c>
      <c r="D9" s="24"/>
      <c r="E9" s="20" t="str">
        <f>IF(T29Manip!C26="","",T29Manip!C26)</f>
        <v>—</v>
      </c>
      <c r="F9" s="20" t="str">
        <f>IF(T29Manip!D26="","",T29Manip!D26)</f>
        <v>—</v>
      </c>
      <c r="G9" s="20" t="str">
        <f>IF(T29Manip!E26="","",T29Manip!E26)</f>
        <v>—</v>
      </c>
      <c r="H9" s="20"/>
      <c r="I9" s="20">
        <f>IF(T29Manip!F26="","",T29Manip!F26)</f>
        <v>5850219</v>
      </c>
      <c r="J9" s="20" t="str">
        <f>IF(T29Manip!G26="","",T29Manip!G26)</f>
        <v>—</v>
      </c>
      <c r="K9" s="20" t="str">
        <f>IF(T29Manip!H26="","",T29Manip!H26)</f>
        <v>—</v>
      </c>
      <c r="L9" s="20" t="str">
        <f>IF(T29Manip!I26="","",T29Manip!I26)</f>
        <v>—</v>
      </c>
      <c r="M9" s="20"/>
      <c r="N9" s="20" t="str">
        <f>IF(T29Manip!J26="","",T29Manip!J26)</f>
        <v>—</v>
      </c>
      <c r="O9" s="20"/>
      <c r="P9" s="20" t="str">
        <f>IF(T29Manip!K26="","",T29Manip!K26)</f>
        <v>—</v>
      </c>
      <c r="Q9" s="20" t="str">
        <f>IF(T29Manip!L26="","",T29Manip!L26)</f>
        <v>—</v>
      </c>
      <c r="R9" s="19"/>
      <c r="S9" s="778">
        <f t="shared" si="0"/>
        <v>5850219</v>
      </c>
      <c r="T9" s="23"/>
    </row>
    <row r="10" spans="1:20">
      <c r="A10" s="777"/>
      <c r="B10" s="19"/>
      <c r="C10" s="18" t="s">
        <v>1470</v>
      </c>
      <c r="D10" s="24"/>
      <c r="E10" s="20" t="str">
        <f>IF(T29Manip!C27="","",T29Manip!C27)</f>
        <v>—</v>
      </c>
      <c r="F10" s="20" t="str">
        <f>IF(T29Manip!D27="","",T29Manip!D27)</f>
        <v>—</v>
      </c>
      <c r="G10" s="20">
        <f>IF(T29Manip!E27="","",T29Manip!E27)</f>
        <v>1157746</v>
      </c>
      <c r="H10" s="20"/>
      <c r="I10" s="20">
        <f>IF(T29Manip!F27="","",T29Manip!F27)</f>
        <v>529697</v>
      </c>
      <c r="J10" s="20">
        <f>IF(T29Manip!G27="","",T29Manip!G27)</f>
        <v>304558</v>
      </c>
      <c r="K10" s="20" t="str">
        <f>IF(T29Manip!H27="","",T29Manip!H27)</f>
        <v>—</v>
      </c>
      <c r="L10" s="20" t="str">
        <f>IF(T29Manip!I27="","",T29Manip!I27)</f>
        <v>—</v>
      </c>
      <c r="M10" s="20"/>
      <c r="N10" s="20">
        <f>IF(T29Manip!J27="","",T29Manip!J27)</f>
        <v>174547</v>
      </c>
      <c r="O10" s="20"/>
      <c r="P10" s="20">
        <f>IF(T29Manip!K27="","",T29Manip!K27)</f>
        <v>449200</v>
      </c>
      <c r="Q10" s="20">
        <f>IF(T29Manip!L27="","",T29Manip!L27)</f>
        <v>157500</v>
      </c>
      <c r="R10" s="19"/>
      <c r="S10" s="778">
        <f t="shared" si="0"/>
        <v>2773248</v>
      </c>
      <c r="T10" s="23"/>
    </row>
    <row r="11" spans="1:20">
      <c r="A11" s="777">
        <v>2006</v>
      </c>
      <c r="B11" s="19"/>
      <c r="C11" s="18" t="s">
        <v>1467</v>
      </c>
      <c r="D11" s="24"/>
      <c r="E11" s="20" t="str">
        <f>IF(T29Manip!C28="","",T29Manip!C28)</f>
        <v>—</v>
      </c>
      <c r="F11" s="20" t="str">
        <f>IF(T29Manip!D28="","",T29Manip!D28)</f>
        <v>—</v>
      </c>
      <c r="G11" s="20">
        <f>IF(T29Manip!E28="","",T29Manip!E28)</f>
        <v>543803</v>
      </c>
      <c r="H11" s="20"/>
      <c r="I11" s="20" t="str">
        <f>IF(T29Manip!F28="","",T29Manip!F28)</f>
        <v>—</v>
      </c>
      <c r="J11" s="20">
        <f>IF(T29Manip!G28="","",T29Manip!G28)</f>
        <v>312962</v>
      </c>
      <c r="K11" s="20" t="str">
        <f>IF(T29Manip!H28="","",T29Manip!H28)</f>
        <v>—</v>
      </c>
      <c r="L11" s="20" t="str">
        <f>IF(T29Manip!I28="","",T29Manip!I28)</f>
        <v>—</v>
      </c>
      <c r="M11" s="20"/>
      <c r="N11" s="20">
        <f>IF(T29Manip!J28="","",T29Manip!J28)</f>
        <v>79343</v>
      </c>
      <c r="O11" s="20"/>
      <c r="P11" s="20">
        <f>IF(T29Manip!K28="","",T29Manip!K28)</f>
        <v>121500</v>
      </c>
      <c r="Q11" s="20" t="str">
        <f>IF(T29Manip!L28="","",T29Manip!L28)</f>
        <v>—</v>
      </c>
      <c r="R11" s="19"/>
      <c r="S11" s="778">
        <f t="shared" si="0"/>
        <v>1057608</v>
      </c>
      <c r="T11" s="23"/>
    </row>
    <row r="12" spans="1:20">
      <c r="A12" s="777"/>
      <c r="B12" s="19"/>
      <c r="C12" s="18" t="s">
        <v>1468</v>
      </c>
      <c r="D12" s="24"/>
      <c r="E12" s="20">
        <f>IF(T29Manip!C29="","",T29Manip!C29)</f>
        <v>708412</v>
      </c>
      <c r="F12" s="20" t="str">
        <f>IF(T29Manip!D29="","",T29Manip!D29)</f>
        <v>—</v>
      </c>
      <c r="G12" s="20">
        <f>IF(T29Manip!E29="","",T29Manip!E29)</f>
        <v>564641</v>
      </c>
      <c r="H12" s="20"/>
      <c r="I12" s="20" t="str">
        <f>IF(T29Manip!F29="","",T29Manip!F29)</f>
        <v>—</v>
      </c>
      <c r="J12" s="20" t="str">
        <f>IF(T29Manip!G29="","",T29Manip!G29)</f>
        <v>—</v>
      </c>
      <c r="K12" s="20" t="str">
        <f>IF(T29Manip!H29="","",T29Manip!H29)</f>
        <v>—</v>
      </c>
      <c r="L12" s="20" t="str">
        <f>IF(T29Manip!I29="","",T29Manip!I29)</f>
        <v>—</v>
      </c>
      <c r="M12" s="20"/>
      <c r="N12" s="20" t="str">
        <f>IF(T29Manip!J29="","",T29Manip!J29)</f>
        <v>—</v>
      </c>
      <c r="O12" s="20"/>
      <c r="P12" s="20" t="str">
        <f>IF(T29Manip!K29="","",T29Manip!K29)</f>
        <v>—</v>
      </c>
      <c r="Q12" s="20" t="str">
        <f>IF(T29Manip!L29="","",T29Manip!L29)</f>
        <v>—</v>
      </c>
      <c r="R12" s="19"/>
      <c r="S12" s="778">
        <f t="shared" si="0"/>
        <v>1273053</v>
      </c>
      <c r="T12" s="23"/>
    </row>
    <row r="13" spans="1:20">
      <c r="A13" s="777"/>
      <c r="B13" s="19"/>
      <c r="C13" s="18" t="s">
        <v>1469</v>
      </c>
      <c r="D13" s="24"/>
      <c r="E13" s="20" t="str">
        <f>IF(T29Manip!C30="","",T29Manip!C30)</f>
        <v>—</v>
      </c>
      <c r="F13" s="20" t="str">
        <f>IF(T29Manip!D30="","",T29Manip!D30)</f>
        <v>—</v>
      </c>
      <c r="G13" s="20" t="str">
        <f>IF(T29Manip!E30="","",T29Manip!E30)</f>
        <v>—</v>
      </c>
      <c r="H13" s="20"/>
      <c r="I13" s="20">
        <f>IF(T29Manip!F30="","",T29Manip!F30)</f>
        <v>4467016</v>
      </c>
      <c r="J13" s="20" t="str">
        <f>IF(T29Manip!G30="","",T29Manip!G30)</f>
        <v>—</v>
      </c>
      <c r="K13" s="20" t="str">
        <f>IF(T29Manip!H30="","",T29Manip!H30)</f>
        <v>—</v>
      </c>
      <c r="L13" s="20" t="str">
        <f>IF(T29Manip!I30="","",T29Manip!I30)</f>
        <v>—</v>
      </c>
      <c r="M13" s="20"/>
      <c r="N13" s="20" t="str">
        <f>IF(T29Manip!J30="","",T29Manip!J30)</f>
        <v>—</v>
      </c>
      <c r="O13" s="20"/>
      <c r="P13" s="20" t="str">
        <f>IF(T29Manip!K30="","",T29Manip!K30)</f>
        <v>—</v>
      </c>
      <c r="Q13" s="20" t="str">
        <f>IF(T29Manip!L30="","",T29Manip!L30)</f>
        <v>—</v>
      </c>
      <c r="R13" s="19"/>
      <c r="S13" s="778">
        <f t="shared" si="0"/>
        <v>4467016</v>
      </c>
      <c r="T13" s="23"/>
    </row>
    <row r="14" spans="1:20">
      <c r="A14" s="777"/>
      <c r="B14" s="19"/>
      <c r="C14" s="18" t="s">
        <v>1470</v>
      </c>
      <c r="D14" s="24"/>
      <c r="E14" s="20">
        <f>IF(T29Manip!C31="","",T29Manip!C31)</f>
        <v>278944</v>
      </c>
      <c r="F14" s="20">
        <f>IF(T29Manip!D31="","",T29Manip!D31)</f>
        <v>232455</v>
      </c>
      <c r="G14" s="20">
        <f>IF(T29Manip!E31="","",T29Manip!E31)</f>
        <v>768960</v>
      </c>
      <c r="H14" s="20"/>
      <c r="I14" s="20">
        <f>IF(T29Manip!F31="","",T29Manip!F31)</f>
        <v>559717</v>
      </c>
      <c r="J14" s="20">
        <f>IF(T29Manip!G31="","",T29Manip!G31)</f>
        <v>310133</v>
      </c>
      <c r="K14" s="20" t="str">
        <f>IF(T29Manip!H31="","",T29Manip!H31)</f>
        <v>—</v>
      </c>
      <c r="L14" s="20" t="str">
        <f>IF(T29Manip!I31="","",T29Manip!I31)</f>
        <v>—</v>
      </c>
      <c r="M14" s="20"/>
      <c r="N14" s="20">
        <f>IF(T29Manip!J31="","",T29Manip!J31)</f>
        <v>597754</v>
      </c>
      <c r="O14" s="20"/>
      <c r="P14" s="20">
        <f>IF(T29Manip!K31="","",T29Manip!K31)</f>
        <v>368000</v>
      </c>
      <c r="Q14" s="20">
        <f>IF(T29Manip!L31="","",T29Manip!L31)</f>
        <v>132188</v>
      </c>
      <c r="R14" s="19"/>
      <c r="S14" s="778">
        <f t="shared" si="0"/>
        <v>3248151</v>
      </c>
      <c r="T14" s="23"/>
    </row>
    <row r="15" spans="1:20">
      <c r="A15" s="777">
        <v>2007</v>
      </c>
      <c r="B15" s="19"/>
      <c r="C15" s="18" t="s">
        <v>1467</v>
      </c>
      <c r="D15" s="24"/>
      <c r="E15" s="20" t="str">
        <f>IF(T29Manip!C32="","",T29Manip!C32)</f>
        <v>—</v>
      </c>
      <c r="F15" s="20" t="str">
        <f>IF(T29Manip!D32="","",T29Manip!D32)</f>
        <v>—</v>
      </c>
      <c r="G15" s="20">
        <f>IF(T29Manip!E32="","",T29Manip!E32)</f>
        <v>457161</v>
      </c>
      <c r="H15" s="20"/>
      <c r="I15" s="20" t="str">
        <f>IF(T29Manip!F32="","",T29Manip!F32)</f>
        <v>—</v>
      </c>
      <c r="J15" s="20">
        <f>IF(T29Manip!G32="","",T29Manip!G32)</f>
        <v>280437</v>
      </c>
      <c r="K15" s="20" t="str">
        <f>IF(T29Manip!H32="","",T29Manip!H32)</f>
        <v>—</v>
      </c>
      <c r="L15" s="20" t="str">
        <f>IF(T29Manip!I32="","",T29Manip!I32)</f>
        <v>—</v>
      </c>
      <c r="M15" s="20"/>
      <c r="N15" s="20">
        <f>IF(T29Manip!J32="","",T29Manip!J32)</f>
        <v>103060</v>
      </c>
      <c r="O15" s="20"/>
      <c r="P15" s="20">
        <f>IF(T29Manip!K32="","",T29Manip!K32)</f>
        <v>279811</v>
      </c>
      <c r="Q15" s="20" t="str">
        <f>IF(T29Manip!L32="","",T29Manip!L32)</f>
        <v>—</v>
      </c>
      <c r="R15" s="19"/>
      <c r="S15" s="778">
        <f t="shared" si="0"/>
        <v>1120469</v>
      </c>
      <c r="T15" s="23"/>
    </row>
    <row r="16" spans="1:20">
      <c r="A16" s="777"/>
      <c r="B16" s="19"/>
      <c r="C16" s="18" t="s">
        <v>1468</v>
      </c>
      <c r="D16" s="24"/>
      <c r="E16" s="20">
        <f>IF(T29Manip!C33="","",T29Manip!C33)</f>
        <v>674181</v>
      </c>
      <c r="F16" s="20" t="str">
        <f>IF(T29Manip!D33="","",T29Manip!D33)</f>
        <v>—</v>
      </c>
      <c r="G16" s="20">
        <f>IF(T29Manip!E33="","",T29Manip!E33)</f>
        <v>574020</v>
      </c>
      <c r="H16" s="20"/>
      <c r="I16" s="20" t="str">
        <f>IF(T29Manip!F33="","",T29Manip!F33)</f>
        <v>—</v>
      </c>
      <c r="J16" s="20" t="str">
        <f>IF(T29Manip!G33="","",T29Manip!G33)</f>
        <v>—</v>
      </c>
      <c r="K16" s="20" t="str">
        <f>IF(T29Manip!H33="","",T29Manip!H33)</f>
        <v>—</v>
      </c>
      <c r="L16" s="20" t="str">
        <f>IF(T29Manip!I33="","",T29Manip!I33)</f>
        <v>—</v>
      </c>
      <c r="M16" s="20"/>
      <c r="N16" s="20" t="str">
        <f>IF(T29Manip!J33="","",T29Manip!J33)</f>
        <v>—</v>
      </c>
      <c r="O16" s="20"/>
      <c r="P16" s="20" t="str">
        <f>IF(T29Manip!K33="","",T29Manip!K33)</f>
        <v>—</v>
      </c>
      <c r="Q16" s="20" t="str">
        <f>IF(T29Manip!L33="","",T29Manip!L33)</f>
        <v>—</v>
      </c>
      <c r="R16" s="19"/>
      <c r="S16" s="778">
        <f t="shared" si="0"/>
        <v>1248201</v>
      </c>
      <c r="T16" s="23"/>
    </row>
    <row r="17" spans="1:21">
      <c r="A17" s="777"/>
      <c r="B17" s="19"/>
      <c r="C17" s="18" t="s">
        <v>1469</v>
      </c>
      <c r="D17" s="24"/>
      <c r="E17" s="20" t="str">
        <f>IF(T29Manip!C34="","",T29Manip!C34)</f>
        <v>—</v>
      </c>
      <c r="F17" s="20" t="str">
        <f>IF(T29Manip!D34="","",T29Manip!D34)</f>
        <v>—</v>
      </c>
      <c r="G17" s="20" t="str">
        <f>IF(T29Manip!E34="","",T29Manip!E34)</f>
        <v>—</v>
      </c>
      <c r="H17" s="20"/>
      <c r="I17" s="20">
        <f>IF(T29Manip!F34="","",T29Manip!F34)</f>
        <v>4286153</v>
      </c>
      <c r="J17" s="20" t="str">
        <f>IF(T29Manip!G34="","",T29Manip!G34)</f>
        <v>—</v>
      </c>
      <c r="K17" s="20" t="str">
        <f>IF(T29Manip!H34="","",T29Manip!H34)</f>
        <v>—</v>
      </c>
      <c r="L17" s="20" t="str">
        <f>IF(T29Manip!I34="","",T29Manip!I34)</f>
        <v>—</v>
      </c>
      <c r="M17" s="20"/>
      <c r="N17" s="20" t="str">
        <f>IF(T29Manip!J34="","",T29Manip!J34)</f>
        <v>—</v>
      </c>
      <c r="O17" s="20"/>
      <c r="P17" s="20" t="str">
        <f>IF(T29Manip!K34="","",T29Manip!K34)</f>
        <v>—</v>
      </c>
      <c r="Q17" s="20" t="str">
        <f>IF(T29Manip!L34="","",T29Manip!L34)</f>
        <v>—</v>
      </c>
      <c r="R17" s="19"/>
      <c r="S17" s="778">
        <f t="shared" si="0"/>
        <v>4286153</v>
      </c>
      <c r="T17" s="23"/>
    </row>
    <row r="18" spans="1:21">
      <c r="A18" s="777"/>
      <c r="B18" s="19"/>
      <c r="C18" s="18" t="s">
        <v>1470</v>
      </c>
      <c r="D18" s="24"/>
      <c r="E18" s="20">
        <f>IF(T29Manip!C35="","",T29Manip!C35)</f>
        <v>370796</v>
      </c>
      <c r="F18" s="20">
        <f>IF(T29Manip!D35="","",T29Manip!D35)</f>
        <v>609400</v>
      </c>
      <c r="G18" s="20">
        <f>IF(T29Manip!E35="","",T29Manip!E35)</f>
        <v>1014141</v>
      </c>
      <c r="H18" s="20"/>
      <c r="I18" s="20">
        <f>IF(T29Manip!F35="","",T29Manip!F35)</f>
        <v>540169</v>
      </c>
      <c r="J18" s="20">
        <f>IF(T29Manip!G35="","",T29Manip!G35)</f>
        <v>300036</v>
      </c>
      <c r="K18" s="20" t="str">
        <f>IF(T29Manip!H35="","",T29Manip!H35)</f>
        <v>—</v>
      </c>
      <c r="L18" s="20" t="str">
        <f>IF(T29Manip!I35="","",T29Manip!I35)</f>
        <v>—</v>
      </c>
      <c r="M18" s="20"/>
      <c r="N18" s="20">
        <f>IF(T29Manip!J35="","",T29Manip!J35)</f>
        <v>477830</v>
      </c>
      <c r="O18" s="20"/>
      <c r="P18" s="20">
        <f>IF(T29Manip!K35="","",T29Manip!K35)</f>
        <v>706150</v>
      </c>
      <c r="Q18" s="20">
        <f>IF(T29Manip!L35="","",T29Manip!L35)</f>
        <v>158000</v>
      </c>
      <c r="R18" s="19"/>
      <c r="S18" s="778">
        <f t="shared" si="0"/>
        <v>4176522</v>
      </c>
      <c r="T18" s="23"/>
    </row>
    <row r="19" spans="1:21">
      <c r="A19" s="777">
        <v>2008</v>
      </c>
      <c r="B19" s="19"/>
      <c r="C19" s="18" t="s">
        <v>1467</v>
      </c>
      <c r="D19" s="24"/>
      <c r="E19" s="20" t="str">
        <f>IF(T29Manip!C36="","",T29Manip!C36)</f>
        <v>—</v>
      </c>
      <c r="F19" s="20" t="str">
        <f>IF(T29Manip!D36="","",T29Manip!D36)</f>
        <v>—</v>
      </c>
      <c r="G19" s="20">
        <f>IF(T29Manip!E36="","",T29Manip!E36)</f>
        <v>804665</v>
      </c>
      <c r="H19" s="20"/>
      <c r="I19" s="20" t="str">
        <f>IF(T29Manip!F36="","",T29Manip!F36)</f>
        <v>—</v>
      </c>
      <c r="J19" s="20">
        <f>IF(T29Manip!G36="","",T29Manip!G36)</f>
        <v>265832</v>
      </c>
      <c r="K19" s="20" t="str">
        <f>IF(T29Manip!H36="","",T29Manip!H36)</f>
        <v>—</v>
      </c>
      <c r="L19" s="20" t="str">
        <f>IF(T29Manip!I36="","",T29Manip!I36)</f>
        <v>—</v>
      </c>
      <c r="M19" s="20"/>
      <c r="N19" s="20">
        <f>IF(T29Manip!J36="","",T29Manip!J36)</f>
        <v>101700</v>
      </c>
      <c r="O19" s="20"/>
      <c r="P19" s="20">
        <f>IF(T29Manip!K36="","",T29Manip!K36)</f>
        <v>363000</v>
      </c>
      <c r="Q19" s="20" t="str">
        <f>IF(T29Manip!L36="","",T29Manip!L36)</f>
        <v>—</v>
      </c>
      <c r="R19" s="19"/>
      <c r="S19" s="778">
        <f t="shared" si="0"/>
        <v>1535197</v>
      </c>
      <c r="T19" s="23"/>
    </row>
    <row r="20" spans="1:21">
      <c r="A20" s="777"/>
      <c r="B20" s="19"/>
      <c r="C20" s="18" t="s">
        <v>1468</v>
      </c>
      <c r="D20" s="24"/>
      <c r="E20" s="20">
        <f>IF(T29Manip!C37="","",T29Manip!C37)</f>
        <v>714118</v>
      </c>
      <c r="F20" s="20" t="str">
        <f>IF(T29Manip!D37="","",T29Manip!D37)</f>
        <v>—</v>
      </c>
      <c r="G20" s="20">
        <f>IF(T29Manip!E37="","",T29Manip!E37)</f>
        <v>702659</v>
      </c>
      <c r="H20" s="20"/>
      <c r="I20" s="20" t="str">
        <f>IF(T29Manip!F37="","",T29Manip!F37)</f>
        <v>—</v>
      </c>
      <c r="J20" s="20" t="str">
        <f>IF(T29Manip!G37="","",T29Manip!G37)</f>
        <v>—</v>
      </c>
      <c r="K20" s="20" t="str">
        <f>IF(T29Manip!H37="","",T29Manip!H37)</f>
        <v>—</v>
      </c>
      <c r="L20" s="20" t="str">
        <f>IF(T29Manip!I37="","",T29Manip!I37)</f>
        <v>—</v>
      </c>
      <c r="M20" s="20"/>
      <c r="N20" s="20" t="str">
        <f>IF(T29Manip!J37="","",T29Manip!J37)</f>
        <v>—</v>
      </c>
      <c r="O20" s="20"/>
      <c r="P20" s="20" t="str">
        <f>IF(T29Manip!K37="","",T29Manip!K37)</f>
        <v>—</v>
      </c>
      <c r="Q20" s="20" t="str">
        <f>IF(T29Manip!L37="","",T29Manip!L37)</f>
        <v>—</v>
      </c>
      <c r="R20" s="19"/>
      <c r="S20" s="778">
        <f t="shared" si="0"/>
        <v>1416777</v>
      </c>
      <c r="T20" s="23"/>
    </row>
    <row r="21" spans="1:21">
      <c r="A21" s="777"/>
      <c r="B21" s="19"/>
      <c r="C21" s="18" t="s">
        <v>1469</v>
      </c>
      <c r="D21" s="24"/>
      <c r="E21" s="20" t="str">
        <f>IF(T29Manip!C38="","",T29Manip!C38)</f>
        <v>—</v>
      </c>
      <c r="F21" s="20" t="str">
        <f>IF(T29Manip!D38="","",T29Manip!D38)</f>
        <v>—</v>
      </c>
      <c r="G21" s="20" t="str">
        <f>IF(T29Manip!E38="","",T29Manip!E38)</f>
        <v>—</v>
      </c>
      <c r="H21" s="20"/>
      <c r="I21" s="20">
        <f>IF(T29Manip!F38="","",T29Manip!F38)</f>
        <v>5666218</v>
      </c>
      <c r="J21" s="20" t="str">
        <f>IF(T29Manip!G38="","",T29Manip!G38)</f>
        <v>—</v>
      </c>
      <c r="K21" s="20" t="str">
        <f>IF(T29Manip!H38="","",T29Manip!H38)</f>
        <v>—</v>
      </c>
      <c r="L21" s="20" t="str">
        <f>IF(T29Manip!I38="","",T29Manip!I38)</f>
        <v>—</v>
      </c>
      <c r="M21" s="20"/>
      <c r="N21" s="20" t="str">
        <f>IF(T29Manip!J38="","",T29Manip!J38)</f>
        <v>—</v>
      </c>
      <c r="O21" s="20"/>
      <c r="P21" s="20">
        <f>IF(T29Manip!K38="","",T29Manip!K38)</f>
        <v>700000</v>
      </c>
      <c r="Q21" s="20" t="str">
        <f>IF(T29Manip!L38="","",T29Manip!L38)</f>
        <v>—</v>
      </c>
      <c r="R21" s="19"/>
      <c r="S21" s="778">
        <f t="shared" si="0"/>
        <v>6366218</v>
      </c>
      <c r="T21" s="23"/>
    </row>
    <row r="22" spans="1:21">
      <c r="A22" s="777"/>
      <c r="B22" s="19"/>
      <c r="C22" s="18" t="s">
        <v>1470</v>
      </c>
      <c r="D22" s="24"/>
      <c r="E22" s="20">
        <f>IF(T29Manip!C39="","",T29Manip!C39)</f>
        <v>347494</v>
      </c>
      <c r="F22" s="20">
        <f>IF(T29Manip!D39="","",T29Manip!D39)</f>
        <v>561968</v>
      </c>
      <c r="G22" s="20">
        <f>IF(T29Manip!E39="","",T29Manip!E39)</f>
        <v>783092</v>
      </c>
      <c r="H22" s="20"/>
      <c r="I22" s="20">
        <f>IF(T29Manip!F39="","",T29Manip!F39)</f>
        <v>516206</v>
      </c>
      <c r="J22" s="20">
        <f>IF(T29Manip!G39="","",T29Manip!G39)</f>
        <v>417506</v>
      </c>
      <c r="K22" s="20" t="str">
        <f>IF(T29Manip!H39="","",T29Manip!H39)</f>
        <v>—</v>
      </c>
      <c r="L22" s="20" t="str">
        <f>IF(T29Manip!I39="","",T29Manip!I39)</f>
        <v>—</v>
      </c>
      <c r="M22" s="20"/>
      <c r="N22" s="20">
        <f>IF(T29Manip!J39="","",T29Manip!J39)</f>
        <v>483412</v>
      </c>
      <c r="O22" s="20"/>
      <c r="P22" s="20">
        <f>IF(T29Manip!K39="","",T29Manip!K39)</f>
        <v>747000</v>
      </c>
      <c r="Q22" s="20">
        <f>IF(T29Manip!L39="","",T29Manip!L39)</f>
        <v>153000</v>
      </c>
      <c r="R22" s="19"/>
      <c r="S22" s="778">
        <f t="shared" si="0"/>
        <v>4009678</v>
      </c>
      <c r="T22" s="23"/>
    </row>
    <row r="23" spans="1:21">
      <c r="A23" s="777">
        <v>2009</v>
      </c>
      <c r="B23" s="19"/>
      <c r="C23" s="18" t="s">
        <v>1467</v>
      </c>
      <c r="D23" s="24"/>
      <c r="E23" s="20" t="str">
        <f>IF(T29Manip!C40="","",T29Manip!C40)</f>
        <v>—</v>
      </c>
      <c r="F23" s="20" t="str">
        <f>IF(T29Manip!D40="","",T29Manip!D40)</f>
        <v>—</v>
      </c>
      <c r="G23" s="20">
        <f>IF(T29Manip!E40="","",T29Manip!E40)</f>
        <v>702609</v>
      </c>
      <c r="H23" s="20"/>
      <c r="I23" s="20" t="str">
        <f>IF(T29Manip!F40="","",T29Manip!F40)</f>
        <v>—</v>
      </c>
      <c r="J23" s="20">
        <f>IF(T29Manip!G40="","",T29Manip!G40)</f>
        <v>253503</v>
      </c>
      <c r="K23" s="20" t="str">
        <f>IF(T29Manip!H40="","",T29Manip!H40)</f>
        <v>—</v>
      </c>
      <c r="L23" s="20" t="str">
        <f>IF(T29Manip!I40="","",T29Manip!I40)</f>
        <v>—</v>
      </c>
      <c r="M23" s="20"/>
      <c r="N23" s="20">
        <f>IF(T29Manip!J40="","",T29Manip!J40)</f>
        <v>100557</v>
      </c>
      <c r="O23" s="20"/>
      <c r="P23" s="20">
        <f>IF(T29Manip!K40="","",T29Manip!K40)</f>
        <v>234000</v>
      </c>
      <c r="Q23" s="20" t="str">
        <f>IF(T29Manip!L40="","",T29Manip!L40)</f>
        <v>—</v>
      </c>
      <c r="R23" s="19"/>
      <c r="S23" s="778">
        <f t="shared" si="0"/>
        <v>1290669</v>
      </c>
      <c r="T23" s="23"/>
    </row>
    <row r="24" spans="1:21">
      <c r="A24" s="777"/>
      <c r="B24" s="19"/>
      <c r="C24" s="18" t="s">
        <v>1468</v>
      </c>
      <c r="D24" s="32"/>
      <c r="E24" s="20">
        <f>IF(T29Manip!C41="","",T29Manip!C41)</f>
        <v>685056</v>
      </c>
      <c r="F24" s="20" t="str">
        <f>IF(T29Manip!D41="","",T29Manip!D41)</f>
        <v>—</v>
      </c>
      <c r="G24" s="20">
        <f>IF(T29Manip!E41="","",T29Manip!E41)</f>
        <v>229105</v>
      </c>
      <c r="H24" s="20"/>
      <c r="I24" s="20" t="str">
        <f>IF(T29Manip!F41="","",T29Manip!F41)</f>
        <v>—</v>
      </c>
      <c r="J24" s="20" t="str">
        <f>IF(T29Manip!G41="","",T29Manip!G41)</f>
        <v>—</v>
      </c>
      <c r="K24" s="20" t="str">
        <f>IF(T29Manip!H41="","",T29Manip!H41)</f>
        <v>—</v>
      </c>
      <c r="L24" s="20" t="str">
        <f>IF(T29Manip!I41="","",T29Manip!I41)</f>
        <v>—</v>
      </c>
      <c r="M24" s="20"/>
      <c r="N24" s="20" t="str">
        <f>IF(T29Manip!J41="","",T29Manip!J41)</f>
        <v>—</v>
      </c>
      <c r="O24" s="20"/>
      <c r="P24" s="20" t="str">
        <f>IF(T29Manip!K41="","",T29Manip!K41)</f>
        <v>—</v>
      </c>
      <c r="Q24" s="20" t="str">
        <f>IF(T29Manip!L41="","",T29Manip!L41)</f>
        <v>—</v>
      </c>
      <c r="R24" s="19"/>
      <c r="S24" s="778">
        <f t="shared" si="0"/>
        <v>914161</v>
      </c>
      <c r="T24" s="23"/>
    </row>
    <row r="25" spans="1:21">
      <c r="A25" s="777"/>
      <c r="B25" s="19"/>
      <c r="C25" s="18" t="s">
        <v>1469</v>
      </c>
      <c r="D25" s="24"/>
      <c r="E25" s="20" t="str">
        <f>IF(T29Manip!C42="","",T29Manip!C42)</f>
        <v>—</v>
      </c>
      <c r="F25" s="20">
        <f>IF(T29Manip!D42="","",T29Manip!D42)</f>
        <v>2093575</v>
      </c>
      <c r="G25" s="20" t="str">
        <f>IF(T29Manip!E42="","",T29Manip!E42)</f>
        <v>—</v>
      </c>
      <c r="H25" s="20"/>
      <c r="I25" s="20">
        <f>IF(T29Manip!F42="","",T29Manip!F42)</f>
        <v>3948579</v>
      </c>
      <c r="J25" s="20" t="str">
        <f>IF(T29Manip!G42="","",T29Manip!G42)</f>
        <v>—</v>
      </c>
      <c r="K25" s="20" t="str">
        <f>IF(T29Manip!H42="","",T29Manip!H42)</f>
        <v>—</v>
      </c>
      <c r="L25" s="20" t="str">
        <f>IF(T29Manip!I42="","",T29Manip!I42)</f>
        <v>—</v>
      </c>
      <c r="M25" s="20"/>
      <c r="N25" s="20" t="str">
        <f>IF(T29Manip!J42="","",T29Manip!J42)</f>
        <v>—</v>
      </c>
      <c r="O25" s="20"/>
      <c r="P25" s="20">
        <f>IF(T29Manip!K42="","",T29Manip!K42)</f>
        <v>700000</v>
      </c>
      <c r="Q25" s="20" t="str">
        <f>IF(T29Manip!L42="","",T29Manip!L42)</f>
        <v>—</v>
      </c>
      <c r="R25" s="19"/>
      <c r="S25" s="778">
        <f t="shared" si="0"/>
        <v>6742154</v>
      </c>
      <c r="T25" s="23"/>
    </row>
    <row r="26" spans="1:21">
      <c r="A26" s="773"/>
      <c r="B26" s="13"/>
      <c r="C26" s="18" t="s">
        <v>1470</v>
      </c>
      <c r="D26" s="24"/>
      <c r="E26" s="20">
        <f>IF(T29Manip!C43="","",T29Manip!C43)</f>
        <v>368980</v>
      </c>
      <c r="F26" s="20">
        <f>IF(T29Manip!D43="","",T29Manip!D43)</f>
        <v>392314</v>
      </c>
      <c r="G26" s="20">
        <f>IF(T29Manip!E43="","",T29Manip!E43)</f>
        <v>796443</v>
      </c>
      <c r="H26" s="20"/>
      <c r="I26" s="20">
        <f>IF(T29Manip!F43="","",T29Manip!F43)</f>
        <v>538402</v>
      </c>
      <c r="J26" s="20">
        <f>IF(T29Manip!G43="","",T29Manip!G43)</f>
        <v>388505</v>
      </c>
      <c r="K26" s="20" t="str">
        <f>IF(T29Manip!H43="","",T29Manip!H43)</f>
        <v>—</v>
      </c>
      <c r="L26" s="20" t="str">
        <f>IF(T29Manip!I43="","",T29Manip!I43)</f>
        <v>—</v>
      </c>
      <c r="M26" s="20"/>
      <c r="N26" s="20">
        <f>IF(T29Manip!J43="","",T29Manip!J43)</f>
        <v>479365</v>
      </c>
      <c r="O26" s="20"/>
      <c r="P26" s="20">
        <f>IF(T29Manip!K43="","",T29Manip!K43)</f>
        <v>692000</v>
      </c>
      <c r="Q26" s="20">
        <f>IF(T29Manip!L43="","",T29Manip!L43)</f>
        <v>155000</v>
      </c>
      <c r="R26" s="19"/>
      <c r="S26" s="778">
        <f t="shared" si="0"/>
        <v>3811009</v>
      </c>
      <c r="T26" s="23"/>
    </row>
    <row r="27" spans="1:21">
      <c r="A27" s="777">
        <v>2010</v>
      </c>
      <c r="B27" s="19"/>
      <c r="C27" s="18" t="s">
        <v>1467</v>
      </c>
      <c r="D27" s="32"/>
      <c r="E27" s="20" t="str">
        <f>IF(T29Manip!C44="","",T29Manip!C44)</f>
        <v>—</v>
      </c>
      <c r="F27" s="20" t="str">
        <f>IF(T29Manip!D44="","",T29Manip!D44)</f>
        <v>—</v>
      </c>
      <c r="G27" s="20">
        <f>IF(T29Manip!E44="","",T29Manip!E44)</f>
        <v>612330</v>
      </c>
      <c r="H27" s="20"/>
      <c r="I27" s="20" t="str">
        <f>IF(T29Manip!F44="","",T29Manip!F44)</f>
        <v>—</v>
      </c>
      <c r="J27" s="20">
        <f>IF(T29Manip!G44="","",T29Manip!G44)</f>
        <v>258923</v>
      </c>
      <c r="K27" s="20" t="str">
        <f>IF(T29Manip!H44="","",T29Manip!H44)</f>
        <v>—</v>
      </c>
      <c r="L27" s="20" t="str">
        <f>IF(T29Manip!I44="","",T29Manip!I44)</f>
        <v>—</v>
      </c>
      <c r="M27" s="20"/>
      <c r="N27" s="20">
        <f>IF(T29Manip!J44="","",T29Manip!J44)</f>
        <v>253002</v>
      </c>
      <c r="O27" s="20"/>
      <c r="P27" s="20">
        <f>IF(T29Manip!K44="","",T29Manip!K44)</f>
        <v>405000</v>
      </c>
      <c r="Q27" s="20" t="str">
        <f>IF(T29Manip!L44="","",T29Manip!L44)</f>
        <v>—</v>
      </c>
      <c r="R27" s="19"/>
      <c r="S27" s="778">
        <f t="shared" si="0"/>
        <v>1529255</v>
      </c>
      <c r="T27" s="23"/>
    </row>
    <row r="28" spans="1:21">
      <c r="A28" s="777"/>
      <c r="B28" s="19"/>
      <c r="C28" s="18" t="s">
        <v>1468</v>
      </c>
      <c r="D28" s="24"/>
      <c r="E28" s="20">
        <f>IF(T29Manip!C45="","",T29Manip!C45)</f>
        <v>672829</v>
      </c>
      <c r="F28" s="20" t="str">
        <f>IF(T29Manip!D45="","",T29Manip!D45)</f>
        <v>—</v>
      </c>
      <c r="G28" s="20">
        <f>IF(T29Manip!E45="","",T29Manip!E45)</f>
        <v>684030</v>
      </c>
      <c r="H28" s="20"/>
      <c r="I28" s="20" t="str">
        <f>IF(T29Manip!F45="","",T29Manip!F45)</f>
        <v>—</v>
      </c>
      <c r="J28" s="20" t="str">
        <f>IF(T29Manip!G45="","",T29Manip!G45)</f>
        <v>—</v>
      </c>
      <c r="K28" s="20" t="str">
        <f>IF(T29Manip!H45="","",T29Manip!H45)</f>
        <v>—</v>
      </c>
      <c r="L28" s="20" t="str">
        <f>IF(T29Manip!I45="","",T29Manip!I45)</f>
        <v>—</v>
      </c>
      <c r="M28" s="20"/>
      <c r="N28" s="20" t="str">
        <f>IF(T29Manip!J45="","",T29Manip!J45)</f>
        <v>—</v>
      </c>
      <c r="O28" s="20"/>
      <c r="P28" s="20" t="str">
        <f>IF(T29Manip!K45="","",T29Manip!K45)</f>
        <v>—</v>
      </c>
      <c r="Q28" s="20" t="str">
        <f>IF(T29Manip!L45="","",T29Manip!L45)</f>
        <v>—</v>
      </c>
      <c r="R28" s="19"/>
      <c r="S28" s="778">
        <f t="shared" si="0"/>
        <v>1356859</v>
      </c>
      <c r="T28" s="23"/>
    </row>
    <row r="29" spans="1:21">
      <c r="A29" s="777"/>
      <c r="B29" s="19"/>
      <c r="C29" s="18" t="s">
        <v>1469</v>
      </c>
      <c r="D29" s="24"/>
      <c r="E29" s="20" t="str">
        <f>IF(T29Manip!C46="","",T29Manip!C46)</f>
        <v>—</v>
      </c>
      <c r="F29" s="20">
        <f>IF(T29Manip!D46="","",T29Manip!D46)</f>
        <v>1932616</v>
      </c>
      <c r="G29" s="20" t="str">
        <f>IF(T29Manip!E46="","",T29Manip!E46)</f>
        <v>—</v>
      </c>
      <c r="H29" s="20"/>
      <c r="I29" s="20">
        <f>IF(T29Manip!F46="","",T29Manip!F46)</f>
        <v>3255120</v>
      </c>
      <c r="J29" s="20" t="str">
        <f>IF(T29Manip!G46="","",T29Manip!G46)</f>
        <v>—</v>
      </c>
      <c r="K29" s="20" t="str">
        <f>IF(T29Manip!H46="","",T29Manip!H46)</f>
        <v>—</v>
      </c>
      <c r="L29" s="20" t="str">
        <f>IF(T29Manip!I46="","",T29Manip!I46)</f>
        <v>—</v>
      </c>
      <c r="M29" s="20"/>
      <c r="N29" s="20" t="str">
        <f>IF(T29Manip!J46="","",T29Manip!J46)</f>
        <v>—</v>
      </c>
      <c r="O29" s="20"/>
      <c r="P29" s="20">
        <f>IF(T29Manip!K46="","",T29Manip!K46)</f>
        <v>862000</v>
      </c>
      <c r="Q29" s="20" t="str">
        <f>IF(T29Manip!L46="","",T29Manip!L46)</f>
        <v>—</v>
      </c>
      <c r="R29" s="19"/>
      <c r="S29" s="778">
        <f t="shared" si="0"/>
        <v>6049736</v>
      </c>
      <c r="T29" s="23"/>
    </row>
    <row r="30" spans="1:21">
      <c r="A30" s="773"/>
      <c r="B30" s="13"/>
      <c r="C30" s="18" t="s">
        <v>1470</v>
      </c>
      <c r="D30" s="24"/>
      <c r="E30" s="20">
        <f>IF(T29Manip!C47="","",T29Manip!C47)</f>
        <v>390610</v>
      </c>
      <c r="F30" s="20">
        <f>IF(T29Manip!D47="","",T29Manip!D47)</f>
        <v>489060</v>
      </c>
      <c r="G30" s="20">
        <f>IF(T29Manip!E47="","",T29Manip!E47)</f>
        <v>757474</v>
      </c>
      <c r="H30" s="20"/>
      <c r="I30" s="20">
        <f>IF(T29Manip!F47="","",T29Manip!F47)</f>
        <v>532082</v>
      </c>
      <c r="J30" s="20">
        <f>IF(T29Manip!G47="","",T29Manip!G47)</f>
        <v>372265</v>
      </c>
      <c r="K30" s="20" t="str">
        <f>IF(T29Manip!H47="","",T29Manip!H47)</f>
        <v>—</v>
      </c>
      <c r="L30" s="20" t="str">
        <f>IF(T29Manip!I47="","",T29Manip!I47)</f>
        <v>—</v>
      </c>
      <c r="M30" s="20"/>
      <c r="N30" s="20">
        <f>IF(T29Manip!J47="","",T29Manip!J47)</f>
        <v>491330</v>
      </c>
      <c r="O30" s="20"/>
      <c r="P30" s="20">
        <f>IF(T29Manip!K47="","",T29Manip!K47)</f>
        <v>800000</v>
      </c>
      <c r="Q30" s="20">
        <f>IF(T29Manip!L47="","",T29Manip!L47)</f>
        <v>163000</v>
      </c>
      <c r="R30" s="19"/>
      <c r="S30" s="778">
        <f t="shared" si="0"/>
        <v>3995821</v>
      </c>
      <c r="T30" s="23"/>
    </row>
    <row r="31" spans="1:21">
      <c r="A31" s="777">
        <v>2011</v>
      </c>
      <c r="B31" s="19"/>
      <c r="C31" s="18" t="s">
        <v>1467</v>
      </c>
      <c r="D31" s="32"/>
      <c r="E31" s="20" t="str">
        <f>IF(T29Manip!C48="","",T29Manip!C48)</f>
        <v>—</v>
      </c>
      <c r="F31" s="20" t="str">
        <f>IF(T29Manip!D48="","",T29Manip!D48)</f>
        <v>—</v>
      </c>
      <c r="G31" s="20">
        <f>IF(T29Manip!E48="","",T29Manip!E48)</f>
        <v>601862</v>
      </c>
      <c r="H31" s="20"/>
      <c r="I31" s="20" t="str">
        <f>IF(T29Manip!F48="","",T29Manip!F48)</f>
        <v>—</v>
      </c>
      <c r="J31" s="20">
        <f>IF(T29Manip!G48="","",T29Manip!G48)</f>
        <v>326490</v>
      </c>
      <c r="K31" s="20" t="str">
        <f>IF(T29Manip!H48="","",T29Manip!H48)</f>
        <v>—</v>
      </c>
      <c r="L31" s="20">
        <f>IF(T29Manip!I48="","",T29Manip!I48)</f>
        <v>99190</v>
      </c>
      <c r="M31" s="20"/>
      <c r="N31" s="20">
        <f>IF(T29Manip!J48="","",T29Manip!J48)</f>
        <v>481617</v>
      </c>
      <c r="O31" s="20"/>
      <c r="P31" s="20">
        <f>IF(T29Manip!K48="","",T29Manip!K48)</f>
        <v>320000</v>
      </c>
      <c r="Q31" s="20" t="str">
        <f>IF(T29Manip!L48="","",T29Manip!L48)</f>
        <v>—</v>
      </c>
      <c r="R31" s="19"/>
      <c r="S31" s="778">
        <f t="shared" si="0"/>
        <v>1829159</v>
      </c>
      <c r="T31" s="23"/>
      <c r="U31" s="813"/>
    </row>
    <row r="32" spans="1:21">
      <c r="A32" s="777"/>
      <c r="B32" s="19"/>
      <c r="C32" s="18" t="s">
        <v>1468</v>
      </c>
      <c r="D32" s="32"/>
      <c r="E32" s="20">
        <f>IF(T29Manip!C49="","",T29Manip!C49)</f>
        <v>704594</v>
      </c>
      <c r="F32" s="20" t="str">
        <f>IF(T29Manip!D49="","",T29Manip!D49)</f>
        <v>—</v>
      </c>
      <c r="G32" s="20">
        <f>IF(T29Manip!E49="","",T29Manip!E49)</f>
        <v>653452</v>
      </c>
      <c r="H32" s="20"/>
      <c r="I32" s="20" t="str">
        <f>IF(T29Manip!F49="","",T29Manip!F49)</f>
        <v>—</v>
      </c>
      <c r="J32" s="20" t="str">
        <f>IF(T29Manip!G49="","",T29Manip!G49)</f>
        <v>—</v>
      </c>
      <c r="K32" s="20" t="str">
        <f>IF(T29Manip!H49="","",T29Manip!H49)</f>
        <v>—</v>
      </c>
      <c r="L32" s="20" t="str">
        <f>IF(T29Manip!I49="","",T29Manip!I49)</f>
        <v>—</v>
      </c>
      <c r="M32" s="20"/>
      <c r="N32" s="20" t="str">
        <f>IF(T29Manip!J49="","",T29Manip!J49)</f>
        <v>—</v>
      </c>
      <c r="O32" s="20"/>
      <c r="P32" s="20" t="str">
        <f>IF(T29Manip!K49="","",T29Manip!K49)</f>
        <v>—</v>
      </c>
      <c r="Q32" s="20" t="str">
        <f>IF(T29Manip!L49="","",T29Manip!L49)</f>
        <v>—</v>
      </c>
      <c r="R32" s="19"/>
      <c r="S32" s="778">
        <f t="shared" si="0"/>
        <v>1358046</v>
      </c>
      <c r="T32" s="23"/>
    </row>
    <row r="33" spans="1:21">
      <c r="A33" s="777"/>
      <c r="B33" s="19"/>
      <c r="C33" s="18" t="s">
        <v>1469</v>
      </c>
      <c r="D33" s="33"/>
      <c r="E33" s="20" t="str">
        <f>IF(T29Manip!C50="","",T29Manip!C50)</f>
        <v>—</v>
      </c>
      <c r="F33" s="20">
        <f>IF(T29Manip!D50="","",T29Manip!D50)</f>
        <v>1954732</v>
      </c>
      <c r="G33" s="20" t="str">
        <f>IF(T29Manip!E50="","",T29Manip!E50)</f>
        <v>—</v>
      </c>
      <c r="H33" s="20"/>
      <c r="I33" s="20">
        <f>IF(T29Manip!F50="","",T29Manip!F50)</f>
        <v>3614747</v>
      </c>
      <c r="J33" s="20" t="str">
        <f>IF(T29Manip!G50="","",T29Manip!G50)</f>
        <v>—</v>
      </c>
      <c r="K33" s="20" t="str">
        <f>IF(T29Manip!H50="","",T29Manip!H50)</f>
        <v>—</v>
      </c>
      <c r="L33" s="20" t="str">
        <f>IF(T29Manip!I50="","",T29Manip!I50)</f>
        <v>—</v>
      </c>
      <c r="M33" s="20"/>
      <c r="N33" s="20" t="str">
        <f>IF(T29Manip!J50="","",T29Manip!J50)</f>
        <v>—</v>
      </c>
      <c r="O33" s="20"/>
      <c r="P33" s="20">
        <f>IF(T29Manip!K50="","",T29Manip!K50)</f>
        <v>893000</v>
      </c>
      <c r="Q33" s="20" t="str">
        <f>IF(T29Manip!L50="","",T29Manip!L50)</f>
        <v>—</v>
      </c>
      <c r="R33" s="19"/>
      <c r="S33" s="778">
        <f t="shared" si="0"/>
        <v>6462479</v>
      </c>
      <c r="T33" s="23"/>
    </row>
    <row r="34" spans="1:21">
      <c r="A34" s="773"/>
      <c r="B34" s="13"/>
      <c r="C34" s="18" t="s">
        <v>1470</v>
      </c>
      <c r="D34" s="24"/>
      <c r="E34" s="20">
        <f>IF(T29Manip!C51="","",T29Manip!C51)</f>
        <v>386668</v>
      </c>
      <c r="F34" s="20">
        <f>IF(T29Manip!D51="","",T29Manip!D51)</f>
        <v>607824</v>
      </c>
      <c r="G34" s="20">
        <f>IF(T29Manip!E51="","",T29Manip!E51)</f>
        <v>769971</v>
      </c>
      <c r="H34" s="20"/>
      <c r="I34" s="20">
        <f>IF(T29Manip!F51="","",T29Manip!F51)</f>
        <v>571616</v>
      </c>
      <c r="J34" s="20">
        <f>IF(T29Manip!G51="","",T29Manip!G51)</f>
        <v>586277</v>
      </c>
      <c r="K34" s="20" t="str">
        <f>IF(T29Manip!H51="","",T29Manip!H51)</f>
        <v>—</v>
      </c>
      <c r="L34" s="20" t="str">
        <f>IF(T29Manip!I51="","",T29Manip!I51)</f>
        <v>—</v>
      </c>
      <c r="M34" s="20"/>
      <c r="N34" s="20">
        <f>IF(T29Manip!J51="","",T29Manip!J51)</f>
        <v>849381</v>
      </c>
      <c r="O34" s="20"/>
      <c r="P34" s="20">
        <f>IF(T29Manip!K51="","",T29Manip!K51)</f>
        <v>600000</v>
      </c>
      <c r="Q34" s="20">
        <f>IF(T29Manip!L51="","",T29Manip!L51)</f>
        <v>165000</v>
      </c>
      <c r="R34" s="19"/>
      <c r="S34" s="778">
        <f t="shared" si="0"/>
        <v>4536737</v>
      </c>
      <c r="T34" s="23"/>
    </row>
    <row r="35" spans="1:21">
      <c r="A35" s="777">
        <v>2012</v>
      </c>
      <c r="B35" s="19"/>
      <c r="C35" s="18" t="s">
        <v>1467</v>
      </c>
      <c r="D35" s="32"/>
      <c r="E35" s="20" t="str">
        <f>IF(T29Manip!C52="","",T29Manip!C52)</f>
        <v>—</v>
      </c>
      <c r="F35" s="20" t="str">
        <f>IF(T29Manip!D52="","",T29Manip!D52)</f>
        <v>—</v>
      </c>
      <c r="G35" s="20">
        <f>IF(T29Manip!E52="","",T29Manip!E52)</f>
        <v>630450</v>
      </c>
      <c r="H35" s="20"/>
      <c r="I35" s="20" t="str">
        <f>IF(T29Manip!F52="","",T29Manip!F52)</f>
        <v>—</v>
      </c>
      <c r="J35" s="20">
        <f>IF(T29Manip!G52="","",T29Manip!G52)</f>
        <v>370858</v>
      </c>
      <c r="K35" s="20" t="str">
        <f>IF(T29Manip!H52="","",T29Manip!H52)</f>
        <v>—</v>
      </c>
      <c r="L35" s="20">
        <f>IF(T29Manip!I52="","",T29Manip!I52)</f>
        <v>150834</v>
      </c>
      <c r="M35" s="20"/>
      <c r="N35" s="20">
        <f>IF(T29Manip!J52="","",T29Manip!J52)</f>
        <v>493595</v>
      </c>
      <c r="O35" s="20"/>
      <c r="P35" s="20" t="str">
        <f>IF(T29Manip!K52="","",T29Manip!K52)</f>
        <v>—</v>
      </c>
      <c r="Q35" s="20" t="str">
        <f>IF(T29Manip!L52="","",T29Manip!L52)</f>
        <v>—</v>
      </c>
      <c r="R35" s="19"/>
      <c r="S35" s="778">
        <f t="shared" si="0"/>
        <v>1645737</v>
      </c>
      <c r="T35" s="23"/>
      <c r="U35" s="813"/>
    </row>
    <row r="36" spans="1:21">
      <c r="A36" s="777"/>
      <c r="B36" s="19"/>
      <c r="C36" s="18" t="s">
        <v>1468</v>
      </c>
      <c r="D36" s="32"/>
      <c r="E36" s="20">
        <f>IF(T29Manip!C53="","",T29Manip!C53)</f>
        <v>680806</v>
      </c>
      <c r="F36" s="20">
        <f>IF(T29Manip!D53="","",T29Manip!D53)</f>
        <v>481663</v>
      </c>
      <c r="G36" s="20">
        <f>IF(T29Manip!E53="","",T29Manip!E53)</f>
        <v>687801</v>
      </c>
      <c r="H36" s="20"/>
      <c r="I36" s="20" t="str">
        <f>IF(T29Manip!F53="","",T29Manip!F53)</f>
        <v>—</v>
      </c>
      <c r="J36" s="20" t="str">
        <f>IF(T29Manip!G53="","",T29Manip!G53)</f>
        <v>—</v>
      </c>
      <c r="K36" s="20" t="str">
        <f>IF(T29Manip!H53="","",T29Manip!H53)</f>
        <v>—</v>
      </c>
      <c r="L36" s="20" t="str">
        <f>IF(T29Manip!I53="","",T29Manip!I53)</f>
        <v>—</v>
      </c>
      <c r="M36" s="20"/>
      <c r="N36" s="20" t="str">
        <f>IF(T29Manip!J53="","",T29Manip!J53)</f>
        <v>—</v>
      </c>
      <c r="O36" s="20"/>
      <c r="P36" s="20" t="str">
        <f>IF(T29Manip!K53="","",T29Manip!K53)</f>
        <v>—</v>
      </c>
      <c r="Q36" s="20" t="str">
        <f>IF(T29Manip!L53="","",T29Manip!L53)</f>
        <v>—</v>
      </c>
      <c r="R36" s="19"/>
      <c r="S36" s="778">
        <f t="shared" si="0"/>
        <v>1850270</v>
      </c>
      <c r="T36" s="23"/>
    </row>
    <row r="37" spans="1:21">
      <c r="A37" s="777"/>
      <c r="B37" s="19"/>
      <c r="C37" s="18" t="s">
        <v>1469</v>
      </c>
      <c r="D37" s="33"/>
      <c r="E37" s="20" t="str">
        <f>IF(T29Manip!C54="","",T29Manip!C54)</f>
        <v>—</v>
      </c>
      <c r="F37" s="20">
        <f>IF(T29Manip!D54="","",T29Manip!D54)</f>
        <v>1986471</v>
      </c>
      <c r="G37" s="20" t="str">
        <f>IF(T29Manip!E54="","",T29Manip!E54)</f>
        <v>—</v>
      </c>
      <c r="H37" s="20"/>
      <c r="I37" s="20">
        <f>IF(T29Manip!F54="","",T29Manip!F54)</f>
        <v>2956068</v>
      </c>
      <c r="J37" s="20" t="str">
        <f>IF(T29Manip!G54="","",T29Manip!G54)</f>
        <v>—</v>
      </c>
      <c r="K37" s="20" t="str">
        <f>IF(T29Manip!H54="","",T29Manip!H54)</f>
        <v>—</v>
      </c>
      <c r="L37" s="20" t="str">
        <f>IF(T29Manip!I54="","",T29Manip!I54)</f>
        <v>—</v>
      </c>
      <c r="M37" s="20"/>
      <c r="N37" s="20" t="str">
        <f>IF(T29Manip!J54="","",T29Manip!J54)</f>
        <v>—</v>
      </c>
      <c r="O37" s="20"/>
      <c r="P37" s="20">
        <f>IF(T29Manip!K54="","",T29Manip!K54)</f>
        <v>2620000</v>
      </c>
      <c r="Q37" s="20" t="str">
        <f>IF(T29Manip!L54="","",T29Manip!L54)</f>
        <v>—</v>
      </c>
      <c r="R37" s="19"/>
      <c r="S37" s="778">
        <f t="shared" si="0"/>
        <v>7562539</v>
      </c>
      <c r="T37" s="23"/>
    </row>
    <row r="38" spans="1:21">
      <c r="A38" s="777"/>
      <c r="B38" s="19"/>
      <c r="C38" s="18" t="s">
        <v>1470</v>
      </c>
      <c r="D38" s="33"/>
      <c r="E38" s="20">
        <f>IF(T29Manip!C55="","",T29Manip!C55)</f>
        <v>336856</v>
      </c>
      <c r="F38" s="20">
        <f>IF(T29Manip!D55="","",T29Manip!D55)</f>
        <v>732994</v>
      </c>
      <c r="G38" s="20">
        <f>IF(T29Manip!E55="","",T29Manip!E55)</f>
        <v>774533</v>
      </c>
      <c r="H38" s="20"/>
      <c r="I38" s="20">
        <f>IF(T29Manip!F55="","",T29Manip!F55)</f>
        <v>537811</v>
      </c>
      <c r="J38" s="20">
        <f>IF(T29Manip!G55="","",T29Manip!G55)</f>
        <v>623649</v>
      </c>
      <c r="K38" s="20" t="str">
        <f>IF(T29Manip!H55="","",T29Manip!H55)</f>
        <v>—</v>
      </c>
      <c r="L38" s="20" t="str">
        <f>IF(T29Manip!I55="","",T29Manip!I55)</f>
        <v>—</v>
      </c>
      <c r="M38" s="20"/>
      <c r="N38" s="20">
        <f>IF(T29Manip!J55="","",T29Manip!J55)</f>
        <v>928589</v>
      </c>
      <c r="O38" s="20"/>
      <c r="P38" s="20">
        <f>IF(T29Manip!K55="","",T29Manip!K55)</f>
        <v>725000</v>
      </c>
      <c r="Q38" s="20">
        <f>IF(T29Manip!L55="","",T29Manip!L55)</f>
        <v>155000</v>
      </c>
      <c r="R38" s="19"/>
      <c r="S38" s="778">
        <f t="shared" si="0"/>
        <v>4814432</v>
      </c>
      <c r="T38" s="23"/>
    </row>
    <row r="39" spans="1:21">
      <c r="A39" s="777">
        <v>2013</v>
      </c>
      <c r="B39" s="19"/>
      <c r="C39" s="18" t="s">
        <v>1467</v>
      </c>
      <c r="D39" s="33"/>
      <c r="E39" s="20" t="str">
        <f>IF(T29Manip!C56="","",T29Manip!C56)</f>
        <v>—</v>
      </c>
      <c r="F39" s="20" t="str">
        <f>IF(T29Manip!D56="","",T29Manip!D56)</f>
        <v>—</v>
      </c>
      <c r="G39" s="20">
        <f>IF(T29Manip!E56="","",T29Manip!E56)</f>
        <v>560520</v>
      </c>
      <c r="H39" s="20"/>
      <c r="I39" s="20" t="str">
        <f>IF(T29Manip!F56="","",T29Manip!F56)</f>
        <v>—</v>
      </c>
      <c r="J39" s="20">
        <f>IF(T29Manip!G56="","",T29Manip!G56)</f>
        <v>437583</v>
      </c>
      <c r="K39" s="20" t="str">
        <f>IF(T29Manip!H56="","",T29Manip!H56)</f>
        <v>—</v>
      </c>
      <c r="L39" s="20">
        <f>IF(T29Manip!I56="","",T29Manip!I56)</f>
        <v>142959</v>
      </c>
      <c r="M39" s="20"/>
      <c r="N39" s="20">
        <f>IF(T29Manip!J56="","",T29Manip!J56)</f>
        <v>465420</v>
      </c>
      <c r="O39" s="20"/>
      <c r="P39" s="20" t="str">
        <f>IF(T29Manip!K56="","",T29Manip!K56)</f>
        <v>—</v>
      </c>
      <c r="Q39" s="20" t="str">
        <f>IF(T29Manip!L56="","",T29Manip!L56)</f>
        <v>—</v>
      </c>
      <c r="R39" s="19"/>
      <c r="S39" s="778">
        <f t="shared" si="0"/>
        <v>1606482</v>
      </c>
      <c r="T39" s="23"/>
      <c r="U39" s="813"/>
    </row>
    <row r="40" spans="1:21">
      <c r="A40" s="777"/>
      <c r="B40" s="19"/>
      <c r="C40" s="18" t="s">
        <v>1468</v>
      </c>
      <c r="D40" s="33"/>
      <c r="E40" s="20">
        <f>IF(T29Manip!C57="","",T29Manip!C57)</f>
        <v>697554</v>
      </c>
      <c r="F40" s="20">
        <f>IF(T29Manip!D57="","",T29Manip!D57)</f>
        <v>822825</v>
      </c>
      <c r="G40" s="20">
        <f>IF(T29Manip!E57="","",T29Manip!E57)</f>
        <v>706974</v>
      </c>
      <c r="H40" s="20"/>
      <c r="I40" s="20" t="str">
        <f>IF(T29Manip!F57="","",T29Manip!F57)</f>
        <v>—</v>
      </c>
      <c r="J40" s="20" t="str">
        <f>IF(T29Manip!G57="","",T29Manip!G57)</f>
        <v>—</v>
      </c>
      <c r="K40" s="20" t="str">
        <f>IF(T29Manip!H57="","",T29Manip!H57)</f>
        <v>—</v>
      </c>
      <c r="L40" s="20" t="str">
        <f>IF(T29Manip!I57="","",T29Manip!I57)</f>
        <v>—</v>
      </c>
      <c r="M40" s="20"/>
      <c r="N40" s="20" t="str">
        <f>IF(T29Manip!J57="","",T29Manip!J57)</f>
        <v>—</v>
      </c>
      <c r="O40" s="20"/>
      <c r="P40" s="20" t="str">
        <f>IF(T29Manip!K57="","",T29Manip!K57)</f>
        <v>—</v>
      </c>
      <c r="Q40" s="20" t="str">
        <f>IF(T29Manip!L57="","",T29Manip!L57)</f>
        <v>—</v>
      </c>
      <c r="R40" s="19"/>
      <c r="S40" s="778">
        <f t="shared" si="0"/>
        <v>2227353</v>
      </c>
      <c r="T40" s="23"/>
    </row>
    <row r="41" spans="1:21">
      <c r="A41" s="777"/>
      <c r="B41" s="19"/>
      <c r="C41" s="18" t="s">
        <v>1469</v>
      </c>
      <c r="D41" s="33"/>
      <c r="E41" s="20" t="str">
        <f>IF(T29Manip!C58="","",T29Manip!C58)</f>
        <v>—</v>
      </c>
      <c r="F41" s="20">
        <f>IF(T29Manip!D58="","",T29Manip!D58)</f>
        <v>1644974</v>
      </c>
      <c r="G41" s="20" t="str">
        <f>IF(T29Manip!E58="","",T29Manip!E58)</f>
        <v>—</v>
      </c>
      <c r="H41" s="20"/>
      <c r="I41" s="20">
        <f>IF(T29Manip!F58="","",T29Manip!F58)</f>
        <v>2837901</v>
      </c>
      <c r="J41" s="20" t="str">
        <f>IF(T29Manip!G58="","",T29Manip!G58)</f>
        <v>—</v>
      </c>
      <c r="K41" s="20" t="str">
        <f>IF(T29Manip!H58="","",T29Manip!H58)</f>
        <v>—</v>
      </c>
      <c r="L41" s="20" t="str">
        <f>IF(T29Manip!I58="","",T29Manip!I58)</f>
        <v>—</v>
      </c>
      <c r="M41" s="20"/>
      <c r="N41" s="20" t="str">
        <f>IF(T29Manip!J58="","",T29Manip!J58)</f>
        <v>—</v>
      </c>
      <c r="O41" s="20"/>
      <c r="P41" s="20">
        <f>IF(T29Manip!K58="","",T29Manip!K58)</f>
        <v>930000</v>
      </c>
      <c r="Q41" s="20" t="str">
        <f>IF(T29Manip!L58="","",T29Manip!L58)</f>
        <v>—</v>
      </c>
      <c r="R41" s="19"/>
      <c r="S41" s="778">
        <f t="shared" si="0"/>
        <v>5412875</v>
      </c>
      <c r="T41" s="23"/>
    </row>
    <row r="42" spans="1:21">
      <c r="A42" s="773"/>
      <c r="B42" s="13"/>
      <c r="C42" s="18" t="s">
        <v>1470</v>
      </c>
      <c r="D42" s="24"/>
      <c r="E42" s="20">
        <f>IF(T29Manip!C59="","",T29Manip!C59)</f>
        <v>260289</v>
      </c>
      <c r="F42" s="20">
        <f>IF(T29Manip!D59="","",T29Manip!D59)</f>
        <v>903119</v>
      </c>
      <c r="G42" s="20">
        <f>IF(T29Manip!E59="","",T29Manip!E59)</f>
        <v>684309</v>
      </c>
      <c r="H42" s="20"/>
      <c r="I42" s="20">
        <f>IF(T29Manip!F59="","",T29Manip!F59)</f>
        <v>537661</v>
      </c>
      <c r="J42" s="20">
        <f>IF(T29Manip!G59="","",T29Manip!G59)</f>
        <v>569921</v>
      </c>
      <c r="K42" s="20" t="str">
        <f>IF(T29Manip!H59="","",T29Manip!H59)</f>
        <v>—</v>
      </c>
      <c r="L42" s="20" t="str">
        <f>IF(T29Manip!I59="","",T29Manip!I59)</f>
        <v>—</v>
      </c>
      <c r="M42" s="20"/>
      <c r="N42" s="20">
        <f>IF(T29Manip!J59="","",T29Manip!J59)</f>
        <v>935023</v>
      </c>
      <c r="O42" s="20"/>
      <c r="P42" s="20">
        <f>IF(T29Manip!K59="","",T29Manip!K59)</f>
        <v>654000</v>
      </c>
      <c r="Q42" s="20">
        <f>IF(T29Manip!L59="","",T29Manip!L59)</f>
        <v>165000</v>
      </c>
      <c r="R42" s="19"/>
      <c r="S42" s="778">
        <f t="shared" si="0"/>
        <v>4709322</v>
      </c>
      <c r="T42" s="23"/>
    </row>
    <row r="43" spans="1:21">
      <c r="A43" s="777">
        <v>2014</v>
      </c>
      <c r="B43" s="19"/>
      <c r="C43" s="18" t="s">
        <v>1467</v>
      </c>
      <c r="D43" s="24"/>
      <c r="E43" s="20" t="str">
        <f>IF(T29Manip!C60="","",T29Manip!C60)</f>
        <v>—</v>
      </c>
      <c r="F43" s="20">
        <f>IF(T29Manip!D60="","",T29Manip!D60)</f>
        <v>275973</v>
      </c>
      <c r="G43" s="20">
        <f>IF(T29Manip!E60="","",T29Manip!E60)</f>
        <v>627857</v>
      </c>
      <c r="H43" s="20"/>
      <c r="I43" s="20" t="str">
        <f>IF(T29Manip!F60="","",T29Manip!F60)</f>
        <v>—</v>
      </c>
      <c r="J43" s="20">
        <f>IF(T29Manip!G60="","",T29Manip!G60)</f>
        <v>128700</v>
      </c>
      <c r="K43" s="20" t="str">
        <f>IF(T29Manip!H60="","",T29Manip!H60)</f>
        <v>—</v>
      </c>
      <c r="L43" s="20">
        <f>IF(T29Manip!I60="","",T29Manip!I60)</f>
        <v>380848</v>
      </c>
      <c r="M43" s="20"/>
      <c r="N43" s="20">
        <f>IF(T29Manip!J60="","",T29Manip!J60)</f>
        <v>437585</v>
      </c>
      <c r="O43" s="20"/>
      <c r="P43" s="20" t="str">
        <f>IF(T29Manip!K60="","",T29Manip!K60)</f>
        <v>—</v>
      </c>
      <c r="Q43" s="20" t="str">
        <f>IF(T29Manip!L60="","",T29Manip!L60)</f>
        <v>—</v>
      </c>
      <c r="R43" s="19"/>
      <c r="S43" s="778">
        <f t="shared" si="0"/>
        <v>1850963</v>
      </c>
      <c r="T43" s="23"/>
      <c r="U43" s="813"/>
    </row>
    <row r="44" spans="1:21">
      <c r="A44" s="777"/>
      <c r="B44" s="19"/>
      <c r="C44" s="18" t="s">
        <v>1468</v>
      </c>
      <c r="D44" s="24"/>
      <c r="E44" s="20">
        <f>IF(T29Manip!C61="","",T29Manip!C61)</f>
        <v>672387</v>
      </c>
      <c r="F44" s="20">
        <f>IF(T29Manip!D61="","",T29Manip!D61)</f>
        <v>525600</v>
      </c>
      <c r="G44" s="20">
        <f>IF(T29Manip!E61="","",T29Manip!E61)</f>
        <v>472678</v>
      </c>
      <c r="H44" s="20"/>
      <c r="I44" s="20" t="str">
        <f>IF(T29Manip!F61="","",T29Manip!F61)</f>
        <v>—</v>
      </c>
      <c r="J44" s="20" t="str">
        <f>IF(T29Manip!G61="","",T29Manip!G61)</f>
        <v>—</v>
      </c>
      <c r="K44" s="20" t="str">
        <f>IF(T29Manip!H61="","",T29Manip!H61)</f>
        <v>—</v>
      </c>
      <c r="L44" s="20" t="str">
        <f>IF(T29Manip!I61="","",T29Manip!I61)</f>
        <v>—</v>
      </c>
      <c r="M44" s="20"/>
      <c r="N44" s="20" t="str">
        <f>IF(T29Manip!J61="","",T29Manip!J61)</f>
        <v>—</v>
      </c>
      <c r="O44" s="20"/>
      <c r="P44" s="20" t="str">
        <f>IF(T29Manip!K61="","",T29Manip!K61)</f>
        <v>—</v>
      </c>
      <c r="Q44" s="20" t="str">
        <f>IF(T29Manip!L61="","",T29Manip!L61)</f>
        <v>—</v>
      </c>
      <c r="R44" s="19"/>
      <c r="S44" s="778">
        <f t="shared" si="0"/>
        <v>1670665</v>
      </c>
      <c r="T44" s="23"/>
    </row>
    <row r="45" spans="1:21">
      <c r="A45" s="777"/>
      <c r="B45" s="19"/>
      <c r="C45" s="18" t="s">
        <v>1469</v>
      </c>
      <c r="D45" s="24"/>
      <c r="E45" s="20" t="str">
        <f>IF(T29Manip!C62="","",T29Manip!C62)</f>
        <v>—</v>
      </c>
      <c r="F45" s="20">
        <f>IF(T29Manip!D62="","",T29Manip!D62)</f>
        <v>4118792</v>
      </c>
      <c r="G45" s="20" t="str">
        <f>IF(T29Manip!E62="","",T29Manip!E62)</f>
        <v>—</v>
      </c>
      <c r="H45" s="20"/>
      <c r="I45" s="20">
        <f>IF(T29Manip!F62="","",T29Manip!F62)</f>
        <v>3120715</v>
      </c>
      <c r="J45" s="20" t="str">
        <f>IF(T29Manip!G62="","",T29Manip!G62)</f>
        <v>—</v>
      </c>
      <c r="K45" s="20" t="str">
        <f>IF(T29Manip!H62="","",T29Manip!H62)</f>
        <v>—</v>
      </c>
      <c r="L45" s="20" t="str">
        <f>IF(T29Manip!I62="","",T29Manip!I62)</f>
        <v>—</v>
      </c>
      <c r="M45" s="20"/>
      <c r="N45" s="20" t="str">
        <f>IF(T29Manip!J62="","",T29Manip!J62)</f>
        <v>—</v>
      </c>
      <c r="O45" s="20"/>
      <c r="P45" s="20">
        <f>IF(T29Manip!K62="","",T29Manip!K62)</f>
        <v>975000</v>
      </c>
      <c r="Q45" s="20" t="str">
        <f>IF(T29Manip!L62="","",T29Manip!L62)</f>
        <v>—</v>
      </c>
      <c r="R45" s="19"/>
      <c r="S45" s="778">
        <f t="shared" si="0"/>
        <v>8214507</v>
      </c>
      <c r="T45" s="23"/>
    </row>
    <row r="46" spans="1:21">
      <c r="A46" s="773"/>
      <c r="B46" s="13"/>
      <c r="C46" s="18" t="s">
        <v>1470</v>
      </c>
      <c r="D46" s="24"/>
      <c r="E46" s="20">
        <f>IF(T29Manip!C63="","",T29Manip!C63)</f>
        <v>209923</v>
      </c>
      <c r="F46" s="20">
        <f>IF(T29Manip!D63="","",T29Manip!D63)</f>
        <v>1552458</v>
      </c>
      <c r="G46" s="20">
        <f>IF(T29Manip!E63="","",T29Manip!E63)</f>
        <v>766193</v>
      </c>
      <c r="H46" s="20"/>
      <c r="I46" s="20">
        <f>IF(T29Manip!F63="","",T29Manip!F63)</f>
        <v>568328</v>
      </c>
      <c r="J46" s="20">
        <f>IF(T29Manip!G63="","",T29Manip!G63)</f>
        <v>574243</v>
      </c>
      <c r="K46" s="20" t="str">
        <f>IF(T29Manip!H63="","",T29Manip!H63)</f>
        <v>—</v>
      </c>
      <c r="L46" s="20" t="str">
        <f>IF(T29Manip!I63="","",T29Manip!I63)</f>
        <v>—</v>
      </c>
      <c r="M46" s="20"/>
      <c r="N46" s="20">
        <f>IF(T29Manip!J63="","",T29Manip!J63)</f>
        <v>842341</v>
      </c>
      <c r="O46" s="20"/>
      <c r="P46" s="20">
        <f>IF(T29Manip!K63="","",T29Manip!K63)</f>
        <v>920000</v>
      </c>
      <c r="Q46" s="20">
        <f>IF(T29Manip!L63="","",T29Manip!L63)</f>
        <v>156000</v>
      </c>
      <c r="R46" s="19"/>
      <c r="S46" s="778">
        <f t="shared" si="0"/>
        <v>5589486</v>
      </c>
      <c r="T46" s="23"/>
    </row>
    <row r="47" spans="1:21">
      <c r="A47" s="777">
        <v>2015</v>
      </c>
      <c r="B47" s="13"/>
      <c r="C47" s="18" t="s">
        <v>1467</v>
      </c>
      <c r="D47" s="24"/>
      <c r="E47" s="20" t="str">
        <f>IF(T29Manip!C64="","",T29Manip!C64)</f>
        <v>—</v>
      </c>
      <c r="F47" s="20" t="str">
        <f>IF(T29Manip!D64="","",T29Manip!D64)</f>
        <v>—</v>
      </c>
      <c r="G47" s="20">
        <f>IF(T29Manip!E64="","",T29Manip!E64)</f>
        <v>910343</v>
      </c>
      <c r="H47" s="20"/>
      <c r="I47" s="20" t="str">
        <f>IF(T29Manip!F64="","",T29Manip!F64)</f>
        <v>—</v>
      </c>
      <c r="J47" s="20">
        <f>IF(T29Manip!G64="","",T29Manip!G64)</f>
        <v>116114</v>
      </c>
      <c r="K47" s="20" t="str">
        <f>IF(T29Manip!H64="","",T29Manip!H64)</f>
        <v>—</v>
      </c>
      <c r="L47" s="20">
        <f>IF(T29Manip!I64="","",T29Manip!I64)</f>
        <v>379653</v>
      </c>
      <c r="M47" s="20"/>
      <c r="N47" s="20">
        <f>IF(T29Manip!J64="","",T29Manip!J64)</f>
        <v>399621</v>
      </c>
      <c r="O47" s="20"/>
      <c r="P47" s="20" t="str">
        <f>IF(T29Manip!K64="","",T29Manip!K64)</f>
        <v>—</v>
      </c>
      <c r="Q47" s="20" t="str">
        <f>IF(T29Manip!L64="","",T29Manip!L64)</f>
        <v>—</v>
      </c>
      <c r="R47" s="19"/>
      <c r="S47" s="778">
        <f t="shared" si="0"/>
        <v>1805731</v>
      </c>
      <c r="T47" s="23"/>
      <c r="U47" s="813"/>
    </row>
    <row r="48" spans="1:21">
      <c r="A48" s="773"/>
      <c r="B48" s="13"/>
      <c r="C48" s="18" t="s">
        <v>1468</v>
      </c>
      <c r="D48" s="24"/>
      <c r="E48" s="20">
        <f>IF(T29Manip!C65="","",T29Manip!C65)</f>
        <v>160487</v>
      </c>
      <c r="F48" s="20">
        <f>IF(T29Manip!D65="","",T29Manip!D65)</f>
        <v>461441</v>
      </c>
      <c r="G48" s="20" t="str">
        <f>IF(T29Manip!E65="","",T29Manip!E65)</f>
        <v>—</v>
      </c>
      <c r="H48" s="20"/>
      <c r="I48" s="20" t="str">
        <f>IF(T29Manip!F65="","",T29Manip!F65)</f>
        <v>—</v>
      </c>
      <c r="J48" s="20" t="str">
        <f>IF(T29Manip!G65="","",T29Manip!G65)</f>
        <v>—</v>
      </c>
      <c r="K48" s="20" t="str">
        <f>IF(T29Manip!H65="","",T29Manip!H65)</f>
        <v>—</v>
      </c>
      <c r="L48" s="20" t="str">
        <f>IF(T29Manip!I65="","",T29Manip!I65)</f>
        <v>—</v>
      </c>
      <c r="M48" s="20"/>
      <c r="N48" s="20" t="str">
        <f>IF(T29Manip!J65="","",T29Manip!J65)</f>
        <v>—</v>
      </c>
      <c r="O48" s="20"/>
      <c r="P48" s="20" t="str">
        <f>IF(T29Manip!K65="","",T29Manip!K65)</f>
        <v>—</v>
      </c>
      <c r="Q48" s="20" t="str">
        <f>IF(T29Manip!L65="","",T29Manip!L65)</f>
        <v>—</v>
      </c>
      <c r="R48" s="19"/>
      <c r="S48" s="778">
        <f t="shared" si="0"/>
        <v>621928</v>
      </c>
      <c r="T48" s="23"/>
    </row>
    <row r="49" spans="1:27">
      <c r="A49" s="773"/>
      <c r="B49" s="13"/>
      <c r="C49" s="18" t="s">
        <v>1469</v>
      </c>
      <c r="D49" s="24"/>
      <c r="E49" s="20" t="str">
        <f>IF(T29Manip!C66="","",T29Manip!C66)</f>
        <v>—</v>
      </c>
      <c r="F49" s="20">
        <f>IF(T29Manip!D66="","",T29Manip!D66)</f>
        <v>2802981</v>
      </c>
      <c r="G49" s="20" t="str">
        <f>IF(T29Manip!E66="","",T29Manip!E66)</f>
        <v>—</v>
      </c>
      <c r="H49" s="20"/>
      <c r="I49" s="20">
        <f>IF(T29Manip!F66="","",T29Manip!F66)</f>
        <v>3090605</v>
      </c>
      <c r="J49" s="20" t="str">
        <f>IF(T29Manip!G66="","",T29Manip!G66)</f>
        <v>—</v>
      </c>
      <c r="K49" s="20" t="str">
        <f>IF(T29Manip!H66="","",T29Manip!H66)</f>
        <v>—</v>
      </c>
      <c r="L49" s="20" t="str">
        <f>IF(T29Manip!I66="","",T29Manip!I66)</f>
        <v>—</v>
      </c>
      <c r="M49" s="20"/>
      <c r="N49" s="20" t="str">
        <f>IF(T29Manip!J66="","",T29Manip!J66)</f>
        <v>—</v>
      </c>
      <c r="O49" s="20"/>
      <c r="P49" s="20">
        <f>IF(T29Manip!K66="","",T29Manip!K66)</f>
        <v>875000</v>
      </c>
      <c r="Q49" s="20" t="str">
        <f>IF(T29Manip!L66="","",T29Manip!L66)</f>
        <v>—</v>
      </c>
      <c r="R49" s="19"/>
      <c r="S49" s="778">
        <f t="shared" si="0"/>
        <v>6768586</v>
      </c>
      <c r="T49" s="23"/>
    </row>
    <row r="50" spans="1:27">
      <c r="A50" s="773"/>
      <c r="B50" s="13"/>
      <c r="C50" s="18" t="s">
        <v>1470</v>
      </c>
      <c r="D50" s="24"/>
      <c r="E50" s="20">
        <f>IF(T29Manip!C67="","",T29Manip!C67)</f>
        <v>209745</v>
      </c>
      <c r="F50" s="20">
        <f>IF(T29Manip!D67="","",T29Manip!D67)</f>
        <v>1487362</v>
      </c>
      <c r="G50" s="20">
        <f>IF(T29Manip!E67="","",T29Manip!E67)</f>
        <v>550062</v>
      </c>
      <c r="H50" s="20"/>
      <c r="I50" s="20">
        <f>IF(T29Manip!F67="","",T29Manip!F67)</f>
        <v>536144</v>
      </c>
      <c r="J50" s="20">
        <f>IF(T29Manip!G67="","",T29Manip!G67)</f>
        <v>349156</v>
      </c>
      <c r="K50" s="20" t="str">
        <f>IF(T29Manip!H67="","",T29Manip!H67)</f>
        <v>—</v>
      </c>
      <c r="L50" s="20" t="str">
        <f>IF(T29Manip!I67="","",T29Manip!I67)</f>
        <v>—</v>
      </c>
      <c r="M50" s="20"/>
      <c r="N50" s="20">
        <f>IF(T29Manip!J67="","",T29Manip!J67)</f>
        <v>747060</v>
      </c>
      <c r="O50" s="20"/>
      <c r="P50" s="20">
        <f>IF(T29Manip!K67="","",T29Manip!K67)</f>
        <v>855000</v>
      </c>
      <c r="Q50" s="20">
        <f>IF(T29Manip!L67="","",T29Manip!L67)</f>
        <v>53000</v>
      </c>
      <c r="R50" s="19"/>
      <c r="S50" s="778">
        <f t="shared" si="0"/>
        <v>4787529</v>
      </c>
      <c r="T50" s="23"/>
    </row>
    <row r="51" spans="1:27">
      <c r="A51" s="777">
        <v>2016</v>
      </c>
      <c r="B51" s="13">
        <v>2</v>
      </c>
      <c r="C51" s="18" t="s">
        <v>1467</v>
      </c>
      <c r="D51" s="24"/>
      <c r="E51" s="20" t="str">
        <f>IF(T29Manip!C68="","",T29Manip!C68)</f>
        <v>—</v>
      </c>
      <c r="F51" s="20" t="str">
        <f>IF(T29Manip!D68="","",T29Manip!D68)</f>
        <v>—</v>
      </c>
      <c r="G51" s="20">
        <f>IF(T29Manip!E68="","",T29Manip!E68)</f>
        <v>1159889</v>
      </c>
      <c r="H51" s="20"/>
      <c r="I51" s="20" t="str">
        <f>IF(T29Manip!F68="","",T29Manip!F68)</f>
        <v>—</v>
      </c>
      <c r="J51" s="20">
        <f>IF(T29Manip!G68="","",T29Manip!G68)</f>
        <v>129830</v>
      </c>
      <c r="K51" s="20" t="str">
        <f>IF(T29Manip!H68="","",T29Manip!H68)</f>
        <v>—</v>
      </c>
      <c r="L51" s="20">
        <f>IF(T29Manip!I68="","",T29Manip!I68)</f>
        <v>385563</v>
      </c>
      <c r="M51" s="20"/>
      <c r="N51" s="20">
        <f>IF(T29Manip!J68="","",T29Manip!J68)</f>
        <v>459832</v>
      </c>
      <c r="O51" s="20"/>
      <c r="P51" s="20" t="str">
        <f>IF(T29Manip!K68="","",T29Manip!K68)</f>
        <v>—</v>
      </c>
      <c r="Q51" s="20" t="str">
        <f>IF(T29Manip!L68="","",T29Manip!L68)</f>
        <v>—</v>
      </c>
      <c r="R51" s="19"/>
      <c r="S51" s="778">
        <f t="shared" si="0"/>
        <v>2135114</v>
      </c>
      <c r="T51" s="23"/>
      <c r="U51" s="813"/>
    </row>
    <row r="52" spans="1:27">
      <c r="A52" s="773"/>
      <c r="B52" s="13"/>
      <c r="C52" s="18" t="s">
        <v>1468</v>
      </c>
      <c r="D52" s="24"/>
      <c r="E52" s="20" t="str">
        <f>IF(T29Manip!C69="","",T29Manip!C69)</f>
        <v>—</v>
      </c>
      <c r="F52" s="20">
        <f>IF(T29Manip!D69="","",T29Manip!D69)</f>
        <v>599463</v>
      </c>
      <c r="G52" s="20" t="str">
        <f>IF(T29Manip!E69="","",T29Manip!E69)</f>
        <v>—</v>
      </c>
      <c r="H52" s="20"/>
      <c r="I52" s="20" t="str">
        <f>IF(T29Manip!F69="","",T29Manip!F69)</f>
        <v>—</v>
      </c>
      <c r="J52" s="20" t="str">
        <f>IF(T29Manip!G69="","",T29Manip!G69)</f>
        <v>—</v>
      </c>
      <c r="K52" s="20" t="str">
        <f>IF(T29Manip!H69="","",T29Manip!H69)</f>
        <v>—</v>
      </c>
      <c r="L52" s="20" t="str">
        <f>IF(T29Manip!I69="","",T29Manip!I69)</f>
        <v>—</v>
      </c>
      <c r="M52" s="20"/>
      <c r="N52" s="20" t="str">
        <f>IF(T29Manip!J69="","",T29Manip!J69)</f>
        <v>—</v>
      </c>
      <c r="O52" s="20"/>
      <c r="P52" s="20" t="str">
        <f>IF(T29Manip!K69="","",T29Manip!K69)</f>
        <v>—</v>
      </c>
      <c r="Q52" s="20" t="str">
        <f>IF(T29Manip!L69="","",T29Manip!L69)</f>
        <v>—</v>
      </c>
      <c r="R52" s="19"/>
      <c r="S52" s="778">
        <f t="shared" si="0"/>
        <v>599463</v>
      </c>
      <c r="T52" s="23"/>
    </row>
    <row r="53" spans="1:27">
      <c r="A53" s="773"/>
      <c r="B53" s="13"/>
      <c r="C53" s="18" t="s">
        <v>1469</v>
      </c>
      <c r="D53" s="24"/>
      <c r="E53" s="20" t="str">
        <f>IF(T29Manip!C70="","",T29Manip!C70)</f>
        <v>—</v>
      </c>
      <c r="F53" s="20" t="str">
        <f>IF(T29Manip!D70="","",T29Manip!D70)</f>
        <v>—</v>
      </c>
      <c r="G53" s="20" t="str">
        <f>IF(T29Manip!E70="","",T29Manip!E70)</f>
        <v>—</v>
      </c>
      <c r="H53" s="20"/>
      <c r="I53" s="20">
        <f>IF(T29Manip!F70="","",T29Manip!F70)</f>
        <v>2312352</v>
      </c>
      <c r="J53" s="20" t="str">
        <f>IF(T29Manip!G70="","",T29Manip!G70)</f>
        <v>—</v>
      </c>
      <c r="K53" s="20" t="str">
        <f>IF(T29Manip!H70="","",T29Manip!H70)</f>
        <v>—</v>
      </c>
      <c r="L53" s="20" t="str">
        <f>IF(T29Manip!I70="","",T29Manip!I70)</f>
        <v>—</v>
      </c>
      <c r="M53" s="20"/>
      <c r="N53" s="20" t="str">
        <f>IF(T29Manip!J70="","",T29Manip!J70)</f>
        <v>—</v>
      </c>
      <c r="O53" s="20"/>
      <c r="P53" s="20">
        <f>IF(T29Manip!K70="","",T29Manip!K70)</f>
        <v>910000</v>
      </c>
      <c r="Q53" s="20" t="str">
        <f>IF(T29Manip!L70="","",T29Manip!L70)</f>
        <v>—</v>
      </c>
      <c r="R53" s="19"/>
      <c r="S53" s="778">
        <f t="shared" si="0"/>
        <v>3222352</v>
      </c>
      <c r="T53" s="23"/>
    </row>
    <row r="54" spans="1:27">
      <c r="A54" s="773"/>
      <c r="B54" s="13"/>
      <c r="C54" s="18" t="s">
        <v>1470</v>
      </c>
      <c r="D54" s="24"/>
      <c r="E54" s="20">
        <f>IF(T29Manip!C71="","",T29Manip!C71)</f>
        <v>487409</v>
      </c>
      <c r="F54" s="20">
        <f>IF(T29Manip!D71="","",T29Manip!D71)</f>
        <v>1694036</v>
      </c>
      <c r="G54" s="20">
        <f>IF(T29Manip!E71="","",T29Manip!E71)</f>
        <v>761511</v>
      </c>
      <c r="H54" s="20"/>
      <c r="I54" s="20">
        <f>IF(T29Manip!F71="","",T29Manip!F71)</f>
        <v>567394</v>
      </c>
      <c r="J54" s="20">
        <f>IF(T29Manip!G71="","",T29Manip!G71)</f>
        <v>509235</v>
      </c>
      <c r="K54" s="20" t="str">
        <f>IF(T29Manip!H71="","",T29Manip!H71)</f>
        <v>—</v>
      </c>
      <c r="L54" s="20" t="str">
        <f>IF(T29Manip!I71="","",T29Manip!I71)</f>
        <v>—</v>
      </c>
      <c r="M54" s="20"/>
      <c r="N54" s="20">
        <f>IF(T29Manip!J71="","",T29Manip!J71)</f>
        <v>922456</v>
      </c>
      <c r="O54" s="20"/>
      <c r="P54" s="20">
        <f>IF(T29Manip!K71="","",T29Manip!K71)</f>
        <v>723000</v>
      </c>
      <c r="Q54" s="20">
        <f>IF(T29Manip!L71="","",T29Manip!L71)</f>
        <v>43550</v>
      </c>
      <c r="R54" s="19"/>
      <c r="S54" s="778">
        <f t="shared" si="0"/>
        <v>5708591</v>
      </c>
      <c r="T54" s="23"/>
    </row>
    <row r="55" spans="1:27">
      <c r="A55" s="777">
        <v>2017</v>
      </c>
      <c r="B55" s="13">
        <v>2</v>
      </c>
      <c r="C55" s="18" t="s">
        <v>1467</v>
      </c>
      <c r="D55" s="24"/>
      <c r="E55" s="20" t="str">
        <f>IF(T29Manip!C72="","",T29Manip!C72)</f>
        <v>—</v>
      </c>
      <c r="F55" s="20">
        <f>IF(T29Manip!D72="","",T29Manip!D72)</f>
        <v>117495</v>
      </c>
      <c r="G55" s="20">
        <f>IF(T29Manip!E72="","",T29Manip!E72)</f>
        <v>968404</v>
      </c>
      <c r="H55" s="20"/>
      <c r="I55" s="20" t="str">
        <f>IF(T29Manip!F72="","",T29Manip!F72)</f>
        <v/>
      </c>
      <c r="J55" s="20">
        <f>IF(T29Manip!G72="","",T29Manip!G72)</f>
        <v>130489</v>
      </c>
      <c r="K55" s="20" t="str">
        <f>IF(T29Manip!H72="","",T29Manip!H72)</f>
        <v>—</v>
      </c>
      <c r="L55" s="20">
        <f>IF(T29Manip!I72="","",T29Manip!I72)</f>
        <v>646836</v>
      </c>
      <c r="M55" s="20"/>
      <c r="N55" s="20">
        <f>IF(T29Manip!J72="","",T29Manip!J72)</f>
        <v>419609</v>
      </c>
      <c r="O55" s="20"/>
      <c r="P55" s="20">
        <f>IF(T29Manip!K72="","",T29Manip!K72)</f>
        <v>170000</v>
      </c>
      <c r="Q55" s="20" t="str">
        <f>IF(T29Manip!L72="","",T29Manip!L72)</f>
        <v>—</v>
      </c>
      <c r="R55" s="19"/>
      <c r="S55" s="778">
        <f t="shared" si="0"/>
        <v>2452833</v>
      </c>
      <c r="T55" s="23"/>
      <c r="U55" s="813"/>
    </row>
    <row r="56" spans="1:27">
      <c r="A56" s="773"/>
      <c r="B56" s="13"/>
      <c r="C56" s="18" t="s">
        <v>1468</v>
      </c>
      <c r="D56" s="24"/>
      <c r="E56" s="20" t="str">
        <f>IF(T29Manip!C73="","",T29Manip!C73)</f>
        <v>—</v>
      </c>
      <c r="F56" s="20">
        <f>IF(T29Manip!D73="","",T29Manip!D73)</f>
        <v>300460</v>
      </c>
      <c r="G56" s="20" t="str">
        <f>IF(T29Manip!E73="","",T29Manip!E73)</f>
        <v>—</v>
      </c>
      <c r="H56" s="20"/>
      <c r="I56" s="20" t="str">
        <f>IF(T29Manip!F73="","",T29Manip!F73)</f>
        <v>—</v>
      </c>
      <c r="J56" s="20" t="str">
        <f>IF(T29Manip!G73="","",T29Manip!G73)</f>
        <v>—</v>
      </c>
      <c r="K56" s="20" t="str">
        <f>IF(T29Manip!H73="","",T29Manip!H73)</f>
        <v>—</v>
      </c>
      <c r="L56" s="20" t="str">
        <f>IF(T29Manip!I73="","",T29Manip!I73)</f>
        <v>—</v>
      </c>
      <c r="M56" s="20"/>
      <c r="N56" s="20" t="str">
        <f>IF(T29Manip!J73="","",T29Manip!J73)</f>
        <v>—</v>
      </c>
      <c r="O56" s="20"/>
      <c r="P56" s="20" t="str">
        <f>IF(T29Manip!K73="","",T29Manip!K73)</f>
        <v>—</v>
      </c>
      <c r="Q56" s="20" t="str">
        <f>IF(T29Manip!L73="","",T29Manip!L73)</f>
        <v>—</v>
      </c>
      <c r="R56" s="19"/>
      <c r="S56" s="778">
        <f t="shared" si="0"/>
        <v>300460</v>
      </c>
      <c r="T56" s="23"/>
    </row>
    <row r="57" spans="1:27">
      <c r="A57" s="773"/>
      <c r="B57" s="13"/>
      <c r="C57" s="18" t="s">
        <v>1469</v>
      </c>
      <c r="D57" s="24"/>
      <c r="E57" s="20" t="str">
        <f>IF(T29Manip!C74="","",T29Manip!C74)</f>
        <v>—</v>
      </c>
      <c r="F57" s="20">
        <f>IF(T29Manip!D74="","",T29Manip!D74)</f>
        <v>1686452</v>
      </c>
      <c r="G57" s="20" t="str">
        <f>IF(T29Manip!E74="","",T29Manip!E74)</f>
        <v>—</v>
      </c>
      <c r="H57" s="20"/>
      <c r="I57" s="20">
        <f>IF(T29Manip!F74="","",T29Manip!F74)</f>
        <v>2250280</v>
      </c>
      <c r="J57" s="20" t="str">
        <f>IF(T29Manip!G74="","",T29Manip!G74)</f>
        <v>—</v>
      </c>
      <c r="K57" s="20" t="str">
        <f>IF(T29Manip!H74="","",T29Manip!H74)</f>
        <v>—</v>
      </c>
      <c r="L57" s="20" t="str">
        <f>IF(T29Manip!I74="","",T29Manip!I74)</f>
        <v>—</v>
      </c>
      <c r="M57" s="20"/>
      <c r="N57" s="20" t="str">
        <f>IF(T29Manip!J74="","",T29Manip!J74)</f>
        <v>—</v>
      </c>
      <c r="O57" s="20"/>
      <c r="P57" s="20" t="str">
        <f>IF(T29Manip!K74="","",T29Manip!K74)</f>
        <v>—</v>
      </c>
      <c r="Q57" s="20" t="str">
        <f>IF(T29Manip!L74="","",T29Manip!L74)</f>
        <v>—</v>
      </c>
      <c r="R57" s="19"/>
      <c r="S57" s="778">
        <f t="shared" si="0"/>
        <v>3936732</v>
      </c>
      <c r="T57" s="23"/>
    </row>
    <row r="58" spans="1:27">
      <c r="A58" s="773"/>
      <c r="B58" s="13"/>
      <c r="C58" s="18" t="s">
        <v>1470</v>
      </c>
      <c r="D58" s="24"/>
      <c r="E58" s="20">
        <f>IF(T29Manip!C75="","",T29Manip!C75)</f>
        <v>384452</v>
      </c>
      <c r="F58" s="20">
        <f>IF(T29Manip!D75="","",T29Manip!D75)</f>
        <v>1317407</v>
      </c>
      <c r="G58" s="20">
        <f>IF(T29Manip!E75="","",T29Manip!E75)</f>
        <v>631898</v>
      </c>
      <c r="H58" s="20"/>
      <c r="I58" s="20">
        <f>IF(T29Manip!F75="","",T29Manip!F75)</f>
        <v>733835</v>
      </c>
      <c r="J58" s="20">
        <f>IF(T29Manip!G75="","",T29Manip!G75)</f>
        <v>426637</v>
      </c>
      <c r="K58" s="20" t="str">
        <f>IF(T29Manip!H75="","",T29Manip!H75)</f>
        <v>—</v>
      </c>
      <c r="L58" s="20" t="str">
        <f>IF(T29Manip!I75="","",T29Manip!I75)</f>
        <v>—</v>
      </c>
      <c r="M58" s="20"/>
      <c r="N58" s="20">
        <f>IF(T29Manip!J75="","",T29Manip!J75)</f>
        <v>424659</v>
      </c>
      <c r="O58" s="20"/>
      <c r="P58" s="20">
        <f>IF(T29Manip!K75="","",T29Manip!K75)</f>
        <v>700000</v>
      </c>
      <c r="Q58" s="20" t="str">
        <f>IF(T29Manip!L75="","",T29Manip!L75)</f>
        <v>—</v>
      </c>
      <c r="R58" s="19"/>
      <c r="S58" s="778">
        <f t="shared" si="0"/>
        <v>4618888</v>
      </c>
      <c r="T58" s="23"/>
    </row>
    <row r="59" spans="1:27">
      <c r="A59" s="777">
        <v>2018</v>
      </c>
      <c r="B59" s="13"/>
      <c r="C59" s="18" t="s">
        <v>1467</v>
      </c>
      <c r="D59" s="24"/>
      <c r="E59" s="20" t="str">
        <f>IF(T29Manip!C76="","",T29Manip!C76)</f>
        <v>—</v>
      </c>
      <c r="F59" s="20">
        <f>IF(T29Manip!D76="","",T29Manip!D76)</f>
        <v>235455</v>
      </c>
      <c r="G59" s="20">
        <f>IF(T29Manip!E76="","",T29Manip!E76)</f>
        <v>1264888</v>
      </c>
      <c r="H59" s="20"/>
      <c r="I59" s="20" t="str">
        <f>IF(T29Manip!F76="","",T29Manip!F76)</f>
        <v>—</v>
      </c>
      <c r="J59" s="20">
        <f>IF(T29Manip!G76="","",T29Manip!G76)</f>
        <v>310114</v>
      </c>
      <c r="K59" s="20" t="str">
        <f>IF(T29Manip!H76="","",T29Manip!H76)</f>
        <v>—</v>
      </c>
      <c r="L59" s="20">
        <f>IF(T29Manip!I76="","",T29Manip!I76)</f>
        <v>585258</v>
      </c>
      <c r="M59" s="20"/>
      <c r="N59" s="20">
        <f>IF(T29Manip!J76="","",T29Manip!J76)</f>
        <v>409815</v>
      </c>
      <c r="O59" s="20"/>
      <c r="P59" s="20">
        <f>IF(T29Manip!K76="","",T29Manip!K76)</f>
        <v>262000</v>
      </c>
      <c r="Q59" s="20" t="str">
        <f>IF(T29Manip!L76="","",T29Manip!L76)</f>
        <v>—</v>
      </c>
      <c r="R59" s="19"/>
      <c r="S59" s="778">
        <f t="shared" si="0"/>
        <v>3067530</v>
      </c>
      <c r="U59" s="813"/>
    </row>
    <row r="60" spans="1:27">
      <c r="A60" s="773"/>
      <c r="B60" s="13"/>
      <c r="C60" s="18" t="s">
        <v>1468</v>
      </c>
      <c r="D60" s="24"/>
      <c r="E60" s="20" t="str">
        <f>IF(T29Manip!C77="","",T29Manip!C77)</f>
        <v>—</v>
      </c>
      <c r="F60" s="20">
        <f>IF(T29Manip!D77="","",T29Manip!D77)</f>
        <v>391525</v>
      </c>
      <c r="G60" s="20" t="str">
        <f>IF(T29Manip!E77="","",T29Manip!E77)</f>
        <v>—</v>
      </c>
      <c r="H60" s="20"/>
      <c r="I60" s="20" t="str">
        <f>IF(T29Manip!F77="","",T29Manip!F77)</f>
        <v>—</v>
      </c>
      <c r="J60" s="20" t="str">
        <f>IF(T29Manip!G77="","",T29Manip!G77)</f>
        <v>—</v>
      </c>
      <c r="K60" s="20" t="str">
        <f>IF(T29Manip!H77="","",T29Manip!H77)</f>
        <v>—</v>
      </c>
      <c r="L60" s="20" t="str">
        <f>IF(T29Manip!I77="","",T29Manip!I77)</f>
        <v>—</v>
      </c>
      <c r="M60" s="20"/>
      <c r="N60" s="20" t="str">
        <f>IF(T29Manip!J77="","",T29Manip!J77)</f>
        <v>—</v>
      </c>
      <c r="O60" s="20"/>
      <c r="P60" s="20" t="str">
        <f>IF(T29Manip!K77="","",T29Manip!K77)</f>
        <v>—</v>
      </c>
      <c r="Q60" s="20" t="str">
        <f>IF(T29Manip!L77="","",T29Manip!L77)</f>
        <v>—</v>
      </c>
      <c r="R60" s="19"/>
      <c r="S60" s="778">
        <f t="shared" si="0"/>
        <v>391525</v>
      </c>
    </row>
    <row r="61" spans="1:27">
      <c r="A61" s="773"/>
      <c r="B61" s="13"/>
      <c r="C61" s="18" t="s">
        <v>1469</v>
      </c>
      <c r="D61" s="24"/>
      <c r="E61" s="20" t="str">
        <f>IF(T29Manip!C78="","",T29Manip!C78)</f>
        <v>—</v>
      </c>
      <c r="F61" s="20">
        <f>IF(T29Manip!D78="","",T29Manip!D78)</f>
        <v>2447240</v>
      </c>
      <c r="G61" s="20" t="str">
        <f>IF(T29Manip!E78="","",T29Manip!E78)</f>
        <v>—</v>
      </c>
      <c r="H61" s="20"/>
      <c r="I61" s="20">
        <f>IF(T29Manip!F78="","",T29Manip!F78)</f>
        <v>1848665</v>
      </c>
      <c r="J61" s="20" t="str">
        <f>IF(T29Manip!G78="","",T29Manip!G78)</f>
        <v>—</v>
      </c>
      <c r="K61" s="20" t="str">
        <f>IF(T29Manip!H78="","",T29Manip!H78)</f>
        <v>—</v>
      </c>
      <c r="L61" s="20" t="str">
        <f>IF(T29Manip!I78="","",T29Manip!I78)</f>
        <v>—</v>
      </c>
      <c r="M61" s="20"/>
      <c r="N61" s="20" t="str">
        <f>IF(T29Manip!J78="","",T29Manip!J78)</f>
        <v>—</v>
      </c>
      <c r="O61" s="20"/>
      <c r="P61" s="20" t="str">
        <f>IF(T29Manip!K78="","",T29Manip!K78)</f>
        <v>—</v>
      </c>
      <c r="Q61" s="20" t="str">
        <f>IF(T29Manip!L78="","",T29Manip!L78)</f>
        <v>—</v>
      </c>
      <c r="R61" s="19"/>
      <c r="S61" s="778">
        <f t="shared" si="0"/>
        <v>4295905</v>
      </c>
    </row>
    <row r="62" spans="1:27">
      <c r="A62" s="773"/>
      <c r="B62" s="13"/>
      <c r="C62" s="18" t="s">
        <v>1470</v>
      </c>
      <c r="D62" s="24"/>
      <c r="E62" s="20">
        <f>IF(T29Manip!C79="","",T29Manip!C79)</f>
        <v>333094</v>
      </c>
      <c r="F62" s="20">
        <f>IF(T29Manip!D79="","",T29Manip!D79)</f>
        <v>1407597</v>
      </c>
      <c r="G62" s="20">
        <f>IF(T29Manip!E79="","",T29Manip!E79)</f>
        <v>717121</v>
      </c>
      <c r="H62" s="20"/>
      <c r="I62" s="20">
        <f>IF(T29Manip!F79="","",T29Manip!F79)</f>
        <v>747950</v>
      </c>
      <c r="J62" s="20">
        <f>IF(T29Manip!G79="","",T29Manip!G79)</f>
        <v>350934</v>
      </c>
      <c r="K62" s="20" t="str">
        <f>IF(T29Manip!H79="","",T29Manip!H79)</f>
        <v>—</v>
      </c>
      <c r="L62" s="20" t="str">
        <f>IF(T29Manip!I79="","",T29Manip!I79)</f>
        <v>—</v>
      </c>
      <c r="M62" s="20"/>
      <c r="N62" s="20">
        <f>IF(T29Manip!J79="","",T29Manip!J79)</f>
        <v>620979</v>
      </c>
      <c r="O62" s="20"/>
      <c r="P62" s="20">
        <f>IF(T29Manip!K79="","",T29Manip!K79)</f>
        <v>706000</v>
      </c>
      <c r="Q62" s="20" t="str">
        <f>IF(T29Manip!L79="","",T29Manip!L79)</f>
        <v>—</v>
      </c>
      <c r="R62" s="19"/>
      <c r="S62" s="778">
        <f t="shared" si="0"/>
        <v>4883675</v>
      </c>
    </row>
    <row r="63" spans="1:27">
      <c r="A63" s="777">
        <v>2019</v>
      </c>
      <c r="B63" s="13"/>
      <c r="C63" s="18" t="s">
        <v>1467</v>
      </c>
      <c r="D63" s="24"/>
      <c r="E63" s="20" t="str">
        <f>T29Manip!C80</f>
        <v>—</v>
      </c>
      <c r="F63" s="20">
        <f>T29Manip!D80</f>
        <v>502403</v>
      </c>
      <c r="G63" s="20">
        <f>T29Manip!E80</f>
        <v>1331398</v>
      </c>
      <c r="H63" s="20"/>
      <c r="I63" s="20">
        <f>T29Manip!F80</f>
        <v>238381</v>
      </c>
      <c r="J63" s="20">
        <f>T29Manip!G80</f>
        <v>411810</v>
      </c>
      <c r="K63" s="20" t="str">
        <f>IF(T29Manip!H80="","",T29Manip!H80)</f>
        <v>—</v>
      </c>
      <c r="L63" s="20">
        <f>T29Manip!I80</f>
        <v>630663</v>
      </c>
      <c r="M63" s="20"/>
      <c r="N63" s="20">
        <f>T29Manip!J80</f>
        <v>375927</v>
      </c>
      <c r="O63" s="20"/>
      <c r="P63" s="20">
        <f>T29Manip!K80</f>
        <v>245800</v>
      </c>
      <c r="Q63" s="20" t="str">
        <f>T29Manip!L80</f>
        <v>—</v>
      </c>
      <c r="R63" s="20"/>
      <c r="S63" s="778">
        <f t="shared" si="0"/>
        <v>3736382</v>
      </c>
      <c r="U63" s="813"/>
      <c r="V63" s="813"/>
      <c r="X63" s="813"/>
      <c r="Y63" s="813"/>
      <c r="Z63" s="813"/>
      <c r="AA63" s="813"/>
    </row>
    <row r="64" spans="1:27">
      <c r="A64" s="773"/>
      <c r="B64" s="13"/>
      <c r="C64" s="18" t="s">
        <v>1468</v>
      </c>
      <c r="D64" s="24"/>
      <c r="E64" s="20" t="str">
        <f>T29Manip!C81</f>
        <v>—</v>
      </c>
      <c r="F64" s="20">
        <f>T29Manip!D81</f>
        <v>196215</v>
      </c>
      <c r="G64" s="20" t="str">
        <f>T29Manip!E81</f>
        <v>—</v>
      </c>
      <c r="H64" s="20"/>
      <c r="I64" s="20" t="str">
        <f>T29Manip!F81</f>
        <v>—</v>
      </c>
      <c r="J64" s="20" t="str">
        <f>T29Manip!G81</f>
        <v>—</v>
      </c>
      <c r="K64" s="20" t="str">
        <f>IF(T29Manip!H81="","",T29Manip!H81)</f>
        <v>—</v>
      </c>
      <c r="L64" s="20" t="str">
        <f>T29Manip!I81</f>
        <v>—</v>
      </c>
      <c r="M64" s="20"/>
      <c r="N64" s="20" t="str">
        <f>T29Manip!J81</f>
        <v>—</v>
      </c>
      <c r="O64" s="20"/>
      <c r="P64" s="20" t="str">
        <f>T29Manip!K81</f>
        <v>—</v>
      </c>
      <c r="Q64" s="20" t="str">
        <f>T29Manip!L81</f>
        <v>—</v>
      </c>
      <c r="R64" s="20"/>
      <c r="S64" s="778">
        <f t="shared" si="0"/>
        <v>196215</v>
      </c>
      <c r="V64" s="813"/>
    </row>
    <row r="65" spans="1:21">
      <c r="A65" s="773"/>
      <c r="B65" s="13"/>
      <c r="C65" s="18" t="s">
        <v>1469</v>
      </c>
      <c r="D65" s="24"/>
      <c r="E65" s="20" t="str">
        <f>T29Manip!C82</f>
        <v>—</v>
      </c>
      <c r="F65" s="20">
        <f>T29Manip!D82</f>
        <v>558797</v>
      </c>
      <c r="G65" s="20" t="str">
        <f>T29Manip!E82</f>
        <v>—</v>
      </c>
      <c r="H65" s="20"/>
      <c r="I65" s="20">
        <f>T29Manip!F82</f>
        <v>1946024</v>
      </c>
      <c r="J65" s="20" t="str">
        <f>T29Manip!G82</f>
        <v>—</v>
      </c>
      <c r="K65" s="20" t="str">
        <f>IF(T29Manip!H82="","",T29Manip!H82)</f>
        <v>—</v>
      </c>
      <c r="L65" s="20" t="str">
        <f>T29Manip!I82</f>
        <v>—</v>
      </c>
      <c r="M65" s="20"/>
      <c r="N65" s="20" t="str">
        <f>T29Manip!J82</f>
        <v>—</v>
      </c>
      <c r="O65" s="20"/>
      <c r="P65" s="20" t="str">
        <f>T29Manip!K82</f>
        <v>—</v>
      </c>
      <c r="Q65" s="20" t="str">
        <f>T29Manip!L82</f>
        <v>—</v>
      </c>
      <c r="R65" s="20"/>
      <c r="S65" s="778">
        <f t="shared" si="0"/>
        <v>2504821</v>
      </c>
    </row>
    <row r="66" spans="1:21">
      <c r="A66" s="773"/>
      <c r="B66" s="13"/>
      <c r="C66" s="18" t="s">
        <v>1470</v>
      </c>
      <c r="D66" s="24"/>
      <c r="E66" s="20">
        <f>T29Manip!C83</f>
        <v>436803</v>
      </c>
      <c r="F66" s="20">
        <f>T29Manip!D83</f>
        <v>1425603</v>
      </c>
      <c r="G66" s="20">
        <f>T29Manip!E83</f>
        <v>745478</v>
      </c>
      <c r="H66" s="20"/>
      <c r="I66" s="20">
        <f>T29Manip!F83</f>
        <v>751019</v>
      </c>
      <c r="J66" s="20">
        <f>T29Manip!G83</f>
        <v>367768</v>
      </c>
      <c r="K66" s="20" t="str">
        <f>IF(T29Manip!H83="","",T29Manip!H83)</f>
        <v>—</v>
      </c>
      <c r="L66" s="20" t="str">
        <f>T29Manip!I83</f>
        <v>—</v>
      </c>
      <c r="M66" s="20"/>
      <c r="N66" s="20">
        <f>T29Manip!J83</f>
        <v>646199</v>
      </c>
      <c r="O66" s="20"/>
      <c r="P66" s="20">
        <f>T29Manip!K83</f>
        <v>176000</v>
      </c>
      <c r="Q66" s="20" t="str">
        <f>T29Manip!L83</f>
        <v>—</v>
      </c>
      <c r="R66" s="20"/>
      <c r="S66" s="778">
        <f t="shared" si="0"/>
        <v>4548870</v>
      </c>
    </row>
    <row r="67" spans="1:21">
      <c r="A67" s="779" t="s">
        <v>908</v>
      </c>
      <c r="B67" s="13"/>
      <c r="C67" s="18" t="s">
        <v>1467</v>
      </c>
      <c r="D67" s="24"/>
      <c r="E67" s="20" t="str">
        <f>T29Manip!C84</f>
        <v>—</v>
      </c>
      <c r="F67" s="20">
        <f>T29Manip!D84</f>
        <v>429065</v>
      </c>
      <c r="G67" s="20">
        <f>T29Manip!E84</f>
        <v>1261978</v>
      </c>
      <c r="H67" s="20"/>
      <c r="I67" s="20">
        <f>T29Manip!F84</f>
        <v>281229</v>
      </c>
      <c r="J67" s="20">
        <f>T29Manip!G84</f>
        <v>371470</v>
      </c>
      <c r="K67" s="20" t="str">
        <f>IF(T29Manip!H84="","",T29Manip!H84)</f>
        <v>—</v>
      </c>
      <c r="L67" s="20">
        <f>T29Manip!I84</f>
        <v>564789</v>
      </c>
      <c r="M67" s="20"/>
      <c r="N67" s="20">
        <f>T29Manip!J84</f>
        <v>397488</v>
      </c>
      <c r="O67" s="20"/>
      <c r="P67" s="20">
        <f>T29Manip!K84</f>
        <v>19713</v>
      </c>
      <c r="Q67" s="20" t="str">
        <f>T29Manip!L84</f>
        <v>—</v>
      </c>
      <c r="R67" s="20"/>
      <c r="S67" s="778">
        <f t="shared" si="0"/>
        <v>3325732</v>
      </c>
      <c r="U67" s="813"/>
    </row>
    <row r="68" spans="1:21">
      <c r="A68" s="773"/>
      <c r="B68" s="13"/>
      <c r="C68" s="18" t="s">
        <v>1468</v>
      </c>
      <c r="D68" s="24"/>
      <c r="E68" s="20" t="str">
        <f>T29Manip!C85</f>
        <v>—</v>
      </c>
      <c r="F68" s="20">
        <f>T29Manip!D85</f>
        <v>87325</v>
      </c>
      <c r="G68" s="20" t="str">
        <f>T29Manip!E85</f>
        <v>—</v>
      </c>
      <c r="H68" s="20"/>
      <c r="I68" s="20" t="str">
        <f>T29Manip!F85</f>
        <v>—</v>
      </c>
      <c r="J68" s="20" t="str">
        <f>T29Manip!G85</f>
        <v>—</v>
      </c>
      <c r="K68" s="20" t="str">
        <f>IF(T29Manip!H85="","",T29Manip!H85)</f>
        <v>—</v>
      </c>
      <c r="L68" s="20" t="str">
        <f>T29Manip!I85</f>
        <v>—</v>
      </c>
      <c r="M68" s="20"/>
      <c r="N68" s="20" t="str">
        <f>T29Manip!J85</f>
        <v>—</v>
      </c>
      <c r="O68" s="20"/>
      <c r="P68" s="20" t="str">
        <f>T29Manip!K85</f>
        <v>—</v>
      </c>
      <c r="Q68" s="20" t="str">
        <f>T29Manip!L85</f>
        <v>—</v>
      </c>
      <c r="R68" s="20"/>
      <c r="S68" s="778">
        <f t="shared" si="0"/>
        <v>87325</v>
      </c>
    </row>
    <row r="69" spans="1:21">
      <c r="A69" s="773"/>
      <c r="B69" s="13"/>
      <c r="C69" s="18" t="s">
        <v>1469</v>
      </c>
      <c r="D69" s="24"/>
      <c r="E69" s="20" t="str">
        <f>T29Manip!C86</f>
        <v>—</v>
      </c>
      <c r="F69" s="20">
        <f>T29Manip!D86</f>
        <v>1177570</v>
      </c>
      <c r="G69" s="20" t="str">
        <f>T29Manip!E86</f>
        <v>—</v>
      </c>
      <c r="H69" s="20"/>
      <c r="I69" s="20">
        <f>T29Manip!F86</f>
        <v>1401313</v>
      </c>
      <c r="J69" s="20" t="str">
        <f>T29Manip!G86</f>
        <v>—</v>
      </c>
      <c r="K69" s="20" t="str">
        <f>IF(T29Manip!H86="","",T29Manip!H86)</f>
        <v>—</v>
      </c>
      <c r="L69" s="20" t="str">
        <f>T29Manip!I86</f>
        <v>—</v>
      </c>
      <c r="M69" s="20"/>
      <c r="N69" s="20" t="str">
        <f>T29Manip!J86</f>
        <v>—</v>
      </c>
      <c r="O69" s="20"/>
      <c r="P69" s="20" t="str">
        <f>T29Manip!K86</f>
        <v>—</v>
      </c>
      <c r="Q69" s="20" t="str">
        <f>T29Manip!L86</f>
        <v>—</v>
      </c>
      <c r="R69" s="20"/>
      <c r="S69" s="778">
        <f t="shared" si="0"/>
        <v>2578883</v>
      </c>
    </row>
    <row r="70" spans="1:21">
      <c r="A70" s="773"/>
      <c r="B70" s="13"/>
      <c r="C70" s="18" t="s">
        <v>1470</v>
      </c>
      <c r="D70" s="24"/>
      <c r="E70" s="20">
        <f>T29Manip!C87</f>
        <v>372109</v>
      </c>
      <c r="F70" s="20">
        <f>T29Manip!D87</f>
        <v>1284059</v>
      </c>
      <c r="G70" s="20">
        <f>T29Manip!E87</f>
        <v>560733</v>
      </c>
      <c r="H70" s="20"/>
      <c r="I70" s="20">
        <f>T29Manip!F87</f>
        <v>728225</v>
      </c>
      <c r="J70" s="20">
        <f>T29Manip!G87</f>
        <v>406158</v>
      </c>
      <c r="K70" s="20" t="str">
        <f>IF(T29Manip!H87="","",T29Manip!H87)</f>
        <v>—</v>
      </c>
      <c r="L70" s="20" t="str">
        <f>T29Manip!I87</f>
        <v>—</v>
      </c>
      <c r="M70" s="20"/>
      <c r="N70" s="20">
        <f>T29Manip!J87</f>
        <v>336845</v>
      </c>
      <c r="O70" s="20"/>
      <c r="P70" s="20">
        <f>T29Manip!K87</f>
        <v>154000</v>
      </c>
      <c r="Q70" s="20" t="str">
        <f>T29Manip!L87</f>
        <v>—</v>
      </c>
      <c r="R70" s="20"/>
      <c r="S70" s="778">
        <f t="shared" si="0"/>
        <v>3842129</v>
      </c>
    </row>
    <row r="71" spans="1:21">
      <c r="A71" s="779" t="s">
        <v>909</v>
      </c>
      <c r="B71" s="13"/>
      <c r="C71" s="18" t="s">
        <v>1467</v>
      </c>
      <c r="D71" s="24"/>
      <c r="E71" s="20" t="str">
        <f>T29Manip!C88</f>
        <v>—</v>
      </c>
      <c r="F71" s="20">
        <f>T29Manip!D88</f>
        <v>489423</v>
      </c>
      <c r="G71" s="20">
        <f>T29Manip!E88</f>
        <v>1156485</v>
      </c>
      <c r="H71" s="20"/>
      <c r="I71" s="20">
        <f>T29Manip!F88</f>
        <v>230728</v>
      </c>
      <c r="J71" s="20">
        <f>T29Manip!G88</f>
        <v>379989</v>
      </c>
      <c r="K71" s="20">
        <f>IF(T29Manip!H88="","",T29Manip!H88)</f>
        <v>292049</v>
      </c>
      <c r="L71" s="20">
        <f>T29Manip!I88</f>
        <v>372045</v>
      </c>
      <c r="M71" s="20"/>
      <c r="N71" s="20">
        <f>T29Manip!J88</f>
        <v>374028</v>
      </c>
      <c r="O71" s="20"/>
      <c r="P71" s="20">
        <f>T29Manip!K88</f>
        <v>609000</v>
      </c>
      <c r="Q71" s="20" t="str">
        <f>T29Manip!L88</f>
        <v>—</v>
      </c>
      <c r="R71" s="20"/>
      <c r="S71" s="778">
        <f t="shared" ref="S71:S74" si="1">SUM(E71:Q71)</f>
        <v>3903747</v>
      </c>
    </row>
    <row r="72" spans="1:21">
      <c r="A72" s="773"/>
      <c r="B72" s="13"/>
      <c r="C72" s="18" t="s">
        <v>1468</v>
      </c>
      <c r="D72" s="24"/>
      <c r="E72" s="20" t="str">
        <f>T29Manip!C89</f>
        <v>—</v>
      </c>
      <c r="F72" s="20">
        <f>T29Manip!D89</f>
        <v>784592</v>
      </c>
      <c r="G72" s="20" t="str">
        <f>T29Manip!E89</f>
        <v>—</v>
      </c>
      <c r="H72" s="20"/>
      <c r="I72" s="20" t="str">
        <f>T29Manip!F89</f>
        <v>—</v>
      </c>
      <c r="J72" s="20" t="str">
        <f>T29Manip!G89</f>
        <v>—</v>
      </c>
      <c r="K72" s="20" t="str">
        <f>IF(T29Manip!H89="","",T29Manip!H89)</f>
        <v>—</v>
      </c>
      <c r="L72" s="20" t="str">
        <f>T29Manip!I89</f>
        <v>—</v>
      </c>
      <c r="M72" s="20"/>
      <c r="N72" s="20" t="str">
        <f>T29Manip!J89</f>
        <v>—</v>
      </c>
      <c r="O72" s="20"/>
      <c r="P72" s="20" t="str">
        <f>T29Manip!K89</f>
        <v>—</v>
      </c>
      <c r="Q72" s="20" t="str">
        <f>T29Manip!L89</f>
        <v>—</v>
      </c>
      <c r="R72" s="20"/>
      <c r="S72" s="778">
        <f t="shared" si="1"/>
        <v>784592</v>
      </c>
    </row>
    <row r="73" spans="1:21">
      <c r="A73" s="773"/>
      <c r="B73" s="13"/>
      <c r="C73" s="18" t="s">
        <v>1469</v>
      </c>
      <c r="D73" s="24"/>
      <c r="E73" s="20" t="str">
        <f>T29Manip!C90</f>
        <v>—</v>
      </c>
      <c r="F73" s="20" t="str">
        <f>T29Manip!D90</f>
        <v>—</v>
      </c>
      <c r="G73" s="20">
        <f>T29Manip!E90</f>
        <v>4650840</v>
      </c>
      <c r="H73" s="20"/>
      <c r="I73" s="20">
        <f>T29Manip!F90</f>
        <v>1371098</v>
      </c>
      <c r="J73" s="20" t="str">
        <f>T29Manip!G90</f>
        <v>—</v>
      </c>
      <c r="K73" s="20" t="str">
        <f>IF(T29Manip!H90="","",T29Manip!H90)</f>
        <v>—</v>
      </c>
      <c r="L73" s="20" t="str">
        <f>T29Manip!I90</f>
        <v>—</v>
      </c>
      <c r="M73" s="20"/>
      <c r="N73" s="20" t="str">
        <f>T29Manip!J90</f>
        <v>—</v>
      </c>
      <c r="O73" s="20"/>
      <c r="P73" s="20" t="str">
        <f>T29Manip!K90</f>
        <v>—</v>
      </c>
      <c r="Q73" s="20" t="str">
        <f>T29Manip!L90</f>
        <v>—</v>
      </c>
      <c r="R73" s="20"/>
      <c r="S73" s="778">
        <f t="shared" si="1"/>
        <v>6021938</v>
      </c>
    </row>
    <row r="74" spans="1:21">
      <c r="A74" s="773"/>
      <c r="B74" s="13"/>
      <c r="C74" s="18" t="s">
        <v>1470</v>
      </c>
      <c r="D74" s="24"/>
      <c r="E74" s="20">
        <f>T29Manip!C91</f>
        <v>379759</v>
      </c>
      <c r="F74" s="20">
        <f>T29Manip!D91</f>
        <v>1367170</v>
      </c>
      <c r="G74" s="20">
        <f>T29Manip!E91</f>
        <v>793056</v>
      </c>
      <c r="H74" s="20"/>
      <c r="I74" s="20">
        <f>T29Manip!F91</f>
        <v>745236</v>
      </c>
      <c r="J74" s="20">
        <f>T29Manip!G91</f>
        <v>413874</v>
      </c>
      <c r="K74" s="20" t="str">
        <f>IF(T29Manip!H91="","",T29Manip!H91)</f>
        <v>—</v>
      </c>
      <c r="L74" s="20" t="str">
        <f>T29Manip!I91</f>
        <v>—</v>
      </c>
      <c r="M74" s="20"/>
      <c r="N74" s="20">
        <f>T29Manip!J91</f>
        <v>611269</v>
      </c>
      <c r="O74" s="20"/>
      <c r="P74" s="20">
        <f>T29Manip!K91</f>
        <v>709400</v>
      </c>
      <c r="Q74" s="20" t="str">
        <f>T29Manip!L91</f>
        <v>—</v>
      </c>
      <c r="R74" s="20"/>
      <c r="S74" s="778">
        <f t="shared" si="1"/>
        <v>5019764</v>
      </c>
    </row>
    <row r="75" spans="1:21" ht="14.25">
      <c r="A75" s="779" t="s">
        <v>1486</v>
      </c>
      <c r="B75" s="13"/>
      <c r="C75" s="18" t="s">
        <v>1467</v>
      </c>
      <c r="D75" s="24"/>
      <c r="E75" s="20" t="str">
        <f>T29Manip!C92</f>
        <v>—</v>
      </c>
      <c r="F75" s="20">
        <f>T29Manip!D92</f>
        <v>496271</v>
      </c>
      <c r="G75" s="20">
        <f>T29Manip!E92</f>
        <v>1201743</v>
      </c>
      <c r="H75" s="20"/>
      <c r="I75" s="20">
        <f>T29Manip!F92</f>
        <v>250441</v>
      </c>
      <c r="J75" s="20">
        <f>T29Manip!G92</f>
        <v>369602</v>
      </c>
      <c r="K75" s="20">
        <f>IF(T29Manip!H92="","",T29Manip!H92)</f>
        <v>289788</v>
      </c>
      <c r="L75" s="20">
        <f>T29Manip!I92</f>
        <v>289592</v>
      </c>
      <c r="M75" s="20"/>
      <c r="N75" s="20">
        <f>T29Manip!J92</f>
        <v>467360</v>
      </c>
      <c r="O75" s="20"/>
      <c r="P75" s="20">
        <f>T29Manip!K92</f>
        <v>214800</v>
      </c>
      <c r="Q75" s="20" t="str">
        <f>T29Manip!L92</f>
        <v>—</v>
      </c>
      <c r="R75" s="20"/>
      <c r="S75" s="778">
        <f t="shared" ref="S75:S78" si="2">SUM(E75:Q75)</f>
        <v>3579597</v>
      </c>
    </row>
    <row r="76" spans="1:21">
      <c r="A76" s="773"/>
      <c r="B76" s="13"/>
      <c r="C76" s="18" t="s">
        <v>1468</v>
      </c>
      <c r="D76" s="24"/>
      <c r="E76" s="20" t="str">
        <f>T29Manip!C93</f>
        <v>—</v>
      </c>
      <c r="F76" s="20">
        <f>T29Manip!D93</f>
        <v>266226</v>
      </c>
      <c r="G76" s="20" t="str">
        <f>T29Manip!E93</f>
        <v>—</v>
      </c>
      <c r="H76" s="20"/>
      <c r="I76" s="20" t="str">
        <f>T29Manip!F93</f>
        <v>—</v>
      </c>
      <c r="J76" s="20" t="str">
        <f>T29Manip!G93</f>
        <v>—</v>
      </c>
      <c r="K76" s="20" t="str">
        <f>IF(T29Manip!H93="","",T29Manip!H93)</f>
        <v>—</v>
      </c>
      <c r="L76" s="20" t="str">
        <f>T29Manip!I93</f>
        <v>—</v>
      </c>
      <c r="M76" s="20"/>
      <c r="N76" s="20" t="str">
        <f>T29Manip!J93</f>
        <v>—</v>
      </c>
      <c r="O76" s="20"/>
      <c r="P76" s="20" t="str">
        <f>T29Manip!K93</f>
        <v>—</v>
      </c>
      <c r="Q76" s="20" t="str">
        <f>T29Manip!L93</f>
        <v>—</v>
      </c>
      <c r="R76" s="20"/>
      <c r="S76" s="778">
        <f t="shared" si="2"/>
        <v>266226</v>
      </c>
    </row>
    <row r="77" spans="1:21">
      <c r="A77" s="773"/>
      <c r="B77" s="13"/>
      <c r="C77" s="18" t="s">
        <v>1469</v>
      </c>
      <c r="D77" s="24"/>
      <c r="E77" s="20" t="str">
        <f>T29Manip!C94</f>
        <v>—</v>
      </c>
      <c r="F77" s="20" t="str">
        <f>T29Manip!D94</f>
        <v>—</v>
      </c>
      <c r="G77" s="20" t="str">
        <f>T29Manip!E94</f>
        <v>—</v>
      </c>
      <c r="H77" s="20"/>
      <c r="I77" s="20">
        <f>T29Manip!F94</f>
        <v>1557087</v>
      </c>
      <c r="J77" s="20" t="str">
        <f>T29Manip!G94</f>
        <v>—</v>
      </c>
      <c r="K77" s="20" t="str">
        <f>IF(T29Manip!H94="","",T29Manip!H94)</f>
        <v>—</v>
      </c>
      <c r="L77" s="20" t="str">
        <f>T29Manip!I94</f>
        <v>—</v>
      </c>
      <c r="M77" s="20"/>
      <c r="N77" s="20" t="str">
        <f>T29Manip!J94</f>
        <v>—</v>
      </c>
      <c r="O77" s="20"/>
      <c r="P77" s="20" t="str">
        <f>T29Manip!K94</f>
        <v>—</v>
      </c>
      <c r="Q77" s="20" t="str">
        <f>T29Manip!L94</f>
        <v>—</v>
      </c>
      <c r="R77" s="20"/>
      <c r="S77" s="778">
        <f t="shared" si="2"/>
        <v>1557087</v>
      </c>
    </row>
    <row r="78" spans="1:21" ht="17.25" customHeight="1">
      <c r="A78" s="773"/>
      <c r="B78" s="13"/>
      <c r="C78" s="18" t="s">
        <v>1470</v>
      </c>
      <c r="D78" s="24"/>
      <c r="E78" s="20">
        <f>T29Manip!C95</f>
        <v>332629</v>
      </c>
      <c r="F78" s="20">
        <f>T29Manip!D95</f>
        <v>1159295</v>
      </c>
      <c r="G78" s="20">
        <f>T29Manip!E95</f>
        <v>673629</v>
      </c>
      <c r="H78" s="20"/>
      <c r="I78" s="20">
        <f>T29Manip!F95</f>
        <v>726006</v>
      </c>
      <c r="J78" s="20">
        <f>T29Manip!G95</f>
        <v>418455</v>
      </c>
      <c r="K78" s="20" t="str">
        <f>IF(T29Manip!H95="","",T29Manip!H95)</f>
        <v>—</v>
      </c>
      <c r="L78" s="20" t="str">
        <f>T29Manip!I95</f>
        <v>—</v>
      </c>
      <c r="M78" s="20"/>
      <c r="N78" s="20">
        <f>T29Manip!J95</f>
        <v>605933</v>
      </c>
      <c r="O78" s="20"/>
      <c r="P78" s="20">
        <f>T29Manip!K95</f>
        <v>682600</v>
      </c>
      <c r="Q78" s="20" t="str">
        <f>T29Manip!L95</f>
        <v>—</v>
      </c>
      <c r="R78" s="20"/>
      <c r="S78" s="778">
        <f t="shared" si="2"/>
        <v>4598547</v>
      </c>
    </row>
    <row r="79" spans="1:21" ht="17.100000000000001" customHeight="1">
      <c r="A79" s="779" t="s">
        <v>1487</v>
      </c>
      <c r="B79" s="13"/>
      <c r="C79" s="18" t="s">
        <v>1467</v>
      </c>
      <c r="D79" s="24"/>
      <c r="E79" s="20" t="str">
        <f>T29Manip!C96</f>
        <v>—</v>
      </c>
      <c r="F79" s="20">
        <f>T29Manip!D96</f>
        <v>495876</v>
      </c>
      <c r="G79" s="20">
        <f>T29Manip!E96</f>
        <v>1262930</v>
      </c>
      <c r="H79" s="20"/>
      <c r="I79" s="20">
        <f>T29Manip!F96</f>
        <v>221386</v>
      </c>
      <c r="J79" s="20">
        <f>T29Manip!G96</f>
        <v>367468</v>
      </c>
      <c r="K79" s="20">
        <f>IF(T29Manip!H96="","",T29Manip!H96)</f>
        <v>283927</v>
      </c>
      <c r="L79" s="20">
        <f>T29Manip!I96</f>
        <v>265290</v>
      </c>
      <c r="M79" s="20"/>
      <c r="N79" s="20">
        <f>T29Manip!J96</f>
        <v>429187</v>
      </c>
      <c r="O79" s="20"/>
      <c r="P79" s="20">
        <f>T29Manip!K96</f>
        <v>229938</v>
      </c>
      <c r="Q79" s="20" t="str">
        <f>T29Manip!L96</f>
        <v>—</v>
      </c>
      <c r="R79" s="20"/>
      <c r="S79" s="778">
        <f t="shared" ref="S79:S82" si="3">SUM(E79:Q79)</f>
        <v>3556002</v>
      </c>
    </row>
    <row r="80" spans="1:21">
      <c r="A80" s="773"/>
      <c r="B80" s="13"/>
      <c r="C80" s="18" t="s">
        <v>1468</v>
      </c>
      <c r="D80" s="24"/>
      <c r="E80" s="20" t="str">
        <f>T29Manip!C97</f>
        <v>—</v>
      </c>
      <c r="F80" s="20">
        <f>T29Manip!D97</f>
        <v>182639</v>
      </c>
      <c r="G80" s="20" t="str">
        <f>T29Manip!E97</f>
        <v>—</v>
      </c>
      <c r="H80" s="20"/>
      <c r="I80" s="20" t="str">
        <f>T29Manip!F97</f>
        <v>—</v>
      </c>
      <c r="J80" s="20" t="str">
        <f>T29Manip!G97</f>
        <v>—</v>
      </c>
      <c r="K80" s="20" t="str">
        <f>IF(T29Manip!H97="","",T29Manip!H97)</f>
        <v>—</v>
      </c>
      <c r="L80" s="20" t="str">
        <f>T29Manip!I97</f>
        <v>—</v>
      </c>
      <c r="M80" s="20"/>
      <c r="N80" s="20" t="str">
        <f>T29Manip!J97</f>
        <v>—</v>
      </c>
      <c r="O80" s="20"/>
      <c r="P80" s="20" t="str">
        <f>T29Manip!K97</f>
        <v>—</v>
      </c>
      <c r="Q80" s="20" t="str">
        <f>T29Manip!L97</f>
        <v>—</v>
      </c>
      <c r="R80" s="20"/>
      <c r="S80" s="778">
        <f t="shared" si="3"/>
        <v>182639</v>
      </c>
    </row>
    <row r="81" spans="1:19">
      <c r="A81" s="773"/>
      <c r="B81" s="13"/>
      <c r="C81" s="18" t="s">
        <v>1469</v>
      </c>
      <c r="D81" s="24"/>
      <c r="E81" s="20" t="str">
        <f>T29Manip!C98</f>
        <v>—</v>
      </c>
      <c r="F81" s="20" t="str">
        <f>T29Manip!D98</f>
        <v>—</v>
      </c>
      <c r="G81" s="20">
        <f>T29Manip!E98</f>
        <v>2499349</v>
      </c>
      <c r="H81" s="20"/>
      <c r="I81" s="20">
        <f>T29Manip!F98</f>
        <v>1427891</v>
      </c>
      <c r="J81" s="20" t="str">
        <f>T29Manip!G98</f>
        <v>—</v>
      </c>
      <c r="K81" s="20" t="str">
        <f>IF(T29Manip!H98="","",T29Manip!H98)</f>
        <v>—</v>
      </c>
      <c r="L81" s="20" t="str">
        <f>T29Manip!I98</f>
        <v>—</v>
      </c>
      <c r="M81" s="20"/>
      <c r="N81" s="20" t="str">
        <f>T29Manip!J98</f>
        <v>—</v>
      </c>
      <c r="O81" s="20"/>
      <c r="P81" s="20" t="str">
        <f>T29Manip!K98</f>
        <v>—</v>
      </c>
      <c r="Q81" s="20" t="str">
        <f>T29Manip!L98</f>
        <v>—</v>
      </c>
      <c r="R81" s="20"/>
      <c r="S81" s="778">
        <f t="shared" si="3"/>
        <v>3927240</v>
      </c>
    </row>
    <row r="82" spans="1:19">
      <c r="A82" s="1213"/>
      <c r="B82" s="780"/>
      <c r="C82" s="781" t="s">
        <v>1470</v>
      </c>
      <c r="D82" s="782"/>
      <c r="E82" s="783">
        <f>T29Manip!C99</f>
        <v>430187</v>
      </c>
      <c r="F82" s="783">
        <f>T29Manip!D99</f>
        <v>1212384</v>
      </c>
      <c r="G82" s="783">
        <f>T29Manip!E99</f>
        <v>655343</v>
      </c>
      <c r="H82" s="783"/>
      <c r="I82" s="783">
        <f>T29Manip!F99</f>
        <v>729123</v>
      </c>
      <c r="J82" s="783">
        <f>T29Manip!G99</f>
        <v>409501</v>
      </c>
      <c r="K82" s="783" t="str">
        <f>IF(T29Manip!H99="","",T29Manip!H99)</f>
        <v>—</v>
      </c>
      <c r="L82" s="783" t="str">
        <f>T29Manip!I99</f>
        <v>—</v>
      </c>
      <c r="M82" s="783"/>
      <c r="N82" s="783">
        <f>T29Manip!J99</f>
        <v>654269</v>
      </c>
      <c r="O82" s="783"/>
      <c r="P82" s="783">
        <f>T29Manip!K99</f>
        <v>727579</v>
      </c>
      <c r="Q82" s="783" t="str">
        <f>T29Manip!L99</f>
        <v>—</v>
      </c>
      <c r="R82" s="783"/>
      <c r="S82" s="784">
        <f t="shared" si="3"/>
        <v>4818386</v>
      </c>
    </row>
    <row r="83" spans="1:19" ht="18.75">
      <c r="A83" s="448" t="s">
        <v>1488</v>
      </c>
      <c r="B83" s="449"/>
      <c r="C83" s="449"/>
      <c r="D83" s="449"/>
      <c r="E83" s="449"/>
      <c r="F83" s="449"/>
      <c r="G83" s="449"/>
      <c r="H83" s="449"/>
      <c r="I83" s="449"/>
      <c r="J83" s="449"/>
      <c r="K83" s="449"/>
      <c r="L83" s="449"/>
      <c r="M83" s="449"/>
      <c r="N83" s="449"/>
      <c r="O83" s="449"/>
      <c r="P83" s="449"/>
      <c r="Q83" s="449"/>
      <c r="R83" s="449"/>
      <c r="S83" s="801"/>
    </row>
    <row r="84" spans="1:19" ht="18.75">
      <c r="A84" s="450" t="s">
        <v>1489</v>
      </c>
      <c r="B84" s="449"/>
      <c r="C84" s="449"/>
      <c r="D84" s="449"/>
      <c r="E84" s="451"/>
      <c r="F84" s="451"/>
      <c r="G84" s="451"/>
      <c r="H84" s="451"/>
      <c r="I84" s="451"/>
      <c r="J84" s="451"/>
      <c r="K84" s="451"/>
      <c r="L84" s="451"/>
      <c r="M84" s="451"/>
      <c r="N84" s="451"/>
      <c r="O84" s="451"/>
      <c r="P84" s="451"/>
      <c r="Q84" s="451"/>
      <c r="R84" s="451"/>
      <c r="S84" s="451"/>
    </row>
    <row r="85" spans="1:19" ht="18.75">
      <c r="A85" s="450" t="s">
        <v>1490</v>
      </c>
      <c r="B85" s="42"/>
      <c r="C85" s="42"/>
      <c r="D85" s="42"/>
      <c r="E85" s="45"/>
      <c r="F85" s="45"/>
      <c r="G85" s="45"/>
      <c r="H85" s="45"/>
      <c r="I85" s="45"/>
      <c r="J85" s="45"/>
      <c r="K85" s="45"/>
      <c r="L85" s="45"/>
      <c r="M85" s="45"/>
      <c r="N85" s="45"/>
      <c r="O85" s="45"/>
      <c r="P85" s="45"/>
      <c r="Q85" s="45"/>
      <c r="R85" s="45"/>
      <c r="S85" s="45"/>
    </row>
    <row r="86" spans="1:19" ht="15.75">
      <c r="A86" s="800"/>
      <c r="B86" s="42"/>
      <c r="C86" s="42"/>
      <c r="D86" s="42"/>
      <c r="E86" s="45"/>
      <c r="F86" s="45"/>
      <c r="G86" s="45"/>
      <c r="H86" s="45"/>
      <c r="I86" s="45"/>
      <c r="J86" s="45"/>
      <c r="K86" s="45"/>
      <c r="L86" s="45"/>
      <c r="M86" s="45"/>
      <c r="N86" s="45"/>
      <c r="O86" s="45"/>
      <c r="P86" s="45"/>
      <c r="Q86" s="45"/>
      <c r="R86" s="45"/>
      <c r="S86" s="45"/>
    </row>
    <row r="99" spans="2:2">
      <c r="B99" s="802">
        <v>43832</v>
      </c>
    </row>
  </sheetData>
  <mergeCells count="4">
    <mergeCell ref="E4:Q4"/>
    <mergeCell ref="E5:G5"/>
    <mergeCell ref="I5:L5"/>
    <mergeCell ref="P5:Q5"/>
  </mergeCells>
  <pageMargins left="0.7" right="0.7" top="0.75" bottom="0.75" header="0.3" footer="0.3"/>
  <pageSetup scale="63" fitToWidth="0" orientation="portrait" r:id="rId1"/>
  <ignoredErrors>
    <ignoredError sqref="A67 A71 A75" numberStoredAsText="1"/>
  </ignoredErrors>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08DD-ECB0-4B55-852E-7C9F226D164C}">
  <sheetPr>
    <tabColor rgb="FF66FF33"/>
  </sheetPr>
  <dimension ref="A1:AG40"/>
  <sheetViews>
    <sheetView zoomScale="85" zoomScaleNormal="85" workbookViewId="0">
      <pane ySplit="4" topLeftCell="A7" activePane="bottomLeft" state="frozen"/>
      <selection pane="bottomLeft" activeCell="A37" sqref="A37:XFD37"/>
      <selection activeCell="L40" sqref="L40"/>
    </sheetView>
  </sheetViews>
  <sheetFormatPr defaultColWidth="9.33203125" defaultRowHeight="12.75"/>
  <cols>
    <col min="1" max="1" width="9.33203125" style="74"/>
    <col min="2" max="2" width="10.6640625" style="74" bestFit="1" customWidth="1"/>
    <col min="3" max="6" width="9.33203125" style="74"/>
    <col min="7" max="7" width="3.83203125" style="74" customWidth="1"/>
    <col min="8" max="8" width="15.83203125" style="74" customWidth="1"/>
    <col min="9" max="9" width="10" style="74" customWidth="1"/>
    <col min="10" max="14" width="9.33203125" style="74"/>
    <col min="15" max="15" width="6.1640625" style="74" bestFit="1" customWidth="1"/>
    <col min="16" max="16" width="12.1640625" style="74" bestFit="1" customWidth="1"/>
    <col min="17" max="17" width="12.6640625" style="74" bestFit="1" customWidth="1"/>
    <col min="18" max="18" width="13.33203125" style="74" bestFit="1" customWidth="1"/>
    <col min="19" max="19" width="11" style="74" bestFit="1" customWidth="1"/>
    <col min="20" max="20" width="11.6640625" style="74" bestFit="1" customWidth="1"/>
    <col min="21" max="21" width="9.33203125" style="74"/>
    <col min="22" max="22" width="13.33203125" style="74" customWidth="1"/>
    <col min="23" max="16384" width="9.33203125" style="74"/>
  </cols>
  <sheetData>
    <row r="1" spans="1:33" ht="28.5" customHeight="1" thickBot="1">
      <c r="A1" s="1443"/>
      <c r="B1" s="2002" t="s">
        <v>1491</v>
      </c>
      <c r="C1" s="2002"/>
      <c r="D1" s="2002"/>
      <c r="E1" s="2002"/>
      <c r="F1" s="2002"/>
      <c r="G1" s="2002"/>
      <c r="H1" s="2002"/>
      <c r="I1" s="2003"/>
      <c r="J1" s="1675"/>
      <c r="K1" s="1675"/>
      <c r="L1" s="1675"/>
      <c r="M1" s="1675"/>
      <c r="N1" s="1675"/>
      <c r="O1" s="1675"/>
      <c r="P1" s="1675"/>
      <c r="Q1" s="1675"/>
      <c r="R1" s="1675"/>
      <c r="S1" s="1675"/>
      <c r="T1" s="1675"/>
      <c r="U1" s="1675"/>
      <c r="V1" s="1675"/>
      <c r="W1" s="1675"/>
      <c r="X1" s="1675"/>
      <c r="Y1" s="1675"/>
      <c r="Z1" s="1675"/>
      <c r="AA1" s="1675"/>
      <c r="AB1" s="1675"/>
      <c r="AC1" s="1675"/>
      <c r="AD1" s="1675"/>
      <c r="AE1" s="1675"/>
      <c r="AF1" s="1675"/>
      <c r="AG1" s="1675"/>
    </row>
    <row r="2" spans="1:33" ht="16.350000000000001" customHeight="1" thickTop="1" thickBot="1">
      <c r="A2" s="1623"/>
      <c r="B2" s="1978" t="s">
        <v>404</v>
      </c>
      <c r="C2" s="1978"/>
      <c r="D2" s="1978"/>
      <c r="E2" s="1978"/>
      <c r="F2" s="1978"/>
      <c r="G2" s="1625"/>
      <c r="H2" s="1699" t="s">
        <v>448</v>
      </c>
      <c r="I2" s="1444"/>
      <c r="J2" s="1675"/>
      <c r="K2" s="1675"/>
      <c r="L2" s="1675"/>
      <c r="M2" s="1675"/>
      <c r="N2" s="1675"/>
      <c r="O2" s="1675"/>
      <c r="P2" s="419" t="s">
        <v>1492</v>
      </c>
      <c r="Q2" s="1645" t="s">
        <v>1493</v>
      </c>
      <c r="R2" s="1675"/>
      <c r="S2" s="1675"/>
      <c r="T2" s="1675"/>
      <c r="U2" s="1675"/>
      <c r="V2" s="1675"/>
      <c r="W2" s="1675"/>
      <c r="X2" s="1675"/>
      <c r="Y2" s="1675"/>
      <c r="Z2" s="1675"/>
      <c r="AA2" s="1675"/>
      <c r="AB2" s="1675"/>
      <c r="AC2" s="1675"/>
      <c r="AD2" s="1675"/>
      <c r="AE2" s="1675"/>
      <c r="AF2" s="1675"/>
      <c r="AG2" s="1675"/>
    </row>
    <row r="3" spans="1:33" ht="12.75" customHeight="1">
      <c r="A3" s="2004" t="s">
        <v>28</v>
      </c>
      <c r="B3" s="2005" t="s">
        <v>1124</v>
      </c>
      <c r="C3" s="2005" t="s">
        <v>1494</v>
      </c>
      <c r="D3" s="2005" t="s">
        <v>1495</v>
      </c>
      <c r="E3" s="2005" t="s">
        <v>1127</v>
      </c>
      <c r="F3" s="2007" t="s">
        <v>1496</v>
      </c>
      <c r="G3" s="2009"/>
      <c r="H3" s="2010" t="s">
        <v>1496</v>
      </c>
      <c r="I3" s="2000" t="s">
        <v>564</v>
      </c>
      <c r="J3" s="1675"/>
      <c r="K3" s="1675"/>
      <c r="L3" s="1675"/>
      <c r="M3" s="1675"/>
      <c r="N3" s="1675"/>
      <c r="O3" s="1675"/>
      <c r="P3" s="419" t="s">
        <v>1480</v>
      </c>
      <c r="Q3" s="1645" t="s">
        <v>1497</v>
      </c>
      <c r="R3" s="1675"/>
      <c r="S3" s="1675"/>
      <c r="T3" s="1675"/>
      <c r="U3" s="1675"/>
      <c r="V3" s="1675"/>
      <c r="W3" s="1675"/>
      <c r="X3" s="1675"/>
      <c r="Y3" s="1675"/>
      <c r="Z3" s="1675"/>
      <c r="AA3" s="1675"/>
      <c r="AB3" s="1675"/>
      <c r="AC3" s="1675"/>
      <c r="AD3" s="1675"/>
      <c r="AE3" s="1675"/>
      <c r="AF3" s="1675"/>
      <c r="AG3" s="1675"/>
    </row>
    <row r="4" spans="1:33" ht="13.5" thickBot="1">
      <c r="A4" s="1794"/>
      <c r="B4" s="2006"/>
      <c r="C4" s="2006"/>
      <c r="D4" s="2006"/>
      <c r="E4" s="2006"/>
      <c r="F4" s="2008"/>
      <c r="G4" s="2006"/>
      <c r="H4" s="2008"/>
      <c r="I4" s="2001"/>
      <c r="J4" s="1675"/>
      <c r="K4" s="1645" t="s">
        <v>28</v>
      </c>
      <c r="L4" s="1645" t="s">
        <v>36</v>
      </c>
      <c r="M4" s="1645" t="s">
        <v>47</v>
      </c>
      <c r="N4" s="1675"/>
      <c r="O4" s="1645" t="s">
        <v>28</v>
      </c>
      <c r="P4" s="1645" t="s">
        <v>1124</v>
      </c>
      <c r="Q4" s="1645" t="s">
        <v>1494</v>
      </c>
      <c r="R4" s="1645" t="s">
        <v>1125</v>
      </c>
      <c r="S4" s="1645" t="s">
        <v>1127</v>
      </c>
      <c r="T4" s="1645" t="s">
        <v>1498</v>
      </c>
      <c r="U4" s="1675"/>
      <c r="V4" s="1645" t="s">
        <v>446</v>
      </c>
      <c r="W4" s="1645" t="s">
        <v>1499</v>
      </c>
      <c r="X4" s="1675"/>
      <c r="Y4" s="1675" t="s">
        <v>1500</v>
      </c>
      <c r="Z4" s="1675"/>
      <c r="AA4" s="1675"/>
      <c r="AB4" s="1675"/>
      <c r="AC4" s="1675"/>
      <c r="AD4" s="1675"/>
      <c r="AE4" s="1675"/>
      <c r="AF4" s="1675"/>
      <c r="AG4" s="1675"/>
    </row>
    <row r="5" spans="1:33" ht="16.350000000000001" customHeight="1">
      <c r="A5" s="1445">
        <v>1993</v>
      </c>
      <c r="B5" s="680">
        <v>851</v>
      </c>
      <c r="C5" s="680">
        <v>0</v>
      </c>
      <c r="D5" s="680">
        <v>0</v>
      </c>
      <c r="E5" s="680">
        <v>0</v>
      </c>
      <c r="F5" s="681">
        <f>SUM(B5:E5)</f>
        <v>851</v>
      </c>
      <c r="G5" s="465"/>
      <c r="H5" s="787">
        <v>0</v>
      </c>
      <c r="I5" s="1446">
        <f t="shared" ref="I5:I37" si="0">F5+H5</f>
        <v>851</v>
      </c>
      <c r="J5" s="1675"/>
      <c r="K5" s="682">
        <v>1993</v>
      </c>
      <c r="L5" s="682">
        <f>I5</f>
        <v>851</v>
      </c>
      <c r="M5" s="1645">
        <f>RANK(L5,$L$5:$L$37,0)</f>
        <v>30</v>
      </c>
      <c r="N5" s="1675"/>
      <c r="O5" s="1645">
        <v>1993</v>
      </c>
      <c r="P5" s="50">
        <v>851</v>
      </c>
      <c r="Q5" s="50"/>
      <c r="R5" s="50"/>
      <c r="S5" s="50"/>
      <c r="T5" s="50">
        <v>851</v>
      </c>
      <c r="U5" s="50"/>
      <c r="V5" s="50"/>
      <c r="W5" s="50">
        <f>SUM(V5,T5)</f>
        <v>851</v>
      </c>
      <c r="X5" s="1645"/>
      <c r="Y5" s="1675" t="b">
        <f t="shared" ref="Y5:AG27" si="1">O5=A5</f>
        <v>1</v>
      </c>
      <c r="Z5" s="1675" t="b">
        <f t="shared" si="1"/>
        <v>1</v>
      </c>
      <c r="AA5" s="1675" t="b">
        <f t="shared" si="1"/>
        <v>1</v>
      </c>
      <c r="AB5" s="1675" t="b">
        <f t="shared" si="1"/>
        <v>1</v>
      </c>
      <c r="AC5" s="1675" t="b">
        <f t="shared" si="1"/>
        <v>1</v>
      </c>
      <c r="AD5" s="1675" t="b">
        <f t="shared" si="1"/>
        <v>1</v>
      </c>
      <c r="AE5" s="1675" t="b">
        <f t="shared" si="1"/>
        <v>1</v>
      </c>
      <c r="AF5" s="1675" t="b">
        <f t="shared" si="1"/>
        <v>1</v>
      </c>
      <c r="AG5" s="1675" t="b">
        <f t="shared" si="1"/>
        <v>1</v>
      </c>
    </row>
    <row r="6" spans="1:33" ht="16.350000000000001" customHeight="1">
      <c r="A6" s="1445">
        <v>1994</v>
      </c>
      <c r="B6" s="1447">
        <v>155</v>
      </c>
      <c r="C6" s="1447">
        <v>0</v>
      </c>
      <c r="D6" s="1447">
        <v>0</v>
      </c>
      <c r="E6" s="1447">
        <v>0</v>
      </c>
      <c r="F6" s="681">
        <f t="shared" ref="F6:F26" si="2">SUM(B6:E6)</f>
        <v>155</v>
      </c>
      <c r="G6" s="465"/>
      <c r="H6" s="108">
        <v>0</v>
      </c>
      <c r="I6" s="1446">
        <f t="shared" si="0"/>
        <v>155</v>
      </c>
      <c r="J6" s="1675"/>
      <c r="K6" s="682">
        <v>1994</v>
      </c>
      <c r="L6" s="682">
        <f t="shared" ref="L6:L34" si="3">I6</f>
        <v>155</v>
      </c>
      <c r="M6" s="1645">
        <f t="shared" ref="M6:M37" si="4">RANK(L6,$L$5:$L$37,0)</f>
        <v>33</v>
      </c>
      <c r="N6" s="1675"/>
      <c r="O6" s="1645">
        <v>1994</v>
      </c>
      <c r="P6" s="50">
        <v>155</v>
      </c>
      <c r="Q6" s="50"/>
      <c r="R6" s="50"/>
      <c r="S6" s="50"/>
      <c r="T6" s="50">
        <v>155</v>
      </c>
      <c r="U6" s="50"/>
      <c r="V6" s="50"/>
      <c r="W6" s="50">
        <f t="shared" ref="W6:W34" si="5">SUM(V6,T6)</f>
        <v>155</v>
      </c>
      <c r="X6" s="1645"/>
      <c r="Y6" s="1675" t="b">
        <f t="shared" si="1"/>
        <v>1</v>
      </c>
      <c r="Z6" s="1675" t="b">
        <f t="shared" si="1"/>
        <v>1</v>
      </c>
      <c r="AA6" s="1675" t="b">
        <f t="shared" si="1"/>
        <v>1</v>
      </c>
      <c r="AB6" s="1675" t="b">
        <f t="shared" si="1"/>
        <v>1</v>
      </c>
      <c r="AC6" s="1675" t="b">
        <f t="shared" si="1"/>
        <v>1</v>
      </c>
      <c r="AD6" s="1675" t="b">
        <f t="shared" si="1"/>
        <v>1</v>
      </c>
      <c r="AE6" s="1675" t="b">
        <f t="shared" si="1"/>
        <v>1</v>
      </c>
      <c r="AF6" s="1675" t="b">
        <f t="shared" si="1"/>
        <v>1</v>
      </c>
      <c r="AG6" s="1675" t="b">
        <f t="shared" si="1"/>
        <v>1</v>
      </c>
    </row>
    <row r="7" spans="1:33" ht="16.350000000000001" customHeight="1">
      <c r="A7" s="1445">
        <v>1995</v>
      </c>
      <c r="B7" s="1447">
        <v>201</v>
      </c>
      <c r="C7" s="1447">
        <v>0</v>
      </c>
      <c r="D7" s="1447">
        <v>0</v>
      </c>
      <c r="E7" s="1447">
        <v>0</v>
      </c>
      <c r="F7" s="681">
        <f t="shared" si="2"/>
        <v>201</v>
      </c>
      <c r="G7" s="465"/>
      <c r="H7" s="108">
        <v>0</v>
      </c>
      <c r="I7" s="1446">
        <f t="shared" si="0"/>
        <v>201</v>
      </c>
      <c r="J7" s="1675"/>
      <c r="K7" s="682">
        <v>1995</v>
      </c>
      <c r="L7" s="682">
        <f t="shared" si="3"/>
        <v>201</v>
      </c>
      <c r="M7" s="1645">
        <f t="shared" si="4"/>
        <v>32</v>
      </c>
      <c r="N7" s="1675"/>
      <c r="O7" s="1645">
        <v>1995</v>
      </c>
      <c r="P7" s="50">
        <v>201</v>
      </c>
      <c r="Q7" s="50"/>
      <c r="R7" s="50"/>
      <c r="S7" s="50"/>
      <c r="T7" s="50">
        <v>201</v>
      </c>
      <c r="U7" s="50"/>
      <c r="V7" s="50"/>
      <c r="W7" s="50">
        <f t="shared" si="5"/>
        <v>201</v>
      </c>
      <c r="X7" s="1645"/>
      <c r="Y7" s="1675" t="b">
        <f t="shared" si="1"/>
        <v>1</v>
      </c>
      <c r="Z7" s="1675" t="b">
        <f t="shared" si="1"/>
        <v>1</v>
      </c>
      <c r="AA7" s="1675" t="b">
        <f t="shared" si="1"/>
        <v>1</v>
      </c>
      <c r="AB7" s="1675" t="b">
        <f t="shared" si="1"/>
        <v>1</v>
      </c>
      <c r="AC7" s="1675" t="b">
        <f t="shared" si="1"/>
        <v>1</v>
      </c>
      <c r="AD7" s="1675" t="b">
        <f t="shared" si="1"/>
        <v>1</v>
      </c>
      <c r="AE7" s="1675" t="b">
        <f t="shared" si="1"/>
        <v>1</v>
      </c>
      <c r="AF7" s="1675" t="b">
        <f t="shared" si="1"/>
        <v>1</v>
      </c>
      <c r="AG7" s="1675" t="b">
        <f t="shared" si="1"/>
        <v>1</v>
      </c>
    </row>
    <row r="8" spans="1:33" ht="16.350000000000001" customHeight="1">
      <c r="A8" s="1445">
        <v>1996</v>
      </c>
      <c r="B8" s="1447">
        <v>789</v>
      </c>
      <c r="C8" s="1447">
        <v>0</v>
      </c>
      <c r="D8" s="1447">
        <v>0</v>
      </c>
      <c r="E8" s="1447">
        <v>0</v>
      </c>
      <c r="F8" s="681">
        <f t="shared" si="2"/>
        <v>789</v>
      </c>
      <c r="G8" s="465"/>
      <c r="H8" s="108">
        <v>0</v>
      </c>
      <c r="I8" s="1446">
        <f t="shared" si="0"/>
        <v>789</v>
      </c>
      <c r="J8" s="1675"/>
      <c r="K8" s="682">
        <v>1996</v>
      </c>
      <c r="L8" s="682">
        <f t="shared" si="3"/>
        <v>789</v>
      </c>
      <c r="M8" s="1645">
        <f t="shared" si="4"/>
        <v>31</v>
      </c>
      <c r="N8" s="1675"/>
      <c r="O8" s="1645">
        <v>1996</v>
      </c>
      <c r="P8" s="50">
        <v>789</v>
      </c>
      <c r="Q8" s="50"/>
      <c r="R8" s="50"/>
      <c r="S8" s="50"/>
      <c r="T8" s="50">
        <v>789</v>
      </c>
      <c r="U8" s="50"/>
      <c r="V8" s="50"/>
      <c r="W8" s="50">
        <f t="shared" si="5"/>
        <v>789</v>
      </c>
      <c r="X8" s="1645"/>
      <c r="Y8" s="1675" t="b">
        <f t="shared" si="1"/>
        <v>1</v>
      </c>
      <c r="Z8" s="1675" t="b">
        <f t="shared" si="1"/>
        <v>1</v>
      </c>
      <c r="AA8" s="1675" t="b">
        <f t="shared" si="1"/>
        <v>1</v>
      </c>
      <c r="AB8" s="1675" t="b">
        <f t="shared" si="1"/>
        <v>1</v>
      </c>
      <c r="AC8" s="1675" t="b">
        <f t="shared" si="1"/>
        <v>1</v>
      </c>
      <c r="AD8" s="1675" t="b">
        <f t="shared" si="1"/>
        <v>1</v>
      </c>
      <c r="AE8" s="1675" t="b">
        <f t="shared" si="1"/>
        <v>1</v>
      </c>
      <c r="AF8" s="1675" t="b">
        <f t="shared" si="1"/>
        <v>1</v>
      </c>
      <c r="AG8" s="1675" t="b">
        <f t="shared" si="1"/>
        <v>1</v>
      </c>
    </row>
    <row r="9" spans="1:33" ht="16.350000000000001" customHeight="1">
      <c r="A9" s="1445">
        <v>1997</v>
      </c>
      <c r="B9" s="1448">
        <v>1821</v>
      </c>
      <c r="C9" s="1447">
        <v>0</v>
      </c>
      <c r="D9" s="1447">
        <v>0</v>
      </c>
      <c r="E9" s="1447">
        <v>0</v>
      </c>
      <c r="F9" s="1449">
        <f t="shared" si="2"/>
        <v>1821</v>
      </c>
      <c r="G9" s="465"/>
      <c r="H9" s="108">
        <v>0</v>
      </c>
      <c r="I9" s="1450">
        <f t="shared" si="0"/>
        <v>1821</v>
      </c>
      <c r="J9" s="1675"/>
      <c r="K9" s="682">
        <v>1997</v>
      </c>
      <c r="L9" s="682">
        <f t="shared" si="3"/>
        <v>1821</v>
      </c>
      <c r="M9" s="1645">
        <f t="shared" si="4"/>
        <v>29</v>
      </c>
      <c r="N9" s="1675"/>
      <c r="O9" s="1645">
        <v>1997</v>
      </c>
      <c r="P9" s="50">
        <v>1821</v>
      </c>
      <c r="Q9" s="50"/>
      <c r="R9" s="50"/>
      <c r="S9" s="50"/>
      <c r="T9" s="50">
        <v>1821</v>
      </c>
      <c r="U9" s="50"/>
      <c r="V9" s="50"/>
      <c r="W9" s="50">
        <f t="shared" si="5"/>
        <v>1821</v>
      </c>
      <c r="X9" s="1645"/>
      <c r="Y9" s="1675" t="b">
        <f t="shared" si="1"/>
        <v>1</v>
      </c>
      <c r="Z9" s="1675" t="b">
        <f t="shared" si="1"/>
        <v>1</v>
      </c>
      <c r="AA9" s="1675" t="b">
        <f t="shared" si="1"/>
        <v>1</v>
      </c>
      <c r="AB9" s="1675" t="b">
        <f t="shared" si="1"/>
        <v>1</v>
      </c>
      <c r="AC9" s="1675" t="b">
        <f t="shared" si="1"/>
        <v>1</v>
      </c>
      <c r="AD9" s="1675" t="b">
        <f t="shared" si="1"/>
        <v>1</v>
      </c>
      <c r="AE9" s="1675" t="b">
        <f t="shared" si="1"/>
        <v>1</v>
      </c>
      <c r="AF9" s="1675" t="b">
        <f t="shared" si="1"/>
        <v>1</v>
      </c>
      <c r="AG9" s="1675" t="b">
        <f t="shared" si="1"/>
        <v>1</v>
      </c>
    </row>
    <row r="10" spans="1:33" ht="16.350000000000001" customHeight="1">
      <c r="A10" s="1445">
        <v>1998</v>
      </c>
      <c r="B10" s="1448">
        <v>2167</v>
      </c>
      <c r="C10" s="1447">
        <v>60</v>
      </c>
      <c r="D10" s="1447">
        <v>31</v>
      </c>
      <c r="E10" s="1447">
        <v>0</v>
      </c>
      <c r="F10" s="1449">
        <f t="shared" si="2"/>
        <v>2258</v>
      </c>
      <c r="G10" s="465"/>
      <c r="H10" s="108">
        <v>55</v>
      </c>
      <c r="I10" s="1450">
        <f t="shared" si="0"/>
        <v>2313</v>
      </c>
      <c r="J10" s="1675"/>
      <c r="K10" s="682">
        <v>1998</v>
      </c>
      <c r="L10" s="682">
        <f t="shared" si="3"/>
        <v>2313</v>
      </c>
      <c r="M10" s="1645">
        <f t="shared" si="4"/>
        <v>27</v>
      </c>
      <c r="N10" s="1675"/>
      <c r="O10" s="1645">
        <v>1998</v>
      </c>
      <c r="P10" s="50">
        <v>2167</v>
      </c>
      <c r="Q10" s="50">
        <v>60</v>
      </c>
      <c r="R10" s="50">
        <v>31</v>
      </c>
      <c r="S10" s="50"/>
      <c r="T10" s="50">
        <v>2258</v>
      </c>
      <c r="U10" s="50"/>
      <c r="V10" s="50">
        <v>55</v>
      </c>
      <c r="W10" s="50">
        <f t="shared" si="5"/>
        <v>2313</v>
      </c>
      <c r="X10" s="1645"/>
      <c r="Y10" s="1675" t="b">
        <f t="shared" si="1"/>
        <v>1</v>
      </c>
      <c r="Z10" s="1675" t="b">
        <f t="shared" si="1"/>
        <v>1</v>
      </c>
      <c r="AA10" s="1675" t="b">
        <f t="shared" si="1"/>
        <v>1</v>
      </c>
      <c r="AB10" s="1675" t="b">
        <f t="shared" si="1"/>
        <v>1</v>
      </c>
      <c r="AC10" s="1675" t="b">
        <f t="shared" si="1"/>
        <v>1</v>
      </c>
      <c r="AD10" s="1675" t="b">
        <f t="shared" si="1"/>
        <v>1</v>
      </c>
      <c r="AE10" s="1675" t="b">
        <f t="shared" si="1"/>
        <v>1</v>
      </c>
      <c r="AF10" s="1675" t="b">
        <f t="shared" si="1"/>
        <v>1</v>
      </c>
      <c r="AG10" s="1675" t="b">
        <f t="shared" si="1"/>
        <v>1</v>
      </c>
    </row>
    <row r="11" spans="1:33" ht="16.350000000000001" customHeight="1">
      <c r="A11" s="1445">
        <v>1999</v>
      </c>
      <c r="B11" s="1448">
        <v>1298</v>
      </c>
      <c r="C11" s="1447">
        <v>458</v>
      </c>
      <c r="D11" s="1447">
        <v>199</v>
      </c>
      <c r="E11" s="1447">
        <v>0</v>
      </c>
      <c r="F11" s="1449">
        <f t="shared" si="2"/>
        <v>1955</v>
      </c>
      <c r="G11" s="465"/>
      <c r="H11" s="108">
        <v>25</v>
      </c>
      <c r="I11" s="1450">
        <f t="shared" si="0"/>
        <v>1980</v>
      </c>
      <c r="J11" s="1675"/>
      <c r="K11" s="682">
        <v>1999</v>
      </c>
      <c r="L11" s="682">
        <f t="shared" si="3"/>
        <v>1980</v>
      </c>
      <c r="M11" s="1645">
        <f t="shared" si="4"/>
        <v>28</v>
      </c>
      <c r="N11" s="1675"/>
      <c r="O11" s="1645">
        <v>1999</v>
      </c>
      <c r="P11" s="50">
        <v>1298</v>
      </c>
      <c r="Q11" s="50">
        <v>458</v>
      </c>
      <c r="R11" s="50">
        <v>199</v>
      </c>
      <c r="S11" s="50"/>
      <c r="T11" s="50">
        <v>1955</v>
      </c>
      <c r="U11" s="50"/>
      <c r="V11" s="50">
        <v>25</v>
      </c>
      <c r="W11" s="50">
        <f t="shared" si="5"/>
        <v>1980</v>
      </c>
      <c r="X11" s="1645"/>
      <c r="Y11" s="1675" t="b">
        <f t="shared" si="1"/>
        <v>1</v>
      </c>
      <c r="Z11" s="1675" t="b">
        <f t="shared" si="1"/>
        <v>1</v>
      </c>
      <c r="AA11" s="1675" t="b">
        <f t="shared" si="1"/>
        <v>1</v>
      </c>
      <c r="AB11" s="1675" t="b">
        <f t="shared" si="1"/>
        <v>1</v>
      </c>
      <c r="AC11" s="1675" t="b">
        <f t="shared" si="1"/>
        <v>1</v>
      </c>
      <c r="AD11" s="1675" t="b">
        <f t="shared" si="1"/>
        <v>1</v>
      </c>
      <c r="AE11" s="1675" t="b">
        <f t="shared" si="1"/>
        <v>1</v>
      </c>
      <c r="AF11" s="1675" t="b">
        <f t="shared" si="1"/>
        <v>1</v>
      </c>
      <c r="AG11" s="1675" t="b">
        <f t="shared" si="1"/>
        <v>1</v>
      </c>
    </row>
    <row r="12" spans="1:33" ht="16.350000000000001" customHeight="1">
      <c r="A12" s="1445">
        <v>2000</v>
      </c>
      <c r="B12" s="1448">
        <v>4731</v>
      </c>
      <c r="C12" s="1447">
        <v>818</v>
      </c>
      <c r="D12" s="1447">
        <v>947</v>
      </c>
      <c r="E12" s="1447">
        <v>0</v>
      </c>
      <c r="F12" s="1449">
        <f t="shared" si="2"/>
        <v>6496</v>
      </c>
      <c r="G12" s="465"/>
      <c r="H12" s="108">
        <v>255</v>
      </c>
      <c r="I12" s="1450">
        <f t="shared" si="0"/>
        <v>6751</v>
      </c>
      <c r="J12" s="1675"/>
      <c r="K12" s="682">
        <v>2000</v>
      </c>
      <c r="L12" s="682">
        <f t="shared" si="3"/>
        <v>6751</v>
      </c>
      <c r="M12" s="1645">
        <f t="shared" si="4"/>
        <v>20</v>
      </c>
      <c r="N12" s="1675"/>
      <c r="O12" s="1645">
        <v>2000</v>
      </c>
      <c r="P12" s="50">
        <v>4731</v>
      </c>
      <c r="Q12" s="50">
        <v>818</v>
      </c>
      <c r="R12" s="50">
        <v>947</v>
      </c>
      <c r="S12" s="50"/>
      <c r="T12" s="50">
        <v>6496</v>
      </c>
      <c r="U12" s="50"/>
      <c r="V12" s="50">
        <v>255</v>
      </c>
      <c r="W12" s="50">
        <f t="shared" si="5"/>
        <v>6751</v>
      </c>
      <c r="X12" s="1645"/>
      <c r="Y12" s="1675" t="b">
        <f t="shared" si="1"/>
        <v>1</v>
      </c>
      <c r="Z12" s="1675" t="b">
        <f t="shared" si="1"/>
        <v>1</v>
      </c>
      <c r="AA12" s="1675" t="b">
        <f t="shared" si="1"/>
        <v>1</v>
      </c>
      <c r="AB12" s="1675" t="b">
        <f t="shared" si="1"/>
        <v>1</v>
      </c>
      <c r="AC12" s="1675" t="b">
        <f t="shared" si="1"/>
        <v>1</v>
      </c>
      <c r="AD12" s="1675" t="b">
        <f t="shared" si="1"/>
        <v>1</v>
      </c>
      <c r="AE12" s="1675" t="b">
        <f t="shared" si="1"/>
        <v>1</v>
      </c>
      <c r="AF12" s="1675" t="b">
        <f t="shared" si="1"/>
        <v>1</v>
      </c>
      <c r="AG12" s="1675" t="b">
        <f t="shared" si="1"/>
        <v>1</v>
      </c>
    </row>
    <row r="13" spans="1:33" ht="16.350000000000001" customHeight="1">
      <c r="A13" s="1445">
        <v>2001</v>
      </c>
      <c r="B13" s="1448">
        <v>5593</v>
      </c>
      <c r="C13" s="1448">
        <v>2045</v>
      </c>
      <c r="D13" s="1448">
        <v>1631</v>
      </c>
      <c r="E13" s="1447">
        <v>0</v>
      </c>
      <c r="F13" s="1449">
        <f t="shared" si="2"/>
        <v>9269</v>
      </c>
      <c r="G13" s="465"/>
      <c r="H13" s="108">
        <v>500</v>
      </c>
      <c r="I13" s="1450">
        <f t="shared" si="0"/>
        <v>9769</v>
      </c>
      <c r="J13" s="1675"/>
      <c r="K13" s="682">
        <v>2001</v>
      </c>
      <c r="L13" s="682">
        <f t="shared" si="3"/>
        <v>9769</v>
      </c>
      <c r="M13" s="1645">
        <f t="shared" si="4"/>
        <v>14</v>
      </c>
      <c r="N13" s="1675"/>
      <c r="O13" s="1645">
        <v>2001</v>
      </c>
      <c r="P13" s="50">
        <v>5593</v>
      </c>
      <c r="Q13" s="50">
        <v>2045</v>
      </c>
      <c r="R13" s="50">
        <v>1631</v>
      </c>
      <c r="S13" s="50"/>
      <c r="T13" s="50">
        <v>9269</v>
      </c>
      <c r="U13" s="50"/>
      <c r="V13" s="50">
        <v>500</v>
      </c>
      <c r="W13" s="50">
        <f t="shared" si="5"/>
        <v>9769</v>
      </c>
      <c r="X13" s="1645"/>
      <c r="Y13" s="1675" t="b">
        <f t="shared" si="1"/>
        <v>1</v>
      </c>
      <c r="Z13" s="1675" t="b">
        <f t="shared" si="1"/>
        <v>1</v>
      </c>
      <c r="AA13" s="1675" t="b">
        <f t="shared" si="1"/>
        <v>1</v>
      </c>
      <c r="AB13" s="1675" t="b">
        <f t="shared" si="1"/>
        <v>1</v>
      </c>
      <c r="AC13" s="1675" t="b">
        <f t="shared" si="1"/>
        <v>1</v>
      </c>
      <c r="AD13" s="1675" t="b">
        <f t="shared" si="1"/>
        <v>1</v>
      </c>
      <c r="AE13" s="1675" t="b">
        <f t="shared" si="1"/>
        <v>1</v>
      </c>
      <c r="AF13" s="1675" t="b">
        <f t="shared" si="1"/>
        <v>1</v>
      </c>
      <c r="AG13" s="1675" t="b">
        <f t="shared" si="1"/>
        <v>1</v>
      </c>
    </row>
    <row r="14" spans="1:33" ht="16.350000000000001" customHeight="1">
      <c r="A14" s="1445">
        <v>2002</v>
      </c>
      <c r="B14" s="1448">
        <v>6643</v>
      </c>
      <c r="C14" s="1448">
        <v>2053</v>
      </c>
      <c r="D14" s="1448">
        <v>3003</v>
      </c>
      <c r="E14" s="1447">
        <v>0</v>
      </c>
      <c r="F14" s="1449">
        <f t="shared" si="2"/>
        <v>11699</v>
      </c>
      <c r="G14" s="465"/>
      <c r="H14" s="108">
        <v>552</v>
      </c>
      <c r="I14" s="1450">
        <f t="shared" si="0"/>
        <v>12251</v>
      </c>
      <c r="J14" s="1675"/>
      <c r="K14" s="682">
        <v>2002</v>
      </c>
      <c r="L14" s="682">
        <f t="shared" si="3"/>
        <v>12251</v>
      </c>
      <c r="M14" s="1645">
        <f t="shared" si="4"/>
        <v>8</v>
      </c>
      <c r="N14" s="1675"/>
      <c r="O14" s="1645">
        <v>2002</v>
      </c>
      <c r="P14" s="50">
        <v>6643</v>
      </c>
      <c r="Q14" s="50">
        <v>2053</v>
      </c>
      <c r="R14" s="50">
        <v>3003</v>
      </c>
      <c r="S14" s="50"/>
      <c r="T14" s="50">
        <v>11699</v>
      </c>
      <c r="U14" s="50"/>
      <c r="V14" s="50">
        <v>552</v>
      </c>
      <c r="W14" s="50">
        <f t="shared" si="5"/>
        <v>12251</v>
      </c>
      <c r="X14" s="1645"/>
      <c r="Y14" s="1675" t="b">
        <f t="shared" si="1"/>
        <v>1</v>
      </c>
      <c r="Z14" s="1675" t="b">
        <f t="shared" si="1"/>
        <v>1</v>
      </c>
      <c r="AA14" s="1675" t="b">
        <f t="shared" si="1"/>
        <v>1</v>
      </c>
      <c r="AB14" s="1675" t="b">
        <f t="shared" si="1"/>
        <v>1</v>
      </c>
      <c r="AC14" s="1675" t="b">
        <f t="shared" si="1"/>
        <v>1</v>
      </c>
      <c r="AD14" s="1675" t="b">
        <f t="shared" si="1"/>
        <v>1</v>
      </c>
      <c r="AE14" s="1675" t="b">
        <f t="shared" si="1"/>
        <v>1</v>
      </c>
      <c r="AF14" s="1675" t="b">
        <f t="shared" si="1"/>
        <v>1</v>
      </c>
      <c r="AG14" s="1675" t="b">
        <f t="shared" si="1"/>
        <v>1</v>
      </c>
    </row>
    <row r="15" spans="1:33" ht="16.350000000000001" customHeight="1">
      <c r="A15" s="1445">
        <v>2003</v>
      </c>
      <c r="B15" s="1448">
        <v>5300</v>
      </c>
      <c r="C15" s="1448">
        <v>2041</v>
      </c>
      <c r="D15" s="1447">
        <v>345</v>
      </c>
      <c r="E15" s="1447">
        <v>118</v>
      </c>
      <c r="F15" s="1449">
        <f t="shared" si="2"/>
        <v>7804</v>
      </c>
      <c r="G15" s="465"/>
      <c r="H15" s="108">
        <v>994</v>
      </c>
      <c r="I15" s="1450">
        <f t="shared" si="0"/>
        <v>8798</v>
      </c>
      <c r="J15" s="1675"/>
      <c r="K15" s="682">
        <v>2003</v>
      </c>
      <c r="L15" s="682">
        <f t="shared" si="3"/>
        <v>8798</v>
      </c>
      <c r="M15" s="1645">
        <f t="shared" si="4"/>
        <v>15</v>
      </c>
      <c r="N15" s="1675"/>
      <c r="O15" s="1645">
        <v>2003</v>
      </c>
      <c r="P15" s="50">
        <v>5300</v>
      </c>
      <c r="Q15" s="50">
        <v>2041</v>
      </c>
      <c r="R15" s="50">
        <v>345</v>
      </c>
      <c r="S15" s="50">
        <v>118</v>
      </c>
      <c r="T15" s="50">
        <v>7804</v>
      </c>
      <c r="U15" s="50"/>
      <c r="V15" s="50">
        <v>994</v>
      </c>
      <c r="W15" s="50">
        <f t="shared" si="5"/>
        <v>8798</v>
      </c>
      <c r="X15" s="1645"/>
      <c r="Y15" s="1675" t="b">
        <f t="shared" si="1"/>
        <v>1</v>
      </c>
      <c r="Z15" s="1675" t="b">
        <f t="shared" si="1"/>
        <v>1</v>
      </c>
      <c r="AA15" s="1675" t="b">
        <f t="shared" si="1"/>
        <v>1</v>
      </c>
      <c r="AB15" s="1675" t="b">
        <f t="shared" si="1"/>
        <v>1</v>
      </c>
      <c r="AC15" s="1675" t="b">
        <f t="shared" si="1"/>
        <v>1</v>
      </c>
      <c r="AD15" s="1675" t="b">
        <f t="shared" si="1"/>
        <v>1</v>
      </c>
      <c r="AE15" s="1675" t="b">
        <f t="shared" si="1"/>
        <v>1</v>
      </c>
      <c r="AF15" s="1675" t="b">
        <f t="shared" si="1"/>
        <v>1</v>
      </c>
      <c r="AG15" s="1675" t="b">
        <f>W15=I15</f>
        <v>1</v>
      </c>
    </row>
    <row r="16" spans="1:33" ht="16.350000000000001" customHeight="1">
      <c r="A16" s="1445">
        <v>2004</v>
      </c>
      <c r="B16" s="1448">
        <v>6916</v>
      </c>
      <c r="C16" s="1448">
        <v>3531</v>
      </c>
      <c r="D16" s="1447">
        <v>0</v>
      </c>
      <c r="E16" s="1447">
        <v>115</v>
      </c>
      <c r="F16" s="1449">
        <f t="shared" si="2"/>
        <v>10562</v>
      </c>
      <c r="G16" s="465"/>
      <c r="H16" s="683">
        <v>1081</v>
      </c>
      <c r="I16" s="1450">
        <f t="shared" si="0"/>
        <v>11643</v>
      </c>
      <c r="J16" s="1675"/>
      <c r="K16" s="682">
        <v>2004</v>
      </c>
      <c r="L16" s="682">
        <f t="shared" si="3"/>
        <v>11643</v>
      </c>
      <c r="M16" s="1645">
        <f t="shared" si="4"/>
        <v>11</v>
      </c>
      <c r="N16" s="1675"/>
      <c r="O16" s="1645">
        <v>2004</v>
      </c>
      <c r="P16" s="50">
        <v>6916</v>
      </c>
      <c r="Q16" s="50">
        <v>3531</v>
      </c>
      <c r="R16" s="50"/>
      <c r="S16" s="50">
        <v>115</v>
      </c>
      <c r="T16" s="50">
        <v>10562</v>
      </c>
      <c r="U16" s="50"/>
      <c r="V16" s="50">
        <v>1081</v>
      </c>
      <c r="W16" s="50">
        <f t="shared" si="5"/>
        <v>11643</v>
      </c>
      <c r="X16" s="1645"/>
      <c r="Y16" s="1675" t="b">
        <f t="shared" si="1"/>
        <v>1</v>
      </c>
      <c r="Z16" s="1675" t="b">
        <f t="shared" si="1"/>
        <v>1</v>
      </c>
      <c r="AA16" s="1675" t="b">
        <f t="shared" si="1"/>
        <v>1</v>
      </c>
      <c r="AB16" s="1675" t="b">
        <f t="shared" si="1"/>
        <v>1</v>
      </c>
      <c r="AC16" s="1675" t="b">
        <f t="shared" si="1"/>
        <v>1</v>
      </c>
      <c r="AD16" s="1675" t="b">
        <f t="shared" si="1"/>
        <v>1</v>
      </c>
      <c r="AE16" s="1675" t="b">
        <f t="shared" si="1"/>
        <v>1</v>
      </c>
      <c r="AF16" s="1675" t="b">
        <f t="shared" si="1"/>
        <v>1</v>
      </c>
      <c r="AG16" s="1675" t="b">
        <f t="shared" si="1"/>
        <v>1</v>
      </c>
    </row>
    <row r="17" spans="1:33" ht="16.350000000000001" customHeight="1">
      <c r="A17" s="1445">
        <v>2005</v>
      </c>
      <c r="B17" s="1447">
        <v>969</v>
      </c>
      <c r="C17" s="1448">
        <v>1377</v>
      </c>
      <c r="D17" s="1447">
        <v>0</v>
      </c>
      <c r="E17" s="1447">
        <v>60</v>
      </c>
      <c r="F17" s="1449">
        <f t="shared" si="2"/>
        <v>2406</v>
      </c>
      <c r="G17" s="465"/>
      <c r="H17" s="683">
        <v>157</v>
      </c>
      <c r="I17" s="1450">
        <f t="shared" si="0"/>
        <v>2563</v>
      </c>
      <c r="J17" s="1675"/>
      <c r="K17" s="682">
        <v>2005</v>
      </c>
      <c r="L17" s="682">
        <f t="shared" si="3"/>
        <v>2563</v>
      </c>
      <c r="M17" s="1645">
        <f t="shared" si="4"/>
        <v>26</v>
      </c>
      <c r="N17" s="1675"/>
      <c r="O17" s="1645">
        <v>2005</v>
      </c>
      <c r="P17" s="50">
        <v>969</v>
      </c>
      <c r="Q17" s="50">
        <v>1377</v>
      </c>
      <c r="R17" s="50"/>
      <c r="S17" s="50">
        <v>60</v>
      </c>
      <c r="T17" s="50">
        <v>2406</v>
      </c>
      <c r="U17" s="50"/>
      <c r="V17" s="50">
        <v>157</v>
      </c>
      <c r="W17" s="50">
        <f t="shared" si="5"/>
        <v>2563</v>
      </c>
      <c r="X17" s="1645"/>
      <c r="Y17" s="1675" t="b">
        <f t="shared" si="1"/>
        <v>1</v>
      </c>
      <c r="Z17" s="1675" t="b">
        <f t="shared" si="1"/>
        <v>1</v>
      </c>
      <c r="AA17" s="1675" t="b">
        <f t="shared" si="1"/>
        <v>1</v>
      </c>
      <c r="AB17" s="1675" t="b">
        <f t="shared" si="1"/>
        <v>1</v>
      </c>
      <c r="AC17" s="1675" t="b">
        <f t="shared" si="1"/>
        <v>1</v>
      </c>
      <c r="AD17" s="1675" t="b">
        <f t="shared" si="1"/>
        <v>1</v>
      </c>
      <c r="AE17" s="1675" t="b">
        <f t="shared" si="1"/>
        <v>1</v>
      </c>
      <c r="AF17" s="1675" t="b">
        <f t="shared" si="1"/>
        <v>1</v>
      </c>
      <c r="AG17" s="1675" t="b">
        <f t="shared" si="1"/>
        <v>1</v>
      </c>
    </row>
    <row r="18" spans="1:33" ht="16.350000000000001" customHeight="1">
      <c r="A18" s="1445">
        <v>2006</v>
      </c>
      <c r="B18" s="1448">
        <v>5798</v>
      </c>
      <c r="C18" s="1448">
        <v>1419</v>
      </c>
      <c r="D18" s="1447">
        <v>0</v>
      </c>
      <c r="E18" s="1447">
        <v>28</v>
      </c>
      <c r="F18" s="1449">
        <f t="shared" si="2"/>
        <v>7245</v>
      </c>
      <c r="G18" s="465"/>
      <c r="H18" s="683">
        <v>336</v>
      </c>
      <c r="I18" s="1450">
        <f t="shared" si="0"/>
        <v>7581</v>
      </c>
      <c r="J18" s="1675"/>
      <c r="K18" s="682">
        <v>2006</v>
      </c>
      <c r="L18" s="682">
        <f t="shared" si="3"/>
        <v>7581</v>
      </c>
      <c r="M18" s="1645">
        <f t="shared" si="4"/>
        <v>18</v>
      </c>
      <c r="N18" s="1675"/>
      <c r="O18" s="1645">
        <v>2006</v>
      </c>
      <c r="P18" s="50">
        <v>5798</v>
      </c>
      <c r="Q18" s="50">
        <v>1419</v>
      </c>
      <c r="R18" s="50"/>
      <c r="S18" s="50">
        <v>28</v>
      </c>
      <c r="T18" s="50">
        <v>7245</v>
      </c>
      <c r="U18" s="50"/>
      <c r="V18" s="50">
        <v>336</v>
      </c>
      <c r="W18" s="50">
        <f t="shared" si="5"/>
        <v>7581</v>
      </c>
      <c r="X18" s="1645"/>
      <c r="Y18" s="1675" t="b">
        <f t="shared" si="1"/>
        <v>1</v>
      </c>
      <c r="Z18" s="1675" t="b">
        <f t="shared" si="1"/>
        <v>1</v>
      </c>
      <c r="AA18" s="1675" t="b">
        <f t="shared" si="1"/>
        <v>1</v>
      </c>
      <c r="AB18" s="1675" t="b">
        <f t="shared" si="1"/>
        <v>1</v>
      </c>
      <c r="AC18" s="1675" t="b">
        <f t="shared" si="1"/>
        <v>1</v>
      </c>
      <c r="AD18" s="1675" t="b">
        <f t="shared" si="1"/>
        <v>1</v>
      </c>
      <c r="AE18" s="1675" t="b">
        <f t="shared" si="1"/>
        <v>1</v>
      </c>
      <c r="AF18" s="1675" t="b">
        <f t="shared" si="1"/>
        <v>1</v>
      </c>
      <c r="AG18" s="1675" t="b">
        <f t="shared" si="1"/>
        <v>1</v>
      </c>
    </row>
    <row r="19" spans="1:33" ht="16.350000000000001" customHeight="1">
      <c r="A19" s="1445">
        <v>2007</v>
      </c>
      <c r="B19" s="1448">
        <v>5209</v>
      </c>
      <c r="C19" s="1448">
        <v>1536</v>
      </c>
      <c r="D19" s="1447">
        <v>0</v>
      </c>
      <c r="E19" s="1447">
        <v>29</v>
      </c>
      <c r="F19" s="1449">
        <f t="shared" si="2"/>
        <v>6774</v>
      </c>
      <c r="G19" s="465"/>
      <c r="H19" s="683">
        <v>194</v>
      </c>
      <c r="I19" s="1450">
        <f t="shared" si="0"/>
        <v>6968</v>
      </c>
      <c r="J19" s="1675"/>
      <c r="K19" s="682">
        <v>2007</v>
      </c>
      <c r="L19" s="682">
        <f t="shared" si="3"/>
        <v>6968</v>
      </c>
      <c r="M19" s="1645">
        <f t="shared" si="4"/>
        <v>19</v>
      </c>
      <c r="N19" s="1675"/>
      <c r="O19" s="1645">
        <v>2007</v>
      </c>
      <c r="P19" s="50">
        <v>5209</v>
      </c>
      <c r="Q19" s="50">
        <v>1536</v>
      </c>
      <c r="R19" s="50"/>
      <c r="S19" s="50">
        <v>29</v>
      </c>
      <c r="T19" s="50">
        <v>6774</v>
      </c>
      <c r="U19" s="50"/>
      <c r="V19" s="50">
        <v>194</v>
      </c>
      <c r="W19" s="50">
        <f t="shared" si="5"/>
        <v>6968</v>
      </c>
      <c r="X19" s="1645"/>
      <c r="Y19" s="1675" t="b">
        <f t="shared" si="1"/>
        <v>1</v>
      </c>
      <c r="Z19" s="1675" t="b">
        <f t="shared" si="1"/>
        <v>1</v>
      </c>
      <c r="AA19" s="1675" t="b">
        <f t="shared" si="1"/>
        <v>1</v>
      </c>
      <c r="AB19" s="1675" t="b">
        <f t="shared" si="1"/>
        <v>1</v>
      </c>
      <c r="AC19" s="1675" t="b">
        <f t="shared" si="1"/>
        <v>1</v>
      </c>
      <c r="AD19" s="1675" t="b">
        <f t="shared" si="1"/>
        <v>1</v>
      </c>
      <c r="AE19" s="1675" t="b">
        <f t="shared" si="1"/>
        <v>1</v>
      </c>
      <c r="AF19" s="1675" t="b">
        <f t="shared" si="1"/>
        <v>1</v>
      </c>
      <c r="AG19" s="1675" t="b">
        <f t="shared" si="1"/>
        <v>1</v>
      </c>
    </row>
    <row r="20" spans="1:33" ht="16.350000000000001" customHeight="1">
      <c r="A20" s="1445">
        <v>2008</v>
      </c>
      <c r="B20" s="1448">
        <v>3195</v>
      </c>
      <c r="C20" s="1448">
        <v>1004</v>
      </c>
      <c r="D20" s="1447">
        <v>259</v>
      </c>
      <c r="E20" s="1447">
        <v>28</v>
      </c>
      <c r="F20" s="1449">
        <f t="shared" si="2"/>
        <v>4486</v>
      </c>
      <c r="G20" s="465"/>
      <c r="H20" s="683">
        <v>232</v>
      </c>
      <c r="I20" s="1450">
        <f t="shared" si="0"/>
        <v>4718</v>
      </c>
      <c r="J20" s="1675"/>
      <c r="K20" s="682">
        <v>2008</v>
      </c>
      <c r="L20" s="682">
        <f t="shared" si="3"/>
        <v>4718</v>
      </c>
      <c r="M20" s="1645">
        <f t="shared" si="4"/>
        <v>22</v>
      </c>
      <c r="N20" s="1675"/>
      <c r="O20" s="1645">
        <v>2008</v>
      </c>
      <c r="P20" s="50">
        <v>3195</v>
      </c>
      <c r="Q20" s="50">
        <v>1004</v>
      </c>
      <c r="R20" s="50">
        <v>259</v>
      </c>
      <c r="S20" s="50">
        <v>28</v>
      </c>
      <c r="T20" s="50">
        <v>4486</v>
      </c>
      <c r="U20" s="50"/>
      <c r="V20" s="50">
        <v>232</v>
      </c>
      <c r="W20" s="50">
        <f t="shared" si="5"/>
        <v>4718</v>
      </c>
      <c r="X20" s="1645"/>
      <c r="Y20" s="1675" t="b">
        <f t="shared" si="1"/>
        <v>1</v>
      </c>
      <c r="Z20" s="1675" t="b">
        <f t="shared" si="1"/>
        <v>1</v>
      </c>
      <c r="AA20" s="1675" t="b">
        <f t="shared" si="1"/>
        <v>1</v>
      </c>
      <c r="AB20" s="1675" t="b">
        <f t="shared" si="1"/>
        <v>1</v>
      </c>
      <c r="AC20" s="1675" t="b">
        <f t="shared" si="1"/>
        <v>1</v>
      </c>
      <c r="AD20" s="1675" t="b">
        <f t="shared" si="1"/>
        <v>1</v>
      </c>
      <c r="AE20" s="1675" t="b">
        <f t="shared" si="1"/>
        <v>1</v>
      </c>
      <c r="AF20" s="1675" t="b">
        <f t="shared" si="1"/>
        <v>1</v>
      </c>
      <c r="AG20" s="1675" t="b">
        <f t="shared" si="1"/>
        <v>1</v>
      </c>
    </row>
    <row r="21" spans="1:33" ht="16.350000000000001" customHeight="1">
      <c r="A21" s="1445">
        <v>2009</v>
      </c>
      <c r="B21" s="1448">
        <v>3123</v>
      </c>
      <c r="C21" s="1447">
        <v>797</v>
      </c>
      <c r="D21" s="1447">
        <v>133</v>
      </c>
      <c r="E21" s="1447">
        <v>122</v>
      </c>
      <c r="F21" s="1449">
        <f t="shared" si="2"/>
        <v>4175</v>
      </c>
      <c r="G21" s="465"/>
      <c r="H21" s="683">
        <v>274</v>
      </c>
      <c r="I21" s="1450">
        <f t="shared" si="0"/>
        <v>4449</v>
      </c>
      <c r="J21" s="1675"/>
      <c r="K21" s="682">
        <v>2009</v>
      </c>
      <c r="L21" s="682">
        <f t="shared" si="3"/>
        <v>4449</v>
      </c>
      <c r="M21" s="1645">
        <f t="shared" si="4"/>
        <v>24</v>
      </c>
      <c r="N21" s="1675"/>
      <c r="O21" s="1645">
        <v>2009</v>
      </c>
      <c r="P21" s="50">
        <v>3123</v>
      </c>
      <c r="Q21" s="50">
        <v>797</v>
      </c>
      <c r="R21" s="50">
        <v>133</v>
      </c>
      <c r="S21" s="50">
        <v>122</v>
      </c>
      <c r="T21" s="50">
        <v>4175</v>
      </c>
      <c r="U21" s="50"/>
      <c r="V21" s="50">
        <v>274</v>
      </c>
      <c r="W21" s="50">
        <f t="shared" si="5"/>
        <v>4449</v>
      </c>
      <c r="X21" s="1645"/>
      <c r="Y21" s="1675" t="b">
        <f t="shared" si="1"/>
        <v>1</v>
      </c>
      <c r="Z21" s="1675" t="b">
        <f t="shared" si="1"/>
        <v>1</v>
      </c>
      <c r="AA21" s="1675" t="b">
        <f t="shared" si="1"/>
        <v>1</v>
      </c>
      <c r="AB21" s="1675" t="b">
        <f t="shared" si="1"/>
        <v>1</v>
      </c>
      <c r="AC21" s="1675" t="b">
        <f t="shared" si="1"/>
        <v>1</v>
      </c>
      <c r="AD21" s="1675" t="b">
        <f t="shared" si="1"/>
        <v>1</v>
      </c>
      <c r="AE21" s="1675" t="b">
        <f t="shared" si="1"/>
        <v>1</v>
      </c>
      <c r="AF21" s="1675" t="b">
        <f t="shared" si="1"/>
        <v>1</v>
      </c>
      <c r="AG21" s="1675" t="b">
        <f t="shared" si="1"/>
        <v>1</v>
      </c>
    </row>
    <row r="22" spans="1:33" ht="16.350000000000001" customHeight="1">
      <c r="A22" s="1445">
        <v>2010</v>
      </c>
      <c r="B22" s="1451">
        <v>20750</v>
      </c>
      <c r="C22" s="1448">
        <v>2999</v>
      </c>
      <c r="D22" s="1447">
        <v>727</v>
      </c>
      <c r="E22" s="1447">
        <v>399</v>
      </c>
      <c r="F22" s="1449">
        <f t="shared" si="2"/>
        <v>24875</v>
      </c>
      <c r="G22" s="465"/>
      <c r="H22" s="683">
        <v>1999</v>
      </c>
      <c r="I22" s="1450">
        <f>F22+H22</f>
        <v>26874</v>
      </c>
      <c r="J22" s="1675"/>
      <c r="K22" s="682">
        <v>2010</v>
      </c>
      <c r="L22" s="682">
        <f t="shared" si="3"/>
        <v>26874</v>
      </c>
      <c r="M22" s="1645">
        <f t="shared" si="4"/>
        <v>1</v>
      </c>
      <c r="N22" s="1675"/>
      <c r="O22" s="1645">
        <v>2010</v>
      </c>
      <c r="P22" s="50">
        <v>20750</v>
      </c>
      <c r="Q22" s="50">
        <v>2999</v>
      </c>
      <c r="R22" s="50">
        <v>727</v>
      </c>
      <c r="S22" s="50">
        <v>399</v>
      </c>
      <c r="T22" s="50">
        <f>SUM(P22:S22)</f>
        <v>24875</v>
      </c>
      <c r="U22" s="50"/>
      <c r="V22" s="50">
        <v>1999</v>
      </c>
      <c r="W22" s="50">
        <f t="shared" si="5"/>
        <v>26874</v>
      </c>
      <c r="X22" s="1645"/>
      <c r="Y22" s="1675" t="b">
        <f t="shared" si="1"/>
        <v>1</v>
      </c>
      <c r="Z22" s="1675" t="b">
        <f t="shared" si="1"/>
        <v>1</v>
      </c>
      <c r="AA22" s="1675" t="b">
        <f t="shared" si="1"/>
        <v>1</v>
      </c>
      <c r="AB22" s="1675" t="b">
        <f t="shared" si="1"/>
        <v>1</v>
      </c>
      <c r="AC22" s="1675" t="b">
        <f t="shared" si="1"/>
        <v>1</v>
      </c>
      <c r="AD22" s="1675" t="b">
        <f>T22=F22</f>
        <v>1</v>
      </c>
      <c r="AE22" s="1675" t="b">
        <f t="shared" si="1"/>
        <v>1</v>
      </c>
      <c r="AF22" s="1675" t="b">
        <f t="shared" si="1"/>
        <v>1</v>
      </c>
      <c r="AG22" s="1675" t="b">
        <f t="shared" si="1"/>
        <v>1</v>
      </c>
    </row>
    <row r="23" spans="1:33" ht="16.350000000000001" customHeight="1">
      <c r="A23" s="1445">
        <v>2011</v>
      </c>
      <c r="B23" s="1451">
        <v>8752</v>
      </c>
      <c r="C23" s="1448">
        <v>1611</v>
      </c>
      <c r="D23" s="1447">
        <v>656</v>
      </c>
      <c r="E23" s="1447">
        <v>100</v>
      </c>
      <c r="F23" s="1449">
        <f t="shared" si="2"/>
        <v>11119</v>
      </c>
      <c r="G23" s="1625"/>
      <c r="H23" s="683">
        <v>418</v>
      </c>
      <c r="I23" s="1450">
        <f t="shared" si="0"/>
        <v>11537</v>
      </c>
      <c r="J23" s="1675"/>
      <c r="K23" s="682">
        <v>2011</v>
      </c>
      <c r="L23" s="682">
        <f t="shared" si="3"/>
        <v>11537</v>
      </c>
      <c r="M23" s="1645">
        <f t="shared" si="4"/>
        <v>12</v>
      </c>
      <c r="N23" s="1675"/>
      <c r="O23" s="1645">
        <v>2011</v>
      </c>
      <c r="P23" s="50">
        <v>8752</v>
      </c>
      <c r="Q23" s="50">
        <v>1611</v>
      </c>
      <c r="R23" s="50">
        <v>656</v>
      </c>
      <c r="S23" s="50">
        <v>100</v>
      </c>
      <c r="T23" s="50">
        <f>SUM(P23:S23)</f>
        <v>11119</v>
      </c>
      <c r="U23" s="50"/>
      <c r="V23" s="50">
        <v>418</v>
      </c>
      <c r="W23" s="50">
        <f t="shared" si="5"/>
        <v>11537</v>
      </c>
      <c r="X23" s="1645"/>
      <c r="Y23" s="1675" t="b">
        <f t="shared" si="1"/>
        <v>1</v>
      </c>
      <c r="Z23" s="1675" t="b">
        <f t="shared" si="1"/>
        <v>1</v>
      </c>
      <c r="AA23" s="1675" t="b">
        <f t="shared" si="1"/>
        <v>1</v>
      </c>
      <c r="AB23" s="1675" t="b">
        <f t="shared" si="1"/>
        <v>1</v>
      </c>
      <c r="AC23" s="1675" t="b">
        <f t="shared" si="1"/>
        <v>1</v>
      </c>
      <c r="AD23" s="1675" t="b">
        <f t="shared" si="1"/>
        <v>1</v>
      </c>
      <c r="AE23" s="1675" t="b">
        <f t="shared" si="1"/>
        <v>1</v>
      </c>
      <c r="AF23" s="1675" t="b">
        <f t="shared" si="1"/>
        <v>1</v>
      </c>
      <c r="AG23" s="1675" t="b">
        <f t="shared" si="1"/>
        <v>1</v>
      </c>
    </row>
    <row r="24" spans="1:33" ht="16.350000000000001" customHeight="1">
      <c r="A24" s="1445">
        <v>2012</v>
      </c>
      <c r="B24" s="1448">
        <v>8574</v>
      </c>
      <c r="C24" s="1447">
        <v>964</v>
      </c>
      <c r="D24" s="1447">
        <v>500</v>
      </c>
      <c r="E24" s="1447">
        <v>44</v>
      </c>
      <c r="F24" s="1449">
        <f t="shared" si="2"/>
        <v>10082</v>
      </c>
      <c r="G24" s="1625"/>
      <c r="H24" s="683">
        <v>646</v>
      </c>
      <c r="I24" s="1450">
        <f t="shared" si="0"/>
        <v>10728</v>
      </c>
      <c r="J24" s="1675"/>
      <c r="K24" s="682">
        <v>2012</v>
      </c>
      <c r="L24" s="682">
        <f t="shared" si="3"/>
        <v>10728</v>
      </c>
      <c r="M24" s="1645">
        <f t="shared" si="4"/>
        <v>13</v>
      </c>
      <c r="N24" s="1675"/>
      <c r="O24" s="1645">
        <v>2012</v>
      </c>
      <c r="P24" s="50">
        <v>8574</v>
      </c>
      <c r="Q24" s="50">
        <v>964</v>
      </c>
      <c r="R24" s="50">
        <v>500</v>
      </c>
      <c r="S24" s="50">
        <v>44</v>
      </c>
      <c r="T24" s="50">
        <f t="shared" ref="T24:T35" si="6">SUM(P24:S24)</f>
        <v>10082</v>
      </c>
      <c r="U24" s="50"/>
      <c r="V24" s="50">
        <v>646</v>
      </c>
      <c r="W24" s="50">
        <f t="shared" si="5"/>
        <v>10728</v>
      </c>
      <c r="X24" s="1645"/>
      <c r="Y24" s="1675" t="b">
        <f t="shared" si="1"/>
        <v>1</v>
      </c>
      <c r="Z24" s="1675" t="b">
        <f>P24=B24</f>
        <v>1</v>
      </c>
      <c r="AA24" s="1675" t="b">
        <f>Q24=C24</f>
        <v>1</v>
      </c>
      <c r="AB24" s="1675" t="b">
        <f>R24=D24</f>
        <v>1</v>
      </c>
      <c r="AC24" s="1675" t="b">
        <f t="shared" si="1"/>
        <v>1</v>
      </c>
      <c r="AD24" s="1675" t="b">
        <f t="shared" si="1"/>
        <v>1</v>
      </c>
      <c r="AE24" s="1675" t="b">
        <f t="shared" si="1"/>
        <v>1</v>
      </c>
      <c r="AF24" s="1675" t="b">
        <f t="shared" si="1"/>
        <v>1</v>
      </c>
      <c r="AG24" s="1675" t="b">
        <f t="shared" si="1"/>
        <v>1</v>
      </c>
    </row>
    <row r="25" spans="1:33" ht="16.350000000000001" customHeight="1">
      <c r="A25" s="1445">
        <v>2013</v>
      </c>
      <c r="B25" s="1448">
        <v>6652</v>
      </c>
      <c r="C25" s="1447">
        <v>936</v>
      </c>
      <c r="D25" s="1447">
        <v>374</v>
      </c>
      <c r="E25" s="1447">
        <v>124</v>
      </c>
      <c r="F25" s="1449">
        <f t="shared" si="2"/>
        <v>8086</v>
      </c>
      <c r="G25" s="1625"/>
      <c r="H25" s="683">
        <v>341</v>
      </c>
      <c r="I25" s="1450">
        <f t="shared" si="0"/>
        <v>8427</v>
      </c>
      <c r="J25" s="1675"/>
      <c r="K25" s="682">
        <v>2013</v>
      </c>
      <c r="L25" s="682">
        <f t="shared" si="3"/>
        <v>8427</v>
      </c>
      <c r="M25" s="1645">
        <f t="shared" si="4"/>
        <v>16</v>
      </c>
      <c r="N25" s="1675"/>
      <c r="O25" s="1645">
        <v>2013</v>
      </c>
      <c r="P25" s="50">
        <v>6652</v>
      </c>
      <c r="Q25" s="50">
        <v>936</v>
      </c>
      <c r="R25" s="50">
        <v>374</v>
      </c>
      <c r="S25" s="50">
        <v>124</v>
      </c>
      <c r="T25" s="50">
        <f t="shared" si="6"/>
        <v>8086</v>
      </c>
      <c r="U25" s="50"/>
      <c r="V25" s="50">
        <v>341</v>
      </c>
      <c r="W25" s="50">
        <f t="shared" si="5"/>
        <v>8427</v>
      </c>
      <c r="X25" s="1645"/>
      <c r="Y25" s="1675" t="b">
        <f t="shared" si="1"/>
        <v>1</v>
      </c>
      <c r="Z25" s="1675" t="b">
        <f>P25=B25</f>
        <v>1</v>
      </c>
      <c r="AA25" s="1675" t="b">
        <f t="shared" si="1"/>
        <v>1</v>
      </c>
      <c r="AB25" s="1675" t="b">
        <f t="shared" si="1"/>
        <v>1</v>
      </c>
      <c r="AC25" s="1675" t="b">
        <f t="shared" si="1"/>
        <v>1</v>
      </c>
      <c r="AD25" s="1675" t="b">
        <f t="shared" si="1"/>
        <v>1</v>
      </c>
      <c r="AE25" s="1675" t="b">
        <f t="shared" si="1"/>
        <v>1</v>
      </c>
      <c r="AF25" s="1675" t="b">
        <f t="shared" si="1"/>
        <v>1</v>
      </c>
      <c r="AG25" s="1675" t="b">
        <f t="shared" si="1"/>
        <v>1</v>
      </c>
    </row>
    <row r="26" spans="1:33" ht="16.350000000000001" customHeight="1">
      <c r="A26" s="1445">
        <v>2014</v>
      </c>
      <c r="B26" s="1451">
        <v>4038</v>
      </c>
      <c r="C26" s="1447">
        <v>467</v>
      </c>
      <c r="D26" s="1447">
        <v>72</v>
      </c>
      <c r="E26" s="1447">
        <v>65</v>
      </c>
      <c r="F26" s="1449">
        <f t="shared" si="2"/>
        <v>4642</v>
      </c>
      <c r="G26" s="1625"/>
      <c r="H26" s="683">
        <v>315</v>
      </c>
      <c r="I26" s="1450">
        <f t="shared" si="0"/>
        <v>4957</v>
      </c>
      <c r="J26" s="1675"/>
      <c r="K26" s="682">
        <v>2014</v>
      </c>
      <c r="L26" s="682">
        <f t="shared" si="3"/>
        <v>4957</v>
      </c>
      <c r="M26" s="1645">
        <f t="shared" si="4"/>
        <v>21</v>
      </c>
      <c r="N26" s="1675"/>
      <c r="O26" s="1645">
        <v>2014</v>
      </c>
      <c r="P26" s="50">
        <v>4038</v>
      </c>
      <c r="Q26" s="50">
        <v>467</v>
      </c>
      <c r="R26" s="50">
        <v>72</v>
      </c>
      <c r="S26" s="50">
        <v>65</v>
      </c>
      <c r="T26" s="50">
        <f t="shared" si="6"/>
        <v>4642</v>
      </c>
      <c r="U26" s="50"/>
      <c r="V26" s="50">
        <v>315</v>
      </c>
      <c r="W26" s="50">
        <f t="shared" si="5"/>
        <v>4957</v>
      </c>
      <c r="X26" s="1645"/>
      <c r="Y26" s="1675" t="b">
        <f t="shared" si="1"/>
        <v>1</v>
      </c>
      <c r="Z26" s="1675" t="b">
        <f t="shared" si="1"/>
        <v>1</v>
      </c>
      <c r="AA26" s="1675" t="b">
        <f t="shared" si="1"/>
        <v>1</v>
      </c>
      <c r="AB26" s="1675" t="b">
        <f t="shared" si="1"/>
        <v>1</v>
      </c>
      <c r="AC26" s="1675" t="b">
        <f t="shared" si="1"/>
        <v>1</v>
      </c>
      <c r="AD26" s="1675" t="b">
        <f t="shared" si="1"/>
        <v>1</v>
      </c>
      <c r="AE26" s="1675" t="b">
        <f t="shared" si="1"/>
        <v>1</v>
      </c>
      <c r="AF26" s="1675" t="b">
        <f t="shared" si="1"/>
        <v>1</v>
      </c>
      <c r="AG26" s="1675" t="b">
        <f t="shared" si="1"/>
        <v>1</v>
      </c>
    </row>
    <row r="27" spans="1:33" ht="16.350000000000001" customHeight="1">
      <c r="A27" s="1445">
        <v>2015</v>
      </c>
      <c r="B27" s="1448">
        <v>9120</v>
      </c>
      <c r="C27" s="1448">
        <v>3117</v>
      </c>
      <c r="D27" s="1448">
        <v>1262</v>
      </c>
      <c r="E27" s="1447">
        <v>204</v>
      </c>
      <c r="F27" s="1449">
        <f>SUM(B27:E27)</f>
        <v>13703</v>
      </c>
      <c r="G27" s="1625"/>
      <c r="H27" s="683">
        <v>2507</v>
      </c>
      <c r="I27" s="1450">
        <f t="shared" si="0"/>
        <v>16210</v>
      </c>
      <c r="J27" s="1675"/>
      <c r="K27" s="682">
        <v>2015</v>
      </c>
      <c r="L27" s="682">
        <f t="shared" si="3"/>
        <v>16210</v>
      </c>
      <c r="M27" s="1645">
        <f t="shared" si="4"/>
        <v>7</v>
      </c>
      <c r="N27" s="1675"/>
      <c r="O27" s="1645">
        <v>2015</v>
      </c>
      <c r="P27" s="50">
        <v>9120</v>
      </c>
      <c r="Q27" s="50">
        <v>3117</v>
      </c>
      <c r="R27" s="50">
        <v>1262</v>
      </c>
      <c r="S27" s="50">
        <v>204</v>
      </c>
      <c r="T27" s="50">
        <f t="shared" si="6"/>
        <v>13703</v>
      </c>
      <c r="U27" s="50"/>
      <c r="V27" s="50">
        <v>2507</v>
      </c>
      <c r="W27" s="50">
        <f t="shared" si="5"/>
        <v>16210</v>
      </c>
      <c r="X27" s="1645"/>
      <c r="Y27" s="1675" t="b">
        <f t="shared" si="1"/>
        <v>1</v>
      </c>
      <c r="Z27" s="1675" t="b">
        <f t="shared" si="1"/>
        <v>1</v>
      </c>
      <c r="AA27" s="1675" t="b">
        <f t="shared" si="1"/>
        <v>1</v>
      </c>
      <c r="AB27" s="1675" t="b">
        <f t="shared" si="1"/>
        <v>1</v>
      </c>
      <c r="AC27" s="1675" t="b">
        <f t="shared" si="1"/>
        <v>1</v>
      </c>
      <c r="AD27" s="1675" t="b">
        <f t="shared" si="1"/>
        <v>1</v>
      </c>
      <c r="AE27" s="1675" t="b">
        <f t="shared" si="1"/>
        <v>1</v>
      </c>
      <c r="AF27" s="1675" t="b">
        <f t="shared" si="1"/>
        <v>1</v>
      </c>
      <c r="AG27" s="1675" t="b">
        <f t="shared" si="1"/>
        <v>1</v>
      </c>
    </row>
    <row r="28" spans="1:33" ht="16.350000000000001" customHeight="1">
      <c r="A28" s="1452">
        <v>2016</v>
      </c>
      <c r="B28" s="51">
        <v>6694</v>
      </c>
      <c r="C28" s="1448">
        <v>2617</v>
      </c>
      <c r="D28" s="1448">
        <v>1106</v>
      </c>
      <c r="E28" s="1448">
        <v>79</v>
      </c>
      <c r="F28" s="1448">
        <f>SUM(B28:E28)</f>
        <v>10496</v>
      </c>
      <c r="G28" s="1453"/>
      <c r="H28" s="683">
        <v>1315</v>
      </c>
      <c r="I28" s="1450">
        <f t="shared" si="0"/>
        <v>11811</v>
      </c>
      <c r="J28" s="1675"/>
      <c r="K28" s="682">
        <v>2016</v>
      </c>
      <c r="L28" s="684">
        <f t="shared" si="3"/>
        <v>11811</v>
      </c>
      <c r="M28" s="1645">
        <f t="shared" si="4"/>
        <v>9</v>
      </c>
      <c r="N28" s="1675"/>
      <c r="O28" s="1645">
        <v>2016</v>
      </c>
      <c r="P28" s="50">
        <v>6694</v>
      </c>
      <c r="Q28" s="50">
        <v>2617</v>
      </c>
      <c r="R28" s="50">
        <v>1106</v>
      </c>
      <c r="S28" s="50">
        <v>79</v>
      </c>
      <c r="T28" s="50">
        <f t="shared" si="6"/>
        <v>10496</v>
      </c>
      <c r="U28" s="50"/>
      <c r="V28" s="50">
        <v>1315</v>
      </c>
      <c r="W28" s="50">
        <f t="shared" si="5"/>
        <v>11811</v>
      </c>
      <c r="X28" s="1675"/>
      <c r="Y28" s="1675" t="b">
        <f t="shared" ref="Y28:AG34" si="7">O28=A28</f>
        <v>1</v>
      </c>
      <c r="Z28" s="1675" t="b">
        <f t="shared" si="7"/>
        <v>1</v>
      </c>
      <c r="AA28" s="1675" t="b">
        <f t="shared" si="7"/>
        <v>1</v>
      </c>
      <c r="AB28" s="1675" t="b">
        <f t="shared" si="7"/>
        <v>1</v>
      </c>
      <c r="AC28" s="1675" t="b">
        <f t="shared" si="7"/>
        <v>1</v>
      </c>
      <c r="AD28" s="1675" t="b">
        <f t="shared" si="7"/>
        <v>1</v>
      </c>
      <c r="AE28" s="1675" t="b">
        <f t="shared" si="7"/>
        <v>1</v>
      </c>
      <c r="AF28" s="1675" t="b">
        <f t="shared" si="7"/>
        <v>1</v>
      </c>
      <c r="AG28" s="1675" t="b">
        <f t="shared" si="7"/>
        <v>1</v>
      </c>
    </row>
    <row r="29" spans="1:33" ht="16.350000000000001" customHeight="1">
      <c r="A29" s="1452">
        <v>2017</v>
      </c>
      <c r="B29" s="685">
        <v>10799</v>
      </c>
      <c r="C29" s="683">
        <v>3261</v>
      </c>
      <c r="D29" s="683">
        <v>3517</v>
      </c>
      <c r="E29" s="683">
        <v>21</v>
      </c>
      <c r="F29" s="683">
        <f>SUM(B29:E29)</f>
        <v>17598</v>
      </c>
      <c r="G29" s="683"/>
      <c r="H29" s="1454">
        <v>1608</v>
      </c>
      <c r="I29" s="1455">
        <f t="shared" si="0"/>
        <v>19206</v>
      </c>
      <c r="J29" s="1675"/>
      <c r="K29" s="682">
        <v>2017</v>
      </c>
      <c r="L29" s="684">
        <f t="shared" si="3"/>
        <v>19206</v>
      </c>
      <c r="M29" s="1645">
        <f t="shared" si="4"/>
        <v>5</v>
      </c>
      <c r="N29" s="1675"/>
      <c r="O29" s="1645">
        <v>2017</v>
      </c>
      <c r="P29" s="50">
        <v>10799</v>
      </c>
      <c r="Q29" s="50">
        <v>3261</v>
      </c>
      <c r="R29" s="50">
        <v>3517</v>
      </c>
      <c r="S29" s="50">
        <v>21</v>
      </c>
      <c r="T29" s="50">
        <f t="shared" si="6"/>
        <v>17598</v>
      </c>
      <c r="U29" s="50"/>
      <c r="V29" s="50">
        <v>1608</v>
      </c>
      <c r="W29" s="50">
        <f t="shared" si="5"/>
        <v>19206</v>
      </c>
      <c r="X29" s="1675"/>
      <c r="Y29" s="1675" t="b">
        <f t="shared" si="7"/>
        <v>1</v>
      </c>
      <c r="Z29" s="1675" t="b">
        <f t="shared" si="7"/>
        <v>1</v>
      </c>
      <c r="AA29" s="1675" t="b">
        <f t="shared" si="7"/>
        <v>1</v>
      </c>
      <c r="AB29" s="1675" t="b">
        <f t="shared" si="7"/>
        <v>1</v>
      </c>
      <c r="AC29" s="1675" t="b">
        <f t="shared" si="7"/>
        <v>1</v>
      </c>
      <c r="AD29" s="1675" t="b">
        <f>T29=F29</f>
        <v>1</v>
      </c>
      <c r="AE29" s="1675" t="b">
        <f t="shared" si="7"/>
        <v>1</v>
      </c>
      <c r="AF29" s="1675" t="b">
        <f t="shared" si="7"/>
        <v>1</v>
      </c>
      <c r="AG29" s="1675" t="b">
        <f t="shared" si="7"/>
        <v>1</v>
      </c>
    </row>
    <row r="30" spans="1:33">
      <c r="A30" s="1452">
        <v>2018</v>
      </c>
      <c r="B30" s="685">
        <v>6933</v>
      </c>
      <c r="C30" s="683">
        <v>2164</v>
      </c>
      <c r="D30" s="683">
        <v>1884</v>
      </c>
      <c r="E30" s="683">
        <v>0</v>
      </c>
      <c r="F30" s="683">
        <f>SUM(B30:E30)</f>
        <v>10981</v>
      </c>
      <c r="G30" s="683"/>
      <c r="H30" s="1619">
        <v>682</v>
      </c>
      <c r="I30" s="1455">
        <f t="shared" si="0"/>
        <v>11663</v>
      </c>
      <c r="J30" s="1675"/>
      <c r="K30" s="682">
        <v>2018</v>
      </c>
      <c r="L30" s="684">
        <f t="shared" si="3"/>
        <v>11663</v>
      </c>
      <c r="M30" s="1645">
        <f t="shared" si="4"/>
        <v>10</v>
      </c>
      <c r="N30" s="1675"/>
      <c r="O30" s="490">
        <f>A30</f>
        <v>2018</v>
      </c>
      <c r="P30" s="50">
        <v>6933</v>
      </c>
      <c r="Q30" s="50">
        <v>2164</v>
      </c>
      <c r="R30" s="50">
        <v>1884</v>
      </c>
      <c r="S30" s="50"/>
      <c r="T30" s="50">
        <f t="shared" si="6"/>
        <v>10981</v>
      </c>
      <c r="U30" s="50"/>
      <c r="V30" s="1675">
        <v>682</v>
      </c>
      <c r="W30" s="50">
        <f t="shared" si="5"/>
        <v>11663</v>
      </c>
      <c r="X30" s="1675"/>
      <c r="Y30" s="1675" t="b">
        <f t="shared" si="7"/>
        <v>1</v>
      </c>
      <c r="Z30" s="1675" t="b">
        <f t="shared" si="7"/>
        <v>1</v>
      </c>
      <c r="AA30" s="1675" t="b">
        <f t="shared" si="7"/>
        <v>1</v>
      </c>
      <c r="AB30" s="1675" t="b">
        <f t="shared" si="7"/>
        <v>1</v>
      </c>
      <c r="AC30" s="1675" t="b">
        <f t="shared" si="7"/>
        <v>1</v>
      </c>
      <c r="AD30" s="1675" t="b">
        <f t="shared" si="7"/>
        <v>1</v>
      </c>
      <c r="AE30" s="1675" t="b">
        <f t="shared" si="7"/>
        <v>1</v>
      </c>
      <c r="AF30" s="1675" t="b">
        <f t="shared" si="7"/>
        <v>1</v>
      </c>
      <c r="AG30" s="1675" t="b">
        <f t="shared" si="7"/>
        <v>1</v>
      </c>
    </row>
    <row r="31" spans="1:33" ht="13.35" customHeight="1">
      <c r="A31" s="1452">
        <v>2019</v>
      </c>
      <c r="B31" s="685">
        <v>2123</v>
      </c>
      <c r="C31" s="683">
        <v>500</v>
      </c>
      <c r="D31" s="683">
        <v>545</v>
      </c>
      <c r="E31" s="683">
        <v>0</v>
      </c>
      <c r="F31" s="683">
        <f t="shared" ref="F31:F35" si="8">SUM(B31:E31)</f>
        <v>3168</v>
      </c>
      <c r="G31" s="683"/>
      <c r="H31" s="1135">
        <v>169</v>
      </c>
      <c r="I31" s="1455">
        <f t="shared" si="0"/>
        <v>3337</v>
      </c>
      <c r="J31" s="1675"/>
      <c r="K31" s="682">
        <v>2019</v>
      </c>
      <c r="L31" s="684">
        <f t="shared" si="3"/>
        <v>3337</v>
      </c>
      <c r="M31" s="1645">
        <f t="shared" si="4"/>
        <v>25</v>
      </c>
      <c r="N31" s="1675"/>
      <c r="O31" s="490">
        <f>A31</f>
        <v>2019</v>
      </c>
      <c r="P31" s="50">
        <f t="shared" ref="P31:R34" si="9">B31</f>
        <v>2123</v>
      </c>
      <c r="Q31" s="50">
        <f t="shared" si="9"/>
        <v>500</v>
      </c>
      <c r="R31" s="50">
        <f t="shared" si="9"/>
        <v>545</v>
      </c>
      <c r="S31" s="50"/>
      <c r="T31" s="50">
        <f t="shared" si="6"/>
        <v>3168</v>
      </c>
      <c r="U31" s="50"/>
      <c r="V31" s="50">
        <v>169</v>
      </c>
      <c r="W31" s="50">
        <f t="shared" si="5"/>
        <v>3337</v>
      </c>
      <c r="X31" s="1675"/>
      <c r="Y31" s="1675" t="b">
        <f t="shared" si="7"/>
        <v>1</v>
      </c>
      <c r="Z31" s="1675" t="b">
        <f t="shared" si="7"/>
        <v>1</v>
      </c>
      <c r="AA31" s="1675" t="b">
        <f t="shared" si="7"/>
        <v>1</v>
      </c>
      <c r="AB31" s="1675" t="b">
        <f t="shared" si="7"/>
        <v>1</v>
      </c>
      <c r="AC31" s="1675" t="b">
        <f t="shared" si="7"/>
        <v>1</v>
      </c>
      <c r="AD31" s="1675" t="b">
        <f t="shared" si="7"/>
        <v>1</v>
      </c>
      <c r="AE31" s="1675" t="b">
        <f t="shared" si="7"/>
        <v>1</v>
      </c>
      <c r="AF31" s="1675" t="b">
        <f t="shared" si="7"/>
        <v>1</v>
      </c>
      <c r="AG31" s="1675" t="b">
        <f t="shared" si="7"/>
        <v>1</v>
      </c>
    </row>
    <row r="32" spans="1:33" ht="12.75" customHeight="1">
      <c r="A32" s="1456">
        <v>2020</v>
      </c>
      <c r="B32" s="606">
        <v>3113</v>
      </c>
      <c r="C32" s="641">
        <v>615</v>
      </c>
      <c r="D32" s="641">
        <v>459</v>
      </c>
      <c r="E32" s="641">
        <v>0</v>
      </c>
      <c r="F32" s="641">
        <f t="shared" si="8"/>
        <v>4187</v>
      </c>
      <c r="G32" s="641"/>
      <c r="H32" s="686">
        <v>289</v>
      </c>
      <c r="I32" s="1455">
        <f t="shared" si="0"/>
        <v>4476</v>
      </c>
      <c r="J32" s="1675"/>
      <c r="K32" s="682">
        <v>2020</v>
      </c>
      <c r="L32" s="684">
        <f t="shared" si="3"/>
        <v>4476</v>
      </c>
      <c r="M32" s="1645">
        <f t="shared" si="4"/>
        <v>23</v>
      </c>
      <c r="N32" s="1675"/>
      <c r="O32" s="682">
        <v>2020</v>
      </c>
      <c r="P32" s="50">
        <f t="shared" si="9"/>
        <v>3113</v>
      </c>
      <c r="Q32" s="50">
        <f t="shared" si="9"/>
        <v>615</v>
      </c>
      <c r="R32" s="50">
        <f t="shared" si="9"/>
        <v>459</v>
      </c>
      <c r="S32" s="50"/>
      <c r="T32" s="50">
        <f t="shared" si="6"/>
        <v>4187</v>
      </c>
      <c r="U32" s="1675"/>
      <c r="V32" s="1675">
        <v>289</v>
      </c>
      <c r="W32" s="50">
        <f t="shared" si="5"/>
        <v>4476</v>
      </c>
      <c r="X32" s="1675"/>
      <c r="Y32" s="1675" t="b">
        <f t="shared" si="7"/>
        <v>1</v>
      </c>
      <c r="Z32" s="1675" t="b">
        <f t="shared" si="7"/>
        <v>1</v>
      </c>
      <c r="AA32" s="1675" t="b">
        <f t="shared" si="7"/>
        <v>1</v>
      </c>
      <c r="AB32" s="1675" t="b">
        <f t="shared" si="7"/>
        <v>1</v>
      </c>
      <c r="AC32" s="1675" t="b">
        <f t="shared" si="7"/>
        <v>1</v>
      </c>
      <c r="AD32" s="1675" t="b">
        <f t="shared" si="7"/>
        <v>1</v>
      </c>
      <c r="AE32" s="1675" t="b">
        <f t="shared" si="7"/>
        <v>1</v>
      </c>
      <c r="AF32" s="1675" t="b">
        <f t="shared" si="7"/>
        <v>1</v>
      </c>
      <c r="AG32" s="1675" t="b">
        <f t="shared" ref="AG32:AG37" si="10">W32=I32</f>
        <v>1</v>
      </c>
    </row>
    <row r="33" spans="1:33">
      <c r="A33" s="1452">
        <v>2021</v>
      </c>
      <c r="B33" s="641">
        <v>4579</v>
      </c>
      <c r="C33" s="641">
        <v>1531</v>
      </c>
      <c r="D33" s="1664">
        <v>395</v>
      </c>
      <c r="E33" s="1664">
        <v>42</v>
      </c>
      <c r="F33" s="641">
        <f t="shared" si="8"/>
        <v>6547</v>
      </c>
      <c r="G33" s="1664"/>
      <c r="H33" s="1457">
        <v>1143</v>
      </c>
      <c r="I33" s="1455">
        <f t="shared" si="0"/>
        <v>7690</v>
      </c>
      <c r="J33" s="1675"/>
      <c r="K33" s="682">
        <v>2021</v>
      </c>
      <c r="L33" s="684">
        <f t="shared" si="3"/>
        <v>7690</v>
      </c>
      <c r="M33" s="1645">
        <f t="shared" si="4"/>
        <v>17</v>
      </c>
      <c r="N33" s="1675"/>
      <c r="O33" s="490">
        <f>A33</f>
        <v>2021</v>
      </c>
      <c r="P33" s="50">
        <f t="shared" si="9"/>
        <v>4579</v>
      </c>
      <c r="Q33" s="50">
        <f t="shared" si="9"/>
        <v>1531</v>
      </c>
      <c r="R33" s="50">
        <f t="shared" si="9"/>
        <v>395</v>
      </c>
      <c r="S33" s="50">
        <v>42</v>
      </c>
      <c r="T33" s="50">
        <f t="shared" si="6"/>
        <v>6547</v>
      </c>
      <c r="U33" s="1675"/>
      <c r="V33" s="1675">
        <v>1143</v>
      </c>
      <c r="W33" s="50">
        <f t="shared" si="5"/>
        <v>7690</v>
      </c>
      <c r="X33" s="1675"/>
      <c r="Y33" s="1675" t="b">
        <f t="shared" si="7"/>
        <v>1</v>
      </c>
      <c r="Z33" s="1675" t="b">
        <f t="shared" si="7"/>
        <v>1</v>
      </c>
      <c r="AA33" s="1675" t="b">
        <f t="shared" si="7"/>
        <v>1</v>
      </c>
      <c r="AB33" s="1675" t="b">
        <f t="shared" si="7"/>
        <v>1</v>
      </c>
      <c r="AC33" s="1675" t="b">
        <f t="shared" si="7"/>
        <v>1</v>
      </c>
      <c r="AD33" s="1675" t="b">
        <f t="shared" si="7"/>
        <v>1</v>
      </c>
      <c r="AE33" s="1675" t="b">
        <f t="shared" si="7"/>
        <v>1</v>
      </c>
      <c r="AF33" s="1675" t="b">
        <f>V33=H33</f>
        <v>1</v>
      </c>
      <c r="AG33" s="1675" t="b">
        <f t="shared" si="10"/>
        <v>1</v>
      </c>
    </row>
    <row r="34" spans="1:33">
      <c r="A34" s="1452">
        <v>2022</v>
      </c>
      <c r="B34" s="641">
        <v>14481</v>
      </c>
      <c r="C34" s="1664">
        <v>2878</v>
      </c>
      <c r="D34" s="641">
        <v>1276</v>
      </c>
      <c r="E34" s="1664">
        <v>66</v>
      </c>
      <c r="F34" s="641">
        <f t="shared" si="8"/>
        <v>18701</v>
      </c>
      <c r="G34" s="1664"/>
      <c r="H34" s="641">
        <v>2460</v>
      </c>
      <c r="I34" s="1455">
        <f t="shared" si="0"/>
        <v>21161</v>
      </c>
      <c r="J34" s="1675"/>
      <c r="K34" s="682">
        <v>2022</v>
      </c>
      <c r="L34" s="684">
        <f t="shared" si="3"/>
        <v>21161</v>
      </c>
      <c r="M34" s="1645">
        <f t="shared" si="4"/>
        <v>4</v>
      </c>
      <c r="N34" s="1675"/>
      <c r="O34" s="490">
        <f>A34</f>
        <v>2022</v>
      </c>
      <c r="P34" s="50">
        <f t="shared" si="9"/>
        <v>14481</v>
      </c>
      <c r="Q34" s="50">
        <f t="shared" si="9"/>
        <v>2878</v>
      </c>
      <c r="R34" s="50">
        <f t="shared" si="9"/>
        <v>1276</v>
      </c>
      <c r="S34" s="50">
        <v>66</v>
      </c>
      <c r="T34" s="50">
        <f t="shared" si="6"/>
        <v>18701</v>
      </c>
      <c r="U34" s="1675"/>
      <c r="V34" s="1675">
        <v>2460</v>
      </c>
      <c r="W34" s="50">
        <f t="shared" si="5"/>
        <v>21161</v>
      </c>
      <c r="X34" s="1675"/>
      <c r="Y34" s="1675" t="b">
        <f t="shared" si="7"/>
        <v>1</v>
      </c>
      <c r="Z34" s="1675" t="b">
        <f t="shared" si="7"/>
        <v>1</v>
      </c>
      <c r="AA34" s="1675" t="b">
        <f t="shared" si="7"/>
        <v>1</v>
      </c>
      <c r="AB34" s="1675" t="b">
        <f t="shared" si="7"/>
        <v>1</v>
      </c>
      <c r="AC34" s="1675" t="b">
        <f t="shared" si="7"/>
        <v>1</v>
      </c>
      <c r="AD34" s="1675" t="b">
        <f t="shared" si="7"/>
        <v>1</v>
      </c>
      <c r="AE34" s="1675" t="b">
        <f t="shared" si="7"/>
        <v>1</v>
      </c>
      <c r="AF34" s="1675" t="b">
        <f>V34=H34</f>
        <v>1</v>
      </c>
      <c r="AG34" s="1675" t="b">
        <f t="shared" si="10"/>
        <v>1</v>
      </c>
    </row>
    <row r="35" spans="1:33">
      <c r="A35" s="1452">
        <v>2023</v>
      </c>
      <c r="B35" s="641">
        <v>11658</v>
      </c>
      <c r="C35" s="641">
        <v>6207</v>
      </c>
      <c r="D35" s="641">
        <v>2224</v>
      </c>
      <c r="E35" s="1664">
        <v>54</v>
      </c>
      <c r="F35" s="641">
        <f t="shared" si="8"/>
        <v>20143</v>
      </c>
      <c r="G35" s="1664"/>
      <c r="H35" s="641">
        <v>2679</v>
      </c>
      <c r="I35" s="1455">
        <f t="shared" si="0"/>
        <v>22822</v>
      </c>
      <c r="J35" s="1675"/>
      <c r="K35" s="682">
        <v>2023</v>
      </c>
      <c r="L35" s="684">
        <f t="shared" ref="L35" si="11">I35</f>
        <v>22822</v>
      </c>
      <c r="M35" s="1645">
        <f t="shared" si="4"/>
        <v>2</v>
      </c>
      <c r="N35" s="1675"/>
      <c r="O35" s="490">
        <f>A35</f>
        <v>2023</v>
      </c>
      <c r="P35" s="50">
        <f t="shared" ref="P35" si="12">B35</f>
        <v>11658</v>
      </c>
      <c r="Q35" s="50">
        <f t="shared" ref="Q35" si="13">C35</f>
        <v>6207</v>
      </c>
      <c r="R35" s="50">
        <f t="shared" ref="R35" si="14">D35</f>
        <v>2224</v>
      </c>
      <c r="S35" s="50">
        <v>54</v>
      </c>
      <c r="T35" s="50">
        <f t="shared" si="6"/>
        <v>20143</v>
      </c>
      <c r="U35" s="1675"/>
      <c r="V35" s="246">
        <f>H35</f>
        <v>2679</v>
      </c>
      <c r="W35" s="50">
        <f t="shared" ref="W35" si="15">SUM(V35,T35)</f>
        <v>22822</v>
      </c>
      <c r="X35" s="1675"/>
      <c r="Y35" s="1675" t="b">
        <f t="shared" ref="Y35" si="16">O35=A35</f>
        <v>1</v>
      </c>
      <c r="Z35" s="1675" t="b">
        <f t="shared" ref="Z35" si="17">P35=B35</f>
        <v>1</v>
      </c>
      <c r="AA35" s="1675" t="b">
        <f t="shared" ref="AA35" si="18">Q35=C35</f>
        <v>1</v>
      </c>
      <c r="AB35" s="1675" t="b">
        <f t="shared" ref="AB35" si="19">R35=D35</f>
        <v>1</v>
      </c>
      <c r="AC35" s="1675" t="b">
        <f t="shared" ref="AC35" si="20">S35=E35</f>
        <v>1</v>
      </c>
      <c r="AD35" s="1675" t="b">
        <f t="shared" ref="AD35" si="21">T35=F35</f>
        <v>1</v>
      </c>
      <c r="AE35" s="1675" t="b">
        <f t="shared" ref="AE35" si="22">U35=G35</f>
        <v>1</v>
      </c>
      <c r="AF35" s="1675" t="b">
        <f t="shared" ref="AF35" si="23">V35=H35</f>
        <v>1</v>
      </c>
      <c r="AG35" s="1675" t="b">
        <f t="shared" si="10"/>
        <v>1</v>
      </c>
    </row>
    <row r="36" spans="1:33">
      <c r="A36" s="1452">
        <v>2024</v>
      </c>
      <c r="B36" s="641">
        <v>11436</v>
      </c>
      <c r="C36" s="641">
        <v>4385</v>
      </c>
      <c r="D36" s="641">
        <v>1205</v>
      </c>
      <c r="E36" s="1442">
        <v>31</v>
      </c>
      <c r="F36" s="641">
        <v>17057</v>
      </c>
      <c r="G36" s="641"/>
      <c r="H36" s="641">
        <v>1471</v>
      </c>
      <c r="I36" s="1455">
        <f t="shared" si="0"/>
        <v>18528</v>
      </c>
      <c r="J36" s="1675"/>
      <c r="K36" s="682">
        <v>2024</v>
      </c>
      <c r="L36" s="684">
        <f t="shared" ref="L36" si="24">I36</f>
        <v>18528</v>
      </c>
      <c r="M36" s="1645">
        <f t="shared" si="4"/>
        <v>6</v>
      </c>
      <c r="N36" s="1675"/>
      <c r="O36" s="490">
        <f>A36</f>
        <v>2024</v>
      </c>
      <c r="P36" s="50">
        <f t="shared" ref="P36" si="25">B36</f>
        <v>11436</v>
      </c>
      <c r="Q36" s="50">
        <f t="shared" ref="Q36" si="26">C36</f>
        <v>4385</v>
      </c>
      <c r="R36" s="50">
        <f t="shared" ref="R36" si="27">D36</f>
        <v>1205</v>
      </c>
      <c r="S36" s="50">
        <f>E36</f>
        <v>31</v>
      </c>
      <c r="T36" s="50">
        <f t="shared" ref="T36" si="28">SUM(P36:S36)</f>
        <v>17057</v>
      </c>
      <c r="U36" s="1675"/>
      <c r="V36" s="246">
        <f>H36</f>
        <v>1471</v>
      </c>
      <c r="W36" s="246">
        <f>I36</f>
        <v>18528</v>
      </c>
      <c r="X36" s="1675"/>
      <c r="Y36" s="1675" t="b">
        <f t="shared" ref="Y36" si="29">O36=A36</f>
        <v>1</v>
      </c>
      <c r="Z36" s="1675" t="b">
        <f t="shared" ref="Z36" si="30">P36=B36</f>
        <v>1</v>
      </c>
      <c r="AA36" s="1675" t="b">
        <f t="shared" ref="AA36" si="31">Q36=C36</f>
        <v>1</v>
      </c>
      <c r="AB36" s="1675" t="b">
        <f t="shared" ref="AB36" si="32">R36=D36</f>
        <v>1</v>
      </c>
      <c r="AC36" s="1675" t="b">
        <f>S36=E36</f>
        <v>1</v>
      </c>
      <c r="AD36" s="1675" t="b">
        <f t="shared" ref="AD36" si="33">T36=F36</f>
        <v>1</v>
      </c>
      <c r="AE36" s="1675" t="b">
        <f t="shared" ref="AE36" si="34">U36=G36</f>
        <v>1</v>
      </c>
      <c r="AF36" s="1675" t="b">
        <f t="shared" ref="AF36" si="35">V36=H36</f>
        <v>1</v>
      </c>
      <c r="AG36" s="1675" t="b">
        <f t="shared" si="10"/>
        <v>1</v>
      </c>
    </row>
    <row r="37" spans="1:33" ht="13.5" thickBot="1">
      <c r="A37" s="1458">
        <v>2025</v>
      </c>
      <c r="B37" s="1459">
        <v>10829</v>
      </c>
      <c r="C37" s="1459">
        <v>7022</v>
      </c>
      <c r="D37" s="1459">
        <v>1703</v>
      </c>
      <c r="E37" s="1460">
        <v>32</v>
      </c>
      <c r="F37" s="1459">
        <v>19586</v>
      </c>
      <c r="G37" s="1459"/>
      <c r="H37" s="1459">
        <v>2055</v>
      </c>
      <c r="I37" s="1461">
        <f t="shared" si="0"/>
        <v>21641</v>
      </c>
      <c r="J37" s="1675"/>
      <c r="K37" s="1645">
        <v>2025</v>
      </c>
      <c r="L37" s="684">
        <f t="shared" ref="L37" si="36">I37</f>
        <v>21641</v>
      </c>
      <c r="M37" s="1645">
        <f t="shared" si="4"/>
        <v>3</v>
      </c>
      <c r="N37" s="1675"/>
      <c r="O37" s="490">
        <f>A37</f>
        <v>2025</v>
      </c>
      <c r="P37" s="50">
        <f t="shared" ref="P37" si="37">B37</f>
        <v>10829</v>
      </c>
      <c r="Q37" s="50">
        <f t="shared" ref="Q37" si="38">C37</f>
        <v>7022</v>
      </c>
      <c r="R37" s="50">
        <f t="shared" ref="R37" si="39">D37</f>
        <v>1703</v>
      </c>
      <c r="S37" s="50">
        <f>E37</f>
        <v>32</v>
      </c>
      <c r="T37" s="50">
        <f t="shared" ref="T37" si="40">SUM(P37:S37)</f>
        <v>19586</v>
      </c>
      <c r="U37" s="1675"/>
      <c r="V37" s="246">
        <f>H37</f>
        <v>2055</v>
      </c>
      <c r="W37" s="246">
        <f>I37</f>
        <v>21641</v>
      </c>
      <c r="X37" s="1675"/>
      <c r="Y37" s="1675" t="b">
        <f t="shared" ref="Y37" si="41">O37=A37</f>
        <v>1</v>
      </c>
      <c r="Z37" s="1675" t="b">
        <f t="shared" ref="Z37" si="42">P37=B37</f>
        <v>1</v>
      </c>
      <c r="AA37" s="1675" t="b">
        <f t="shared" ref="AA37" si="43">Q37=C37</f>
        <v>1</v>
      </c>
      <c r="AB37" s="1675" t="b">
        <f t="shared" ref="AB37" si="44">R37=D37</f>
        <v>1</v>
      </c>
      <c r="AC37" s="1675" t="b">
        <f>S37=E37</f>
        <v>1</v>
      </c>
      <c r="AD37" s="1675" t="b">
        <f t="shared" ref="AD37" si="45">T37=F37</f>
        <v>1</v>
      </c>
      <c r="AE37" s="1675" t="b">
        <f t="shared" ref="AE37" si="46">U37=G37</f>
        <v>1</v>
      </c>
      <c r="AF37" s="1675" t="b">
        <f t="shared" ref="AF37" si="47">V37=H37</f>
        <v>1</v>
      </c>
      <c r="AG37" s="1675" t="b">
        <f t="shared" si="10"/>
        <v>1</v>
      </c>
    </row>
    <row r="38" spans="1:33">
      <c r="A38" s="1675"/>
      <c r="B38" s="1675"/>
      <c r="C38" s="1675"/>
      <c r="D38" s="1675"/>
      <c r="E38" s="803"/>
      <c r="F38" s="246"/>
      <c r="G38" s="246"/>
      <c r="H38" s="246"/>
      <c r="I38" s="246"/>
      <c r="J38" s="1675"/>
      <c r="K38" s="1675"/>
      <c r="L38" s="1675"/>
      <c r="M38" s="1675"/>
      <c r="N38" s="1675"/>
      <c r="O38" s="1675"/>
      <c r="P38" s="1675"/>
      <c r="Q38" s="1675"/>
      <c r="R38" s="1675"/>
      <c r="S38" s="1675"/>
      <c r="T38" s="1675"/>
      <c r="U38" s="1675"/>
      <c r="V38" s="1675"/>
      <c r="W38" s="1675"/>
      <c r="X38" s="1675"/>
      <c r="Y38" s="1675"/>
      <c r="Z38" s="1675"/>
      <c r="AA38" s="1675"/>
      <c r="AB38" s="1675"/>
      <c r="AC38" s="1675"/>
      <c r="AD38" s="1675"/>
      <c r="AE38" s="1675"/>
      <c r="AF38" s="1675"/>
      <c r="AG38" s="1675"/>
    </row>
    <row r="39" spans="1:33">
      <c r="A39" s="1675"/>
      <c r="B39" s="1675"/>
      <c r="C39" s="1675"/>
      <c r="D39" s="1675"/>
      <c r="E39" s="803"/>
      <c r="F39" s="1675"/>
      <c r="G39" s="1675"/>
      <c r="H39" s="1675"/>
      <c r="I39" s="1675"/>
      <c r="J39" s="1675"/>
      <c r="K39" s="1675"/>
      <c r="L39" s="1675"/>
      <c r="M39" s="1675"/>
      <c r="N39" s="1675"/>
      <c r="O39" s="1675"/>
      <c r="P39" s="1675"/>
      <c r="Q39" s="1675"/>
      <c r="R39" s="1675"/>
      <c r="S39" s="1675" t="s">
        <v>1501</v>
      </c>
      <c r="T39" s="246">
        <f>AVERAGE(T32:T36)</f>
        <v>13327</v>
      </c>
      <c r="U39" s="1675"/>
      <c r="V39" s="1675"/>
      <c r="W39" s="1675"/>
      <c r="X39" s="1675"/>
      <c r="Y39" s="1675"/>
      <c r="Z39" s="1675"/>
      <c r="AA39" s="1675"/>
      <c r="AB39" s="1675"/>
      <c r="AC39" s="1675"/>
      <c r="AD39" s="1675"/>
      <c r="AE39" s="1675"/>
      <c r="AF39" s="1675"/>
      <c r="AG39" s="1675"/>
    </row>
    <row r="40" spans="1:33">
      <c r="A40" s="1675"/>
      <c r="B40" s="1675"/>
      <c r="C40" s="1675"/>
      <c r="D40" s="1675"/>
      <c r="E40" s="803"/>
      <c r="F40" s="1675"/>
      <c r="G40" s="1675"/>
      <c r="H40" s="1675"/>
      <c r="I40" s="1675"/>
      <c r="J40" s="1675"/>
      <c r="K40" s="1675"/>
      <c r="L40" s="1675"/>
      <c r="M40" s="1675"/>
      <c r="N40" s="1675"/>
      <c r="O40" s="1675"/>
      <c r="P40" s="1675"/>
      <c r="Q40" s="1675"/>
      <c r="R40" s="1675"/>
      <c r="S40" s="1675" t="s">
        <v>1502</v>
      </c>
      <c r="T40" s="246">
        <f>AVERAGE(T27:T36)</f>
        <v>12258.1</v>
      </c>
      <c r="U40" s="1675"/>
      <c r="V40" s="1675"/>
      <c r="W40" s="1675"/>
      <c r="X40" s="1675"/>
      <c r="Y40" s="1675"/>
      <c r="Z40" s="1675"/>
      <c r="AA40" s="1675"/>
      <c r="AB40" s="1675"/>
      <c r="AC40" s="1675"/>
      <c r="AD40" s="1675"/>
      <c r="AE40" s="1675"/>
      <c r="AF40" s="1675"/>
      <c r="AG40" s="1675"/>
    </row>
  </sheetData>
  <mergeCells count="11">
    <mergeCell ref="I3:I4"/>
    <mergeCell ref="B1:I1"/>
    <mergeCell ref="B2:F2"/>
    <mergeCell ref="A3:A4"/>
    <mergeCell ref="B3:B4"/>
    <mergeCell ref="C3:C4"/>
    <mergeCell ref="D3:D4"/>
    <mergeCell ref="E3:E4"/>
    <mergeCell ref="F3:F4"/>
    <mergeCell ref="G3:G4"/>
    <mergeCell ref="H3:H4"/>
  </mergeCells>
  <conditionalFormatting sqref="Y5:AG37">
    <cfRule type="cellIs" dxfId="0" priority="1" operator="equal">
      <formula>FALSE</formula>
    </cfRule>
  </conditionalFormatting>
  <pageMargins left="0.7" right="0.7" top="0.75" bottom="0.75" header="0.3" footer="0.3"/>
  <pageSetup orientation="portrait" r:id="rId1"/>
  <legacy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B15C7-6015-4F99-B6EC-55E2467C7896}">
  <sheetPr>
    <tabColor rgb="FF66FF33"/>
  </sheetPr>
  <dimension ref="A1:P44"/>
  <sheetViews>
    <sheetView showGridLines="0" zoomScaleNormal="100" workbookViewId="0">
      <selection activeCell="U40" sqref="U40"/>
    </sheetView>
  </sheetViews>
  <sheetFormatPr defaultColWidth="9.33203125" defaultRowHeight="12.75"/>
  <cols>
    <col min="1" max="1" width="10.83203125" style="115" customWidth="1"/>
    <col min="2" max="2" width="10.83203125" style="74" customWidth="1"/>
    <col min="3" max="4" width="10.83203125" style="53" customWidth="1"/>
    <col min="5" max="5" width="10.83203125" style="74" customWidth="1"/>
    <col min="6" max="6" width="10.83203125" style="53" customWidth="1"/>
    <col min="7" max="7" width="1.83203125" style="74" customWidth="1"/>
    <col min="8" max="8" width="16.33203125" style="74" customWidth="1"/>
    <col min="9" max="9" width="10.83203125" style="74" customWidth="1"/>
    <col min="10" max="16384" width="9.33203125" style="74"/>
  </cols>
  <sheetData>
    <row r="1" spans="1:16" ht="15.75">
      <c r="A1" s="687" t="s">
        <v>141</v>
      </c>
      <c r="B1" s="688"/>
      <c r="C1" s="52"/>
      <c r="D1" s="52"/>
      <c r="E1" s="465"/>
      <c r="F1" s="52"/>
      <c r="G1" s="1625"/>
      <c r="H1" s="465"/>
      <c r="I1" s="688"/>
      <c r="J1" s="1675"/>
      <c r="K1" s="1675"/>
      <c r="L1" s="1675"/>
      <c r="M1" s="1675"/>
      <c r="N1" s="1675"/>
      <c r="O1" s="1675"/>
      <c r="P1" s="1675"/>
    </row>
    <row r="2" spans="1:16" ht="15.75">
      <c r="A2" s="687" t="s">
        <v>1503</v>
      </c>
      <c r="B2" s="688"/>
      <c r="C2" s="52"/>
      <c r="D2" s="52"/>
      <c r="E2" s="465"/>
      <c r="F2" s="52"/>
      <c r="G2" s="1625"/>
      <c r="H2" s="465"/>
      <c r="I2" s="688"/>
      <c r="J2" s="1675"/>
      <c r="K2" s="1675"/>
      <c r="L2" s="1675"/>
      <c r="M2" s="1675"/>
      <c r="N2" s="1675"/>
      <c r="O2" s="1675"/>
      <c r="P2" s="1675"/>
    </row>
    <row r="3" spans="1:16" ht="15.75">
      <c r="A3" s="687"/>
      <c r="B3" s="688"/>
      <c r="C3" s="52"/>
      <c r="D3" s="52"/>
      <c r="E3" s="465"/>
      <c r="F3" s="52"/>
      <c r="G3" s="1625"/>
      <c r="H3" s="465"/>
      <c r="I3" s="688"/>
      <c r="J3" s="1675"/>
      <c r="K3" s="1675"/>
      <c r="L3" s="1675"/>
      <c r="M3" s="1675"/>
      <c r="N3" s="1675"/>
      <c r="O3" s="1675"/>
      <c r="P3" s="1675"/>
    </row>
    <row r="4" spans="1:16" ht="16.350000000000001" customHeight="1">
      <c r="A4" s="1633"/>
      <c r="B4" s="2011" t="s">
        <v>404</v>
      </c>
      <c r="C4" s="2011"/>
      <c r="D4" s="2011"/>
      <c r="E4" s="2011"/>
      <c r="F4" s="2011"/>
      <c r="G4" s="1635"/>
      <c r="H4" s="1709" t="s">
        <v>448</v>
      </c>
      <c r="I4" s="1050"/>
      <c r="J4"/>
      <c r="K4"/>
      <c r="L4"/>
      <c r="M4"/>
      <c r="N4"/>
      <c r="O4" s="434"/>
      <c r="P4" s="434"/>
    </row>
    <row r="5" spans="1:16" ht="12.75" customHeight="1">
      <c r="A5" s="1875" t="s">
        <v>28</v>
      </c>
      <c r="B5" s="2009" t="s">
        <v>1124</v>
      </c>
      <c r="C5" s="2013" t="s">
        <v>1494</v>
      </c>
      <c r="D5" s="2015" t="s">
        <v>1495</v>
      </c>
      <c r="E5" s="2009" t="s">
        <v>1127</v>
      </c>
      <c r="F5" s="2017" t="s">
        <v>1496</v>
      </c>
      <c r="G5" s="2009"/>
      <c r="H5" s="2010" t="s">
        <v>1496</v>
      </c>
      <c r="I5" s="2020" t="s">
        <v>564</v>
      </c>
      <c r="J5"/>
      <c r="K5"/>
      <c r="L5"/>
      <c r="M5"/>
      <c r="N5"/>
      <c r="O5" s="1675"/>
      <c r="P5" s="1675"/>
    </row>
    <row r="6" spans="1:16">
      <c r="A6" s="1876"/>
      <c r="B6" s="2012"/>
      <c r="C6" s="2014"/>
      <c r="D6" s="2016"/>
      <c r="E6" s="2012"/>
      <c r="F6" s="2018"/>
      <c r="G6" s="2012"/>
      <c r="H6" s="2019"/>
      <c r="I6" s="2021"/>
      <c r="J6"/>
      <c r="K6"/>
      <c r="L6"/>
      <c r="M6"/>
      <c r="N6"/>
      <c r="O6" s="1675"/>
      <c r="P6" s="1675"/>
    </row>
    <row r="7" spans="1:16" ht="16.350000000000001" customHeight="1">
      <c r="A7" s="1634">
        <v>1993</v>
      </c>
      <c r="B7" s="762">
        <f>IF(T30Manip!B5="","",T30Manip!B5)</f>
        <v>851</v>
      </c>
      <c r="C7" s="762">
        <f>IF(T30Manip!C5="","",T30Manip!C5)</f>
        <v>0</v>
      </c>
      <c r="D7" s="762">
        <f>IF(T30Manip!D5="","",T30Manip!D5)</f>
        <v>0</v>
      </c>
      <c r="E7" s="762">
        <f>IF(T30Manip!E5="","",T30Manip!E5)</f>
        <v>0</v>
      </c>
      <c r="F7" s="762">
        <f>IF(T30Manip!F5="","",T30Manip!F5)</f>
        <v>851</v>
      </c>
      <c r="G7" s="1625"/>
      <c r="H7" s="683">
        <f>IF(T30Manip!H5="","",T30Manip!H5)</f>
        <v>0</v>
      </c>
      <c r="I7" s="1023">
        <f>IF(T30Manip!I5="","",T30Manip!I5)</f>
        <v>851</v>
      </c>
      <c r="J7"/>
      <c r="K7"/>
      <c r="L7"/>
      <c r="M7"/>
      <c r="N7"/>
      <c r="O7" s="1675"/>
      <c r="P7" s="1675"/>
    </row>
    <row r="8" spans="1:16" ht="16.350000000000001" customHeight="1">
      <c r="A8" s="1634">
        <v>1994</v>
      </c>
      <c r="B8" s="762">
        <f>IF(T30Manip!B6="","",T30Manip!B6)</f>
        <v>155</v>
      </c>
      <c r="C8" s="762">
        <f>IF(T30Manip!C6="","",T30Manip!C6)</f>
        <v>0</v>
      </c>
      <c r="D8" s="762">
        <f>IF(T30Manip!D6="","",T30Manip!D6)</f>
        <v>0</v>
      </c>
      <c r="E8" s="762">
        <f>IF(T30Manip!E6="","",T30Manip!E6)</f>
        <v>0</v>
      </c>
      <c r="F8" s="762">
        <f>IF(T30Manip!F6="","",T30Manip!F6)</f>
        <v>155</v>
      </c>
      <c r="G8" s="1625"/>
      <c r="H8" s="683">
        <f>IF(T30Manip!H6="","",T30Manip!H6)</f>
        <v>0</v>
      </c>
      <c r="I8" s="1023">
        <f>IF(T30Manip!I6="","",T30Manip!I6)</f>
        <v>155</v>
      </c>
      <c r="J8"/>
      <c r="K8"/>
      <c r="L8"/>
      <c r="M8"/>
      <c r="N8"/>
      <c r="O8" s="1675"/>
      <c r="P8" s="1675"/>
    </row>
    <row r="9" spans="1:16" ht="16.350000000000001" customHeight="1">
      <c r="A9" s="1634">
        <v>1995</v>
      </c>
      <c r="B9" s="762">
        <f>IF(T30Manip!B7="","",T30Manip!B7)</f>
        <v>201</v>
      </c>
      <c r="C9" s="762">
        <f>IF(T30Manip!C7="","",T30Manip!C7)</f>
        <v>0</v>
      </c>
      <c r="D9" s="762">
        <f>IF(T30Manip!D7="","",T30Manip!D7)</f>
        <v>0</v>
      </c>
      <c r="E9" s="762">
        <f>IF(T30Manip!E7="","",T30Manip!E7)</f>
        <v>0</v>
      </c>
      <c r="F9" s="762">
        <f>IF(T30Manip!F7="","",T30Manip!F7)</f>
        <v>201</v>
      </c>
      <c r="G9" s="1625"/>
      <c r="H9" s="683">
        <f>IF(T30Manip!H7="","",T30Manip!H7)</f>
        <v>0</v>
      </c>
      <c r="I9" s="1023">
        <f>IF(T30Manip!I7="","",T30Manip!I7)</f>
        <v>201</v>
      </c>
      <c r="J9"/>
      <c r="K9"/>
      <c r="L9"/>
      <c r="M9"/>
      <c r="N9"/>
      <c r="O9" s="1675"/>
      <c r="P9" s="1675"/>
    </row>
    <row r="10" spans="1:16" ht="16.350000000000001" customHeight="1">
      <c r="A10" s="1634">
        <v>1996</v>
      </c>
      <c r="B10" s="762">
        <f>IF(T30Manip!B8="","",T30Manip!B8)</f>
        <v>789</v>
      </c>
      <c r="C10" s="762">
        <f>IF(T30Manip!C8="","",T30Manip!C8)</f>
        <v>0</v>
      </c>
      <c r="D10" s="762">
        <f>IF(T30Manip!D8="","",T30Manip!D8)</f>
        <v>0</v>
      </c>
      <c r="E10" s="762">
        <f>IF(T30Manip!E8="","",T30Manip!E8)</f>
        <v>0</v>
      </c>
      <c r="F10" s="762">
        <f>IF(T30Manip!F8="","",T30Manip!F8)</f>
        <v>789</v>
      </c>
      <c r="G10" s="1625"/>
      <c r="H10" s="683">
        <f>IF(T30Manip!H8="","",T30Manip!H8)</f>
        <v>0</v>
      </c>
      <c r="I10" s="1023">
        <f>IF(T30Manip!I8="","",T30Manip!I8)</f>
        <v>789</v>
      </c>
      <c r="J10"/>
      <c r="K10"/>
      <c r="L10"/>
      <c r="M10"/>
      <c r="N10"/>
      <c r="O10" s="1675"/>
      <c r="P10" s="1675"/>
    </row>
    <row r="11" spans="1:16" ht="16.350000000000001" customHeight="1">
      <c r="A11" s="1634">
        <v>1997</v>
      </c>
      <c r="B11" s="762">
        <f>IF(T30Manip!B9="","",T30Manip!B9)</f>
        <v>1821</v>
      </c>
      <c r="C11" s="762">
        <f>IF(T30Manip!C9="","",T30Manip!C9)</f>
        <v>0</v>
      </c>
      <c r="D11" s="762">
        <f>IF(T30Manip!D9="","",T30Manip!D9)</f>
        <v>0</v>
      </c>
      <c r="E11" s="762">
        <f>IF(T30Manip!E9="","",T30Manip!E9)</f>
        <v>0</v>
      </c>
      <c r="F11" s="762">
        <f>IF(T30Manip!F9="","",T30Manip!F9)</f>
        <v>1821</v>
      </c>
      <c r="G11" s="1625"/>
      <c r="H11" s="683">
        <f>IF(T30Manip!H9="","",T30Manip!H9)</f>
        <v>0</v>
      </c>
      <c r="I11" s="1023">
        <f>IF(T30Manip!I9="","",T30Manip!I9)</f>
        <v>1821</v>
      </c>
      <c r="J11"/>
      <c r="K11"/>
      <c r="L11"/>
      <c r="M11"/>
      <c r="N11"/>
      <c r="O11" s="1675"/>
      <c r="P11" s="1675"/>
    </row>
    <row r="12" spans="1:16" ht="16.350000000000001" customHeight="1">
      <c r="A12" s="1634">
        <v>1998</v>
      </c>
      <c r="B12" s="762">
        <f>IF(T30Manip!B10="","",T30Manip!B10)</f>
        <v>2167</v>
      </c>
      <c r="C12" s="762">
        <f>IF(T30Manip!C10="","",T30Manip!C10)</f>
        <v>60</v>
      </c>
      <c r="D12" s="762">
        <f>IF(T30Manip!D10="","",T30Manip!D10)</f>
        <v>31</v>
      </c>
      <c r="E12" s="762">
        <f>IF(T30Manip!E10="","",T30Manip!E10)</f>
        <v>0</v>
      </c>
      <c r="F12" s="762">
        <f>IF(T30Manip!F10="","",T30Manip!F10)</f>
        <v>2258</v>
      </c>
      <c r="G12" s="1625"/>
      <c r="H12" s="683">
        <f>IF(T30Manip!H10="","",T30Manip!H10)</f>
        <v>55</v>
      </c>
      <c r="I12" s="1023">
        <f>IF(T30Manip!I10="","",T30Manip!I10)</f>
        <v>2313</v>
      </c>
      <c r="J12"/>
      <c r="K12"/>
      <c r="L12"/>
      <c r="M12"/>
      <c r="N12"/>
      <c r="O12" s="1675"/>
      <c r="P12" s="1675"/>
    </row>
    <row r="13" spans="1:16" ht="16.350000000000001" customHeight="1">
      <c r="A13" s="1634">
        <v>1999</v>
      </c>
      <c r="B13" s="762">
        <f>IF(T30Manip!B11="","",T30Manip!B11)</f>
        <v>1298</v>
      </c>
      <c r="C13" s="762">
        <f>IF(T30Manip!C11="","",T30Manip!C11)</f>
        <v>458</v>
      </c>
      <c r="D13" s="762">
        <f>IF(T30Manip!D11="","",T30Manip!D11)</f>
        <v>199</v>
      </c>
      <c r="E13" s="762">
        <f>IF(T30Manip!E11="","",T30Manip!E11)</f>
        <v>0</v>
      </c>
      <c r="F13" s="762">
        <f>IF(T30Manip!F11="","",T30Manip!F11)</f>
        <v>1955</v>
      </c>
      <c r="G13" s="1625"/>
      <c r="H13" s="683">
        <f>IF(T30Manip!H11="","",T30Manip!H11)</f>
        <v>25</v>
      </c>
      <c r="I13" s="1023">
        <f>IF(T30Manip!I11="","",T30Manip!I11)</f>
        <v>1980</v>
      </c>
      <c r="J13"/>
      <c r="K13"/>
      <c r="L13"/>
      <c r="M13"/>
      <c r="N13"/>
      <c r="O13" s="1675"/>
      <c r="P13" s="1675"/>
    </row>
    <row r="14" spans="1:16" ht="16.350000000000001" customHeight="1">
      <c r="A14" s="1634">
        <v>2000</v>
      </c>
      <c r="B14" s="762">
        <f>IF(T30Manip!B12="","",T30Manip!B12)</f>
        <v>4731</v>
      </c>
      <c r="C14" s="762">
        <f>IF(T30Manip!C12="","",T30Manip!C12)</f>
        <v>818</v>
      </c>
      <c r="D14" s="762">
        <f>IF(T30Manip!D12="","",T30Manip!D12)</f>
        <v>947</v>
      </c>
      <c r="E14" s="762">
        <f>IF(T30Manip!E12="","",T30Manip!E12)</f>
        <v>0</v>
      </c>
      <c r="F14" s="762">
        <f>IF(T30Manip!F12="","",T30Manip!F12)</f>
        <v>6496</v>
      </c>
      <c r="G14" s="1625"/>
      <c r="H14" s="683">
        <f>IF(T30Manip!H12="","",T30Manip!H12)</f>
        <v>255</v>
      </c>
      <c r="I14" s="1023">
        <f>IF(T30Manip!I12="","",T30Manip!I12)</f>
        <v>6751</v>
      </c>
      <c r="J14"/>
      <c r="K14"/>
      <c r="L14"/>
      <c r="M14"/>
      <c r="N14"/>
      <c r="O14" s="1675"/>
      <c r="P14" s="1675"/>
    </row>
    <row r="15" spans="1:16" ht="16.350000000000001" customHeight="1">
      <c r="A15" s="1634">
        <v>2001</v>
      </c>
      <c r="B15" s="762">
        <f>IF(T30Manip!B13="","",T30Manip!B13)</f>
        <v>5593</v>
      </c>
      <c r="C15" s="762">
        <f>IF(T30Manip!C13="","",T30Manip!C13)</f>
        <v>2045</v>
      </c>
      <c r="D15" s="762">
        <f>IF(T30Manip!D13="","",T30Manip!D13)</f>
        <v>1631</v>
      </c>
      <c r="E15" s="762">
        <f>IF(T30Manip!E13="","",T30Manip!E13)</f>
        <v>0</v>
      </c>
      <c r="F15" s="762">
        <f>IF(T30Manip!F13="","",T30Manip!F13)</f>
        <v>9269</v>
      </c>
      <c r="G15" s="1625"/>
      <c r="H15" s="683">
        <f>IF(T30Manip!H13="","",T30Manip!H13)</f>
        <v>500</v>
      </c>
      <c r="I15" s="1023">
        <f>IF(T30Manip!I13="","",T30Manip!I13)</f>
        <v>9769</v>
      </c>
      <c r="J15"/>
      <c r="K15"/>
      <c r="L15"/>
      <c r="M15"/>
      <c r="N15"/>
      <c r="O15" s="1675"/>
      <c r="P15" s="1675"/>
    </row>
    <row r="16" spans="1:16" ht="16.350000000000001" customHeight="1">
      <c r="A16" s="1634">
        <v>2002</v>
      </c>
      <c r="B16" s="762">
        <f>IF(T30Manip!B14="","",T30Manip!B14)</f>
        <v>6643</v>
      </c>
      <c r="C16" s="762">
        <f>IF(T30Manip!C14="","",T30Manip!C14)</f>
        <v>2053</v>
      </c>
      <c r="D16" s="762">
        <f>IF(T30Manip!D14="","",T30Manip!D14)</f>
        <v>3003</v>
      </c>
      <c r="E16" s="762">
        <f>IF(T30Manip!E14="","",T30Manip!E14)</f>
        <v>0</v>
      </c>
      <c r="F16" s="762">
        <f>IF(T30Manip!F14="","",T30Manip!F14)</f>
        <v>11699</v>
      </c>
      <c r="G16" s="1625"/>
      <c r="H16" s="683">
        <f>IF(T30Manip!H14="","",T30Manip!H14)</f>
        <v>552</v>
      </c>
      <c r="I16" s="1023">
        <f>IF(T30Manip!I14="","",T30Manip!I14)</f>
        <v>12251</v>
      </c>
      <c r="J16"/>
      <c r="K16"/>
      <c r="L16"/>
      <c r="M16"/>
      <c r="N16"/>
      <c r="O16" s="1675"/>
      <c r="P16" s="1675"/>
    </row>
    <row r="17" spans="1:14" ht="16.350000000000001" customHeight="1">
      <c r="A17" s="1634">
        <v>2003</v>
      </c>
      <c r="B17" s="762">
        <f>IF(T30Manip!B15="","",T30Manip!B15)</f>
        <v>5300</v>
      </c>
      <c r="C17" s="762">
        <f>IF(T30Manip!C15="","",T30Manip!C15)</f>
        <v>2041</v>
      </c>
      <c r="D17" s="762">
        <f>IF(T30Manip!D15="","",T30Manip!D15)</f>
        <v>345</v>
      </c>
      <c r="E17" s="762">
        <f>IF(T30Manip!E15="","",T30Manip!E15)</f>
        <v>118</v>
      </c>
      <c r="F17" s="762">
        <f>IF(T30Manip!F15="","",T30Manip!F15)</f>
        <v>7804</v>
      </c>
      <c r="G17" s="1625"/>
      <c r="H17" s="683">
        <f>IF(T30Manip!H15="","",T30Manip!H15)</f>
        <v>994</v>
      </c>
      <c r="I17" s="1023">
        <f>IF(T30Manip!I15="","",T30Manip!I15)</f>
        <v>8798</v>
      </c>
      <c r="J17"/>
      <c r="K17"/>
      <c r="L17"/>
      <c r="M17"/>
      <c r="N17"/>
    </row>
    <row r="18" spans="1:14" ht="16.350000000000001" customHeight="1">
      <c r="A18" s="1634">
        <v>2004</v>
      </c>
      <c r="B18" s="762">
        <f>IF(T30Manip!B16="","",T30Manip!B16)</f>
        <v>6916</v>
      </c>
      <c r="C18" s="762">
        <f>IF(T30Manip!C16="","",T30Manip!C16)</f>
        <v>3531</v>
      </c>
      <c r="D18" s="762">
        <f>IF(T30Manip!D16="","",T30Manip!D16)</f>
        <v>0</v>
      </c>
      <c r="E18" s="762">
        <f>IF(T30Manip!E16="","",T30Manip!E16)</f>
        <v>115</v>
      </c>
      <c r="F18" s="762">
        <f>IF(T30Manip!F16="","",T30Manip!F16)</f>
        <v>10562</v>
      </c>
      <c r="G18" s="1625"/>
      <c r="H18" s="683">
        <f>IF(T30Manip!H16="","",T30Manip!H16)</f>
        <v>1081</v>
      </c>
      <c r="I18" s="1023">
        <f>IF(T30Manip!I16="","",T30Manip!I16)</f>
        <v>11643</v>
      </c>
      <c r="J18"/>
      <c r="K18"/>
      <c r="L18"/>
      <c r="M18"/>
      <c r="N18"/>
    </row>
    <row r="19" spans="1:14" ht="16.350000000000001" customHeight="1">
      <c r="A19" s="1634">
        <v>2005</v>
      </c>
      <c r="B19" s="762">
        <f>IF(T30Manip!B17="","",T30Manip!B17)</f>
        <v>969</v>
      </c>
      <c r="C19" s="762">
        <f>IF(T30Manip!C17="","",T30Manip!C17)</f>
        <v>1377</v>
      </c>
      <c r="D19" s="762">
        <f>IF(T30Manip!D17="","",T30Manip!D17)</f>
        <v>0</v>
      </c>
      <c r="E19" s="762">
        <f>IF(T30Manip!E17="","",T30Manip!E17)</f>
        <v>60</v>
      </c>
      <c r="F19" s="762">
        <f>IF(T30Manip!F17="","",T30Manip!F17)</f>
        <v>2406</v>
      </c>
      <c r="G19" s="1625"/>
      <c r="H19" s="683">
        <f>IF(T30Manip!H17="","",T30Manip!H17)</f>
        <v>157</v>
      </c>
      <c r="I19" s="1023">
        <f>IF(T30Manip!I17="","",T30Manip!I17)</f>
        <v>2563</v>
      </c>
      <c r="J19"/>
      <c r="K19"/>
      <c r="L19"/>
      <c r="M19"/>
      <c r="N19"/>
    </row>
    <row r="20" spans="1:14" ht="16.350000000000001" customHeight="1">
      <c r="A20" s="1634">
        <v>2006</v>
      </c>
      <c r="B20" s="762">
        <f>IF(T30Manip!B18="","",T30Manip!B18)</f>
        <v>5798</v>
      </c>
      <c r="C20" s="762">
        <f>IF(T30Manip!C18="","",T30Manip!C18)</f>
        <v>1419</v>
      </c>
      <c r="D20" s="762">
        <f>IF(T30Manip!D18="","",T30Manip!D18)</f>
        <v>0</v>
      </c>
      <c r="E20" s="762">
        <f>IF(T30Manip!E18="","",T30Manip!E18)</f>
        <v>28</v>
      </c>
      <c r="F20" s="762">
        <f>IF(T30Manip!F18="","",T30Manip!F18)</f>
        <v>7245</v>
      </c>
      <c r="G20" s="1625"/>
      <c r="H20" s="683">
        <f>IF(T30Manip!H18="","",T30Manip!H18)</f>
        <v>336</v>
      </c>
      <c r="I20" s="1023">
        <f>IF(T30Manip!I18="","",T30Manip!I18)</f>
        <v>7581</v>
      </c>
      <c r="J20"/>
      <c r="K20"/>
      <c r="L20"/>
      <c r="M20"/>
      <c r="N20"/>
    </row>
    <row r="21" spans="1:14" ht="16.350000000000001" customHeight="1">
      <c r="A21" s="1634">
        <v>2007</v>
      </c>
      <c r="B21" s="762">
        <f>IF(T30Manip!B19="","",T30Manip!B19)</f>
        <v>5209</v>
      </c>
      <c r="C21" s="762">
        <f>IF(T30Manip!C19="","",T30Manip!C19)</f>
        <v>1536</v>
      </c>
      <c r="D21" s="762">
        <f>IF(T30Manip!D19="","",T30Manip!D19)</f>
        <v>0</v>
      </c>
      <c r="E21" s="762">
        <f>IF(T30Manip!E19="","",T30Manip!E19)</f>
        <v>29</v>
      </c>
      <c r="F21" s="762">
        <f>IF(T30Manip!F19="","",T30Manip!F19)</f>
        <v>6774</v>
      </c>
      <c r="G21" s="1625"/>
      <c r="H21" s="683">
        <f>IF(T30Manip!H19="","",T30Manip!H19)</f>
        <v>194</v>
      </c>
      <c r="I21" s="1023">
        <f>IF(T30Manip!I19="","",T30Manip!I19)</f>
        <v>6968</v>
      </c>
      <c r="J21"/>
      <c r="K21"/>
      <c r="L21"/>
      <c r="M21"/>
      <c r="N21"/>
    </row>
    <row r="22" spans="1:14" ht="16.350000000000001" customHeight="1">
      <c r="A22" s="1634">
        <v>2008</v>
      </c>
      <c r="B22" s="762">
        <f>IF(T30Manip!B20="","",T30Manip!B20)</f>
        <v>3195</v>
      </c>
      <c r="C22" s="762">
        <f>IF(T30Manip!C20="","",T30Manip!C20)</f>
        <v>1004</v>
      </c>
      <c r="D22" s="762">
        <f>IF(T30Manip!D20="","",T30Manip!D20)</f>
        <v>259</v>
      </c>
      <c r="E22" s="762">
        <f>IF(T30Manip!E20="","",T30Manip!E20)</f>
        <v>28</v>
      </c>
      <c r="F22" s="762">
        <f>IF(T30Manip!F20="","",T30Manip!F20)</f>
        <v>4486</v>
      </c>
      <c r="G22" s="1625"/>
      <c r="H22" s="683">
        <f>IF(T30Manip!H20="","",T30Manip!H20)</f>
        <v>232</v>
      </c>
      <c r="I22" s="1023">
        <f>IF(T30Manip!I20="","",T30Manip!I20)</f>
        <v>4718</v>
      </c>
      <c r="J22"/>
      <c r="K22"/>
      <c r="L22"/>
      <c r="M22"/>
      <c r="N22"/>
    </row>
    <row r="23" spans="1:14" ht="16.350000000000001" customHeight="1">
      <c r="A23" s="1634">
        <v>2009</v>
      </c>
      <c r="B23" s="762">
        <f>IF(T30Manip!B21="","",T30Manip!B21)</f>
        <v>3123</v>
      </c>
      <c r="C23" s="762">
        <f>IF(T30Manip!C21="","",T30Manip!C21)</f>
        <v>797</v>
      </c>
      <c r="D23" s="762">
        <f>IF(T30Manip!D21="","",T30Manip!D21)</f>
        <v>133</v>
      </c>
      <c r="E23" s="762">
        <f>IF(T30Manip!E21="","",T30Manip!E21)</f>
        <v>122</v>
      </c>
      <c r="F23" s="762">
        <f>IF(T30Manip!F21="","",T30Manip!F21)</f>
        <v>4175</v>
      </c>
      <c r="G23" s="1625"/>
      <c r="H23" s="683">
        <f>IF(T30Manip!H21="","",T30Manip!H21)</f>
        <v>274</v>
      </c>
      <c r="I23" s="1023">
        <f>IF(T30Manip!I21="","",T30Manip!I21)</f>
        <v>4449</v>
      </c>
      <c r="J23"/>
      <c r="K23"/>
      <c r="L23"/>
      <c r="M23"/>
      <c r="N23"/>
    </row>
    <row r="24" spans="1:14" ht="16.350000000000001" customHeight="1">
      <c r="A24" s="1634" t="s">
        <v>871</v>
      </c>
      <c r="B24" s="762">
        <f>IF(T30Manip!B22="","",T30Manip!B22)</f>
        <v>20750</v>
      </c>
      <c r="C24" s="762">
        <f>IF(T30Manip!C22="","",T30Manip!C22)</f>
        <v>2999</v>
      </c>
      <c r="D24" s="762">
        <f>IF(T30Manip!D22="","",T30Manip!D22)</f>
        <v>727</v>
      </c>
      <c r="E24" s="762">
        <f>IF(T30Manip!E22="","",T30Manip!E22)</f>
        <v>399</v>
      </c>
      <c r="F24" s="762">
        <f>IF(T30Manip!F22="","",T30Manip!F22)</f>
        <v>24875</v>
      </c>
      <c r="G24" s="1625"/>
      <c r="H24" s="683">
        <f>IF(T30Manip!H22="","",T30Manip!H22)</f>
        <v>1999</v>
      </c>
      <c r="I24" s="1023">
        <f>IF(T30Manip!I22="","",T30Manip!I22)</f>
        <v>26874</v>
      </c>
      <c r="J24"/>
      <c r="K24"/>
      <c r="L24"/>
      <c r="M24"/>
      <c r="N24"/>
    </row>
    <row r="25" spans="1:14" ht="16.350000000000001" customHeight="1">
      <c r="A25" s="1634" t="s">
        <v>874</v>
      </c>
      <c r="B25" s="762">
        <f>IF(T30Manip!B23="","",T30Manip!B23)</f>
        <v>8752</v>
      </c>
      <c r="C25" s="762">
        <f>IF(T30Manip!C23="","",T30Manip!C23)</f>
        <v>1611</v>
      </c>
      <c r="D25" s="762">
        <f>IF(T30Manip!D23="","",T30Manip!D23)</f>
        <v>656</v>
      </c>
      <c r="E25" s="762">
        <f>IF(T30Manip!E23="","",T30Manip!E23)</f>
        <v>100</v>
      </c>
      <c r="F25" s="762">
        <f>IF(T30Manip!F23="","",T30Manip!F23)</f>
        <v>11119</v>
      </c>
      <c r="G25" s="1625"/>
      <c r="H25" s="683">
        <f>IF(T30Manip!H23="","",T30Manip!H23)</f>
        <v>418</v>
      </c>
      <c r="I25" s="1023">
        <f>IF(T30Manip!I23="","",T30Manip!I23)</f>
        <v>11537</v>
      </c>
      <c r="J25"/>
      <c r="K25"/>
      <c r="L25"/>
      <c r="M25"/>
      <c r="N25"/>
    </row>
    <row r="26" spans="1:14" ht="16.350000000000001" customHeight="1">
      <c r="A26" s="1634" t="s">
        <v>878</v>
      </c>
      <c r="B26" s="762">
        <f>IF(T30Manip!B24="","",T30Manip!B24)</f>
        <v>8574</v>
      </c>
      <c r="C26" s="762">
        <f>IF(T30Manip!C24="","",T30Manip!C24)</f>
        <v>964</v>
      </c>
      <c r="D26" s="762">
        <f>IF(T30Manip!D24="","",T30Manip!D24)</f>
        <v>500</v>
      </c>
      <c r="E26" s="762">
        <f>IF(T30Manip!E24="","",T30Manip!E24)</f>
        <v>44</v>
      </c>
      <c r="F26" s="762">
        <f>IF(T30Manip!F24="","",T30Manip!F24)</f>
        <v>10082</v>
      </c>
      <c r="G26" s="1625"/>
      <c r="H26" s="683">
        <f>IF(T30Manip!H24="","",T30Manip!H24)</f>
        <v>646</v>
      </c>
      <c r="I26" s="1023">
        <f>IF(T30Manip!I24="","",T30Manip!I24)</f>
        <v>10728</v>
      </c>
      <c r="J26"/>
      <c r="K26"/>
      <c r="L26"/>
      <c r="M26"/>
      <c r="N26"/>
    </row>
    <row r="27" spans="1:14" ht="16.350000000000001" customHeight="1">
      <c r="A27" s="1634" t="s">
        <v>881</v>
      </c>
      <c r="B27" s="762">
        <f>IF(T30Manip!B25="","",T30Manip!B25)</f>
        <v>6652</v>
      </c>
      <c r="C27" s="762">
        <f>IF(T30Manip!C25="","",T30Manip!C25)</f>
        <v>936</v>
      </c>
      <c r="D27" s="762">
        <f>IF(T30Manip!D25="","",T30Manip!D25)</f>
        <v>374</v>
      </c>
      <c r="E27" s="762">
        <f>IF(T30Manip!E25="","",T30Manip!E25)</f>
        <v>124</v>
      </c>
      <c r="F27" s="762">
        <f>IF(T30Manip!F25="","",T30Manip!F25)</f>
        <v>8086</v>
      </c>
      <c r="G27" s="1625"/>
      <c r="H27" s="683">
        <f>IF(T30Manip!H25="","",T30Manip!H25)</f>
        <v>341</v>
      </c>
      <c r="I27" s="1023">
        <f>IF(T30Manip!I25="","",T30Manip!I25)</f>
        <v>8427</v>
      </c>
      <c r="J27"/>
      <c r="K27"/>
      <c r="L27"/>
      <c r="M27"/>
      <c r="N27"/>
    </row>
    <row r="28" spans="1:14" ht="16.350000000000001" customHeight="1">
      <c r="A28" s="1634">
        <v>2014</v>
      </c>
      <c r="B28" s="762">
        <f>IF(T30Manip!B26="","",T30Manip!B26)</f>
        <v>4038</v>
      </c>
      <c r="C28" s="762">
        <f>IF(T30Manip!C26="","",T30Manip!C26)</f>
        <v>467</v>
      </c>
      <c r="D28" s="762">
        <f>IF(T30Manip!D26="","",T30Manip!D26)</f>
        <v>72</v>
      </c>
      <c r="E28" s="762">
        <f>IF(T30Manip!E26="","",T30Manip!E26)</f>
        <v>65</v>
      </c>
      <c r="F28" s="762">
        <f>IF(T30Manip!F26="","",T30Manip!F26)</f>
        <v>4642</v>
      </c>
      <c r="G28" s="1625"/>
      <c r="H28" s="683">
        <f>IF(T30Manip!H26="","",T30Manip!H26)</f>
        <v>315</v>
      </c>
      <c r="I28" s="1023">
        <f>IF(T30Manip!I26="","",T30Manip!I26)</f>
        <v>4957</v>
      </c>
      <c r="J28"/>
      <c r="K28"/>
      <c r="L28"/>
      <c r="M28"/>
      <c r="N28"/>
    </row>
    <row r="29" spans="1:14" ht="16.350000000000001" customHeight="1">
      <c r="A29" s="1634">
        <v>2015</v>
      </c>
      <c r="B29" s="762">
        <f>IF(T30Manip!B27="","",T30Manip!B27)</f>
        <v>9120</v>
      </c>
      <c r="C29" s="762">
        <f>IF(T30Manip!C27="","",T30Manip!C27)</f>
        <v>3117</v>
      </c>
      <c r="D29" s="762">
        <f>IF(T30Manip!D27="","",T30Manip!D27)</f>
        <v>1262</v>
      </c>
      <c r="E29" s="762">
        <f>IF(T30Manip!E27="","",T30Manip!E27)</f>
        <v>204</v>
      </c>
      <c r="F29" s="762">
        <f>IF(T30Manip!F27="","",T30Manip!F27)</f>
        <v>13703</v>
      </c>
      <c r="G29" s="1625"/>
      <c r="H29" s="683">
        <f>IF(T30Manip!H27="","",T30Manip!H27)</f>
        <v>2507</v>
      </c>
      <c r="I29" s="1023">
        <f>IF(T30Manip!I27="","",T30Manip!I27)</f>
        <v>16210</v>
      </c>
      <c r="J29"/>
      <c r="K29"/>
      <c r="L29"/>
      <c r="M29"/>
      <c r="N29"/>
    </row>
    <row r="30" spans="1:14" ht="16.350000000000001" customHeight="1">
      <c r="A30" s="914" t="s">
        <v>898</v>
      </c>
      <c r="B30" s="762">
        <f>IF(T30Manip!B28="","",T30Manip!B28)</f>
        <v>6694</v>
      </c>
      <c r="C30" s="762">
        <f>IF(T30Manip!C28="","",T30Manip!C28)</f>
        <v>2617</v>
      </c>
      <c r="D30" s="762">
        <f>IF(T30Manip!D28="","",T30Manip!D28)</f>
        <v>1106</v>
      </c>
      <c r="E30" s="762">
        <f>IF(T30Manip!E28="","",T30Manip!E28)</f>
        <v>79</v>
      </c>
      <c r="F30" s="762">
        <f>IF(T30Manip!F28="","",T30Manip!F28)</f>
        <v>10496</v>
      </c>
      <c r="G30" s="108"/>
      <c r="H30" s="683">
        <f>IF(T30Manip!H28="","",T30Manip!H28)</f>
        <v>1315</v>
      </c>
      <c r="I30" s="1023">
        <f>IF(T30Manip!I28="","",T30Manip!I28)</f>
        <v>11811</v>
      </c>
      <c r="J30"/>
      <c r="K30"/>
      <c r="L30"/>
      <c r="M30"/>
      <c r="N30"/>
    </row>
    <row r="31" spans="1:14" ht="16.350000000000001" customHeight="1">
      <c r="A31" s="914" t="s">
        <v>903</v>
      </c>
      <c r="B31" s="762">
        <f>IF(T30Manip!B29="","",T30Manip!B29)</f>
        <v>10799</v>
      </c>
      <c r="C31" s="762">
        <f>IF(T30Manip!C29="","",T30Manip!C29)</f>
        <v>3261</v>
      </c>
      <c r="D31" s="762">
        <f>IF(T30Manip!D29="","",T30Manip!D29)</f>
        <v>3517</v>
      </c>
      <c r="E31" s="762">
        <f>IF(T30Manip!E29="","",T30Manip!E29)</f>
        <v>21</v>
      </c>
      <c r="F31" s="762">
        <f>IF(T30Manip!F29="","",T30Manip!F29)</f>
        <v>17598</v>
      </c>
      <c r="G31" s="108"/>
      <c r="H31" s="683">
        <f>IF(T30Manip!H29="","",T30Manip!H29)</f>
        <v>1608</v>
      </c>
      <c r="I31" s="1023">
        <f>IF(T30Manip!I29="","",T30Manip!I29)</f>
        <v>19206</v>
      </c>
      <c r="J31"/>
      <c r="K31"/>
      <c r="L31"/>
      <c r="M31"/>
      <c r="N31"/>
    </row>
    <row r="32" spans="1:14" ht="16.350000000000001" customHeight="1">
      <c r="A32" s="944" t="s">
        <v>905</v>
      </c>
      <c r="B32" s="762">
        <f>IF(T30Manip!B30="","",T30Manip!B30)</f>
        <v>6933</v>
      </c>
      <c r="C32" s="762">
        <f>IF(T30Manip!C30="","",T30Manip!C30)</f>
        <v>2164</v>
      </c>
      <c r="D32" s="762">
        <f>IF(T30Manip!D30="","",T30Manip!D30)</f>
        <v>1884</v>
      </c>
      <c r="E32" s="762">
        <f>IF(T30Manip!E30="","",T30Manip!E30)</f>
        <v>0</v>
      </c>
      <c r="F32" s="762">
        <f>IF(T30Manip!F30="","",T30Manip!F30)</f>
        <v>10981</v>
      </c>
      <c r="G32" s="108"/>
      <c r="H32" s="683">
        <f>IF(T30Manip!H30="","",T30Manip!H30)</f>
        <v>682</v>
      </c>
      <c r="I32" s="1023">
        <f>IF(T30Manip!I30="","",T30Manip!I30)</f>
        <v>11663</v>
      </c>
      <c r="J32"/>
      <c r="K32"/>
      <c r="L32"/>
      <c r="M32"/>
      <c r="N32"/>
    </row>
    <row r="33" spans="1:14" ht="16.350000000000001" customHeight="1">
      <c r="A33" s="944" t="s">
        <v>906</v>
      </c>
      <c r="B33" s="762">
        <f>IF(T30Manip!B31="","",T30Manip!B31)</f>
        <v>2123</v>
      </c>
      <c r="C33" s="762">
        <f>IF(T30Manip!C31="","",T30Manip!C31)</f>
        <v>500</v>
      </c>
      <c r="D33" s="762">
        <f>IF(T30Manip!D31="","",T30Manip!D31)</f>
        <v>545</v>
      </c>
      <c r="E33" s="762">
        <f>IF(T30Manip!E31="","",T30Manip!E31)</f>
        <v>0</v>
      </c>
      <c r="F33" s="762">
        <f>IF(T30Manip!F31="","",T30Manip!F31)</f>
        <v>3168</v>
      </c>
      <c r="G33" s="606"/>
      <c r="H33" s="683">
        <f>IF(T30Manip!H31="","",T30Manip!H31)</f>
        <v>169</v>
      </c>
      <c r="I33" s="1023">
        <f>IF(T30Manip!I31="","",T30Manip!I31)</f>
        <v>3337</v>
      </c>
      <c r="J33"/>
      <c r="K33"/>
      <c r="L33"/>
      <c r="M33"/>
      <c r="N33"/>
    </row>
    <row r="34" spans="1:14" ht="16.350000000000001" customHeight="1">
      <c r="A34" s="944" t="s">
        <v>908</v>
      </c>
      <c r="B34" s="762">
        <f>IF(T30Manip!B32="","",T30Manip!B32)</f>
        <v>3113</v>
      </c>
      <c r="C34" s="762">
        <f>IF(T30Manip!C32="","",T30Manip!C32)</f>
        <v>615</v>
      </c>
      <c r="D34" s="762">
        <f>IF(T30Manip!D32="","",T30Manip!D32)</f>
        <v>459</v>
      </c>
      <c r="E34" s="762">
        <f>IF(T30Manip!E32="","",T30Manip!E32)</f>
        <v>0</v>
      </c>
      <c r="F34" s="762">
        <f>IF(T30Manip!F32="","",T30Manip!F32)</f>
        <v>4187</v>
      </c>
      <c r="G34" s="606"/>
      <c r="H34" s="683">
        <f>IF(T30Manip!H32="","",T30Manip!H32)</f>
        <v>289</v>
      </c>
      <c r="I34" s="1023">
        <f>IF(T30Manip!I32="","",T30Manip!I32)</f>
        <v>4476</v>
      </c>
      <c r="J34"/>
      <c r="K34"/>
      <c r="L34"/>
      <c r="M34"/>
      <c r="N34"/>
    </row>
    <row r="35" spans="1:14" ht="16.350000000000001" customHeight="1">
      <c r="A35" s="944" t="s">
        <v>909</v>
      </c>
      <c r="B35" s="762">
        <f>IF(T30Manip!B33="","",T30Manip!B33)</f>
        <v>4579</v>
      </c>
      <c r="C35" s="762">
        <f>IF(T30Manip!C33="","",T30Manip!C33)</f>
        <v>1531</v>
      </c>
      <c r="D35" s="762">
        <f>IF(T30Manip!D33="","",T30Manip!D33)</f>
        <v>395</v>
      </c>
      <c r="E35" s="762">
        <f>IF(T30Manip!E33="","",T30Manip!E33)</f>
        <v>42</v>
      </c>
      <c r="F35" s="762">
        <f>IF(T30Manip!F33="","",T30Manip!F33)</f>
        <v>6547</v>
      </c>
      <c r="G35" s="762"/>
      <c r="H35" s="762">
        <f>IF(T30Manip!H33="","",T30Manip!H33)</f>
        <v>1143</v>
      </c>
      <c r="I35" s="1054">
        <f>IF(T30Manip!I33="","",T30Manip!I33)</f>
        <v>7690</v>
      </c>
      <c r="J35" s="1675"/>
      <c r="K35" s="1675"/>
      <c r="L35" s="1675"/>
      <c r="M35" s="1675"/>
      <c r="N35" s="1675"/>
    </row>
    <row r="36" spans="1:14" ht="16.350000000000001" customHeight="1">
      <c r="A36" s="914">
        <v>2022</v>
      </c>
      <c r="B36" s="762">
        <f>IF(T30Manip!B34="","",T30Manip!B34)</f>
        <v>14481</v>
      </c>
      <c r="C36" s="762">
        <f>IF(T30Manip!C34="","",T30Manip!C34)</f>
        <v>2878</v>
      </c>
      <c r="D36" s="762">
        <f>IF(T30Manip!D34="","",T30Manip!D34)</f>
        <v>1276</v>
      </c>
      <c r="E36" s="762">
        <f>IF(T30Manip!E34="","",T30Manip!E34)</f>
        <v>66</v>
      </c>
      <c r="F36" s="762">
        <f>IF(T30Manip!F34="","",T30Manip!F34)</f>
        <v>18701</v>
      </c>
      <c r="G36" s="762"/>
      <c r="H36" s="762">
        <f>IF(T30Manip!H34="","",T30Manip!H34)</f>
        <v>2460</v>
      </c>
      <c r="I36" s="1054">
        <f>IF(T30Manip!I34="","",T30Manip!I34)</f>
        <v>21161</v>
      </c>
      <c r="J36" s="1675"/>
      <c r="K36" s="1675"/>
      <c r="L36" s="1675"/>
      <c r="M36" s="1675"/>
      <c r="N36" s="1675"/>
    </row>
    <row r="37" spans="1:14" ht="16.350000000000001" customHeight="1">
      <c r="A37" s="944" t="s">
        <v>912</v>
      </c>
      <c r="B37" s="762">
        <f>IF(T30Manip!B35="","",T30Manip!B35)</f>
        <v>11658</v>
      </c>
      <c r="C37" s="762">
        <f>IF(T30Manip!C35="","",T30Manip!C35)</f>
        <v>6207</v>
      </c>
      <c r="D37" s="762">
        <f>IF(T30Manip!D35="","",T30Manip!D35)</f>
        <v>2224</v>
      </c>
      <c r="E37" s="762">
        <f>IF(T30Manip!E35="","",T30Manip!E35)</f>
        <v>54</v>
      </c>
      <c r="F37" s="762">
        <f>IF(T30Manip!F35="","",T30Manip!F35)</f>
        <v>20143</v>
      </c>
      <c r="G37" s="762"/>
      <c r="H37" s="762">
        <f>IF(T30Manip!H35="","",T30Manip!H35)</f>
        <v>2679</v>
      </c>
      <c r="I37" s="1054">
        <f>IF(T30Manip!I35="","",T30Manip!I35)</f>
        <v>22822</v>
      </c>
      <c r="J37" s="1675"/>
      <c r="K37" s="1675"/>
      <c r="L37" s="1675"/>
      <c r="M37" s="1675"/>
      <c r="N37" s="1675"/>
    </row>
    <row r="38" spans="1:14" ht="16.350000000000001" customHeight="1">
      <c r="A38" s="944" t="s">
        <v>913</v>
      </c>
      <c r="B38" s="762">
        <f>IF(T30Manip!B36="","",T30Manip!B36)</f>
        <v>11436</v>
      </c>
      <c r="C38" s="762">
        <f>IF(T30Manip!C36="","",T30Manip!C36)</f>
        <v>4385</v>
      </c>
      <c r="D38" s="762">
        <f>IF(T30Manip!D36="","",T30Manip!D36)</f>
        <v>1205</v>
      </c>
      <c r="E38" s="762">
        <f>IF(T30Manip!E36="","",T30Manip!E36)</f>
        <v>31</v>
      </c>
      <c r="F38" s="762">
        <f>IF(T30Manip!F36="","",T30Manip!F36)</f>
        <v>17057</v>
      </c>
      <c r="G38" s="762"/>
      <c r="H38" s="762">
        <f>IF(T30Manip!H36="","",T30Manip!H36)</f>
        <v>1471</v>
      </c>
      <c r="I38" s="1054">
        <f>IF(T30Manip!I36="","",T30Manip!I36)</f>
        <v>18528</v>
      </c>
      <c r="J38" s="1675"/>
      <c r="K38" s="1675"/>
      <c r="L38" s="1675"/>
      <c r="M38" s="1675"/>
      <c r="N38" s="1675"/>
    </row>
    <row r="39" spans="1:14" ht="16.350000000000001" customHeight="1">
      <c r="A39" s="1051" t="s">
        <v>1504</v>
      </c>
      <c r="B39" s="1052">
        <f>IF(T30Manip!B37="","",T30Manip!B37)</f>
        <v>10829</v>
      </c>
      <c r="C39" s="1052">
        <f>IF(T30Manip!C37="","",T30Manip!C37)</f>
        <v>7022</v>
      </c>
      <c r="D39" s="1052">
        <f>IF(T30Manip!D37="","",T30Manip!D37)</f>
        <v>1703</v>
      </c>
      <c r="E39" s="1052">
        <f>IF(T30Manip!E37="","",T30Manip!E37)</f>
        <v>32</v>
      </c>
      <c r="F39" s="1052">
        <f>IF(T30Manip!F37="","",T30Manip!F37)</f>
        <v>19586</v>
      </c>
      <c r="G39" s="1052"/>
      <c r="H39" s="1052">
        <f>IF(T30Manip!H37="","",T30Manip!H37)</f>
        <v>2055</v>
      </c>
      <c r="I39" s="1053">
        <f>IF(T30Manip!I37="","",T30Manip!I37)</f>
        <v>21641</v>
      </c>
      <c r="J39" s="1675"/>
      <c r="K39" s="1675"/>
      <c r="L39" s="1675"/>
      <c r="M39" s="1675"/>
      <c r="N39" s="1675"/>
    </row>
    <row r="40" spans="1:14" ht="104.25" customHeight="1">
      <c r="A40" s="1757" t="s">
        <v>1505</v>
      </c>
      <c r="B40" s="1757"/>
      <c r="C40" s="1757"/>
      <c r="D40" s="1757"/>
      <c r="E40" s="1757"/>
      <c r="F40" s="1757"/>
      <c r="G40" s="1757"/>
      <c r="H40" s="1757"/>
      <c r="I40" s="1757"/>
      <c r="J40" s="1675"/>
      <c r="K40" s="1675"/>
      <c r="L40" s="1675"/>
      <c r="M40" s="1675"/>
      <c r="N40" s="1675"/>
    </row>
    <row r="41" spans="1:14" ht="53.25" customHeight="1">
      <c r="A41" s="1757" t="s">
        <v>1506</v>
      </c>
      <c r="B41" s="1757"/>
      <c r="C41" s="1757"/>
      <c r="D41" s="1757"/>
      <c r="E41" s="1757"/>
      <c r="F41" s="1757"/>
      <c r="G41" s="1757"/>
      <c r="H41" s="1757"/>
      <c r="I41" s="1757"/>
      <c r="J41" s="1675"/>
      <c r="K41" s="1675"/>
      <c r="L41" s="1675"/>
      <c r="M41" s="1675"/>
      <c r="N41" s="1675"/>
    </row>
    <row r="42" spans="1:14" ht="41.25" customHeight="1">
      <c r="A42" s="1757" t="s">
        <v>1507</v>
      </c>
      <c r="B42" s="1757"/>
      <c r="C42" s="1757"/>
      <c r="D42" s="1757"/>
      <c r="E42" s="1757"/>
      <c r="F42" s="1757"/>
      <c r="G42" s="1757"/>
      <c r="H42" s="1757"/>
      <c r="I42" s="1757"/>
      <c r="J42" s="1675"/>
      <c r="K42" s="1675"/>
      <c r="L42" s="1675"/>
      <c r="M42" s="1675"/>
      <c r="N42" s="1675"/>
    </row>
    <row r="43" spans="1:14" ht="15.75">
      <c r="A43" s="295"/>
      <c r="B43" s="1675"/>
      <c r="E43" s="1675"/>
      <c r="G43" s="1675"/>
      <c r="H43" s="1675"/>
      <c r="I43" s="1675"/>
      <c r="J43" s="1675"/>
      <c r="K43" s="1675"/>
      <c r="L43" s="1675"/>
      <c r="M43" s="1675"/>
      <c r="N43" s="1675"/>
    </row>
    <row r="44" spans="1:14" ht="15.75">
      <c r="A44" s="295"/>
      <c r="B44" s="1675"/>
      <c r="E44" s="1675"/>
      <c r="G44" s="1675"/>
      <c r="H44" s="1675"/>
      <c r="I44" s="1675"/>
      <c r="J44" s="1675"/>
      <c r="K44" s="1675"/>
      <c r="L44" s="1675"/>
      <c r="M44" s="1675"/>
      <c r="N44" s="1675"/>
    </row>
  </sheetData>
  <mergeCells count="13">
    <mergeCell ref="A42:I42"/>
    <mergeCell ref="B4:F4"/>
    <mergeCell ref="A5:A6"/>
    <mergeCell ref="B5:B6"/>
    <mergeCell ref="C5:C6"/>
    <mergeCell ref="D5:D6"/>
    <mergeCell ref="E5:E6"/>
    <mergeCell ref="F5:F6"/>
    <mergeCell ref="G5:G6"/>
    <mergeCell ref="H5:H6"/>
    <mergeCell ref="I5:I6"/>
    <mergeCell ref="A40:I40"/>
    <mergeCell ref="A41:I41"/>
  </mergeCells>
  <pageMargins left="0.7" right="0.7" top="0.75" bottom="0.75" header="0.3" footer="0.3"/>
  <pageSetup orientation="portrait" r:id="rId1"/>
  <ignoredErrors>
    <ignoredError sqref="A24:A27 A30:A35 A37" numberStoredAsText="1"/>
  </ignoredError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38315-6A87-4E20-9790-3CE7DEA378BD}">
  <sheetPr>
    <tabColor rgb="FF66FF33"/>
  </sheetPr>
  <dimension ref="A1:V47"/>
  <sheetViews>
    <sheetView workbookViewId="0">
      <pane ySplit="2" topLeftCell="A27" activePane="bottomLeft" state="frozen"/>
      <selection pane="bottomLeft" activeCell="J41" sqref="J41"/>
      <selection activeCell="J33" sqref="J33"/>
    </sheetView>
  </sheetViews>
  <sheetFormatPr defaultColWidth="10.33203125" defaultRowHeight="12.75"/>
  <cols>
    <col min="5" max="5" width="17" customWidth="1"/>
    <col min="6" max="6" width="7.33203125" bestFit="1" customWidth="1"/>
    <col min="7" max="7" width="20.6640625" customWidth="1"/>
    <col min="8" max="8" width="19.33203125" customWidth="1"/>
    <col min="9" max="9" width="18.33203125" customWidth="1"/>
    <col min="12" max="12" width="20.83203125" bestFit="1" customWidth="1"/>
    <col min="13" max="13" width="23" bestFit="1" customWidth="1"/>
    <col min="15" max="15" width="20.83203125" bestFit="1" customWidth="1"/>
    <col min="17" max="17" width="17" customWidth="1"/>
    <col min="18" max="18" width="7.33203125" bestFit="1" customWidth="1"/>
    <col min="19" max="19" width="20.6640625" customWidth="1"/>
    <col min="20" max="20" width="19.33203125" customWidth="1"/>
    <col min="21" max="21" width="18.33203125" customWidth="1"/>
  </cols>
  <sheetData>
    <row r="1" spans="1:22" ht="15" customHeight="1">
      <c r="A1" s="368"/>
      <c r="B1" s="2022" t="s">
        <v>1508</v>
      </c>
      <c r="C1" s="2023"/>
      <c r="D1" s="2022" t="s">
        <v>1509</v>
      </c>
      <c r="E1" s="2024"/>
      <c r="F1" s="2023"/>
      <c r="G1" s="369" t="s">
        <v>1510</v>
      </c>
      <c r="H1" s="370" t="s">
        <v>1511</v>
      </c>
      <c r="I1" s="370" t="s">
        <v>1512</v>
      </c>
      <c r="L1" s="1710"/>
      <c r="M1" s="2025" t="s">
        <v>1417</v>
      </c>
      <c r="N1" s="2026"/>
      <c r="O1" s="1711"/>
      <c r="P1" s="2025" t="s">
        <v>1509</v>
      </c>
      <c r="Q1" s="2026"/>
      <c r="R1" s="2027"/>
      <c r="S1" s="1712" t="s">
        <v>1510</v>
      </c>
      <c r="T1" s="1712" t="s">
        <v>1511</v>
      </c>
      <c r="U1" s="1712" t="s">
        <v>1512</v>
      </c>
      <c r="V1" s="1295" t="s">
        <v>212</v>
      </c>
    </row>
    <row r="2" spans="1:22" ht="36.75" customHeight="1">
      <c r="A2" s="371"/>
      <c r="B2" s="372" t="s">
        <v>1513</v>
      </c>
      <c r="C2" s="373" t="s">
        <v>1514</v>
      </c>
      <c r="D2" s="372" t="s">
        <v>121</v>
      </c>
      <c r="E2" s="371" t="s">
        <v>1515</v>
      </c>
      <c r="F2" s="373" t="s">
        <v>1434</v>
      </c>
      <c r="G2" s="374" t="s">
        <v>1510</v>
      </c>
      <c r="H2" s="373" t="s">
        <v>1516</v>
      </c>
      <c r="I2" s="373" t="s">
        <v>1517</v>
      </c>
      <c r="J2" s="690" t="s">
        <v>36</v>
      </c>
      <c r="K2" s="691"/>
      <c r="L2" s="375" t="s">
        <v>1518</v>
      </c>
      <c r="M2" s="376" t="s">
        <v>1513</v>
      </c>
      <c r="N2" s="377" t="s">
        <v>1514</v>
      </c>
      <c r="O2" s="377" t="s">
        <v>1496</v>
      </c>
      <c r="P2" s="376" t="s">
        <v>121</v>
      </c>
      <c r="Q2" s="377" t="s">
        <v>1515</v>
      </c>
      <c r="R2" s="378" t="s">
        <v>1434</v>
      </c>
      <c r="S2" s="378" t="s">
        <v>1510</v>
      </c>
      <c r="T2" s="378" t="s">
        <v>1516</v>
      </c>
      <c r="U2" s="377" t="s">
        <v>1517</v>
      </c>
      <c r="V2" s="1296"/>
    </row>
    <row r="3" spans="1:22">
      <c r="A3" s="49">
        <v>1992</v>
      </c>
      <c r="B3" s="379">
        <v>211</v>
      </c>
      <c r="C3" s="380">
        <v>0</v>
      </c>
      <c r="D3" s="379">
        <v>5</v>
      </c>
      <c r="E3" s="59">
        <v>0</v>
      </c>
      <c r="F3" s="380">
        <v>31</v>
      </c>
      <c r="G3" s="381">
        <v>0</v>
      </c>
      <c r="H3" s="380">
        <v>7</v>
      </c>
      <c r="I3" s="380">
        <v>0</v>
      </c>
      <c r="J3" s="381">
        <f>SUM(B3:I3)</f>
        <v>254</v>
      </c>
      <c r="K3" s="59"/>
      <c r="L3" s="382">
        <v>1992</v>
      </c>
      <c r="M3" s="399">
        <f>B3/SUM($B3:$I3)</f>
        <v>0.8307086614173228</v>
      </c>
      <c r="N3" s="692">
        <f>C3/SUM($B3:$I3)</f>
        <v>0</v>
      </c>
      <c r="O3" s="692">
        <f>N3+M3</f>
        <v>0.8307086614173228</v>
      </c>
      <c r="P3" s="399">
        <f t="shared" ref="P3:R29" si="0">D3/SUM($B3:$I3)</f>
        <v>1.968503937007874E-2</v>
      </c>
      <c r="Q3" s="692">
        <f t="shared" si="0"/>
        <v>0</v>
      </c>
      <c r="R3" s="400">
        <f t="shared" si="0"/>
        <v>0.12204724409448819</v>
      </c>
      <c r="S3" s="400">
        <f t="shared" ref="S3:S32" si="1">G3/SUM($B3:$I3)</f>
        <v>0</v>
      </c>
      <c r="T3" s="400">
        <f t="shared" ref="T3:T32" si="2">H3/SUM($B3:$I3)</f>
        <v>2.7559055118110236E-2</v>
      </c>
      <c r="U3" s="400">
        <f t="shared" ref="U3:U32" si="3">I3/SUM($B3:$I3)</f>
        <v>0</v>
      </c>
      <c r="V3" s="1297">
        <f t="shared" ref="V3:V32" si="4">SUM(M3:N3,P3:U3)</f>
        <v>0.99999999999999989</v>
      </c>
    </row>
    <row r="4" spans="1:22">
      <c r="A4" s="49">
        <v>1993</v>
      </c>
      <c r="B4" s="379">
        <v>629</v>
      </c>
      <c r="C4">
        <v>0</v>
      </c>
      <c r="D4" s="379">
        <v>160</v>
      </c>
      <c r="E4" s="59">
        <v>42</v>
      </c>
      <c r="F4" s="380">
        <v>0</v>
      </c>
      <c r="G4" s="381">
        <v>0</v>
      </c>
      <c r="H4" s="380">
        <v>12</v>
      </c>
      <c r="I4" s="380">
        <v>0</v>
      </c>
      <c r="J4" s="381">
        <f t="shared" ref="J4:J32" si="5">SUM(B4:I4)</f>
        <v>843</v>
      </c>
      <c r="L4" s="49">
        <v>1993</v>
      </c>
      <c r="M4" s="401">
        <f t="shared" ref="M4:M28" si="6">B4/SUM($B4:$I4)</f>
        <v>0.74614472123368925</v>
      </c>
      <c r="N4" s="693">
        <f t="shared" ref="N4:N28" si="7">C4/SUM($B4:$I4)</f>
        <v>0</v>
      </c>
      <c r="O4" s="693">
        <f t="shared" ref="O4:O32" si="8">N4+M4</f>
        <v>0.74614472123368925</v>
      </c>
      <c r="P4" s="401">
        <f t="shared" si="0"/>
        <v>0.18979833926453143</v>
      </c>
      <c r="Q4" s="693">
        <f t="shared" si="0"/>
        <v>4.9822064056939501E-2</v>
      </c>
      <c r="R4" s="402">
        <f t="shared" si="0"/>
        <v>0</v>
      </c>
      <c r="S4" s="402">
        <f t="shared" si="1"/>
        <v>0</v>
      </c>
      <c r="T4" s="402">
        <f t="shared" si="2"/>
        <v>1.4234875444839857E-2</v>
      </c>
      <c r="U4" s="402">
        <f t="shared" si="3"/>
        <v>0</v>
      </c>
      <c r="V4" s="823">
        <f t="shared" si="4"/>
        <v>0.99999999999999989</v>
      </c>
    </row>
    <row r="5" spans="1:22">
      <c r="A5" s="49">
        <v>1994</v>
      </c>
      <c r="B5" s="379">
        <v>126</v>
      </c>
      <c r="C5">
        <v>0</v>
      </c>
      <c r="D5" s="379">
        <v>26</v>
      </c>
      <c r="E5" s="59">
        <v>0</v>
      </c>
      <c r="F5" s="380">
        <v>0</v>
      </c>
      <c r="G5" s="381">
        <v>0</v>
      </c>
      <c r="H5" s="380">
        <v>2</v>
      </c>
      <c r="I5" s="380">
        <v>0</v>
      </c>
      <c r="J5" s="381">
        <f t="shared" si="5"/>
        <v>154</v>
      </c>
      <c r="L5" s="382">
        <v>1994</v>
      </c>
      <c r="M5" s="399">
        <f t="shared" si="6"/>
        <v>0.81818181818181823</v>
      </c>
      <c r="N5" s="692">
        <f t="shared" si="7"/>
        <v>0</v>
      </c>
      <c r="O5" s="692">
        <f t="shared" si="8"/>
        <v>0.81818181818181823</v>
      </c>
      <c r="P5" s="399">
        <f t="shared" si="0"/>
        <v>0.16883116883116883</v>
      </c>
      <c r="Q5" s="692">
        <f t="shared" si="0"/>
        <v>0</v>
      </c>
      <c r="R5" s="400">
        <f t="shared" si="0"/>
        <v>0</v>
      </c>
      <c r="S5" s="400">
        <f t="shared" si="1"/>
        <v>0</v>
      </c>
      <c r="T5" s="400">
        <f t="shared" si="2"/>
        <v>1.2987012987012988E-2</v>
      </c>
      <c r="U5" s="400">
        <f t="shared" si="3"/>
        <v>0</v>
      </c>
      <c r="V5" s="1297">
        <f t="shared" si="4"/>
        <v>1</v>
      </c>
    </row>
    <row r="6" spans="1:22">
      <c r="A6" s="49">
        <v>1995</v>
      </c>
      <c r="B6" s="379">
        <v>169</v>
      </c>
      <c r="C6">
        <v>0</v>
      </c>
      <c r="D6" s="379">
        <v>14</v>
      </c>
      <c r="E6" s="59">
        <v>0</v>
      </c>
      <c r="F6" s="380">
        <v>0</v>
      </c>
      <c r="G6" s="381">
        <v>0</v>
      </c>
      <c r="H6" s="380">
        <v>0</v>
      </c>
      <c r="I6" s="380">
        <v>0</v>
      </c>
      <c r="J6" s="381">
        <f t="shared" si="5"/>
        <v>183</v>
      </c>
      <c r="L6" s="49">
        <v>1995</v>
      </c>
      <c r="M6" s="401">
        <f t="shared" si="6"/>
        <v>0.92349726775956287</v>
      </c>
      <c r="N6" s="693">
        <f t="shared" si="7"/>
        <v>0</v>
      </c>
      <c r="O6" s="693">
        <f t="shared" si="8"/>
        <v>0.92349726775956287</v>
      </c>
      <c r="P6" s="401">
        <f t="shared" si="0"/>
        <v>7.650273224043716E-2</v>
      </c>
      <c r="Q6" s="693">
        <f t="shared" si="0"/>
        <v>0</v>
      </c>
      <c r="R6" s="402">
        <f t="shared" si="0"/>
        <v>0</v>
      </c>
      <c r="S6" s="402">
        <f t="shared" si="1"/>
        <v>0</v>
      </c>
      <c r="T6" s="402">
        <f t="shared" si="2"/>
        <v>0</v>
      </c>
      <c r="U6" s="402">
        <f t="shared" si="3"/>
        <v>0</v>
      </c>
      <c r="V6" s="823">
        <f t="shared" si="4"/>
        <v>1</v>
      </c>
    </row>
    <row r="7" spans="1:22">
      <c r="A7" s="49">
        <v>1996</v>
      </c>
      <c r="B7" s="379">
        <v>689</v>
      </c>
      <c r="C7">
        <v>0</v>
      </c>
      <c r="D7" s="379">
        <v>59</v>
      </c>
      <c r="E7" s="59">
        <v>12</v>
      </c>
      <c r="F7" s="380">
        <v>0</v>
      </c>
      <c r="G7" s="381">
        <v>0</v>
      </c>
      <c r="H7" s="380">
        <v>9</v>
      </c>
      <c r="I7" s="380">
        <v>0</v>
      </c>
      <c r="J7" s="381">
        <f t="shared" si="5"/>
        <v>769</v>
      </c>
      <c r="L7" s="382">
        <v>1996</v>
      </c>
      <c r="M7" s="399">
        <f t="shared" si="6"/>
        <v>0.89596879063719115</v>
      </c>
      <c r="N7" s="692">
        <f t="shared" si="7"/>
        <v>0</v>
      </c>
      <c r="O7" s="692">
        <f t="shared" si="8"/>
        <v>0.89596879063719115</v>
      </c>
      <c r="P7" s="399">
        <f t="shared" si="0"/>
        <v>7.6723016905071523E-2</v>
      </c>
      <c r="Q7" s="692">
        <f t="shared" si="0"/>
        <v>1.5604681404421327E-2</v>
      </c>
      <c r="R7" s="400">
        <f t="shared" si="0"/>
        <v>0</v>
      </c>
      <c r="S7" s="400">
        <f t="shared" si="1"/>
        <v>0</v>
      </c>
      <c r="T7" s="400">
        <f t="shared" si="2"/>
        <v>1.1703511053315995E-2</v>
      </c>
      <c r="U7" s="400">
        <f t="shared" si="3"/>
        <v>0</v>
      </c>
      <c r="V7" s="1297">
        <f t="shared" si="4"/>
        <v>1</v>
      </c>
    </row>
    <row r="8" spans="1:22">
      <c r="A8" s="49">
        <v>1997</v>
      </c>
      <c r="B8" s="379">
        <v>1583</v>
      </c>
      <c r="C8">
        <v>0</v>
      </c>
      <c r="D8" s="379">
        <v>189</v>
      </c>
      <c r="E8" s="59">
        <v>0</v>
      </c>
      <c r="F8" s="380">
        <v>0</v>
      </c>
      <c r="G8" s="381">
        <v>0</v>
      </c>
      <c r="H8" s="380">
        <v>19</v>
      </c>
      <c r="I8" s="380">
        <v>0</v>
      </c>
      <c r="J8" s="381">
        <f t="shared" si="5"/>
        <v>1791</v>
      </c>
      <c r="L8" s="49">
        <v>1997</v>
      </c>
      <c r="M8" s="401">
        <f t="shared" si="6"/>
        <v>0.88386376326074823</v>
      </c>
      <c r="N8" s="693">
        <f t="shared" si="7"/>
        <v>0</v>
      </c>
      <c r="O8" s="693">
        <f t="shared" si="8"/>
        <v>0.88386376326074823</v>
      </c>
      <c r="P8" s="401">
        <f t="shared" si="0"/>
        <v>0.10552763819095477</v>
      </c>
      <c r="Q8" s="693">
        <f t="shared" si="0"/>
        <v>0</v>
      </c>
      <c r="R8" s="402">
        <f t="shared" si="0"/>
        <v>0</v>
      </c>
      <c r="S8" s="402">
        <f t="shared" si="1"/>
        <v>0</v>
      </c>
      <c r="T8" s="402">
        <f t="shared" si="2"/>
        <v>1.060859854829704E-2</v>
      </c>
      <c r="U8" s="402">
        <f t="shared" si="3"/>
        <v>0</v>
      </c>
      <c r="V8" s="823">
        <f t="shared" si="4"/>
        <v>1</v>
      </c>
    </row>
    <row r="9" spans="1:22">
      <c r="A9" s="49">
        <v>1998</v>
      </c>
      <c r="B9" s="379">
        <v>1979</v>
      </c>
      <c r="C9">
        <v>23</v>
      </c>
      <c r="D9" s="379">
        <v>123</v>
      </c>
      <c r="E9" s="59">
        <v>50</v>
      </c>
      <c r="F9" s="380">
        <v>0</v>
      </c>
      <c r="G9" s="381">
        <v>0</v>
      </c>
      <c r="H9" s="380">
        <v>27</v>
      </c>
      <c r="I9" s="380">
        <v>17</v>
      </c>
      <c r="J9" s="381">
        <f t="shared" si="5"/>
        <v>2219</v>
      </c>
      <c r="L9" s="382">
        <v>1998</v>
      </c>
      <c r="M9" s="399">
        <f t="shared" si="6"/>
        <v>0.89184317260027035</v>
      </c>
      <c r="N9" s="692">
        <f t="shared" si="7"/>
        <v>1.0365029292474088E-2</v>
      </c>
      <c r="O9" s="692">
        <f t="shared" si="8"/>
        <v>0.90220820189274442</v>
      </c>
      <c r="P9" s="399">
        <f t="shared" si="0"/>
        <v>5.5430374042361424E-2</v>
      </c>
      <c r="Q9" s="692">
        <f t="shared" si="0"/>
        <v>2.253267237494367E-2</v>
      </c>
      <c r="R9" s="400">
        <f t="shared" si="0"/>
        <v>0</v>
      </c>
      <c r="S9" s="400">
        <f t="shared" si="1"/>
        <v>0</v>
      </c>
      <c r="T9" s="400">
        <f t="shared" si="2"/>
        <v>1.216764308246958E-2</v>
      </c>
      <c r="U9" s="400">
        <f t="shared" si="3"/>
        <v>7.6611086074808476E-3</v>
      </c>
      <c r="V9" s="1297">
        <f t="shared" si="4"/>
        <v>0.99999999999999989</v>
      </c>
    </row>
    <row r="10" spans="1:22">
      <c r="A10" s="49">
        <v>1999</v>
      </c>
      <c r="B10" s="379">
        <v>1312</v>
      </c>
      <c r="C10">
        <v>208</v>
      </c>
      <c r="D10" s="379">
        <v>247</v>
      </c>
      <c r="E10" s="59">
        <v>38</v>
      </c>
      <c r="F10" s="380">
        <v>97</v>
      </c>
      <c r="G10" s="381">
        <v>0</v>
      </c>
      <c r="H10" s="380">
        <v>24</v>
      </c>
      <c r="I10" s="380">
        <v>16</v>
      </c>
      <c r="J10" s="381">
        <f t="shared" si="5"/>
        <v>1942</v>
      </c>
      <c r="L10" s="49">
        <v>1999</v>
      </c>
      <c r="M10" s="401">
        <f t="shared" si="6"/>
        <v>0.67559217301750774</v>
      </c>
      <c r="N10" s="693">
        <f t="shared" si="7"/>
        <v>0.10710607621009269</v>
      </c>
      <c r="O10" s="693">
        <f t="shared" si="8"/>
        <v>0.78269824922760045</v>
      </c>
      <c r="P10" s="401">
        <f t="shared" si="0"/>
        <v>0.12718846549948506</v>
      </c>
      <c r="Q10" s="693">
        <f t="shared" si="0"/>
        <v>1.9567456230690009E-2</v>
      </c>
      <c r="R10" s="402">
        <f t="shared" si="0"/>
        <v>4.9948506694129764E-2</v>
      </c>
      <c r="S10" s="402">
        <f t="shared" si="1"/>
        <v>0</v>
      </c>
      <c r="T10" s="402">
        <f t="shared" si="2"/>
        <v>1.2358393408856848E-2</v>
      </c>
      <c r="U10" s="402">
        <f t="shared" si="3"/>
        <v>8.2389289392378988E-3</v>
      </c>
      <c r="V10" s="823">
        <f t="shared" si="4"/>
        <v>1</v>
      </c>
    </row>
    <row r="11" spans="1:22">
      <c r="A11" s="49">
        <v>2000</v>
      </c>
      <c r="B11" s="379">
        <v>5330</v>
      </c>
      <c r="C11">
        <v>151</v>
      </c>
      <c r="D11" s="379">
        <v>751</v>
      </c>
      <c r="E11" s="59">
        <v>65</v>
      </c>
      <c r="F11" s="380">
        <v>112</v>
      </c>
      <c r="G11" s="381"/>
      <c r="H11" s="380">
        <v>47</v>
      </c>
      <c r="I11" s="380">
        <v>0</v>
      </c>
      <c r="J11" s="381">
        <f t="shared" si="5"/>
        <v>6456</v>
      </c>
      <c r="L11" s="382">
        <v>2000</v>
      </c>
      <c r="M11" s="399">
        <f t="shared" si="6"/>
        <v>0.82558859975216847</v>
      </c>
      <c r="N11" s="692">
        <f t="shared" si="7"/>
        <v>2.338909541511772E-2</v>
      </c>
      <c r="O11" s="692">
        <f t="shared" si="8"/>
        <v>0.84897769516728616</v>
      </c>
      <c r="P11" s="399">
        <f t="shared" si="0"/>
        <v>0.11632589838909542</v>
      </c>
      <c r="Q11" s="692">
        <f t="shared" si="0"/>
        <v>1.006815365551425E-2</v>
      </c>
      <c r="R11" s="400">
        <f t="shared" si="0"/>
        <v>1.7348203221809171E-2</v>
      </c>
      <c r="S11" s="400">
        <f t="shared" si="1"/>
        <v>0</v>
      </c>
      <c r="T11" s="400">
        <f t="shared" si="2"/>
        <v>7.2800495662949192E-3</v>
      </c>
      <c r="U11" s="400">
        <f t="shared" si="3"/>
        <v>0</v>
      </c>
      <c r="V11" s="1297">
        <f t="shared" si="4"/>
        <v>1</v>
      </c>
    </row>
    <row r="12" spans="1:22">
      <c r="A12" s="49">
        <v>2001</v>
      </c>
      <c r="B12" s="379">
        <v>7589</v>
      </c>
      <c r="C12">
        <v>464</v>
      </c>
      <c r="D12" s="379">
        <v>536</v>
      </c>
      <c r="E12" s="59">
        <v>52</v>
      </c>
      <c r="F12" s="380">
        <v>70</v>
      </c>
      <c r="G12" s="381">
        <v>24</v>
      </c>
      <c r="H12" s="380">
        <v>344</v>
      </c>
      <c r="I12" s="380">
        <v>43</v>
      </c>
      <c r="J12" s="381">
        <f t="shared" si="5"/>
        <v>9122</v>
      </c>
      <c r="L12" s="49">
        <v>2001</v>
      </c>
      <c r="M12" s="401">
        <f t="shared" si="6"/>
        <v>0.83194474895856174</v>
      </c>
      <c r="N12" s="693">
        <f t="shared" si="7"/>
        <v>5.0866038149528614E-2</v>
      </c>
      <c r="O12" s="693">
        <f t="shared" si="8"/>
        <v>0.88281078710809036</v>
      </c>
      <c r="P12" s="401">
        <f t="shared" si="0"/>
        <v>5.8759044069283055E-2</v>
      </c>
      <c r="Q12" s="693">
        <f t="shared" si="0"/>
        <v>5.7005042753782067E-3</v>
      </c>
      <c r="R12" s="402">
        <f t="shared" si="0"/>
        <v>7.6737557553168169E-3</v>
      </c>
      <c r="S12" s="402">
        <f t="shared" si="1"/>
        <v>2.6310019732514798E-3</v>
      </c>
      <c r="T12" s="402">
        <f t="shared" si="2"/>
        <v>3.7711028283271213E-2</v>
      </c>
      <c r="U12" s="402">
        <f t="shared" si="3"/>
        <v>4.7138785354089016E-3</v>
      </c>
      <c r="V12" s="823">
        <f t="shared" si="4"/>
        <v>1</v>
      </c>
    </row>
    <row r="13" spans="1:22">
      <c r="A13" s="49">
        <v>2002</v>
      </c>
      <c r="B13" s="379">
        <v>8109</v>
      </c>
      <c r="C13">
        <v>507</v>
      </c>
      <c r="D13" s="379">
        <v>1942</v>
      </c>
      <c r="E13" s="59">
        <v>172</v>
      </c>
      <c r="F13" s="380">
        <v>291</v>
      </c>
      <c r="G13" s="381">
        <v>55</v>
      </c>
      <c r="H13" s="380">
        <v>555</v>
      </c>
      <c r="I13" s="380">
        <v>30</v>
      </c>
      <c r="J13" s="381">
        <f t="shared" si="5"/>
        <v>11661</v>
      </c>
      <c r="L13" s="382">
        <v>2002</v>
      </c>
      <c r="M13" s="399">
        <f t="shared" si="6"/>
        <v>0.69539490609724719</v>
      </c>
      <c r="N13" s="692">
        <f t="shared" si="7"/>
        <v>4.3478260869565216E-2</v>
      </c>
      <c r="O13" s="692">
        <f t="shared" si="8"/>
        <v>0.73887316696681238</v>
      </c>
      <c r="P13" s="399">
        <f t="shared" si="0"/>
        <v>0.16653803275876855</v>
      </c>
      <c r="Q13" s="692">
        <f t="shared" si="0"/>
        <v>1.4750021438984649E-2</v>
      </c>
      <c r="R13" s="400">
        <f t="shared" si="0"/>
        <v>2.4954978132235656E-2</v>
      </c>
      <c r="S13" s="400">
        <f t="shared" si="1"/>
        <v>4.7165766229311382E-3</v>
      </c>
      <c r="T13" s="400">
        <f t="shared" si="2"/>
        <v>4.7594545922305116E-2</v>
      </c>
      <c r="U13" s="400">
        <f t="shared" si="3"/>
        <v>2.5726781579624388E-3</v>
      </c>
      <c r="V13" s="1297">
        <f t="shared" si="4"/>
        <v>1</v>
      </c>
    </row>
    <row r="14" spans="1:22">
      <c r="A14" s="49">
        <v>2003</v>
      </c>
      <c r="B14" s="379">
        <v>5833</v>
      </c>
      <c r="C14">
        <v>108</v>
      </c>
      <c r="D14" s="379">
        <v>1011</v>
      </c>
      <c r="E14" s="59">
        <v>156</v>
      </c>
      <c r="F14" s="380">
        <v>56</v>
      </c>
      <c r="G14" s="381">
        <v>65</v>
      </c>
      <c r="H14" s="380">
        <v>352</v>
      </c>
      <c r="I14" s="380">
        <v>49</v>
      </c>
      <c r="J14" s="381">
        <f t="shared" si="5"/>
        <v>7630</v>
      </c>
      <c r="L14" s="49">
        <v>2003</v>
      </c>
      <c r="M14" s="401">
        <f t="shared" si="6"/>
        <v>0.76448230668414152</v>
      </c>
      <c r="N14" s="693">
        <f t="shared" si="7"/>
        <v>1.4154652686762779E-2</v>
      </c>
      <c r="O14" s="693">
        <f t="shared" si="8"/>
        <v>0.77863695937090427</v>
      </c>
      <c r="P14" s="401">
        <f t="shared" si="0"/>
        <v>0.13250327653997379</v>
      </c>
      <c r="Q14" s="693">
        <f t="shared" si="0"/>
        <v>2.0445609436435124E-2</v>
      </c>
      <c r="R14" s="402">
        <f t="shared" si="0"/>
        <v>7.3394495412844041E-3</v>
      </c>
      <c r="S14" s="402">
        <f t="shared" si="1"/>
        <v>8.5190039318479693E-3</v>
      </c>
      <c r="T14" s="402">
        <f t="shared" si="2"/>
        <v>4.6133682830930535E-2</v>
      </c>
      <c r="U14" s="402">
        <f t="shared" si="3"/>
        <v>6.4220183486238536E-3</v>
      </c>
      <c r="V14" s="823">
        <f t="shared" si="4"/>
        <v>1</v>
      </c>
    </row>
    <row r="15" spans="1:22">
      <c r="A15" s="49">
        <v>2004</v>
      </c>
      <c r="B15" s="379">
        <v>9081</v>
      </c>
      <c r="C15">
        <v>257</v>
      </c>
      <c r="D15" s="379">
        <v>595</v>
      </c>
      <c r="E15" s="59">
        <v>142</v>
      </c>
      <c r="F15" s="380">
        <v>60</v>
      </c>
      <c r="G15" s="381">
        <v>38</v>
      </c>
      <c r="H15" s="380">
        <v>193</v>
      </c>
      <c r="I15" s="380">
        <v>0</v>
      </c>
      <c r="J15" s="381">
        <f t="shared" si="5"/>
        <v>10366</v>
      </c>
      <c r="L15" s="382">
        <v>2004</v>
      </c>
      <c r="M15" s="399">
        <f t="shared" si="6"/>
        <v>0.87603704418290562</v>
      </c>
      <c r="N15" s="692">
        <f t="shared" si="7"/>
        <v>2.4792591163418868E-2</v>
      </c>
      <c r="O15" s="692">
        <f t="shared" si="8"/>
        <v>0.90082963534632454</v>
      </c>
      <c r="P15" s="399">
        <f t="shared" si="0"/>
        <v>5.7399189658498939E-2</v>
      </c>
      <c r="Q15" s="692">
        <f t="shared" si="0"/>
        <v>1.3698630136986301E-2</v>
      </c>
      <c r="R15" s="400">
        <f t="shared" si="0"/>
        <v>5.788153579008296E-3</v>
      </c>
      <c r="S15" s="400">
        <f t="shared" si="1"/>
        <v>3.6658306000385875E-3</v>
      </c>
      <c r="T15" s="400">
        <f t="shared" si="2"/>
        <v>1.8618560679143352E-2</v>
      </c>
      <c r="U15" s="400">
        <f t="shared" si="3"/>
        <v>0</v>
      </c>
      <c r="V15" s="1297">
        <f t="shared" si="4"/>
        <v>1</v>
      </c>
    </row>
    <row r="16" spans="1:22">
      <c r="A16" s="49">
        <v>2005</v>
      </c>
      <c r="B16" s="379">
        <v>2209</v>
      </c>
      <c r="C16">
        <v>59</v>
      </c>
      <c r="D16" s="379">
        <v>143</v>
      </c>
      <c r="E16" s="59">
        <v>44</v>
      </c>
      <c r="F16" s="380">
        <v>0</v>
      </c>
      <c r="G16" s="381">
        <v>3</v>
      </c>
      <c r="H16" s="380">
        <v>14</v>
      </c>
      <c r="I16" s="380">
        <v>0</v>
      </c>
      <c r="J16" s="381">
        <f t="shared" si="5"/>
        <v>2472</v>
      </c>
      <c r="L16" s="49">
        <v>2005</v>
      </c>
      <c r="M16" s="401">
        <f t="shared" si="6"/>
        <v>0.89360841423948223</v>
      </c>
      <c r="N16" s="693">
        <f t="shared" si="7"/>
        <v>2.3867313915857606E-2</v>
      </c>
      <c r="O16" s="693">
        <f t="shared" si="8"/>
        <v>0.91747572815533984</v>
      </c>
      <c r="P16" s="401">
        <f t="shared" si="0"/>
        <v>5.784789644012945E-2</v>
      </c>
      <c r="Q16" s="693">
        <f t="shared" si="0"/>
        <v>1.7799352750809062E-2</v>
      </c>
      <c r="R16" s="402">
        <f t="shared" si="0"/>
        <v>0</v>
      </c>
      <c r="S16" s="402">
        <f t="shared" si="1"/>
        <v>1.2135922330097086E-3</v>
      </c>
      <c r="T16" s="402">
        <f t="shared" si="2"/>
        <v>5.6634304207119745E-3</v>
      </c>
      <c r="U16" s="402">
        <f t="shared" si="3"/>
        <v>0</v>
      </c>
      <c r="V16" s="823">
        <f t="shared" si="4"/>
        <v>1</v>
      </c>
    </row>
    <row r="17" spans="1:22">
      <c r="A17" s="49">
        <v>2006</v>
      </c>
      <c r="B17" s="379">
        <v>6662</v>
      </c>
      <c r="C17">
        <v>58</v>
      </c>
      <c r="D17" s="379">
        <v>271</v>
      </c>
      <c r="E17" s="59">
        <v>46</v>
      </c>
      <c r="F17" s="380">
        <v>53</v>
      </c>
      <c r="G17" s="381">
        <v>9</v>
      </c>
      <c r="H17" s="380">
        <v>114</v>
      </c>
      <c r="I17" s="380">
        <v>0</v>
      </c>
      <c r="J17" s="381">
        <f t="shared" si="5"/>
        <v>7213</v>
      </c>
      <c r="L17" s="382">
        <v>2006</v>
      </c>
      <c r="M17" s="399">
        <f t="shared" si="6"/>
        <v>0.92361014834326904</v>
      </c>
      <c r="N17" s="692">
        <f t="shared" si="7"/>
        <v>8.0410370164979896E-3</v>
      </c>
      <c r="O17" s="692">
        <f t="shared" si="8"/>
        <v>0.93165118535976699</v>
      </c>
      <c r="P17" s="399">
        <f t="shared" si="0"/>
        <v>3.7571052266740609E-2</v>
      </c>
      <c r="Q17" s="692">
        <f t="shared" si="0"/>
        <v>6.3773741854984056E-3</v>
      </c>
      <c r="R17" s="400">
        <f t="shared" si="0"/>
        <v>7.3478441702481629E-3</v>
      </c>
      <c r="S17" s="400">
        <f t="shared" si="1"/>
        <v>1.247747123249688E-3</v>
      </c>
      <c r="T17" s="400">
        <f t="shared" si="2"/>
        <v>1.580479689449605E-2</v>
      </c>
      <c r="U17" s="400">
        <f t="shared" si="3"/>
        <v>0</v>
      </c>
      <c r="V17" s="1297">
        <f t="shared" si="4"/>
        <v>1</v>
      </c>
    </row>
    <row r="18" spans="1:22">
      <c r="A18" s="49">
        <v>2007</v>
      </c>
      <c r="B18" s="379">
        <v>6162</v>
      </c>
      <c r="C18">
        <v>88</v>
      </c>
      <c r="D18" s="379">
        <v>317</v>
      </c>
      <c r="E18" s="59">
        <v>63</v>
      </c>
      <c r="F18" s="380">
        <v>0</v>
      </c>
      <c r="G18" s="381">
        <v>4</v>
      </c>
      <c r="H18" s="380">
        <v>45</v>
      </c>
      <c r="I18" s="380">
        <v>0</v>
      </c>
      <c r="J18" s="381">
        <f t="shared" si="5"/>
        <v>6679</v>
      </c>
      <c r="L18" s="49">
        <v>2007</v>
      </c>
      <c r="M18" s="401">
        <f t="shared" si="6"/>
        <v>0.9225932025752358</v>
      </c>
      <c r="N18" s="693">
        <f t="shared" si="7"/>
        <v>1.3175625093576882E-2</v>
      </c>
      <c r="O18" s="693">
        <f t="shared" si="8"/>
        <v>0.93576882766881264</v>
      </c>
      <c r="P18" s="401">
        <f t="shared" si="0"/>
        <v>4.7462194939362178E-2</v>
      </c>
      <c r="Q18" s="693">
        <f t="shared" si="0"/>
        <v>9.4325497829016326E-3</v>
      </c>
      <c r="R18" s="402">
        <f t="shared" si="0"/>
        <v>0</v>
      </c>
      <c r="S18" s="402">
        <f t="shared" si="1"/>
        <v>5.9889204970804016E-4</v>
      </c>
      <c r="T18" s="402">
        <f t="shared" si="2"/>
        <v>6.7375355592154511E-3</v>
      </c>
      <c r="U18" s="402">
        <f t="shared" si="3"/>
        <v>0</v>
      </c>
      <c r="V18" s="823">
        <f t="shared" si="4"/>
        <v>1</v>
      </c>
    </row>
    <row r="19" spans="1:22">
      <c r="A19" s="49">
        <v>2008</v>
      </c>
      <c r="B19" s="379">
        <v>3057</v>
      </c>
      <c r="C19">
        <v>854</v>
      </c>
      <c r="D19" s="379">
        <v>95</v>
      </c>
      <c r="E19" s="59">
        <v>76</v>
      </c>
      <c r="F19" s="380">
        <v>0</v>
      </c>
      <c r="G19" s="381">
        <v>59</v>
      </c>
      <c r="H19" s="380">
        <v>224</v>
      </c>
      <c r="I19" s="380">
        <v>0</v>
      </c>
      <c r="J19" s="381">
        <f t="shared" si="5"/>
        <v>4365</v>
      </c>
      <c r="L19" s="382">
        <v>2008</v>
      </c>
      <c r="M19" s="399">
        <f t="shared" si="6"/>
        <v>0.7003436426116838</v>
      </c>
      <c r="N19" s="692">
        <f t="shared" si="7"/>
        <v>0.19564719358533791</v>
      </c>
      <c r="O19" s="692">
        <f t="shared" si="8"/>
        <v>0.89599083619702169</v>
      </c>
      <c r="P19" s="399">
        <f t="shared" si="0"/>
        <v>2.1764032073310423E-2</v>
      </c>
      <c r="Q19" s="692">
        <f t="shared" si="0"/>
        <v>1.741122565864834E-2</v>
      </c>
      <c r="R19" s="400">
        <f t="shared" si="0"/>
        <v>0</v>
      </c>
      <c r="S19" s="400">
        <f t="shared" si="1"/>
        <v>1.3516609392898053E-2</v>
      </c>
      <c r="T19" s="400">
        <f t="shared" si="2"/>
        <v>5.1317296678121418E-2</v>
      </c>
      <c r="U19" s="400">
        <f t="shared" si="3"/>
        <v>0</v>
      </c>
      <c r="V19" s="1297">
        <f t="shared" si="4"/>
        <v>1</v>
      </c>
    </row>
    <row r="20" spans="1:22">
      <c r="A20" s="49">
        <v>2009</v>
      </c>
      <c r="B20" s="379">
        <v>2556</v>
      </c>
      <c r="C20">
        <v>713</v>
      </c>
      <c r="D20" s="379">
        <v>275</v>
      </c>
      <c r="E20" s="59">
        <v>21</v>
      </c>
      <c r="F20" s="380">
        <v>137</v>
      </c>
      <c r="G20" s="381">
        <v>30</v>
      </c>
      <c r="H20" s="380">
        <v>143</v>
      </c>
      <c r="I20" s="380">
        <v>0</v>
      </c>
      <c r="J20" s="381">
        <f t="shared" si="5"/>
        <v>3875</v>
      </c>
      <c r="L20" s="49">
        <v>2009</v>
      </c>
      <c r="M20" s="401">
        <f t="shared" si="6"/>
        <v>0.65961290322580646</v>
      </c>
      <c r="N20" s="693">
        <f t="shared" si="7"/>
        <v>0.184</v>
      </c>
      <c r="O20" s="693">
        <f>N20+M20</f>
        <v>0.8436129032258064</v>
      </c>
      <c r="P20" s="401">
        <f t="shared" si="0"/>
        <v>7.0967741935483872E-2</v>
      </c>
      <c r="Q20" s="693">
        <f t="shared" si="0"/>
        <v>5.4193548387096776E-3</v>
      </c>
      <c r="R20" s="402">
        <f t="shared" si="0"/>
        <v>3.5354838709677421E-2</v>
      </c>
      <c r="S20" s="402">
        <f t="shared" si="1"/>
        <v>7.7419354838709677E-3</v>
      </c>
      <c r="T20" s="402">
        <f t="shared" si="2"/>
        <v>3.6903225806451612E-2</v>
      </c>
      <c r="U20" s="402">
        <f t="shared" si="3"/>
        <v>0</v>
      </c>
      <c r="V20" s="823">
        <f t="shared" si="4"/>
        <v>0.99999999999999978</v>
      </c>
    </row>
    <row r="21" spans="1:22">
      <c r="A21" s="49">
        <v>2010</v>
      </c>
      <c r="B21" s="379">
        <v>20956</v>
      </c>
      <c r="C21">
        <v>415</v>
      </c>
      <c r="D21" s="379">
        <v>1660</v>
      </c>
      <c r="E21" s="59">
        <v>62</v>
      </c>
      <c r="F21" s="380">
        <v>79</v>
      </c>
      <c r="G21" s="381">
        <v>20</v>
      </c>
      <c r="H21" s="380">
        <v>1475</v>
      </c>
      <c r="I21" s="380">
        <v>0</v>
      </c>
      <c r="J21" s="381">
        <f t="shared" si="5"/>
        <v>24667</v>
      </c>
      <c r="L21" s="382">
        <v>2010</v>
      </c>
      <c r="M21" s="399">
        <f t="shared" si="6"/>
        <v>0.84955608707990438</v>
      </c>
      <c r="N21" s="692">
        <f t="shared" si="7"/>
        <v>1.6824096971662546E-2</v>
      </c>
      <c r="O21" s="692">
        <f t="shared" si="8"/>
        <v>0.86638018405156692</v>
      </c>
      <c r="P21" s="399">
        <f t="shared" si="0"/>
        <v>6.7296387886650183E-2</v>
      </c>
      <c r="Q21" s="692">
        <f t="shared" si="0"/>
        <v>2.5134795475736816E-3</v>
      </c>
      <c r="R21" s="400">
        <f t="shared" si="0"/>
        <v>3.2026594235213036E-3</v>
      </c>
      <c r="S21" s="400">
        <f t="shared" si="1"/>
        <v>8.1079985405602627E-4</v>
      </c>
      <c r="T21" s="400">
        <f t="shared" si="2"/>
        <v>5.9796489236631938E-2</v>
      </c>
      <c r="U21" s="400">
        <f t="shared" si="3"/>
        <v>0</v>
      </c>
      <c r="V21" s="1297">
        <f t="shared" si="4"/>
        <v>1</v>
      </c>
    </row>
    <row r="22" spans="1:22">
      <c r="A22" s="49">
        <v>2011</v>
      </c>
      <c r="B22" s="379">
        <v>8432</v>
      </c>
      <c r="C22">
        <v>1062</v>
      </c>
      <c r="D22" s="379">
        <v>1025</v>
      </c>
      <c r="E22" s="59">
        <v>118</v>
      </c>
      <c r="F22" s="380">
        <v>17</v>
      </c>
      <c r="G22" s="381">
        <v>35</v>
      </c>
      <c r="H22" s="380">
        <v>295</v>
      </c>
      <c r="I22" s="380">
        <v>0</v>
      </c>
      <c r="J22" s="381">
        <f t="shared" si="5"/>
        <v>10984</v>
      </c>
      <c r="L22" s="49">
        <v>2011</v>
      </c>
      <c r="M22" s="401">
        <f t="shared" si="6"/>
        <v>0.76766205389657682</v>
      </c>
      <c r="N22" s="693">
        <f t="shared" si="7"/>
        <v>9.6686088856518568E-2</v>
      </c>
      <c r="O22" s="693">
        <f t="shared" si="8"/>
        <v>0.86434814275309535</v>
      </c>
      <c r="P22" s="401">
        <f t="shared" si="0"/>
        <v>9.3317552804078663E-2</v>
      </c>
      <c r="Q22" s="693">
        <f t="shared" si="0"/>
        <v>1.0742898761835398E-2</v>
      </c>
      <c r="R22" s="402">
        <f t="shared" si="0"/>
        <v>1.5477057538237436E-3</v>
      </c>
      <c r="S22" s="402">
        <f t="shared" si="1"/>
        <v>3.1864530225782957E-3</v>
      </c>
      <c r="T22" s="402">
        <f t="shared" si="2"/>
        <v>2.6857246904588492E-2</v>
      </c>
      <c r="U22" s="402">
        <f t="shared" si="3"/>
        <v>0</v>
      </c>
      <c r="V22" s="823">
        <f t="shared" si="4"/>
        <v>1</v>
      </c>
    </row>
    <row r="23" spans="1:22">
      <c r="A23" s="49">
        <v>2012</v>
      </c>
      <c r="B23" s="379">
        <v>8338</v>
      </c>
      <c r="C23">
        <v>428</v>
      </c>
      <c r="D23" s="379">
        <v>706</v>
      </c>
      <c r="E23" s="59">
        <v>38</v>
      </c>
      <c r="F23" s="380">
        <v>44</v>
      </c>
      <c r="G23" s="381">
        <v>1</v>
      </c>
      <c r="H23" s="380">
        <v>327</v>
      </c>
      <c r="I23" s="380">
        <v>0</v>
      </c>
      <c r="J23" s="380">
        <f t="shared" si="5"/>
        <v>9882</v>
      </c>
      <c r="L23" s="382">
        <v>2012</v>
      </c>
      <c r="M23" s="399">
        <f t="shared" si="6"/>
        <v>0.84375632463064154</v>
      </c>
      <c r="N23" s="692">
        <f t="shared" si="7"/>
        <v>4.3311070633475002E-2</v>
      </c>
      <c r="O23" s="692">
        <f t="shared" si="8"/>
        <v>0.8870673952641166</v>
      </c>
      <c r="P23" s="399">
        <f t="shared" si="0"/>
        <v>7.1443027727180738E-2</v>
      </c>
      <c r="Q23" s="692">
        <f t="shared" si="0"/>
        <v>3.8453754300748835E-3</v>
      </c>
      <c r="R23" s="400">
        <f t="shared" si="0"/>
        <v>4.4525399716656543E-3</v>
      </c>
      <c r="S23" s="400">
        <f t="shared" si="1"/>
        <v>1.0119409026512852E-4</v>
      </c>
      <c r="T23" s="400">
        <f t="shared" si="2"/>
        <v>3.3090467516697024E-2</v>
      </c>
      <c r="U23" s="400">
        <f t="shared" si="3"/>
        <v>0</v>
      </c>
      <c r="V23" s="1297">
        <f t="shared" si="4"/>
        <v>0.99999999999999989</v>
      </c>
    </row>
    <row r="24" spans="1:22">
      <c r="A24" s="49">
        <v>2013</v>
      </c>
      <c r="B24" s="379">
        <v>5042</v>
      </c>
      <c r="C24">
        <v>1386</v>
      </c>
      <c r="D24" s="379">
        <v>1212</v>
      </c>
      <c r="E24" s="59">
        <v>80</v>
      </c>
      <c r="F24" s="380">
        <v>0</v>
      </c>
      <c r="G24" s="381">
        <v>11</v>
      </c>
      <c r="H24" s="380">
        <v>259</v>
      </c>
      <c r="I24" s="380">
        <v>0</v>
      </c>
      <c r="J24" s="380">
        <f t="shared" si="5"/>
        <v>7990</v>
      </c>
      <c r="L24" s="49">
        <v>2013</v>
      </c>
      <c r="M24" s="401">
        <f t="shared" si="6"/>
        <v>0.63103879849812261</v>
      </c>
      <c r="N24" s="693">
        <f t="shared" si="7"/>
        <v>0.17346683354192741</v>
      </c>
      <c r="O24" s="693">
        <f t="shared" si="8"/>
        <v>0.80450563204004999</v>
      </c>
      <c r="P24" s="401">
        <f t="shared" si="0"/>
        <v>0.15168961201501877</v>
      </c>
      <c r="Q24" s="693">
        <f t="shared" si="0"/>
        <v>1.0012515644555695E-2</v>
      </c>
      <c r="R24" s="402">
        <f t="shared" si="0"/>
        <v>0</v>
      </c>
      <c r="S24" s="402">
        <f t="shared" si="1"/>
        <v>1.376720901126408E-3</v>
      </c>
      <c r="T24" s="402">
        <f t="shared" si="2"/>
        <v>3.2415519399249061E-2</v>
      </c>
      <c r="U24" s="402">
        <f t="shared" si="3"/>
        <v>0</v>
      </c>
      <c r="V24" s="823">
        <f t="shared" si="4"/>
        <v>0.99999999999999989</v>
      </c>
    </row>
    <row r="25" spans="1:22">
      <c r="A25" s="49">
        <v>2014</v>
      </c>
      <c r="B25" s="379">
        <v>2164</v>
      </c>
      <c r="C25">
        <v>1370</v>
      </c>
      <c r="D25" s="379">
        <v>655</v>
      </c>
      <c r="E25" s="59">
        <v>51</v>
      </c>
      <c r="F25" s="380">
        <v>24</v>
      </c>
      <c r="G25" s="381">
        <v>47</v>
      </c>
      <c r="H25" s="380">
        <v>257</v>
      </c>
      <c r="I25" s="380">
        <v>0</v>
      </c>
      <c r="J25" s="380">
        <f t="shared" si="5"/>
        <v>4568</v>
      </c>
      <c r="L25" s="382">
        <v>2014</v>
      </c>
      <c r="M25" s="399">
        <f t="shared" si="6"/>
        <v>0.47373029772329245</v>
      </c>
      <c r="N25" s="692">
        <f t="shared" si="7"/>
        <v>0.29991243432574433</v>
      </c>
      <c r="O25" s="692">
        <f t="shared" si="8"/>
        <v>0.77364273204903677</v>
      </c>
      <c r="P25" s="399">
        <f t="shared" si="0"/>
        <v>0.14338879159369528</v>
      </c>
      <c r="Q25" s="692">
        <f t="shared" si="0"/>
        <v>1.11646234676007E-2</v>
      </c>
      <c r="R25" s="400">
        <f t="shared" si="0"/>
        <v>5.2539404553415062E-3</v>
      </c>
      <c r="S25" s="400">
        <f t="shared" si="1"/>
        <v>1.0288966725043782E-2</v>
      </c>
      <c r="T25" s="400">
        <f t="shared" si="2"/>
        <v>5.6260945709281959E-2</v>
      </c>
      <c r="U25" s="400">
        <f t="shared" si="3"/>
        <v>0</v>
      </c>
      <c r="V25" s="1297">
        <f t="shared" si="4"/>
        <v>1</v>
      </c>
    </row>
    <row r="26" spans="1:22">
      <c r="A26" s="49">
        <v>2015</v>
      </c>
      <c r="B26" s="379">
        <v>11055</v>
      </c>
      <c r="C26">
        <v>62</v>
      </c>
      <c r="D26" s="379">
        <v>1232</v>
      </c>
      <c r="E26" s="59">
        <v>278</v>
      </c>
      <c r="F26" s="380">
        <v>0</v>
      </c>
      <c r="G26" s="381">
        <v>105</v>
      </c>
      <c r="H26" s="380">
        <v>804</v>
      </c>
      <c r="I26" s="380">
        <v>0</v>
      </c>
      <c r="J26" s="380">
        <f t="shared" si="5"/>
        <v>13536</v>
      </c>
      <c r="L26" s="49">
        <v>2015</v>
      </c>
      <c r="M26" s="401">
        <f t="shared" si="6"/>
        <v>0.81671099290780147</v>
      </c>
      <c r="N26" s="693">
        <f t="shared" si="7"/>
        <v>4.5803782505910162E-3</v>
      </c>
      <c r="O26" s="693">
        <f t="shared" si="8"/>
        <v>0.82129137115839246</v>
      </c>
      <c r="P26" s="401">
        <f t="shared" si="0"/>
        <v>9.101654846335698E-2</v>
      </c>
      <c r="Q26" s="693">
        <f t="shared" si="0"/>
        <v>2.0537825059101653E-2</v>
      </c>
      <c r="R26" s="402">
        <f t="shared" si="0"/>
        <v>0</v>
      </c>
      <c r="S26" s="402">
        <f t="shared" si="1"/>
        <v>7.7570921985815602E-3</v>
      </c>
      <c r="T26" s="402">
        <f t="shared" si="2"/>
        <v>5.9397163120567378E-2</v>
      </c>
      <c r="U26" s="402">
        <f t="shared" si="3"/>
        <v>0</v>
      </c>
      <c r="V26" s="823">
        <f t="shared" si="4"/>
        <v>1</v>
      </c>
    </row>
    <row r="27" spans="1:22">
      <c r="A27" s="49">
        <v>2016</v>
      </c>
      <c r="B27" s="379">
        <v>8605</v>
      </c>
      <c r="C27">
        <v>257</v>
      </c>
      <c r="D27" s="379">
        <v>561</v>
      </c>
      <c r="E27" s="59">
        <v>515</v>
      </c>
      <c r="F27" s="380">
        <v>0</v>
      </c>
      <c r="G27" s="381">
        <v>60</v>
      </c>
      <c r="H27" s="380">
        <v>331</v>
      </c>
      <c r="I27" s="380">
        <v>0</v>
      </c>
      <c r="J27" s="380">
        <f t="shared" si="5"/>
        <v>10329</v>
      </c>
      <c r="L27" s="382">
        <v>2016</v>
      </c>
      <c r="M27" s="399">
        <f t="shared" si="6"/>
        <v>0.83309129635008228</v>
      </c>
      <c r="N27" s="692">
        <f t="shared" si="7"/>
        <v>2.4881401878206991E-2</v>
      </c>
      <c r="O27" s="692">
        <f t="shared" si="8"/>
        <v>0.85797269822828925</v>
      </c>
      <c r="P27" s="399">
        <f t="shared" si="0"/>
        <v>5.4313099041533544E-2</v>
      </c>
      <c r="Q27" s="692">
        <f t="shared" si="0"/>
        <v>4.9859618549714393E-2</v>
      </c>
      <c r="R27" s="400">
        <f t="shared" si="0"/>
        <v>0</v>
      </c>
      <c r="S27" s="400">
        <f t="shared" si="1"/>
        <v>5.8088875980249781E-3</v>
      </c>
      <c r="T27" s="400">
        <f t="shared" si="2"/>
        <v>3.2045696582437798E-2</v>
      </c>
      <c r="U27" s="400">
        <f t="shared" si="3"/>
        <v>0</v>
      </c>
      <c r="V27" s="1297">
        <f t="shared" si="4"/>
        <v>1</v>
      </c>
    </row>
    <row r="28" spans="1:22">
      <c r="A28" s="49">
        <v>2017</v>
      </c>
      <c r="B28" s="379">
        <v>15210</v>
      </c>
      <c r="C28">
        <v>24</v>
      </c>
      <c r="D28" s="379">
        <v>1289</v>
      </c>
      <c r="E28" s="59">
        <v>338</v>
      </c>
      <c r="F28" s="380">
        <v>16</v>
      </c>
      <c r="G28" s="381">
        <v>47</v>
      </c>
      <c r="H28" s="380">
        <v>463</v>
      </c>
      <c r="I28" s="380">
        <v>0</v>
      </c>
      <c r="J28" s="380">
        <f t="shared" si="5"/>
        <v>17387</v>
      </c>
      <c r="L28" s="49">
        <v>2017</v>
      </c>
      <c r="M28" s="401">
        <f t="shared" si="6"/>
        <v>0.87479151089894747</v>
      </c>
      <c r="N28" s="693">
        <f t="shared" si="7"/>
        <v>1.3803416345545523E-3</v>
      </c>
      <c r="O28" s="693">
        <f t="shared" si="8"/>
        <v>0.87617185253350205</v>
      </c>
      <c r="P28" s="401">
        <f t="shared" si="0"/>
        <v>7.4135848622534084E-2</v>
      </c>
      <c r="Q28" s="693">
        <f t="shared" si="0"/>
        <v>1.9439811353309945E-2</v>
      </c>
      <c r="R28" s="402">
        <f t="shared" si="0"/>
        <v>9.2022775636970149E-4</v>
      </c>
      <c r="S28" s="402">
        <f t="shared" si="1"/>
        <v>2.7031690343359981E-3</v>
      </c>
      <c r="T28" s="402">
        <f t="shared" si="2"/>
        <v>2.6629090699948236E-2</v>
      </c>
      <c r="U28" s="402">
        <f t="shared" si="3"/>
        <v>0</v>
      </c>
      <c r="V28" s="823">
        <f t="shared" si="4"/>
        <v>1</v>
      </c>
    </row>
    <row r="29" spans="1:22">
      <c r="A29" s="49">
        <v>2018</v>
      </c>
      <c r="B29" s="1644">
        <v>9887</v>
      </c>
      <c r="C29">
        <v>15</v>
      </c>
      <c r="D29" s="1644">
        <v>457</v>
      </c>
      <c r="E29">
        <v>193</v>
      </c>
      <c r="F29">
        <v>42</v>
      </c>
      <c r="G29" s="1644">
        <v>24</v>
      </c>
      <c r="H29" s="1644">
        <v>311</v>
      </c>
      <c r="I29" s="1644">
        <v>0</v>
      </c>
      <c r="J29" s="380">
        <f t="shared" si="5"/>
        <v>10929</v>
      </c>
      <c r="L29" s="480">
        <v>2018</v>
      </c>
      <c r="M29" s="481">
        <f>B29/SUM($B29:$I29)</f>
        <v>0.9046573336993321</v>
      </c>
      <c r="N29" s="694">
        <f>C29/SUM($B29:$I29)</f>
        <v>1.372495196266813E-3</v>
      </c>
      <c r="O29" s="694">
        <f t="shared" si="8"/>
        <v>0.90602982889559891</v>
      </c>
      <c r="P29" s="481">
        <f t="shared" si="0"/>
        <v>4.1815353646262238E-2</v>
      </c>
      <c r="Q29" s="694">
        <f t="shared" si="0"/>
        <v>1.7659438191966328E-2</v>
      </c>
      <c r="R29" s="482">
        <f t="shared" si="0"/>
        <v>3.8429865495470767E-3</v>
      </c>
      <c r="S29" s="482">
        <f t="shared" si="1"/>
        <v>2.1959923140269007E-3</v>
      </c>
      <c r="T29" s="482">
        <f t="shared" si="2"/>
        <v>2.845640040259859E-2</v>
      </c>
      <c r="U29" s="482">
        <f t="shared" si="3"/>
        <v>0</v>
      </c>
      <c r="V29" s="822">
        <f t="shared" si="4"/>
        <v>1</v>
      </c>
    </row>
    <row r="30" spans="1:22">
      <c r="A30" s="49">
        <v>2019</v>
      </c>
      <c r="B30" s="379">
        <v>2548</v>
      </c>
      <c r="C30">
        <v>12</v>
      </c>
      <c r="D30" s="379">
        <v>325</v>
      </c>
      <c r="E30" s="59">
        <v>16</v>
      </c>
      <c r="F30" s="380">
        <v>2</v>
      </c>
      <c r="G30" s="381">
        <v>14</v>
      </c>
      <c r="H30" s="380">
        <v>203</v>
      </c>
      <c r="I30" s="59">
        <v>0</v>
      </c>
      <c r="J30" s="380">
        <f t="shared" si="5"/>
        <v>3120</v>
      </c>
      <c r="L30" s="49">
        <v>2019</v>
      </c>
      <c r="M30" s="401">
        <f>B30/SUM($B30:$I30)</f>
        <v>0.81666666666666665</v>
      </c>
      <c r="N30" s="693">
        <f>C30/SUM($B30:$I30)</f>
        <v>3.8461538461538464E-3</v>
      </c>
      <c r="O30" s="693">
        <f t="shared" si="8"/>
        <v>0.82051282051282048</v>
      </c>
      <c r="P30" s="401">
        <f t="shared" ref="P30:R32" si="9">D30/SUM($B30:$I30)</f>
        <v>0.10416666666666667</v>
      </c>
      <c r="Q30" s="693">
        <f t="shared" si="9"/>
        <v>5.1282051282051282E-3</v>
      </c>
      <c r="R30" s="402">
        <f t="shared" si="9"/>
        <v>6.4102564102564103E-4</v>
      </c>
      <c r="S30" s="402">
        <f t="shared" si="1"/>
        <v>4.4871794871794869E-3</v>
      </c>
      <c r="T30" s="402">
        <f t="shared" si="2"/>
        <v>6.5064102564102569E-2</v>
      </c>
      <c r="U30" s="402">
        <f t="shared" si="3"/>
        <v>0</v>
      </c>
      <c r="V30" s="823">
        <f t="shared" si="4"/>
        <v>0.99999999999999989</v>
      </c>
    </row>
    <row r="31" spans="1:22">
      <c r="A31" s="49">
        <v>2020</v>
      </c>
      <c r="B31" s="766">
        <v>3714</v>
      </c>
      <c r="C31" s="137">
        <v>13</v>
      </c>
      <c r="D31" s="59">
        <v>312</v>
      </c>
      <c r="E31" s="59">
        <v>19</v>
      </c>
      <c r="F31" s="59">
        <v>9</v>
      </c>
      <c r="G31" s="379">
        <v>13</v>
      </c>
      <c r="H31" s="379">
        <v>83</v>
      </c>
      <c r="I31" s="379">
        <v>0</v>
      </c>
      <c r="J31" s="380">
        <f t="shared" si="5"/>
        <v>4163</v>
      </c>
      <c r="L31" s="821">
        <v>2020</v>
      </c>
      <c r="M31" s="694">
        <f t="shared" ref="M31:N31" si="10">B31/SUM($B31:$I31)</f>
        <v>0.89214508767715595</v>
      </c>
      <c r="N31" s="694">
        <f t="shared" si="10"/>
        <v>3.1227480182560653E-3</v>
      </c>
      <c r="O31" s="482">
        <f t="shared" si="8"/>
        <v>0.89526783569541202</v>
      </c>
      <c r="P31" s="694">
        <f t="shared" ref="P31" si="11">D31/SUM($B31:$I31)</f>
        <v>7.4945952438145572E-2</v>
      </c>
      <c r="Q31" s="694">
        <f t="shared" si="9"/>
        <v>4.5640163343742494E-3</v>
      </c>
      <c r="R31" s="482">
        <f t="shared" si="9"/>
        <v>2.1619024741772758E-3</v>
      </c>
      <c r="S31" s="822">
        <f t="shared" si="1"/>
        <v>3.1227480182560653E-3</v>
      </c>
      <c r="T31" s="822">
        <f t="shared" si="2"/>
        <v>1.993754503963488E-2</v>
      </c>
      <c r="U31" s="822">
        <f t="shared" si="3"/>
        <v>0</v>
      </c>
      <c r="V31" s="822">
        <f t="shared" si="4"/>
        <v>1</v>
      </c>
    </row>
    <row r="32" spans="1:22">
      <c r="A32" s="820">
        <v>2021</v>
      </c>
      <c r="B32" s="379">
        <v>5754</v>
      </c>
      <c r="C32" s="380">
        <v>2</v>
      </c>
      <c r="D32" s="379">
        <v>262</v>
      </c>
      <c r="E32" s="59">
        <v>61</v>
      </c>
      <c r="F32" s="59">
        <v>2</v>
      </c>
      <c r="G32" s="381">
        <v>7</v>
      </c>
      <c r="H32" s="381">
        <v>309</v>
      </c>
      <c r="I32" s="47">
        <v>0</v>
      </c>
      <c r="J32" s="380">
        <f t="shared" si="5"/>
        <v>6397</v>
      </c>
      <c r="L32" s="820">
        <v>2021</v>
      </c>
      <c r="M32" s="693">
        <f t="shared" ref="M32:N32" si="12">B32/SUM($B32:$I32)</f>
        <v>0.89948413318743159</v>
      </c>
      <c r="N32" s="693">
        <f t="shared" si="12"/>
        <v>3.1264655307175238E-4</v>
      </c>
      <c r="O32" s="402">
        <f t="shared" si="8"/>
        <v>0.89979677974050332</v>
      </c>
      <c r="P32" s="693">
        <f t="shared" ref="P32" si="13">D32/SUM($B32:$I32)</f>
        <v>4.0956698452399562E-2</v>
      </c>
      <c r="Q32" s="693">
        <f t="shared" si="9"/>
        <v>9.5357198686884474E-3</v>
      </c>
      <c r="R32" s="402">
        <f t="shared" si="9"/>
        <v>3.1264655307175238E-4</v>
      </c>
      <c r="S32" s="823">
        <f t="shared" si="1"/>
        <v>1.0942629357511334E-3</v>
      </c>
      <c r="T32" s="823">
        <f t="shared" si="2"/>
        <v>4.8303892449585745E-2</v>
      </c>
      <c r="U32" s="823">
        <f t="shared" si="3"/>
        <v>0</v>
      </c>
      <c r="V32" s="823">
        <f t="shared" si="4"/>
        <v>0.99999999999999989</v>
      </c>
    </row>
    <row r="33" spans="1:22">
      <c r="A33" s="820">
        <v>2022</v>
      </c>
      <c r="B33" s="59">
        <v>16726</v>
      </c>
      <c r="C33" s="380">
        <v>10</v>
      </c>
      <c r="D33" s="59">
        <v>849</v>
      </c>
      <c r="E33" s="59">
        <v>214</v>
      </c>
      <c r="F33" s="380">
        <v>6</v>
      </c>
      <c r="G33" s="381">
        <v>65</v>
      </c>
      <c r="H33" s="381">
        <v>708</v>
      </c>
      <c r="I33" s="59">
        <v>51</v>
      </c>
      <c r="J33" s="380">
        <f>SUM(B33:I33)</f>
        <v>18629</v>
      </c>
      <c r="L33" s="821">
        <v>2022</v>
      </c>
      <c r="M33" s="694">
        <f t="shared" ref="M33:N36" si="14">B33/SUM($B33:$I33)</f>
        <v>0.89784744216007295</v>
      </c>
      <c r="N33" s="694">
        <f t="shared" si="14"/>
        <v>5.3679746631595904E-4</v>
      </c>
      <c r="O33" s="482">
        <f>N33+M33</f>
        <v>0.89838423962638891</v>
      </c>
      <c r="P33" s="694">
        <f t="shared" ref="P33:U34" si="15">D33/SUM($B33:$I33)</f>
        <v>4.5574104890224919E-2</v>
      </c>
      <c r="Q33" s="694">
        <f t="shared" si="15"/>
        <v>1.1487465779161522E-2</v>
      </c>
      <c r="R33" s="482">
        <f t="shared" si="15"/>
        <v>3.2207847978957537E-4</v>
      </c>
      <c r="S33" s="822">
        <f t="shared" si="15"/>
        <v>3.4891835310537334E-3</v>
      </c>
      <c r="T33" s="822">
        <f t="shared" si="15"/>
        <v>3.8005260615169893E-2</v>
      </c>
      <c r="U33" s="822">
        <f t="shared" si="15"/>
        <v>2.737667078211391E-3</v>
      </c>
      <c r="V33" s="822">
        <f>SUM(M33:N33,P33:U33)</f>
        <v>1</v>
      </c>
    </row>
    <row r="34" spans="1:22">
      <c r="A34" s="1293">
        <v>2023</v>
      </c>
      <c r="B34" s="59">
        <v>18789</v>
      </c>
      <c r="C34" s="380">
        <v>0</v>
      </c>
      <c r="D34" s="59">
        <v>596</v>
      </c>
      <c r="E34" s="59">
        <v>183</v>
      </c>
      <c r="F34" s="380">
        <v>0</v>
      </c>
      <c r="G34" s="380">
        <v>51</v>
      </c>
      <c r="H34" s="380">
        <v>387</v>
      </c>
      <c r="I34" s="59">
        <v>0</v>
      </c>
      <c r="J34" s="380">
        <f t="shared" ref="J34:J36" si="16">SUM(B34:I34)</f>
        <v>20006</v>
      </c>
      <c r="L34" s="820">
        <v>2023</v>
      </c>
      <c r="M34" s="693">
        <f t="shared" si="14"/>
        <v>0.93916824952514244</v>
      </c>
      <c r="N34" s="693">
        <f t="shared" si="14"/>
        <v>0</v>
      </c>
      <c r="O34" s="402">
        <f>N34+M34</f>
        <v>0.93916824952514244</v>
      </c>
      <c r="P34" s="693">
        <f t="shared" si="15"/>
        <v>2.9791062681195642E-2</v>
      </c>
      <c r="Q34" s="693">
        <f t="shared" si="15"/>
        <v>9.1472558232530247E-3</v>
      </c>
      <c r="R34" s="402">
        <f t="shared" si="15"/>
        <v>0</v>
      </c>
      <c r="S34" s="823">
        <f t="shared" si="15"/>
        <v>2.5492352294311706E-3</v>
      </c>
      <c r="T34" s="823">
        <f t="shared" si="15"/>
        <v>1.9344196740977707E-2</v>
      </c>
      <c r="U34" s="823">
        <f t="shared" si="15"/>
        <v>0</v>
      </c>
      <c r="V34" s="823">
        <f>SUM(M34:N34,P34:U34)</f>
        <v>1</v>
      </c>
    </row>
    <row r="35" spans="1:22">
      <c r="A35" s="1293">
        <v>2024</v>
      </c>
      <c r="B35" s="59">
        <v>15953</v>
      </c>
      <c r="C35" s="380">
        <v>3</v>
      </c>
      <c r="D35" s="59">
        <v>409</v>
      </c>
      <c r="E35" s="59">
        <v>275</v>
      </c>
      <c r="F35" s="380">
        <v>25</v>
      </c>
      <c r="G35" s="381">
        <v>0</v>
      </c>
      <c r="H35" s="381">
        <v>253</v>
      </c>
      <c r="I35" s="59">
        <v>0</v>
      </c>
      <c r="J35" s="380">
        <f t="shared" si="16"/>
        <v>16918</v>
      </c>
      <c r="L35" s="821">
        <v>2024</v>
      </c>
      <c r="M35" s="481">
        <f t="shared" si="14"/>
        <v>0.94296016077550537</v>
      </c>
      <c r="N35" s="694">
        <f t="shared" si="14"/>
        <v>1.7732592505024234E-4</v>
      </c>
      <c r="O35" s="482">
        <f>N35+M35</f>
        <v>0.94313748670055564</v>
      </c>
      <c r="P35" s="694">
        <f t="shared" ref="P35:P36" si="17">D35/SUM($B35:$I35)</f>
        <v>2.4175434448516372E-2</v>
      </c>
      <c r="Q35" s="694">
        <f t="shared" ref="Q35:Q36" si="18">E35/SUM($B35:$I35)</f>
        <v>1.6254876462938883E-2</v>
      </c>
      <c r="R35" s="482">
        <f t="shared" ref="R35:R36" si="19">F35/SUM($B35:$I35)</f>
        <v>1.4777160420853528E-3</v>
      </c>
      <c r="S35" s="822">
        <f t="shared" ref="S35:S36" si="20">G35/SUM($B35:$I35)</f>
        <v>0</v>
      </c>
      <c r="T35" s="822">
        <f t="shared" ref="T35:T36" si="21">H35/SUM($B35:$I35)</f>
        <v>1.495448634590377E-2</v>
      </c>
      <c r="U35" s="822">
        <f t="shared" ref="U35:U36" si="22">I35/SUM($B35:$I35)</f>
        <v>0</v>
      </c>
      <c r="V35" s="822">
        <f>SUM(M35:N35,P35:U35)</f>
        <v>1</v>
      </c>
    </row>
    <row r="36" spans="1:22" ht="13.5" thickBot="1">
      <c r="A36" s="1226">
        <v>2025</v>
      </c>
      <c r="B36" s="507">
        <v>17726</v>
      </c>
      <c r="C36" s="1227">
        <v>37</v>
      </c>
      <c r="D36" s="507">
        <v>649</v>
      </c>
      <c r="E36" s="507">
        <v>418</v>
      </c>
      <c r="F36" s="1227">
        <v>17</v>
      </c>
      <c r="G36" s="1294">
        <v>54</v>
      </c>
      <c r="H36" s="1294">
        <v>478</v>
      </c>
      <c r="I36" s="507">
        <v>0</v>
      </c>
      <c r="J36" s="1227">
        <f t="shared" si="16"/>
        <v>19379</v>
      </c>
      <c r="L36" s="1535">
        <v>2025</v>
      </c>
      <c r="M36" s="1536">
        <f t="shared" si="14"/>
        <v>0.91470148098457094</v>
      </c>
      <c r="N36" s="1536">
        <f t="shared" si="14"/>
        <v>1.909283244749471E-3</v>
      </c>
      <c r="O36" s="1537">
        <f>N36+M36</f>
        <v>0.91661076422932042</v>
      </c>
      <c r="P36" s="1536">
        <f t="shared" si="17"/>
        <v>3.3489860157902882E-2</v>
      </c>
      <c r="Q36" s="1536">
        <f t="shared" si="18"/>
        <v>2.1569740440683213E-2</v>
      </c>
      <c r="R36" s="1537">
        <f t="shared" si="19"/>
        <v>8.7723824758759487E-4</v>
      </c>
      <c r="S36" s="1538">
        <f t="shared" si="20"/>
        <v>2.7865214923370658E-3</v>
      </c>
      <c r="T36" s="1538">
        <f t="shared" si="21"/>
        <v>2.4665875432168843E-2</v>
      </c>
      <c r="U36" s="1538">
        <f t="shared" si="22"/>
        <v>0</v>
      </c>
      <c r="V36" s="1538">
        <f>SUM(M36:N36,P36:U36)</f>
        <v>0.99999999999999989</v>
      </c>
    </row>
    <row r="37" spans="1:22">
      <c r="A37" s="48" t="s">
        <v>1519</v>
      </c>
      <c r="B37" s="59"/>
      <c r="C37" s="59"/>
      <c r="D37" s="59"/>
      <c r="E37" s="59"/>
      <c r="F37" s="59"/>
      <c r="G37" s="59"/>
      <c r="H37" s="59"/>
      <c r="I37" s="59"/>
      <c r="J37" s="59"/>
      <c r="L37" s="49"/>
      <c r="M37" s="693"/>
      <c r="N37" s="693"/>
      <c r="O37" s="693"/>
      <c r="P37" s="693"/>
      <c r="Q37" s="693"/>
      <c r="R37" s="693"/>
      <c r="S37" s="693"/>
      <c r="T37" s="693"/>
      <c r="U37" s="693"/>
      <c r="V37" s="693"/>
    </row>
    <row r="38" spans="1:22">
      <c r="A38" s="59"/>
      <c r="C38" s="47" t="s">
        <v>1492</v>
      </c>
      <c r="D38" s="47" t="s">
        <v>1520</v>
      </c>
    </row>
    <row r="40" spans="1:22">
      <c r="B40" s="236" t="s">
        <v>1521</v>
      </c>
      <c r="L40" t="s">
        <v>1522</v>
      </c>
      <c r="M40" s="383">
        <f>AVERAGE(M32:M36)</f>
        <v>0.9188322933265447</v>
      </c>
      <c r="N40" s="383">
        <f t="shared" ref="N40:U40" si="23">AVERAGE(N32:N36)</f>
        <v>5.8721063783748499E-4</v>
      </c>
      <c r="O40" s="383">
        <f t="shared" si="23"/>
        <v>0.9194195039643821</v>
      </c>
      <c r="P40" s="383">
        <f t="shared" si="23"/>
        <v>3.4797432126047877E-2</v>
      </c>
      <c r="Q40" s="383">
        <f t="shared" si="23"/>
        <v>1.3599011674945019E-2</v>
      </c>
      <c r="R40" s="383">
        <f t="shared" si="23"/>
        <v>5.9793586450685506E-4</v>
      </c>
      <c r="S40" s="383">
        <f t="shared" si="23"/>
        <v>1.9838406377146204E-3</v>
      </c>
      <c r="T40" s="383">
        <f t="shared" si="23"/>
        <v>2.9054742316761188E-2</v>
      </c>
      <c r="U40" s="383">
        <f t="shared" si="23"/>
        <v>5.4753341564227819E-4</v>
      </c>
    </row>
    <row r="41" spans="1:22">
      <c r="L41" t="s">
        <v>1523</v>
      </c>
      <c r="M41" s="693">
        <f>AVERAGE(M27:M36)</f>
        <v>0.89155133619249083</v>
      </c>
      <c r="N41" s="693">
        <f t="shared" ref="N41:U41" si="24">AVERAGE(N27:N36)</f>
        <v>3.7539193762625689E-3</v>
      </c>
      <c r="O41" s="693">
        <f t="shared" si="24"/>
        <v>0.89530525556875351</v>
      </c>
      <c r="P41" s="693">
        <f t="shared" si="24"/>
        <v>5.2336408104538143E-2</v>
      </c>
      <c r="Q41" s="693">
        <f t="shared" si="24"/>
        <v>1.6464614793229516E-2</v>
      </c>
      <c r="R41" s="693">
        <f t="shared" si="24"/>
        <v>1.0555821743653971E-3</v>
      </c>
      <c r="S41" s="693">
        <f t="shared" si="24"/>
        <v>2.8237179640396536E-3</v>
      </c>
      <c r="T41" s="693">
        <f t="shared" si="24"/>
        <v>3.1740654687252803E-2</v>
      </c>
      <c r="U41" s="693">
        <f t="shared" si="24"/>
        <v>2.737667078211391E-4</v>
      </c>
    </row>
    <row r="42" spans="1:22">
      <c r="L42" t="s">
        <v>1524</v>
      </c>
      <c r="M42" s="383">
        <f>AVERAGE(M11:M36)</f>
        <v>0.82273783974352888</v>
      </c>
      <c r="N42" s="383">
        <f t="shared" ref="N42:U42" si="25">AVERAGE(N11:N36)</f>
        <v>4.8220457855315695E-2</v>
      </c>
      <c r="O42" s="383">
        <f t="shared" si="25"/>
        <v>0.87095829759884447</v>
      </c>
      <c r="P42" s="383">
        <f t="shared" si="25"/>
        <v>7.340978310023108E-2</v>
      </c>
      <c r="Q42" s="383">
        <f t="shared" si="25"/>
        <v>1.3252524692419339E-2</v>
      </c>
      <c r="R42" s="383">
        <f t="shared" si="25"/>
        <v>5.0315342483686961E-3</v>
      </c>
      <c r="S42" s="383">
        <f t="shared" si="25"/>
        <v>3.6772921478020518E-3</v>
      </c>
      <c r="T42" s="383">
        <f t="shared" si="25"/>
        <v>3.3038020438480212E-2</v>
      </c>
      <c r="U42" s="383">
        <f t="shared" si="25"/>
        <v>6.3254777385409941E-4</v>
      </c>
    </row>
    <row r="43" spans="1:22">
      <c r="M43" s="693">
        <f>M36/M41</f>
        <v>1.0259661377335223</v>
      </c>
    </row>
    <row r="44" spans="1:22">
      <c r="M44" s="767"/>
      <c r="O44" s="383"/>
    </row>
    <row r="45" spans="1:22">
      <c r="L45" s="767"/>
      <c r="O45" s="383"/>
    </row>
    <row r="46" spans="1:22">
      <c r="L46" s="768"/>
    </row>
    <row r="47" spans="1:22">
      <c r="L47" s="767"/>
    </row>
  </sheetData>
  <mergeCells count="4">
    <mergeCell ref="B1:C1"/>
    <mergeCell ref="D1:F1"/>
    <mergeCell ref="M1:N1"/>
    <mergeCell ref="P1:R1"/>
  </mergeCells>
  <pageMargins left="0.7" right="0.7" top="0.75" bottom="0.75" header="0.3" footer="0.3"/>
  <pageSetup orientation="portrait" r:id="rId1"/>
  <legacy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E9B77-6679-4E35-BA43-6CEE0BB998B3}">
  <sheetPr>
    <tabColor rgb="FF66FF33"/>
  </sheetPr>
  <dimension ref="A1:I39"/>
  <sheetViews>
    <sheetView showGridLines="0" zoomScaleNormal="100" workbookViewId="0">
      <pane ySplit="6" topLeftCell="A26" activePane="bottomLeft" state="frozen"/>
      <selection pane="bottomLeft" activeCell="T54" sqref="T54"/>
      <selection activeCell="J33" sqref="J33"/>
    </sheetView>
  </sheetViews>
  <sheetFormatPr defaultColWidth="8.83203125" defaultRowHeight="12.75"/>
  <cols>
    <col min="1" max="1" width="10.83203125" style="233" customWidth="1"/>
    <col min="2" max="4" width="10.83203125" customWidth="1"/>
    <col min="5" max="5" width="13.6640625" customWidth="1"/>
    <col min="6" max="6" width="10.83203125" customWidth="1"/>
    <col min="7" max="7" width="11.33203125" customWidth="1"/>
  </cols>
  <sheetData>
    <row r="1" spans="1:9" ht="15.75">
      <c r="A1" s="234" t="s">
        <v>1164</v>
      </c>
    </row>
    <row r="2" spans="1:9" ht="15.75">
      <c r="A2" s="234" t="s">
        <v>1525</v>
      </c>
    </row>
    <row r="3" spans="1:9" ht="15.75">
      <c r="A3" s="234"/>
    </row>
    <row r="4" spans="1:9" ht="15" customHeight="1">
      <c r="A4" s="1713"/>
      <c r="B4" s="1781" t="s">
        <v>1526</v>
      </c>
      <c r="C4" s="1781"/>
      <c r="D4" s="1781"/>
      <c r="E4" s="1781"/>
      <c r="F4" s="1781"/>
      <c r="G4" s="1782"/>
    </row>
    <row r="5" spans="1:9" ht="25.5" customHeight="1">
      <c r="A5" s="2028" t="s">
        <v>28</v>
      </c>
      <c r="B5" s="1781" t="s">
        <v>1527</v>
      </c>
      <c r="C5" s="1781" t="s">
        <v>121</v>
      </c>
      <c r="D5" s="1781" t="s">
        <v>1528</v>
      </c>
      <c r="E5" s="1781" t="s">
        <v>1529</v>
      </c>
      <c r="F5" s="1781" t="s">
        <v>1530</v>
      </c>
      <c r="G5" s="1782" t="s">
        <v>1531</v>
      </c>
    </row>
    <row r="6" spans="1:9" ht="14.25" customHeight="1">
      <c r="A6" s="2029"/>
      <c r="B6" s="2030"/>
      <c r="C6" s="2030"/>
      <c r="D6" s="2030"/>
      <c r="E6" s="2030"/>
      <c r="F6" s="2030"/>
      <c r="G6" s="2031"/>
    </row>
    <row r="7" spans="1:9" ht="16.350000000000001" customHeight="1">
      <c r="A7" s="1639">
        <v>2000</v>
      </c>
      <c r="B7" s="695">
        <f>'T31 SAFE Comp Manip'!M11+'T31 SAFE Comp Manip'!N11</f>
        <v>0.84897769516728616</v>
      </c>
      <c r="C7" s="695">
        <f>'T31 SAFE Comp Manip'!P11</f>
        <v>0.11632589838909542</v>
      </c>
      <c r="D7" s="695">
        <f>'T31 SAFE Comp Manip'!Q11+'T31 SAFE Comp Manip'!R11</f>
        <v>2.7416356877323422E-2</v>
      </c>
      <c r="E7" s="695">
        <f>'T31 SAFE Comp Manip'!T11</f>
        <v>7.2800495662949192E-3</v>
      </c>
      <c r="F7" s="695">
        <f>'T31 SAFE Comp Manip'!S11</f>
        <v>0</v>
      </c>
      <c r="G7" s="1055">
        <f>'T31 SAFE Comp Manip'!U11</f>
        <v>0</v>
      </c>
      <c r="I7" s="59"/>
    </row>
    <row r="8" spans="1:9" ht="16.350000000000001" customHeight="1">
      <c r="A8" s="1639">
        <v>2001</v>
      </c>
      <c r="B8" s="695">
        <f>'T31 SAFE Comp Manip'!M12+'T31 SAFE Comp Manip'!N12</f>
        <v>0.88281078710809036</v>
      </c>
      <c r="C8" s="695">
        <f>'T31 SAFE Comp Manip'!P12</f>
        <v>5.8759044069283055E-2</v>
      </c>
      <c r="D8" s="695">
        <f>'T31 SAFE Comp Manip'!Q12+'T31 SAFE Comp Manip'!R12</f>
        <v>1.3374260030695024E-2</v>
      </c>
      <c r="E8" s="695">
        <f>'T31 SAFE Comp Manip'!T12</f>
        <v>3.7711028283271213E-2</v>
      </c>
      <c r="F8" s="695">
        <f>'T31 SAFE Comp Manip'!S12</f>
        <v>2.6310019732514798E-3</v>
      </c>
      <c r="G8" s="1055">
        <f>'T31 SAFE Comp Manip'!U12</f>
        <v>4.7138785354089016E-3</v>
      </c>
      <c r="I8" s="59"/>
    </row>
    <row r="9" spans="1:9" ht="16.350000000000001" customHeight="1">
      <c r="A9" s="1639">
        <v>2002</v>
      </c>
      <c r="B9" s="695">
        <f>'T31 SAFE Comp Manip'!M13+'T31 SAFE Comp Manip'!N13</f>
        <v>0.73887316696681238</v>
      </c>
      <c r="C9" s="695">
        <f>'T31 SAFE Comp Manip'!P13</f>
        <v>0.16653803275876855</v>
      </c>
      <c r="D9" s="695">
        <f>'T31 SAFE Comp Manip'!Q13+'T31 SAFE Comp Manip'!R13</f>
        <v>3.9704999571220305E-2</v>
      </c>
      <c r="E9" s="695">
        <f>'T31 SAFE Comp Manip'!T13</f>
        <v>4.7594545922305116E-2</v>
      </c>
      <c r="F9" s="695">
        <f>'T31 SAFE Comp Manip'!S13</f>
        <v>4.7165766229311382E-3</v>
      </c>
      <c r="G9" s="1055">
        <f>'T31 SAFE Comp Manip'!U13</f>
        <v>2.5726781579624388E-3</v>
      </c>
      <c r="I9" s="59"/>
    </row>
    <row r="10" spans="1:9" ht="16.350000000000001" customHeight="1">
      <c r="A10" s="1639">
        <v>2003</v>
      </c>
      <c r="B10" s="695">
        <f>'T31 SAFE Comp Manip'!M14+'T31 SAFE Comp Manip'!N14</f>
        <v>0.77863695937090427</v>
      </c>
      <c r="C10" s="695">
        <f>'T31 SAFE Comp Manip'!P14</f>
        <v>0.13250327653997379</v>
      </c>
      <c r="D10" s="695">
        <f>'T31 SAFE Comp Manip'!Q14+'T31 SAFE Comp Manip'!R14</f>
        <v>2.7785058977719528E-2</v>
      </c>
      <c r="E10" s="695">
        <f>'T31 SAFE Comp Manip'!T14</f>
        <v>4.6133682830930535E-2</v>
      </c>
      <c r="F10" s="695">
        <f>'T31 SAFE Comp Manip'!S14</f>
        <v>8.5190039318479693E-3</v>
      </c>
      <c r="G10" s="1055">
        <f>'T31 SAFE Comp Manip'!U14</f>
        <v>6.4220183486238536E-3</v>
      </c>
      <c r="I10" s="59"/>
    </row>
    <row r="11" spans="1:9" ht="16.350000000000001" customHeight="1">
      <c r="A11" s="1639">
        <v>2004</v>
      </c>
      <c r="B11" s="695">
        <f>'T31 SAFE Comp Manip'!M15+'T31 SAFE Comp Manip'!N15</f>
        <v>0.90082963534632454</v>
      </c>
      <c r="C11" s="695">
        <f>'T31 SAFE Comp Manip'!P15</f>
        <v>5.7399189658498939E-2</v>
      </c>
      <c r="D11" s="695">
        <f>'T31 SAFE Comp Manip'!Q15+'T31 SAFE Comp Manip'!R15</f>
        <v>1.9486783715994598E-2</v>
      </c>
      <c r="E11" s="695">
        <f>'T31 SAFE Comp Manip'!T15</f>
        <v>1.8618560679143352E-2</v>
      </c>
      <c r="F11" s="695">
        <f>'T31 SAFE Comp Manip'!S15</f>
        <v>3.6658306000385875E-3</v>
      </c>
      <c r="G11" s="1055">
        <f>'T31 SAFE Comp Manip'!U15</f>
        <v>0</v>
      </c>
      <c r="I11" s="59"/>
    </row>
    <row r="12" spans="1:9" ht="16.350000000000001" customHeight="1">
      <c r="A12" s="1639">
        <v>2005</v>
      </c>
      <c r="B12" s="695">
        <f>'T31 SAFE Comp Manip'!M16+'T31 SAFE Comp Manip'!N16</f>
        <v>0.91747572815533984</v>
      </c>
      <c r="C12" s="695">
        <f>'T31 SAFE Comp Manip'!P16</f>
        <v>5.784789644012945E-2</v>
      </c>
      <c r="D12" s="695">
        <f>'T31 SAFE Comp Manip'!Q16+'T31 SAFE Comp Manip'!R16</f>
        <v>1.7799352750809062E-2</v>
      </c>
      <c r="E12" s="695">
        <f>'T31 SAFE Comp Manip'!T16</f>
        <v>5.6634304207119745E-3</v>
      </c>
      <c r="F12" s="695">
        <f>'T31 SAFE Comp Manip'!S16</f>
        <v>1.2135922330097086E-3</v>
      </c>
      <c r="G12" s="1055">
        <f>'T31 SAFE Comp Manip'!U16</f>
        <v>0</v>
      </c>
      <c r="I12" s="59"/>
    </row>
    <row r="13" spans="1:9" ht="16.350000000000001" customHeight="1">
      <c r="A13" s="1639">
        <v>2006</v>
      </c>
      <c r="B13" s="695">
        <f>'T31 SAFE Comp Manip'!M17+'T31 SAFE Comp Manip'!N17</f>
        <v>0.93165118535976699</v>
      </c>
      <c r="C13" s="695">
        <f>'T31 SAFE Comp Manip'!P17</f>
        <v>3.7571052266740609E-2</v>
      </c>
      <c r="D13" s="695">
        <f>'T31 SAFE Comp Manip'!Q17+'T31 SAFE Comp Manip'!R17</f>
        <v>1.3725218355746568E-2</v>
      </c>
      <c r="E13" s="695">
        <f>'T31 SAFE Comp Manip'!T17</f>
        <v>1.580479689449605E-2</v>
      </c>
      <c r="F13" s="695">
        <f>'T31 SAFE Comp Manip'!S17</f>
        <v>1.247747123249688E-3</v>
      </c>
      <c r="G13" s="1055">
        <f>'T31 SAFE Comp Manip'!U17</f>
        <v>0</v>
      </c>
      <c r="I13" s="59"/>
    </row>
    <row r="14" spans="1:9" ht="16.350000000000001" customHeight="1">
      <c r="A14" s="1639">
        <v>2007</v>
      </c>
      <c r="B14" s="695">
        <f>'T31 SAFE Comp Manip'!M18+'T31 SAFE Comp Manip'!N18</f>
        <v>0.93576882766881264</v>
      </c>
      <c r="C14" s="695">
        <f>'T31 SAFE Comp Manip'!P18</f>
        <v>4.7462194939362178E-2</v>
      </c>
      <c r="D14" s="695">
        <f>'T31 SAFE Comp Manip'!Q18+'T31 SAFE Comp Manip'!R18</f>
        <v>9.4325497829016326E-3</v>
      </c>
      <c r="E14" s="695">
        <f>'T31 SAFE Comp Manip'!T18</f>
        <v>6.7375355592154511E-3</v>
      </c>
      <c r="F14" s="695">
        <f>'T31 SAFE Comp Manip'!S18</f>
        <v>5.9889204970804016E-4</v>
      </c>
      <c r="G14" s="1055">
        <f>'T31 SAFE Comp Manip'!U18</f>
        <v>0</v>
      </c>
      <c r="I14" s="59"/>
    </row>
    <row r="15" spans="1:9" ht="16.350000000000001" customHeight="1">
      <c r="A15" s="1639">
        <v>2008</v>
      </c>
      <c r="B15" s="695">
        <f>'T31 SAFE Comp Manip'!M19+'T31 SAFE Comp Manip'!N19</f>
        <v>0.89599083619702169</v>
      </c>
      <c r="C15" s="695">
        <f>'T31 SAFE Comp Manip'!P19</f>
        <v>2.1764032073310423E-2</v>
      </c>
      <c r="D15" s="695">
        <f>'T31 SAFE Comp Manip'!Q19+'T31 SAFE Comp Manip'!R19</f>
        <v>1.741122565864834E-2</v>
      </c>
      <c r="E15" s="695">
        <f>'T31 SAFE Comp Manip'!T19</f>
        <v>5.1317296678121418E-2</v>
      </c>
      <c r="F15" s="695">
        <f>'T31 SAFE Comp Manip'!S19</f>
        <v>1.3516609392898053E-2</v>
      </c>
      <c r="G15" s="1055">
        <f>'T31 SAFE Comp Manip'!U19</f>
        <v>0</v>
      </c>
      <c r="I15" s="59"/>
    </row>
    <row r="16" spans="1:9" ht="16.350000000000001" customHeight="1">
      <c r="A16" s="1639">
        <v>2009</v>
      </c>
      <c r="B16" s="695">
        <f>'T31 SAFE Comp Manip'!M20+'T31 SAFE Comp Manip'!N20</f>
        <v>0.8436129032258064</v>
      </c>
      <c r="C16" s="695">
        <f>'T31 SAFE Comp Manip'!P20</f>
        <v>7.0967741935483872E-2</v>
      </c>
      <c r="D16" s="695">
        <f>'T31 SAFE Comp Manip'!Q20+'T31 SAFE Comp Manip'!R20</f>
        <v>4.07741935483871E-2</v>
      </c>
      <c r="E16" s="695">
        <f>'T31 SAFE Comp Manip'!T20</f>
        <v>3.6903225806451612E-2</v>
      </c>
      <c r="F16" s="695">
        <f>'T31 SAFE Comp Manip'!S20</f>
        <v>7.7419354838709677E-3</v>
      </c>
      <c r="G16" s="1055">
        <f>'T31 SAFE Comp Manip'!U20</f>
        <v>0</v>
      </c>
      <c r="I16" s="59"/>
    </row>
    <row r="17" spans="1:9" ht="16.350000000000001" customHeight="1">
      <c r="A17" s="1639">
        <v>2010</v>
      </c>
      <c r="B17" s="695">
        <f>'T31 SAFE Comp Manip'!M21+'T31 SAFE Comp Manip'!N21</f>
        <v>0.86638018405156692</v>
      </c>
      <c r="C17" s="695">
        <f>'T31 SAFE Comp Manip'!P21</f>
        <v>6.7296387886650183E-2</v>
      </c>
      <c r="D17" s="695">
        <f>'T31 SAFE Comp Manip'!Q21+'T31 SAFE Comp Manip'!R21</f>
        <v>5.7161389710949848E-3</v>
      </c>
      <c r="E17" s="695">
        <f>'T31 SAFE Comp Manip'!T21</f>
        <v>5.9796489236631938E-2</v>
      </c>
      <c r="F17" s="695">
        <f>'T31 SAFE Comp Manip'!S21</f>
        <v>8.1079985405602627E-4</v>
      </c>
      <c r="G17" s="1055">
        <f>'T31 SAFE Comp Manip'!U21</f>
        <v>0</v>
      </c>
      <c r="I17" s="59"/>
    </row>
    <row r="18" spans="1:9" ht="16.350000000000001" customHeight="1">
      <c r="A18" s="1639">
        <v>2011</v>
      </c>
      <c r="B18" s="695">
        <f>'T31 SAFE Comp Manip'!M22+'T31 SAFE Comp Manip'!N22</f>
        <v>0.86434814275309535</v>
      </c>
      <c r="C18" s="695">
        <f>'T31 SAFE Comp Manip'!P22</f>
        <v>9.3317552804078663E-2</v>
      </c>
      <c r="D18" s="695">
        <f>'T31 SAFE Comp Manip'!Q22+'T31 SAFE Comp Manip'!R22</f>
        <v>1.229060451565914E-2</v>
      </c>
      <c r="E18" s="695">
        <f>'T31 SAFE Comp Manip'!T22</f>
        <v>2.6857246904588492E-2</v>
      </c>
      <c r="F18" s="695">
        <f>'T31 SAFE Comp Manip'!S22</f>
        <v>3.1864530225782957E-3</v>
      </c>
      <c r="G18" s="1055">
        <f>'T31 SAFE Comp Manip'!U22</f>
        <v>0</v>
      </c>
      <c r="I18" s="59"/>
    </row>
    <row r="19" spans="1:9" ht="16.350000000000001" customHeight="1">
      <c r="A19" s="1639">
        <v>2012</v>
      </c>
      <c r="B19" s="695">
        <f>'T31 SAFE Comp Manip'!M23+'T31 SAFE Comp Manip'!N23</f>
        <v>0.8870673952641166</v>
      </c>
      <c r="C19" s="695">
        <f>'T31 SAFE Comp Manip'!P23</f>
        <v>7.1443027727180738E-2</v>
      </c>
      <c r="D19" s="695">
        <f>'T31 SAFE Comp Manip'!Q23+'T31 SAFE Comp Manip'!R23</f>
        <v>8.2979154017405379E-3</v>
      </c>
      <c r="E19" s="695">
        <f>'T31 SAFE Comp Manip'!T23</f>
        <v>3.3090467516697024E-2</v>
      </c>
      <c r="F19" s="695">
        <f>'T31 SAFE Comp Manip'!S23</f>
        <v>1.0119409026512852E-4</v>
      </c>
      <c r="G19" s="1055">
        <f>'T31 SAFE Comp Manip'!U23</f>
        <v>0</v>
      </c>
      <c r="I19" s="59"/>
    </row>
    <row r="20" spans="1:9" ht="16.350000000000001" customHeight="1">
      <c r="A20" s="1639">
        <v>2013</v>
      </c>
      <c r="B20" s="695">
        <f>'T31 SAFE Comp Manip'!M24+'T31 SAFE Comp Manip'!N24</f>
        <v>0.80450563204004999</v>
      </c>
      <c r="C20" s="695">
        <f>'T31 SAFE Comp Manip'!P24</f>
        <v>0.15168961201501877</v>
      </c>
      <c r="D20" s="695">
        <f>'T31 SAFE Comp Manip'!Q24+'T31 SAFE Comp Manip'!R24</f>
        <v>1.0012515644555695E-2</v>
      </c>
      <c r="E20" s="695">
        <f>'T31 SAFE Comp Manip'!T24</f>
        <v>3.2415519399249061E-2</v>
      </c>
      <c r="F20" s="695">
        <f>'T31 SAFE Comp Manip'!S24</f>
        <v>1.376720901126408E-3</v>
      </c>
      <c r="G20" s="1055">
        <f>'T31 SAFE Comp Manip'!U24</f>
        <v>0</v>
      </c>
      <c r="I20" s="59"/>
    </row>
    <row r="21" spans="1:9" ht="16.350000000000001" customHeight="1">
      <c r="A21" s="1639">
        <v>2014</v>
      </c>
      <c r="B21" s="695">
        <f>'T31 SAFE Comp Manip'!M25+'T31 SAFE Comp Manip'!N25</f>
        <v>0.77364273204903677</v>
      </c>
      <c r="C21" s="695">
        <f>'T31 SAFE Comp Manip'!P25</f>
        <v>0.14338879159369528</v>
      </c>
      <c r="D21" s="695">
        <f>'T31 SAFE Comp Manip'!Q25+'T31 SAFE Comp Manip'!R25</f>
        <v>1.6418563922942206E-2</v>
      </c>
      <c r="E21" s="695">
        <f>'T31 SAFE Comp Manip'!T25</f>
        <v>5.6260945709281959E-2</v>
      </c>
      <c r="F21" s="695">
        <f>'T31 SAFE Comp Manip'!S25</f>
        <v>1.0288966725043782E-2</v>
      </c>
      <c r="G21" s="1055">
        <f>'T31 SAFE Comp Manip'!U25</f>
        <v>0</v>
      </c>
      <c r="I21" s="59"/>
    </row>
    <row r="22" spans="1:9" ht="16.350000000000001" customHeight="1">
      <c r="A22" s="1639">
        <v>2015</v>
      </c>
      <c r="B22" s="695">
        <f>'T31 SAFE Comp Manip'!M26+'T31 SAFE Comp Manip'!N26</f>
        <v>0.82129137115839246</v>
      </c>
      <c r="C22" s="695">
        <f>'T31 SAFE Comp Manip'!P26</f>
        <v>9.101654846335698E-2</v>
      </c>
      <c r="D22" s="695">
        <f>'T31 SAFE Comp Manip'!Q26+'T31 SAFE Comp Manip'!R26</f>
        <v>2.0537825059101653E-2</v>
      </c>
      <c r="E22" s="695">
        <f>'T31 SAFE Comp Manip'!T26</f>
        <v>5.9397163120567378E-2</v>
      </c>
      <c r="F22" s="695">
        <f>'T31 SAFE Comp Manip'!S26</f>
        <v>7.7570921985815602E-3</v>
      </c>
      <c r="G22" s="1055">
        <f>'T31 SAFE Comp Manip'!U26</f>
        <v>0</v>
      </c>
      <c r="I22" s="59"/>
    </row>
    <row r="23" spans="1:9" ht="16.350000000000001" customHeight="1">
      <c r="A23" s="1639">
        <v>2016</v>
      </c>
      <c r="B23" s="695">
        <f>'T31 SAFE Comp Manip'!M27+'T31 SAFE Comp Manip'!N27</f>
        <v>0.85797269822828925</v>
      </c>
      <c r="C23" s="695">
        <f>'T31 SAFE Comp Manip'!P27</f>
        <v>5.4313099041533544E-2</v>
      </c>
      <c r="D23" s="695">
        <f>'T31 SAFE Comp Manip'!Q27+'T31 SAFE Comp Manip'!R27</f>
        <v>4.9859618549714393E-2</v>
      </c>
      <c r="E23" s="695">
        <f>'T31 SAFE Comp Manip'!T27</f>
        <v>3.2045696582437798E-2</v>
      </c>
      <c r="F23" s="695">
        <f>'T31 SAFE Comp Manip'!S27</f>
        <v>5.8088875980249781E-3</v>
      </c>
      <c r="G23" s="1055">
        <f>'T31 SAFE Comp Manip'!U27</f>
        <v>0</v>
      </c>
      <c r="I23" s="59"/>
    </row>
    <row r="24" spans="1:9" ht="16.350000000000001" customHeight="1">
      <c r="A24" s="1639">
        <v>2017</v>
      </c>
      <c r="B24" s="695">
        <f>'T31 SAFE Comp Manip'!M28+'T31 SAFE Comp Manip'!N28</f>
        <v>0.87617185253350205</v>
      </c>
      <c r="C24" s="695">
        <f>'T31 SAFE Comp Manip'!P28</f>
        <v>7.4135848622534084E-2</v>
      </c>
      <c r="D24" s="695">
        <f>'T31 SAFE Comp Manip'!Q28+'T31 SAFE Comp Manip'!R28</f>
        <v>2.0360039109679647E-2</v>
      </c>
      <c r="E24" s="695">
        <f>'T31 SAFE Comp Manip'!T28</f>
        <v>2.6629090699948236E-2</v>
      </c>
      <c r="F24" s="695">
        <f>'T31 SAFE Comp Manip'!S28</f>
        <v>2.7031690343359981E-3</v>
      </c>
      <c r="G24" s="1055">
        <f>'T31 SAFE Comp Manip'!U28</f>
        <v>0</v>
      </c>
      <c r="I24" s="59"/>
    </row>
    <row r="25" spans="1:9" ht="16.350000000000001" customHeight="1">
      <c r="A25" s="1639">
        <v>2018</v>
      </c>
      <c r="B25" s="695">
        <f>'T31 SAFE Comp Manip'!M29+'T31 SAFE Comp Manip'!N29</f>
        <v>0.90602982889559891</v>
      </c>
      <c r="C25" s="695">
        <f>'T31 SAFE Comp Manip'!P29</f>
        <v>4.1815353646262238E-2</v>
      </c>
      <c r="D25" s="695">
        <f>'T31 SAFE Comp Manip'!Q29+'T31 SAFE Comp Manip'!R29</f>
        <v>2.1502424741513405E-2</v>
      </c>
      <c r="E25" s="695">
        <f>'T31 SAFE Comp Manip'!T29</f>
        <v>2.845640040259859E-2</v>
      </c>
      <c r="F25" s="695">
        <f>'T31 SAFE Comp Manip'!S29</f>
        <v>2.1959923140269007E-3</v>
      </c>
      <c r="G25" s="1055">
        <f>'T31 SAFE Comp Manip'!U29</f>
        <v>0</v>
      </c>
      <c r="I25" s="59"/>
    </row>
    <row r="26" spans="1:9" ht="16.350000000000001" customHeight="1">
      <c r="A26" s="1639">
        <v>2019</v>
      </c>
      <c r="B26" s="695">
        <f>'T31 SAFE Comp Manip'!M30+'T31 SAFE Comp Manip'!N30</f>
        <v>0.82051282051282048</v>
      </c>
      <c r="C26" s="695">
        <f>'T31 SAFE Comp Manip'!P30</f>
        <v>0.10416666666666667</v>
      </c>
      <c r="D26" s="695">
        <f>'T31 SAFE Comp Manip'!Q30+'T31 SAFE Comp Manip'!R30</f>
        <v>5.7692307692307696E-3</v>
      </c>
      <c r="E26" s="695">
        <f>'T31 SAFE Comp Manip'!T30</f>
        <v>6.5064102564102569E-2</v>
      </c>
      <c r="F26" s="695">
        <f>'T31 SAFE Comp Manip'!S30</f>
        <v>4.4871794871794869E-3</v>
      </c>
      <c r="G26" s="1055">
        <f>'T31 SAFE Comp Manip'!U30</f>
        <v>0</v>
      </c>
      <c r="I26" s="59"/>
    </row>
    <row r="27" spans="1:9" ht="16.350000000000001" customHeight="1">
      <c r="A27" s="1639">
        <v>2020</v>
      </c>
      <c r="B27" s="695">
        <f>'T31 SAFE Comp Manip'!M31+'T31 SAFE Comp Manip'!N31</f>
        <v>0.89526783569541202</v>
      </c>
      <c r="C27" s="695">
        <f>'T31 SAFE Comp Manip'!P31</f>
        <v>7.4945952438145572E-2</v>
      </c>
      <c r="D27" s="695">
        <f>'T31 SAFE Comp Manip'!Q31+'T31 SAFE Comp Manip'!R31</f>
        <v>6.7259188085515252E-3</v>
      </c>
      <c r="E27" s="695">
        <f>'T31 SAFE Comp Manip'!T31</f>
        <v>1.993754503963488E-2</v>
      </c>
      <c r="F27" s="695">
        <f>'T31 SAFE Comp Manip'!S31</f>
        <v>3.1227480182560653E-3</v>
      </c>
      <c r="G27" s="1055">
        <f>'T31 SAFE Comp Manip'!U31</f>
        <v>0</v>
      </c>
      <c r="I27" s="59"/>
    </row>
    <row r="28" spans="1:9" ht="16.350000000000001" customHeight="1">
      <c r="A28" s="1639">
        <v>2021</v>
      </c>
      <c r="B28" s="695">
        <f>'T31 SAFE Comp Manip'!O32</f>
        <v>0.89979677974050332</v>
      </c>
      <c r="C28" s="695">
        <f>'T31 SAFE Comp Manip'!P32</f>
        <v>4.0956698452399562E-2</v>
      </c>
      <c r="D28" s="695">
        <f>'T31 SAFE Comp Manip'!Q32+'T31 SAFE Comp Manip'!R32</f>
        <v>9.8483664217602004E-3</v>
      </c>
      <c r="E28" s="695">
        <f>'T31 SAFE Comp Manip'!T32</f>
        <v>4.8303892449585745E-2</v>
      </c>
      <c r="F28" s="695">
        <f>'T31 SAFE Comp Manip'!S32</f>
        <v>1.0942629357511334E-3</v>
      </c>
      <c r="G28" s="1055">
        <f>'T31 SAFE Comp Manip'!U32</f>
        <v>0</v>
      </c>
      <c r="I28" s="59"/>
    </row>
    <row r="29" spans="1:9" ht="16.350000000000001" customHeight="1">
      <c r="A29" s="1639">
        <v>2022</v>
      </c>
      <c r="B29" s="695">
        <f>'T31 SAFE Comp Manip'!O33</f>
        <v>0.89838423962638891</v>
      </c>
      <c r="C29" s="695">
        <f>'T31 SAFE Comp Manip'!P33</f>
        <v>4.5574104890224919E-2</v>
      </c>
      <c r="D29" s="695">
        <f>'T31 SAFE Comp Manip'!Q33+'T31 SAFE Comp Manip'!R33</f>
        <v>1.1809544258951098E-2</v>
      </c>
      <c r="E29" s="695">
        <f>'T31 SAFE Comp Manip'!T33</f>
        <v>3.8005260615169893E-2</v>
      </c>
      <c r="F29" s="695">
        <f>'T31 SAFE Comp Manip'!S33</f>
        <v>3.4891835310537334E-3</v>
      </c>
      <c r="G29" s="1055">
        <f>'T31 SAFE Comp Manip'!U33</f>
        <v>2.737667078211391E-3</v>
      </c>
      <c r="I29" s="59"/>
    </row>
    <row r="30" spans="1:9" ht="16.350000000000001" customHeight="1">
      <c r="A30" s="961" t="s">
        <v>1532</v>
      </c>
      <c r="B30" s="695">
        <f>'T31 SAFE Comp Manip'!O34</f>
        <v>0.93916824952514244</v>
      </c>
      <c r="C30" s="695">
        <f>'T31 SAFE Comp Manip'!P34</f>
        <v>2.9791062681195642E-2</v>
      </c>
      <c r="D30" s="695">
        <f>'T31 SAFE Comp Manip'!Q34+'T31 SAFE Comp Manip'!R34</f>
        <v>9.1472558232530247E-3</v>
      </c>
      <c r="E30" s="695">
        <f>'T31 SAFE Comp Manip'!T34</f>
        <v>1.9344196740977707E-2</v>
      </c>
      <c r="F30" s="695">
        <f>'T31 SAFE Comp Manip'!S34</f>
        <v>2.5492352294311706E-3</v>
      </c>
      <c r="G30" s="1055">
        <f>'T31 SAFE Comp Manip'!U34</f>
        <v>0</v>
      </c>
      <c r="I30" s="59"/>
    </row>
    <row r="31" spans="1:9" ht="16.350000000000001" customHeight="1">
      <c r="A31" s="1638">
        <v>2024</v>
      </c>
      <c r="B31" s="695">
        <f>'T31 SAFE Comp Manip'!O35</f>
        <v>0.94313748670055564</v>
      </c>
      <c r="C31" s="695">
        <f>'T31 SAFE Comp Manip'!P34</f>
        <v>2.9791062681195642E-2</v>
      </c>
      <c r="D31" s="695">
        <f>'T31 SAFE Comp Manip'!Q34+'T31 SAFE Comp Manip'!R34</f>
        <v>9.1472558232530247E-3</v>
      </c>
      <c r="E31" s="695">
        <f>'T31 SAFE Comp Manip'!T34</f>
        <v>1.9344196740977707E-2</v>
      </c>
      <c r="F31" s="695">
        <f>'T31 SAFE Comp Manip'!S34</f>
        <v>2.5492352294311706E-3</v>
      </c>
      <c r="G31" s="1055">
        <f>'T31 SAFE Comp Manip'!U34</f>
        <v>0</v>
      </c>
      <c r="I31" s="59"/>
    </row>
    <row r="32" spans="1:9" ht="16.350000000000001" customHeight="1">
      <c r="A32" s="1714">
        <v>2025</v>
      </c>
      <c r="B32" s="1400">
        <f>'T31 SAFE Comp Manip'!O36</f>
        <v>0.91661076422932042</v>
      </c>
      <c r="C32" s="1400">
        <f>'T31 SAFE Comp Manip'!P35</f>
        <v>2.4175434448516372E-2</v>
      </c>
      <c r="D32" s="1400">
        <f>'T31 SAFE Comp Manip'!Q35+'T31 SAFE Comp Manip'!R35</f>
        <v>1.7732592505024236E-2</v>
      </c>
      <c r="E32" s="1400">
        <f>'T31 SAFE Comp Manip'!T35</f>
        <v>1.495448634590377E-2</v>
      </c>
      <c r="F32" s="1400">
        <f>'T31 SAFE Comp Manip'!S35</f>
        <v>0</v>
      </c>
      <c r="G32" s="1401">
        <f>'T31 SAFE Comp Manip'!U35</f>
        <v>0</v>
      </c>
      <c r="I32" s="59"/>
    </row>
    <row r="33" spans="1:9" ht="35.25" customHeight="1">
      <c r="A33" s="1056" t="s">
        <v>1533</v>
      </c>
      <c r="B33" s="1057">
        <f>AVERAGE(B7:B32)</f>
        <v>0.87095829759884447</v>
      </c>
      <c r="C33" s="1057">
        <f t="shared" ref="C33:G33" si="0">AVERAGE(C7:C32)</f>
        <v>7.3267521658819279E-2</v>
      </c>
      <c r="D33" s="1057">
        <f t="shared" si="0"/>
        <v>1.7772531138287351E-2</v>
      </c>
      <c r="E33" s="1057">
        <f t="shared" si="0"/>
        <v>3.2833340488819023E-2</v>
      </c>
      <c r="F33" s="1057">
        <f t="shared" si="0"/>
        <v>3.6681657530749021E-3</v>
      </c>
      <c r="G33" s="1539">
        <f t="shared" si="0"/>
        <v>6.3254777385409941E-4</v>
      </c>
      <c r="I33" s="234"/>
    </row>
    <row r="34" spans="1:9" ht="34.35" customHeight="1">
      <c r="A34" s="1934" t="s">
        <v>1534</v>
      </c>
      <c r="B34" s="1934"/>
      <c r="C34" s="1934"/>
      <c r="D34" s="1934"/>
      <c r="E34" s="1934"/>
      <c r="F34" s="1934"/>
      <c r="G34" s="1934"/>
    </row>
    <row r="35" spans="1:9" ht="23.25" customHeight="1">
      <c r="A35" s="235" t="s">
        <v>1535</v>
      </c>
      <c r="B35" s="133"/>
      <c r="C35" s="133"/>
      <c r="D35" s="133"/>
      <c r="E35" s="133"/>
      <c r="F35" s="133"/>
      <c r="G35" s="133"/>
    </row>
    <row r="36" spans="1:9" ht="54" customHeight="1">
      <c r="A36" s="1748" t="s">
        <v>1536</v>
      </c>
      <c r="B36" s="1748"/>
      <c r="C36" s="1748"/>
      <c r="D36" s="1748"/>
      <c r="E36" s="1748"/>
      <c r="F36" s="1748"/>
      <c r="G36" s="1748"/>
    </row>
    <row r="37" spans="1:9" ht="18" customHeight="1">
      <c r="A37" s="235" t="s">
        <v>1537</v>
      </c>
    </row>
    <row r="38" spans="1:9" ht="30.75" customHeight="1">
      <c r="A38" s="234" t="s">
        <v>87</v>
      </c>
    </row>
    <row r="39" spans="1:9" ht="22.5" customHeight="1">
      <c r="A39" s="233" t="s">
        <v>1538</v>
      </c>
    </row>
  </sheetData>
  <mergeCells count="10">
    <mergeCell ref="A34:G34"/>
    <mergeCell ref="A36:G36"/>
    <mergeCell ref="B4:G4"/>
    <mergeCell ref="A5:A6"/>
    <mergeCell ref="B5:B6"/>
    <mergeCell ref="C5:C6"/>
    <mergeCell ref="D5:D6"/>
    <mergeCell ref="E5:E6"/>
    <mergeCell ref="F5:F6"/>
    <mergeCell ref="G5:G6"/>
  </mergeCells>
  <pageMargins left="0.7" right="0.7" top="0.75" bottom="0.75" header="0.3" footer="0.3"/>
  <pageSetup orientation="portrait" r:id="rId1"/>
  <ignoredErrors>
    <ignoredError sqref="A30:XFD30" numberStoredAsText="1"/>
  </ignoredError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BB61-DA2E-4ECA-92DF-7776FF3F7DBE}">
  <sheetPr>
    <tabColor rgb="FFFBEF97"/>
  </sheetPr>
  <dimension ref="A1:T66"/>
  <sheetViews>
    <sheetView showGridLines="0" workbookViewId="0">
      <pane ySplit="6" topLeftCell="A7" activePane="bottomLeft" state="frozen"/>
      <selection pane="bottomLeft" activeCell="J33" sqref="J33"/>
      <selection activeCell="J33" sqref="J33"/>
    </sheetView>
  </sheetViews>
  <sheetFormatPr defaultColWidth="9" defaultRowHeight="12.75"/>
  <cols>
    <col min="1" max="1" width="16.33203125" style="74" customWidth="1"/>
    <col min="2" max="2" width="23" style="74" customWidth="1"/>
    <col min="3" max="3" width="9" style="74"/>
    <col min="4" max="4" width="16.33203125" style="74" customWidth="1"/>
    <col min="5" max="5" width="14.33203125" style="74" customWidth="1"/>
    <col min="6" max="6" width="15.6640625" style="74" customWidth="1"/>
    <col min="7" max="7" width="24.83203125" style="74" customWidth="1"/>
    <col min="8" max="8" width="16" style="74" customWidth="1"/>
    <col min="9" max="15" width="9" style="74"/>
    <col min="16" max="16" width="15.33203125" style="74" customWidth="1"/>
    <col min="17" max="17" width="22.33203125" style="74" customWidth="1"/>
    <col min="18" max="18" width="35.1640625" style="74" customWidth="1"/>
    <col min="19" max="19" width="13.1640625" style="74" customWidth="1"/>
    <col min="20" max="20" width="12" style="74" customWidth="1"/>
    <col min="21" max="21" width="10.33203125" style="74" customWidth="1"/>
    <col min="22" max="16384" width="9" style="74"/>
  </cols>
  <sheetData>
    <row r="1" spans="1:20" ht="15.75">
      <c r="A1" s="523" t="s">
        <v>141</v>
      </c>
      <c r="B1" s="1675"/>
      <c r="C1" s="1675"/>
      <c r="D1" s="1675"/>
      <c r="E1" s="1675"/>
      <c r="F1" s="1675"/>
      <c r="G1" s="1675"/>
      <c r="H1" s="1675"/>
      <c r="I1" s="1675"/>
      <c r="J1" s="1675"/>
      <c r="K1" s="1675"/>
      <c r="L1" s="1675"/>
      <c r="M1" s="1675"/>
      <c r="N1" s="1675"/>
      <c r="O1" s="1675"/>
      <c r="P1" s="1675"/>
      <c r="Q1" s="1675"/>
      <c r="R1" s="1675"/>
      <c r="S1" s="1675"/>
      <c r="T1" s="246"/>
    </row>
    <row r="2" spans="1:20" ht="15.75">
      <c r="A2" s="687" t="s">
        <v>1539</v>
      </c>
      <c r="B2" s="1675"/>
      <c r="C2" s="1675"/>
      <c r="D2" s="1675"/>
      <c r="E2" s="1675"/>
      <c r="F2" s="1675"/>
      <c r="G2" s="1675"/>
      <c r="H2" s="1675"/>
      <c r="I2" s="1675"/>
      <c r="J2" s="1675"/>
      <c r="K2" s="1675"/>
      <c r="L2" s="1675"/>
      <c r="M2" s="1675"/>
      <c r="N2" s="1675"/>
      <c r="O2" s="1675"/>
      <c r="P2" s="1675"/>
      <c r="Q2" s="1675"/>
      <c r="R2" s="1675"/>
      <c r="S2" s="1675"/>
      <c r="T2" s="246"/>
    </row>
    <row r="3" spans="1:20" ht="15.75">
      <c r="A3" s="523"/>
      <c r="B3" s="1675"/>
      <c r="C3" s="1675"/>
      <c r="D3" s="1675"/>
      <c r="E3" s="1675"/>
      <c r="F3" s="1675"/>
      <c r="G3" s="1675"/>
      <c r="H3" s="1675"/>
      <c r="I3" s="1675"/>
      <c r="J3" s="1675"/>
      <c r="K3" s="1675"/>
      <c r="L3" s="1675"/>
      <c r="M3" s="1675"/>
      <c r="N3" s="1675"/>
      <c r="O3" s="1675"/>
      <c r="P3" s="1675"/>
      <c r="Q3" s="1675"/>
      <c r="R3" s="1675"/>
      <c r="S3" s="1675"/>
      <c r="T3" s="246"/>
    </row>
    <row r="4" spans="1:20" ht="14.25" customHeight="1">
      <c r="A4" s="1069"/>
      <c r="B4" s="1709"/>
      <c r="C4" s="2011" t="s">
        <v>1540</v>
      </c>
      <c r="D4" s="2011"/>
      <c r="E4" s="2011"/>
      <c r="F4" s="2033"/>
      <c r="G4" s="1675"/>
      <c r="H4" s="1645"/>
      <c r="I4" s="1675"/>
      <c r="J4" s="1675"/>
      <c r="K4" s="1675"/>
      <c r="L4" s="1675"/>
      <c r="M4" s="1675"/>
      <c r="N4" s="1675"/>
      <c r="O4" s="1675"/>
      <c r="P4" s="1675"/>
      <c r="Q4" s="1675"/>
      <c r="R4" s="1675"/>
      <c r="S4" s="1675"/>
      <c r="T4" s="1675"/>
    </row>
    <row r="5" spans="1:20" ht="14.25">
      <c r="A5" s="1700" t="s">
        <v>28</v>
      </c>
      <c r="B5" s="1701" t="s">
        <v>1541</v>
      </c>
      <c r="C5" s="1701" t="s">
        <v>809</v>
      </c>
      <c r="D5" s="1701" t="s">
        <v>1542</v>
      </c>
      <c r="E5" s="1701" t="s">
        <v>1057</v>
      </c>
      <c r="F5" s="1702" t="s">
        <v>1543</v>
      </c>
      <c r="G5" s="1675"/>
      <c r="H5" s="1675"/>
      <c r="I5" s="1675"/>
      <c r="J5" s="1675"/>
      <c r="K5" s="1675"/>
      <c r="L5" s="1675"/>
      <c r="M5" s="1675"/>
      <c r="N5" s="1675"/>
      <c r="O5" s="1675"/>
      <c r="P5" s="1675"/>
      <c r="Q5" s="1675"/>
      <c r="R5" s="1675"/>
      <c r="S5" s="1675"/>
      <c r="T5" s="1675"/>
    </row>
    <row r="6" spans="1:20" ht="5.85" customHeight="1">
      <c r="A6" s="2034"/>
      <c r="B6" s="2035"/>
      <c r="C6" s="2035"/>
      <c r="D6" s="2035"/>
      <c r="E6" s="2035"/>
      <c r="F6" s="2036"/>
      <c r="G6" s="1675"/>
      <c r="H6" s="1675"/>
      <c r="I6" s="1675"/>
      <c r="J6" s="1675"/>
      <c r="K6" s="1675"/>
      <c r="L6" s="1675"/>
      <c r="M6" s="1675"/>
      <c r="N6" s="1675"/>
      <c r="O6" s="1675"/>
      <c r="P6" s="1675"/>
      <c r="Q6" s="1675"/>
      <c r="R6" s="1675"/>
      <c r="S6" s="1675"/>
      <c r="T6" s="1675"/>
    </row>
    <row r="7" spans="1:20" ht="15" customHeight="1">
      <c r="A7" s="1059" t="s">
        <v>1544</v>
      </c>
      <c r="B7" s="92" t="s">
        <v>1545</v>
      </c>
      <c r="C7" s="607">
        <v>1400</v>
      </c>
      <c r="D7" s="607">
        <v>3700</v>
      </c>
      <c r="E7" s="1625">
        <v>110</v>
      </c>
      <c r="F7" s="1060" t="s">
        <v>97</v>
      </c>
      <c r="G7" s="1675"/>
      <c r="H7" s="1675"/>
      <c r="I7" s="1675"/>
      <c r="J7" s="1675"/>
      <c r="K7" s="1675"/>
      <c r="L7" s="1675"/>
      <c r="M7" s="1675"/>
      <c r="N7" s="1675"/>
      <c r="O7" s="1675"/>
      <c r="P7" s="1675"/>
      <c r="Q7" s="1675"/>
      <c r="R7" s="1675"/>
      <c r="S7" s="1675"/>
      <c r="T7" s="1675"/>
    </row>
    <row r="8" spans="1:20" ht="15" customHeight="1">
      <c r="A8" s="1059" t="s">
        <v>1546</v>
      </c>
      <c r="B8" s="92"/>
      <c r="C8" s="1625" t="s">
        <v>1547</v>
      </c>
      <c r="D8" s="1625" t="s">
        <v>1548</v>
      </c>
      <c r="E8" s="1625" t="s">
        <v>1549</v>
      </c>
      <c r="F8" s="1060"/>
      <c r="G8" s="1675"/>
      <c r="H8" s="1675"/>
      <c r="I8" s="1675"/>
      <c r="J8" s="1675"/>
      <c r="K8" s="1675"/>
      <c r="L8" s="1675"/>
      <c r="M8" s="1675"/>
      <c r="N8" s="1675"/>
      <c r="O8" s="1675"/>
      <c r="P8" s="1675"/>
      <c r="Q8" s="1675"/>
      <c r="R8" s="1675"/>
      <c r="S8" s="1675"/>
      <c r="T8" s="1675"/>
    </row>
    <row r="9" spans="1:20" ht="5.85" customHeight="1">
      <c r="A9" s="2037"/>
      <c r="B9" s="2038"/>
      <c r="C9" s="2038"/>
      <c r="D9" s="2038"/>
      <c r="E9" s="2038"/>
      <c r="F9" s="2039"/>
      <c r="G9" s="1675"/>
      <c r="H9" s="1675"/>
      <c r="I9" s="1675"/>
      <c r="J9" s="1675"/>
      <c r="K9" s="1675"/>
      <c r="L9" s="1675"/>
      <c r="M9" s="1675"/>
      <c r="N9" s="1675"/>
      <c r="O9" s="1675"/>
      <c r="P9" s="1675"/>
      <c r="Q9" s="1675"/>
      <c r="R9" s="1675"/>
      <c r="S9" s="1675"/>
      <c r="T9" s="1675"/>
    </row>
    <row r="10" spans="1:20" ht="15" customHeight="1">
      <c r="A10" s="1059" t="s">
        <v>1550</v>
      </c>
      <c r="B10" s="92" t="s">
        <v>1551</v>
      </c>
      <c r="C10" s="1625">
        <v>50</v>
      </c>
      <c r="D10" s="607">
        <v>4700</v>
      </c>
      <c r="E10" s="1625">
        <v>670</v>
      </c>
      <c r="F10" s="1060" t="s">
        <v>97</v>
      </c>
      <c r="G10" s="1675"/>
      <c r="H10" s="1675"/>
      <c r="I10" s="1675"/>
      <c r="J10" s="1675"/>
      <c r="K10" s="1675"/>
      <c r="L10" s="1675"/>
      <c r="M10" s="1675"/>
      <c r="N10" s="1675"/>
      <c r="O10" s="1675"/>
      <c r="P10" s="1675"/>
      <c r="Q10" s="1675"/>
      <c r="R10" s="1675"/>
      <c r="S10" s="1675"/>
      <c r="T10" s="1675"/>
    </row>
    <row r="11" spans="1:20" ht="15" customHeight="1">
      <c r="A11" s="1059" t="s">
        <v>1546</v>
      </c>
      <c r="B11" s="92"/>
      <c r="C11" s="1625" t="s">
        <v>1552</v>
      </c>
      <c r="D11" s="1625" t="s">
        <v>1553</v>
      </c>
      <c r="E11" s="1625" t="s">
        <v>1554</v>
      </c>
      <c r="F11" s="1060"/>
      <c r="G11" s="1675"/>
      <c r="H11" s="1675"/>
      <c r="I11" s="1675"/>
      <c r="J11" s="1675"/>
      <c r="K11" s="1675"/>
      <c r="L11" s="1675"/>
      <c r="M11" s="1675"/>
      <c r="N11" s="1675"/>
      <c r="O11" s="1675"/>
      <c r="P11" s="1675"/>
      <c r="Q11" s="1675"/>
      <c r="R11" s="1675"/>
      <c r="S11" s="1675"/>
      <c r="T11" s="1675"/>
    </row>
    <row r="12" spans="1:20" ht="5.85" customHeight="1">
      <c r="A12" s="2037"/>
      <c r="B12" s="2038"/>
      <c r="C12" s="2038"/>
      <c r="D12" s="2038"/>
      <c r="E12" s="2038"/>
      <c r="F12" s="2039"/>
      <c r="G12" s="1675"/>
      <c r="H12" s="1675"/>
      <c r="I12" s="1675"/>
      <c r="J12" s="1675"/>
      <c r="K12" s="1675"/>
      <c r="L12" s="1675"/>
      <c r="M12" s="1675"/>
      <c r="N12" s="1675"/>
      <c r="O12" s="1675"/>
      <c r="P12" s="1675"/>
      <c r="Q12" s="1675"/>
      <c r="R12" s="1675"/>
      <c r="S12" s="1675"/>
      <c r="T12" s="1675"/>
    </row>
    <row r="13" spans="1:20" ht="15" customHeight="1">
      <c r="A13" s="1059" t="s">
        <v>1555</v>
      </c>
      <c r="B13" s="92" t="s">
        <v>1551</v>
      </c>
      <c r="C13" s="1625">
        <v>100</v>
      </c>
      <c r="D13" s="607">
        <v>6700</v>
      </c>
      <c r="E13" s="607">
        <v>2100</v>
      </c>
      <c r="F13" s="1060">
        <v>500</v>
      </c>
      <c r="G13" s="1675"/>
      <c r="H13" s="1675"/>
      <c r="I13" s="1675"/>
      <c r="J13" s="1675"/>
      <c r="K13" s="1675"/>
      <c r="L13" s="1675"/>
      <c r="M13" s="1675"/>
      <c r="N13" s="1675"/>
      <c r="O13" s="1675"/>
      <c r="P13" s="1675"/>
      <c r="Q13" s="1675"/>
      <c r="R13" s="246"/>
      <c r="S13" s="246"/>
      <c r="T13" s="1675"/>
    </row>
    <row r="14" spans="1:20" ht="15" customHeight="1">
      <c r="A14" s="1059" t="s">
        <v>1546</v>
      </c>
      <c r="B14" s="92"/>
      <c r="C14" s="1625" t="s">
        <v>1556</v>
      </c>
      <c r="D14" s="1625" t="s">
        <v>1557</v>
      </c>
      <c r="E14" s="1625" t="s">
        <v>1558</v>
      </c>
      <c r="F14" s="1060" t="s">
        <v>1559</v>
      </c>
      <c r="G14" s="1675"/>
      <c r="H14" s="1675"/>
      <c r="I14" s="1675"/>
      <c r="J14" s="1675"/>
      <c r="K14" s="1675"/>
      <c r="L14" s="1675"/>
      <c r="M14" s="1675"/>
      <c r="N14" s="1675"/>
      <c r="O14" s="1675"/>
      <c r="P14" s="1675"/>
      <c r="Q14" s="1675"/>
      <c r="R14" s="1675"/>
      <c r="S14" s="1675"/>
      <c r="T14" s="1675"/>
    </row>
    <row r="15" spans="1:20" ht="5.85" customHeight="1">
      <c r="A15" s="1634"/>
      <c r="B15" s="92"/>
      <c r="C15" s="1625"/>
      <c r="D15" s="1625"/>
      <c r="E15" s="1625"/>
      <c r="F15" s="1060"/>
      <c r="G15" s="1675"/>
      <c r="H15" s="1675"/>
      <c r="I15" s="1675"/>
      <c r="J15" s="1675"/>
      <c r="K15" s="1675"/>
      <c r="L15" s="1675"/>
      <c r="M15" s="1675"/>
      <c r="N15" s="1675"/>
      <c r="O15" s="1675"/>
      <c r="P15" s="1675"/>
      <c r="Q15" s="1675"/>
      <c r="R15" s="1675"/>
      <c r="S15" s="1675"/>
      <c r="T15" s="1675"/>
    </row>
    <row r="16" spans="1:20" ht="15" customHeight="1">
      <c r="A16" s="1634">
        <v>1992</v>
      </c>
      <c r="B16" s="92" t="s">
        <v>1560</v>
      </c>
      <c r="C16" s="681">
        <v>47</v>
      </c>
      <c r="D16" s="467">
        <v>4600</v>
      </c>
      <c r="E16" s="1061" t="s">
        <v>1561</v>
      </c>
      <c r="F16" s="1062">
        <v>350</v>
      </c>
      <c r="G16" s="1675"/>
      <c r="H16" s="1675"/>
      <c r="I16" s="1675"/>
      <c r="J16" s="246"/>
      <c r="K16" s="1675"/>
      <c r="L16" s="1675"/>
      <c r="M16" s="1675"/>
      <c r="N16" s="1675"/>
      <c r="O16" s="1675"/>
      <c r="P16" s="1675"/>
      <c r="Q16" s="1675"/>
      <c r="R16" s="1675"/>
      <c r="S16" s="246"/>
      <c r="T16" s="1675"/>
    </row>
    <row r="17" spans="1:20" ht="15" customHeight="1">
      <c r="A17" s="1634">
        <v>1993</v>
      </c>
      <c r="B17" s="92" t="s">
        <v>1562</v>
      </c>
      <c r="C17" s="681">
        <v>0</v>
      </c>
      <c r="D17" s="467">
        <v>2400</v>
      </c>
      <c r="E17" s="1063">
        <v>2000</v>
      </c>
      <c r="F17" s="1062">
        <v>180</v>
      </c>
      <c r="G17" s="1675"/>
      <c r="H17" s="1675"/>
      <c r="I17" s="1675"/>
      <c r="J17" s="246"/>
      <c r="K17" s="1675"/>
      <c r="L17" s="246"/>
      <c r="M17" s="1675"/>
      <c r="N17" s="1675"/>
      <c r="O17" s="1675"/>
      <c r="P17" s="1675"/>
      <c r="Q17" s="1675"/>
      <c r="R17" s="1675"/>
      <c r="S17" s="1675"/>
      <c r="T17" s="1675"/>
    </row>
    <row r="18" spans="1:20" ht="15" customHeight="1">
      <c r="A18" s="1634">
        <v>1994</v>
      </c>
      <c r="B18" s="92" t="s">
        <v>1563</v>
      </c>
      <c r="C18" s="681">
        <v>10</v>
      </c>
      <c r="D18" s="467">
        <v>2100</v>
      </c>
      <c r="E18" s="1063">
        <v>1500</v>
      </c>
      <c r="F18" s="1062">
        <v>190</v>
      </c>
      <c r="G18" s="1675"/>
      <c r="H18" s="1675"/>
      <c r="I18" s="1675"/>
      <c r="J18" s="246"/>
      <c r="K18" s="1675"/>
      <c r="L18" s="246"/>
      <c r="M18" s="1675"/>
      <c r="N18" s="1675"/>
      <c r="O18" s="1675"/>
      <c r="P18" s="1675"/>
      <c r="Q18" s="1675"/>
      <c r="R18" s="1675"/>
      <c r="S18" s="1675"/>
      <c r="T18" s="1675"/>
    </row>
    <row r="19" spans="1:20" ht="15" customHeight="1">
      <c r="A19" s="1634">
        <v>1995</v>
      </c>
      <c r="B19" s="92" t="s">
        <v>1564</v>
      </c>
      <c r="C19" s="681">
        <v>13</v>
      </c>
      <c r="D19" s="467">
        <v>2100</v>
      </c>
      <c r="E19" s="1063">
        <v>1950</v>
      </c>
      <c r="F19" s="1062">
        <v>730</v>
      </c>
      <c r="G19" s="1675"/>
      <c r="H19" s="1675"/>
      <c r="I19" s="1675"/>
      <c r="J19" s="246"/>
      <c r="K19" s="1675"/>
      <c r="L19" s="246"/>
      <c r="M19" s="1675"/>
      <c r="N19" s="1675"/>
      <c r="O19" s="1675"/>
      <c r="P19" s="1675"/>
      <c r="Q19" s="1675"/>
      <c r="R19" s="1675"/>
      <c r="S19" s="246"/>
      <c r="T19" s="246"/>
    </row>
    <row r="20" spans="1:20" ht="15" customHeight="1">
      <c r="A20" s="1634">
        <v>1996</v>
      </c>
      <c r="B20" s="92" t="s">
        <v>1565</v>
      </c>
      <c r="C20" s="681">
        <v>0</v>
      </c>
      <c r="D20" s="471">
        <v>90</v>
      </c>
      <c r="E20" s="81">
        <v>480</v>
      </c>
      <c r="F20" s="1062">
        <v>230</v>
      </c>
      <c r="G20" s="1675"/>
      <c r="H20" s="1675"/>
      <c r="I20" s="1675"/>
      <c r="J20" s="1675"/>
      <c r="K20" s="1675"/>
      <c r="L20" s="1675"/>
      <c r="M20" s="1675"/>
      <c r="N20" s="1675"/>
      <c r="O20" s="1675"/>
      <c r="P20" s="1675"/>
      <c r="Q20" s="1675"/>
      <c r="R20" s="1675"/>
      <c r="S20" s="1675"/>
      <c r="T20" s="1675"/>
    </row>
    <row r="21" spans="1:20" ht="15" customHeight="1">
      <c r="A21" s="1634">
        <v>1997</v>
      </c>
      <c r="B21" s="92" t="s">
        <v>1566</v>
      </c>
      <c r="C21" s="681">
        <v>14</v>
      </c>
      <c r="D21" s="471">
        <v>220</v>
      </c>
      <c r="E21" s="1063">
        <v>2600</v>
      </c>
      <c r="F21" s="1062">
        <v>190</v>
      </c>
      <c r="G21" s="1675"/>
      <c r="H21" s="1675"/>
      <c r="I21" s="1675"/>
      <c r="J21" s="1675"/>
      <c r="K21" s="1675"/>
      <c r="L21" s="246"/>
      <c r="M21" s="1675"/>
      <c r="N21" s="1675"/>
      <c r="O21" s="1675"/>
      <c r="P21" s="1675"/>
      <c r="Q21" s="1675"/>
      <c r="R21" s="1675"/>
      <c r="S21" s="1675"/>
      <c r="T21" s="1675"/>
    </row>
    <row r="22" spans="1:20" ht="15" customHeight="1">
      <c r="A22" s="1634">
        <v>1998</v>
      </c>
      <c r="B22" s="92" t="s">
        <v>1567</v>
      </c>
      <c r="C22" s="681">
        <v>1</v>
      </c>
      <c r="D22" s="471">
        <v>150</v>
      </c>
      <c r="E22" s="1063">
        <v>2800</v>
      </c>
      <c r="F22" s="1062">
        <v>120</v>
      </c>
      <c r="G22" s="1675"/>
      <c r="H22" s="1675"/>
      <c r="I22" s="1675"/>
      <c r="J22" s="1675"/>
      <c r="K22" s="1675"/>
      <c r="L22" s="246"/>
      <c r="M22" s="1675"/>
      <c r="N22" s="1675"/>
      <c r="O22" s="1675"/>
      <c r="P22" s="1675"/>
      <c r="Q22" s="1675"/>
      <c r="R22" s="1675"/>
      <c r="S22" s="246"/>
      <c r="T22" s="1675"/>
    </row>
    <row r="23" spans="1:20" ht="15" customHeight="1">
      <c r="A23" s="1634">
        <v>1999</v>
      </c>
      <c r="B23" s="92" t="s">
        <v>1568</v>
      </c>
      <c r="C23" s="681">
        <v>1</v>
      </c>
      <c r="D23" s="471">
        <v>89</v>
      </c>
      <c r="E23" s="1063">
        <v>1700</v>
      </c>
      <c r="F23" s="1062">
        <v>160</v>
      </c>
      <c r="G23" s="1675"/>
      <c r="H23" s="1675"/>
      <c r="I23" s="1675"/>
      <c r="J23" s="1675"/>
      <c r="K23" s="1675"/>
      <c r="L23" s="246"/>
      <c r="M23" s="1675"/>
      <c r="N23" s="1675"/>
      <c r="O23" s="1675"/>
      <c r="P23" s="1675"/>
      <c r="Q23" s="1675"/>
      <c r="R23" s="1675"/>
      <c r="S23" s="246"/>
      <c r="T23" s="246"/>
    </row>
    <row r="24" spans="1:20" ht="15" customHeight="1">
      <c r="A24" s="1634">
        <v>2000</v>
      </c>
      <c r="B24" s="92" t="s">
        <v>1560</v>
      </c>
      <c r="C24" s="681">
        <v>31</v>
      </c>
      <c r="D24" s="471">
        <v>2</v>
      </c>
      <c r="E24" s="1063">
        <v>2251</v>
      </c>
      <c r="F24" s="1062">
        <v>307</v>
      </c>
      <c r="G24" s="1675"/>
      <c r="H24" s="1675"/>
      <c r="I24" s="1675"/>
      <c r="J24" s="1675"/>
      <c r="K24" s="1675"/>
      <c r="L24" s="246"/>
      <c r="M24" s="1675"/>
      <c r="N24" s="1675"/>
      <c r="O24" s="1675"/>
      <c r="P24" s="1675"/>
      <c r="Q24" s="1675"/>
      <c r="R24" s="1675"/>
      <c r="S24" s="246"/>
      <c r="T24" s="246"/>
    </row>
    <row r="25" spans="1:20" ht="15" customHeight="1">
      <c r="A25" s="1634">
        <v>2001</v>
      </c>
      <c r="B25" s="92" t="s">
        <v>1569</v>
      </c>
      <c r="C25" s="681">
        <v>160</v>
      </c>
      <c r="D25" s="471">
        <v>230</v>
      </c>
      <c r="E25" s="1063">
        <v>1961</v>
      </c>
      <c r="F25" s="1062">
        <v>86</v>
      </c>
      <c r="G25" s="1675"/>
      <c r="H25" s="1675"/>
      <c r="I25" s="1675"/>
      <c r="J25" s="1675"/>
      <c r="K25" s="1675"/>
      <c r="L25" s="246"/>
      <c r="M25" s="1675"/>
      <c r="N25" s="1675"/>
      <c r="O25" s="1675"/>
      <c r="P25" s="1675"/>
      <c r="Q25" s="1675"/>
      <c r="R25" s="1675"/>
      <c r="S25" s="246"/>
      <c r="T25" s="246"/>
    </row>
    <row r="26" spans="1:20" ht="15" customHeight="1">
      <c r="A26" s="1634">
        <v>2002</v>
      </c>
      <c r="B26" s="92" t="s">
        <v>1560</v>
      </c>
      <c r="C26" s="681">
        <v>45</v>
      </c>
      <c r="D26" s="471">
        <v>78</v>
      </c>
      <c r="E26" s="1063">
        <v>1529</v>
      </c>
      <c r="F26" s="1062">
        <v>76</v>
      </c>
      <c r="G26" s="1675"/>
      <c r="H26" s="1675"/>
      <c r="I26" s="1675"/>
      <c r="J26" s="1675"/>
      <c r="K26" s="1675"/>
      <c r="L26" s="246"/>
      <c r="M26" s="1675"/>
      <c r="N26" s="1675"/>
      <c r="O26" s="1675"/>
      <c r="P26" s="1675"/>
      <c r="Q26" s="1675"/>
      <c r="R26" s="1675"/>
      <c r="S26" s="1675"/>
      <c r="T26" s="1675"/>
    </row>
    <row r="27" spans="1:20" ht="15" customHeight="1">
      <c r="A27" s="1634">
        <v>2003</v>
      </c>
      <c r="B27" s="92" t="s">
        <v>1570</v>
      </c>
      <c r="C27" s="681">
        <v>857</v>
      </c>
      <c r="D27" s="471">
        <v>788</v>
      </c>
      <c r="E27" s="1063">
        <v>1339</v>
      </c>
      <c r="F27" s="1062">
        <v>113</v>
      </c>
      <c r="G27" s="1675"/>
      <c r="H27" s="1675"/>
      <c r="I27" s="1675"/>
      <c r="J27" s="1675"/>
      <c r="K27" s="1675"/>
      <c r="L27" s="246"/>
      <c r="M27" s="1675"/>
      <c r="N27" s="1675"/>
      <c r="O27" s="1675"/>
      <c r="P27" s="1675"/>
      <c r="Q27" s="1675"/>
      <c r="R27" s="1675"/>
      <c r="S27" s="1675"/>
      <c r="T27" s="246"/>
    </row>
    <row r="28" spans="1:20" ht="15" customHeight="1">
      <c r="A28" s="1634">
        <v>2004</v>
      </c>
      <c r="B28" s="92" t="s">
        <v>1571</v>
      </c>
      <c r="C28" s="681">
        <v>2</v>
      </c>
      <c r="D28" s="471">
        <v>70</v>
      </c>
      <c r="E28" s="1063">
        <v>1748</v>
      </c>
      <c r="F28" s="1062">
        <v>48</v>
      </c>
      <c r="G28" s="1675"/>
      <c r="H28" s="1675"/>
      <c r="I28" s="1675"/>
      <c r="J28" s="1675"/>
      <c r="K28" s="1675"/>
      <c r="L28" s="246"/>
      <c r="M28" s="1675"/>
      <c r="N28" s="1675"/>
      <c r="O28" s="1675"/>
      <c r="P28" s="1675"/>
      <c r="Q28" s="1675"/>
      <c r="R28" s="1675"/>
      <c r="S28" s="1675"/>
      <c r="T28" s="246"/>
    </row>
    <row r="29" spans="1:20" ht="15" customHeight="1">
      <c r="A29" s="1634">
        <v>2005</v>
      </c>
      <c r="B29" s="92" t="s">
        <v>1572</v>
      </c>
      <c r="C29" s="681">
        <v>1</v>
      </c>
      <c r="D29" s="471">
        <v>8</v>
      </c>
      <c r="E29" s="1063">
        <v>1754</v>
      </c>
      <c r="F29" s="1062">
        <v>27</v>
      </c>
      <c r="G29" s="1675"/>
      <c r="H29" s="1675"/>
      <c r="I29" s="1675"/>
      <c r="J29" s="1675"/>
      <c r="K29" s="1675"/>
      <c r="L29" s="246"/>
      <c r="M29" s="1675"/>
      <c r="N29" s="1675"/>
      <c r="O29" s="1675"/>
      <c r="P29" s="1675"/>
      <c r="Q29" s="1675"/>
      <c r="R29" s="1675"/>
      <c r="S29" s="1675"/>
      <c r="T29" s="246"/>
    </row>
    <row r="30" spans="1:20" ht="15" customHeight="1">
      <c r="A30" s="1634">
        <v>2006</v>
      </c>
      <c r="B30" s="92" t="s">
        <v>1560</v>
      </c>
      <c r="C30" s="681">
        <v>1</v>
      </c>
      <c r="D30" s="471">
        <v>139</v>
      </c>
      <c r="E30" s="81">
        <v>815</v>
      </c>
      <c r="F30" s="1062">
        <v>186</v>
      </c>
      <c r="G30" s="1675"/>
      <c r="H30" s="1675"/>
      <c r="I30" s="1675"/>
      <c r="J30" s="1675"/>
      <c r="K30" s="1675"/>
      <c r="L30" s="1675"/>
      <c r="M30" s="1675"/>
      <c r="N30" s="1675"/>
      <c r="O30" s="1675"/>
      <c r="P30" s="1675"/>
      <c r="Q30" s="1675"/>
      <c r="R30" s="1675"/>
      <c r="S30" s="1675"/>
      <c r="T30" s="246"/>
    </row>
    <row r="31" spans="1:20" ht="15" customHeight="1">
      <c r="A31" s="1634">
        <v>2007</v>
      </c>
      <c r="B31" s="92" t="s">
        <v>1573</v>
      </c>
      <c r="C31" s="681">
        <v>3</v>
      </c>
      <c r="D31" s="471">
        <v>558</v>
      </c>
      <c r="E31" s="1063">
        <v>1114</v>
      </c>
      <c r="F31" s="1062">
        <v>85</v>
      </c>
      <c r="G31" s="1675"/>
      <c r="H31" s="1675"/>
      <c r="I31" s="1675"/>
      <c r="J31" s="1675"/>
      <c r="K31" s="1675"/>
      <c r="L31" s="246"/>
      <c r="M31" s="1675"/>
      <c r="N31" s="1675"/>
      <c r="O31" s="1675"/>
      <c r="P31" s="1675"/>
      <c r="Q31" s="1675"/>
      <c r="R31" s="1675"/>
      <c r="S31" s="1675"/>
      <c r="T31" s="246"/>
    </row>
    <row r="32" spans="1:20" ht="15" customHeight="1">
      <c r="A32" s="1634">
        <v>2008</v>
      </c>
      <c r="B32" s="92" t="s">
        <v>1560</v>
      </c>
      <c r="C32" s="681">
        <v>0</v>
      </c>
      <c r="D32" s="471">
        <v>334</v>
      </c>
      <c r="E32" s="1063">
        <v>1588</v>
      </c>
      <c r="F32" s="1062">
        <v>20</v>
      </c>
      <c r="G32" s="1675"/>
      <c r="H32" s="1675"/>
      <c r="I32" s="1675"/>
      <c r="J32" s="1675"/>
      <c r="K32" s="1675"/>
      <c r="L32" s="246"/>
      <c r="M32" s="1675"/>
      <c r="N32" s="1675"/>
      <c r="O32" s="1675"/>
      <c r="P32" s="1675"/>
      <c r="Q32" s="1675"/>
      <c r="R32" s="1675"/>
      <c r="S32" s="1675"/>
      <c r="T32" s="246"/>
    </row>
    <row r="33" spans="1:20" ht="15" customHeight="1">
      <c r="A33" s="1634">
        <v>2009</v>
      </c>
      <c r="B33" s="92" t="s">
        <v>1574</v>
      </c>
      <c r="C33" s="681">
        <v>0</v>
      </c>
      <c r="D33" s="471">
        <v>0</v>
      </c>
      <c r="E33" s="1063">
        <v>1602</v>
      </c>
      <c r="F33" s="1062">
        <v>1</v>
      </c>
      <c r="G33" s="1675"/>
      <c r="H33" s="1675"/>
      <c r="I33" s="1675"/>
      <c r="J33" s="1675"/>
      <c r="K33" s="1675"/>
      <c r="L33" s="246"/>
      <c r="M33" s="1675"/>
      <c r="N33" s="1675"/>
      <c r="O33" s="1675"/>
      <c r="P33" s="1675"/>
      <c r="Q33" s="1675"/>
      <c r="R33" s="1675"/>
      <c r="S33" s="1675"/>
      <c r="T33" s="246"/>
    </row>
    <row r="34" spans="1:20" ht="15" customHeight="1">
      <c r="A34" s="1634">
        <v>2010</v>
      </c>
      <c r="B34" s="92" t="s">
        <v>1575</v>
      </c>
      <c r="C34" s="681">
        <v>0</v>
      </c>
      <c r="D34" s="471">
        <v>12</v>
      </c>
      <c r="E34" s="1063">
        <v>2889</v>
      </c>
      <c r="F34" s="1062">
        <v>2</v>
      </c>
      <c r="G34" s="1675"/>
      <c r="H34" s="1675"/>
      <c r="I34" s="1675"/>
      <c r="J34" s="1675"/>
      <c r="K34" s="1675"/>
      <c r="L34" s="246"/>
      <c r="M34" s="1675"/>
      <c r="N34" s="1675"/>
      <c r="O34" s="1675"/>
      <c r="P34" s="1675"/>
      <c r="Q34" s="1675"/>
      <c r="R34" s="1675"/>
      <c r="S34" s="1675"/>
      <c r="T34" s="246"/>
    </row>
    <row r="35" spans="1:20" ht="15" customHeight="1">
      <c r="A35" s="1634">
        <v>2011</v>
      </c>
      <c r="B35" s="92" t="s">
        <v>1576</v>
      </c>
      <c r="C35" s="681">
        <v>7</v>
      </c>
      <c r="D35" s="471">
        <v>247</v>
      </c>
      <c r="E35" s="1063">
        <v>2869</v>
      </c>
      <c r="F35" s="1062">
        <v>103</v>
      </c>
      <c r="G35" s="1675"/>
      <c r="H35" s="1675"/>
      <c r="I35" s="1675"/>
      <c r="J35" s="1675"/>
      <c r="K35" s="1675"/>
      <c r="L35" s="246"/>
      <c r="M35" s="1675"/>
      <c r="N35" s="1675"/>
      <c r="O35" s="1675"/>
      <c r="P35" s="1675"/>
      <c r="Q35" s="1675"/>
      <c r="R35" s="1675"/>
      <c r="S35" s="1675"/>
      <c r="T35" s="246"/>
    </row>
    <row r="36" spans="1:20" ht="15" customHeight="1">
      <c r="A36" s="1634">
        <v>2012</v>
      </c>
      <c r="B36" s="92" t="s">
        <v>1576</v>
      </c>
      <c r="C36" s="681">
        <v>2</v>
      </c>
      <c r="D36" s="471">
        <v>100</v>
      </c>
      <c r="E36" s="1061" t="s">
        <v>1577</v>
      </c>
      <c r="F36" s="1062">
        <v>14</v>
      </c>
      <c r="G36" s="1675"/>
      <c r="H36" s="1675"/>
      <c r="I36" s="1675"/>
      <c r="J36" s="1675"/>
      <c r="K36" s="1675"/>
      <c r="L36" s="246"/>
      <c r="M36" s="1675"/>
      <c r="N36" s="1675"/>
      <c r="O36" s="1675"/>
      <c r="P36" s="1675"/>
      <c r="Q36" s="1675"/>
      <c r="R36" s="1675"/>
      <c r="S36" s="1675"/>
      <c r="T36" s="1675"/>
    </row>
    <row r="37" spans="1:20" ht="15" customHeight="1">
      <c r="A37" s="1634">
        <v>2013</v>
      </c>
      <c r="B37" s="92" t="s">
        <v>1576</v>
      </c>
      <c r="C37" s="681">
        <v>0</v>
      </c>
      <c r="D37" s="471">
        <v>0</v>
      </c>
      <c r="E37" s="1061" t="s">
        <v>1578</v>
      </c>
      <c r="F37" s="1062">
        <v>3</v>
      </c>
      <c r="G37" s="1675"/>
      <c r="H37" s="1675"/>
      <c r="I37" s="1675"/>
      <c r="J37" s="1675"/>
      <c r="K37" s="1675"/>
      <c r="L37" s="246"/>
      <c r="M37" s="1675"/>
      <c r="N37" s="1675"/>
      <c r="O37" s="1675"/>
      <c r="P37" s="1675"/>
      <c r="Q37" s="1675"/>
      <c r="R37" s="1675"/>
      <c r="S37" s="1675"/>
      <c r="T37" s="246"/>
    </row>
    <row r="38" spans="1:20" ht="15" customHeight="1">
      <c r="A38" s="1634">
        <v>2014</v>
      </c>
      <c r="B38" s="92" t="s">
        <v>1576</v>
      </c>
      <c r="C38" s="681">
        <v>0</v>
      </c>
      <c r="D38" s="471">
        <v>98</v>
      </c>
      <c r="E38" s="1061" t="s">
        <v>1579</v>
      </c>
      <c r="F38" s="1062">
        <v>5</v>
      </c>
      <c r="G38" s="1675"/>
      <c r="H38" s="1675"/>
      <c r="I38" s="1675"/>
      <c r="J38" s="1675"/>
      <c r="K38" s="1675"/>
      <c r="L38" s="246"/>
      <c r="M38" s="1675"/>
      <c r="N38" s="1675"/>
      <c r="O38" s="1675"/>
      <c r="P38" s="1675"/>
      <c r="Q38" s="1675"/>
      <c r="R38" s="1675"/>
      <c r="S38" s="1675"/>
      <c r="T38" s="246"/>
    </row>
    <row r="39" spans="1:20" ht="15" customHeight="1">
      <c r="A39" s="1634">
        <v>2015</v>
      </c>
      <c r="B39" s="92" t="s">
        <v>1574</v>
      </c>
      <c r="C39" s="681">
        <v>6</v>
      </c>
      <c r="D39" s="471">
        <v>171</v>
      </c>
      <c r="E39" s="1061" t="s">
        <v>1580</v>
      </c>
      <c r="F39" s="1062">
        <v>7</v>
      </c>
      <c r="G39" s="1675"/>
      <c r="H39" s="1675"/>
      <c r="I39" s="1675"/>
      <c r="J39" s="1675"/>
      <c r="K39" s="1675"/>
      <c r="L39" s="1675"/>
      <c r="M39" s="1675"/>
      <c r="N39" s="1675"/>
      <c r="O39" s="1675"/>
      <c r="P39" s="1675"/>
      <c r="Q39" s="1675"/>
      <c r="R39" s="1675"/>
      <c r="S39" s="1675"/>
      <c r="T39" s="246"/>
    </row>
    <row r="40" spans="1:20" ht="15" customHeight="1">
      <c r="A40" s="1634">
        <v>2016</v>
      </c>
      <c r="B40" s="92" t="s">
        <v>1576</v>
      </c>
      <c r="C40" s="681">
        <v>0</v>
      </c>
      <c r="D40" s="471">
        <v>20</v>
      </c>
      <c r="E40" s="1061" t="s">
        <v>1581</v>
      </c>
      <c r="F40" s="1062">
        <v>10</v>
      </c>
      <c r="G40" s="1675"/>
      <c r="H40" s="1675"/>
      <c r="I40" s="1675"/>
      <c r="J40" s="1675"/>
      <c r="K40" s="1675"/>
      <c r="L40" s="1675"/>
      <c r="M40" s="1675"/>
      <c r="N40" s="1675"/>
      <c r="O40" s="1675"/>
      <c r="P40" s="1675"/>
      <c r="Q40" s="1675"/>
      <c r="R40" s="1675"/>
      <c r="S40" s="1675"/>
      <c r="T40" s="246"/>
    </row>
    <row r="41" spans="1:20" ht="15" customHeight="1">
      <c r="A41" s="1634">
        <v>2017</v>
      </c>
      <c r="B41" s="92" t="s">
        <v>1582</v>
      </c>
      <c r="C41" s="681">
        <v>0</v>
      </c>
      <c r="D41" s="471">
        <v>128</v>
      </c>
      <c r="E41" s="1061" t="s">
        <v>1583</v>
      </c>
      <c r="F41" s="1062">
        <v>14</v>
      </c>
      <c r="G41" s="1675"/>
      <c r="H41" s="1675"/>
      <c r="I41" s="1675"/>
      <c r="J41" s="1675"/>
      <c r="K41" s="1675"/>
      <c r="L41" s="1675"/>
      <c r="M41" s="1675"/>
      <c r="N41" s="1675"/>
      <c r="O41" s="1675"/>
      <c r="P41" s="1675"/>
      <c r="Q41" s="1675"/>
      <c r="R41" s="1675"/>
      <c r="S41" s="1675"/>
      <c r="T41" s="246"/>
    </row>
    <row r="42" spans="1:20" ht="15" customHeight="1">
      <c r="A42" s="1634">
        <v>2018</v>
      </c>
      <c r="B42" s="92" t="s">
        <v>1584</v>
      </c>
      <c r="C42" s="681">
        <v>0</v>
      </c>
      <c r="D42" s="471">
        <v>116</v>
      </c>
      <c r="E42" s="1061" t="s">
        <v>1585</v>
      </c>
      <c r="F42" s="1062">
        <v>0</v>
      </c>
      <c r="G42" s="1675"/>
      <c r="H42" s="1675"/>
      <c r="I42" s="1675"/>
      <c r="J42" s="1675"/>
      <c r="K42" s="1675"/>
      <c r="L42" s="1675"/>
      <c r="M42" s="1675"/>
      <c r="N42" s="1675"/>
      <c r="O42" s="1675"/>
      <c r="P42" s="1675"/>
      <c r="Q42" s="1675"/>
      <c r="R42" s="1675"/>
      <c r="S42" s="1675"/>
      <c r="T42" s="246"/>
    </row>
    <row r="43" spans="1:20" ht="15" customHeight="1">
      <c r="A43" s="1634">
        <v>2019</v>
      </c>
      <c r="B43" s="1675" t="s">
        <v>1586</v>
      </c>
      <c r="C43" s="681">
        <v>0</v>
      </c>
      <c r="D43" s="811">
        <v>0</v>
      </c>
      <c r="E43" s="1064" t="s">
        <v>1587</v>
      </c>
      <c r="F43" s="1062">
        <v>0</v>
      </c>
      <c r="G43" s="1675"/>
      <c r="H43" s="523"/>
      <c r="I43" s="1675"/>
      <c r="J43" s="1675"/>
      <c r="K43" s="1675"/>
      <c r="L43" s="1675"/>
      <c r="M43" s="1675"/>
      <c r="N43" s="1675"/>
      <c r="O43" s="1675"/>
      <c r="P43" s="1675"/>
      <c r="Q43" s="1675"/>
      <c r="R43" s="1675"/>
      <c r="S43" s="1675"/>
      <c r="T43" s="246"/>
    </row>
    <row r="44" spans="1:20" ht="15" customHeight="1">
      <c r="A44" s="1634">
        <v>2020</v>
      </c>
      <c r="B44" s="1675" t="s">
        <v>1584</v>
      </c>
      <c r="C44" s="681">
        <v>0</v>
      </c>
      <c r="D44" s="811">
        <v>31</v>
      </c>
      <c r="E44" s="1064" t="s">
        <v>1588</v>
      </c>
      <c r="F44" s="1062">
        <v>0</v>
      </c>
      <c r="G44" s="1675"/>
      <c r="H44" s="523"/>
      <c r="I44" s="1675"/>
      <c r="J44" s="1675"/>
      <c r="K44" s="1675"/>
      <c r="L44" s="1675"/>
      <c r="M44" s="1675"/>
      <c r="N44" s="1675"/>
      <c r="O44" s="1675"/>
      <c r="P44" s="1675"/>
      <c r="Q44" s="1675"/>
      <c r="R44" s="1675"/>
      <c r="S44" s="1675"/>
      <c r="T44" s="246"/>
    </row>
    <row r="45" spans="1:20" ht="15" customHeight="1">
      <c r="A45" s="1634">
        <v>2021</v>
      </c>
      <c r="B45" s="1675" t="s">
        <v>1576</v>
      </c>
      <c r="C45" s="681">
        <v>0</v>
      </c>
      <c r="D45" s="811">
        <v>0</v>
      </c>
      <c r="E45" s="812" t="s">
        <v>1589</v>
      </c>
      <c r="F45" s="1062">
        <v>0</v>
      </c>
      <c r="G45" s="1675"/>
      <c r="H45" s="523"/>
      <c r="I45" s="1675"/>
      <c r="J45" s="1675"/>
      <c r="K45" s="1675"/>
      <c r="L45" s="1675"/>
      <c r="M45" s="1675"/>
      <c r="N45" s="1675"/>
      <c r="O45" s="1675"/>
      <c r="P45" s="1675"/>
      <c r="Q45" s="1675"/>
      <c r="R45" s="1675"/>
      <c r="S45" s="1675"/>
      <c r="T45" s="246"/>
    </row>
    <row r="46" spans="1:20" ht="15" customHeight="1">
      <c r="A46" s="1700">
        <v>2022</v>
      </c>
      <c r="B46" s="414" t="s">
        <v>1590</v>
      </c>
      <c r="C46" s="1065">
        <v>0</v>
      </c>
      <c r="D46" s="1066">
        <v>1</v>
      </c>
      <c r="E46" s="1067" t="s">
        <v>1591</v>
      </c>
      <c r="F46" s="1068">
        <v>0</v>
      </c>
      <c r="G46" s="1675"/>
      <c r="H46" s="523"/>
      <c r="I46" s="1675"/>
      <c r="J46" s="1675"/>
      <c r="K46" s="1675"/>
      <c r="L46" s="1675"/>
      <c r="M46" s="1675"/>
      <c r="N46" s="1675"/>
      <c r="O46" s="1675"/>
      <c r="P46" s="1675"/>
      <c r="Q46" s="1675"/>
      <c r="R46" s="1675"/>
      <c r="S46" s="1675"/>
      <c r="T46" s="246"/>
    </row>
    <row r="47" spans="1:20" ht="15" customHeight="1">
      <c r="A47" s="1700">
        <v>2023</v>
      </c>
      <c r="B47" s="414" t="s">
        <v>1590</v>
      </c>
      <c r="C47" s="1065">
        <v>0</v>
      </c>
      <c r="D47" s="1066">
        <v>0</v>
      </c>
      <c r="E47" s="1067" t="s">
        <v>1592</v>
      </c>
      <c r="F47" s="1068">
        <v>0</v>
      </c>
      <c r="G47" s="1675"/>
      <c r="H47" s="523"/>
      <c r="I47" s="1675"/>
      <c r="J47" s="1675"/>
      <c r="K47" s="1675"/>
      <c r="L47" s="1675"/>
      <c r="M47" s="1675"/>
      <c r="N47" s="1675"/>
      <c r="O47" s="1675"/>
      <c r="P47" s="1675"/>
      <c r="Q47" s="1675"/>
      <c r="R47" s="1675"/>
      <c r="S47" s="1675"/>
      <c r="T47" s="246"/>
    </row>
    <row r="48" spans="1:20" ht="18.75">
      <c r="A48" s="758" t="s">
        <v>1593</v>
      </c>
      <c r="B48" s="441"/>
      <c r="C48" s="441"/>
      <c r="D48" s="441"/>
      <c r="E48" s="441"/>
      <c r="F48" s="441"/>
      <c r="G48" s="1675"/>
      <c r="H48" s="1675"/>
      <c r="I48" s="1675"/>
      <c r="J48" s="1675"/>
      <c r="K48" s="1675"/>
      <c r="L48" s="1675"/>
      <c r="M48" s="1675"/>
      <c r="N48" s="1675"/>
      <c r="O48" s="1675"/>
      <c r="P48" s="1675"/>
      <c r="Q48" s="1675"/>
      <c r="R48" s="1675"/>
      <c r="S48" s="1675"/>
      <c r="T48" s="246"/>
    </row>
    <row r="49" spans="1:20" s="75" customFormat="1" ht="48" customHeight="1">
      <c r="A49" s="2032" t="s">
        <v>1594</v>
      </c>
      <c r="B49" s="2032"/>
      <c r="C49" s="2032"/>
      <c r="D49" s="2032"/>
      <c r="E49" s="2032"/>
      <c r="F49" s="2032"/>
      <c r="G49" s="1645"/>
      <c r="H49" s="1645"/>
      <c r="I49" s="1645"/>
      <c r="J49" s="1645"/>
      <c r="K49" s="1645"/>
      <c r="L49" s="1645"/>
      <c r="M49" s="1645"/>
      <c r="N49" s="1645"/>
      <c r="O49" s="1645"/>
      <c r="P49" s="1645"/>
      <c r="Q49" s="1645"/>
      <c r="R49" s="1645"/>
      <c r="S49" s="1645"/>
      <c r="T49" s="292"/>
    </row>
    <row r="50" spans="1:20" ht="18.75">
      <c r="A50" s="758" t="s">
        <v>1595</v>
      </c>
      <c r="B50" s="441"/>
      <c r="C50" s="441"/>
      <c r="D50" s="441"/>
      <c r="E50" s="441"/>
      <c r="F50" s="441"/>
      <c r="G50" s="1675"/>
      <c r="H50" s="1675"/>
      <c r="I50" s="1675"/>
      <c r="J50" s="1675"/>
      <c r="K50" s="1675"/>
      <c r="L50" s="1675"/>
      <c r="M50" s="1675"/>
      <c r="N50" s="1675"/>
      <c r="O50" s="1675"/>
      <c r="P50" s="1675"/>
      <c r="Q50" s="1675"/>
      <c r="R50" s="1675"/>
      <c r="S50" s="1675"/>
      <c r="T50" s="246"/>
    </row>
    <row r="51" spans="1:20" ht="18.75">
      <c r="A51" s="758" t="s">
        <v>1596</v>
      </c>
      <c r="B51" s="441"/>
      <c r="C51" s="441"/>
      <c r="D51" s="441"/>
      <c r="E51" s="441"/>
      <c r="F51" s="441"/>
      <c r="G51" s="1675"/>
      <c r="H51" s="1675"/>
      <c r="I51" s="1675"/>
      <c r="J51" s="1675"/>
      <c r="K51" s="1675"/>
      <c r="L51" s="1675"/>
      <c r="M51" s="1675"/>
      <c r="N51" s="1675"/>
      <c r="O51" s="1675"/>
      <c r="P51" s="1675"/>
      <c r="Q51" s="1675"/>
      <c r="R51" s="1675"/>
      <c r="S51" s="1675"/>
      <c r="T51" s="1675"/>
    </row>
    <row r="52" spans="1:20" ht="18.75">
      <c r="A52" s="758" t="s">
        <v>1597</v>
      </c>
      <c r="B52" s="441"/>
      <c r="C52" s="441"/>
      <c r="D52" s="441"/>
      <c r="E52" s="441"/>
      <c r="F52" s="441"/>
      <c r="G52" s="1675"/>
      <c r="H52" s="1675"/>
      <c r="I52" s="1675"/>
      <c r="J52" s="1675"/>
      <c r="K52" s="1675"/>
      <c r="L52" s="1675"/>
      <c r="M52" s="1675"/>
      <c r="N52" s="1675"/>
      <c r="O52" s="1675"/>
      <c r="P52" s="1675"/>
      <c r="Q52" s="1675"/>
      <c r="R52" s="1675"/>
      <c r="S52" s="1675"/>
      <c r="T52" s="1675"/>
    </row>
    <row r="53" spans="1:20" ht="18.75">
      <c r="A53" s="758" t="s">
        <v>1598</v>
      </c>
      <c r="B53" s="441"/>
      <c r="C53" s="441"/>
      <c r="D53" s="441"/>
      <c r="E53" s="441"/>
      <c r="F53" s="441"/>
      <c r="G53" s="1675"/>
      <c r="H53" s="1675"/>
      <c r="I53" s="1675"/>
      <c r="J53" s="1675"/>
      <c r="K53" s="1675"/>
      <c r="L53" s="1675"/>
      <c r="M53" s="1675"/>
      <c r="N53" s="1675"/>
      <c r="O53" s="1675"/>
      <c r="P53" s="1675"/>
      <c r="Q53" s="1675"/>
      <c r="R53" s="1675"/>
      <c r="S53" s="1675"/>
      <c r="T53" s="1675"/>
    </row>
    <row r="54" spans="1:20" ht="18.75">
      <c r="A54" s="758" t="s">
        <v>1599</v>
      </c>
      <c r="B54" s="441"/>
      <c r="C54" s="441"/>
      <c r="D54" s="441"/>
      <c r="E54" s="441"/>
      <c r="F54" s="441"/>
      <c r="G54" s="1675"/>
      <c r="H54" s="1675"/>
      <c r="I54" s="1675"/>
      <c r="J54" s="1675"/>
      <c r="K54" s="1675"/>
      <c r="L54" s="1675"/>
      <c r="M54" s="1675"/>
      <c r="N54" s="1675"/>
      <c r="O54" s="1675"/>
      <c r="P54" s="1675"/>
      <c r="Q54" s="1675"/>
      <c r="R54" s="1675"/>
      <c r="S54" s="1675"/>
      <c r="T54" s="1675"/>
    </row>
    <row r="55" spans="1:20" ht="36" customHeight="1">
      <c r="A55" s="2032" t="s">
        <v>1600</v>
      </c>
      <c r="B55" s="2032"/>
      <c r="C55" s="2032"/>
      <c r="D55" s="2032"/>
      <c r="E55" s="2032"/>
      <c r="F55" s="2032"/>
      <c r="G55" s="1675"/>
      <c r="H55" s="1675"/>
      <c r="I55" s="1675"/>
      <c r="J55" s="1675"/>
      <c r="K55" s="1675"/>
      <c r="L55" s="1675"/>
      <c r="M55" s="1675"/>
      <c r="N55" s="1675"/>
      <c r="O55" s="1675"/>
      <c r="P55" s="1675"/>
      <c r="Q55" s="1675"/>
      <c r="R55" s="1675"/>
      <c r="S55" s="1675"/>
      <c r="T55" s="1675"/>
    </row>
    <row r="56" spans="1:20" ht="39.75" customHeight="1">
      <c r="A56" s="2032" t="s">
        <v>1601</v>
      </c>
      <c r="B56" s="2032"/>
      <c r="C56" s="2032"/>
      <c r="D56" s="2032"/>
      <c r="E56" s="2032"/>
      <c r="F56" s="2032"/>
      <c r="G56" s="1675"/>
      <c r="H56" s="1675"/>
      <c r="I56" s="1675"/>
      <c r="J56" s="1675"/>
      <c r="K56" s="1675"/>
      <c r="L56" s="1675"/>
      <c r="M56" s="1675"/>
      <c r="N56" s="1675"/>
      <c r="O56" s="1675"/>
      <c r="P56" s="1675"/>
      <c r="Q56" s="1675"/>
      <c r="R56" s="1675"/>
      <c r="S56" s="1675"/>
      <c r="T56" s="1675"/>
    </row>
    <row r="57" spans="1:20" ht="52.35" customHeight="1">
      <c r="A57" s="1757" t="s">
        <v>1602</v>
      </c>
      <c r="B57" s="1757"/>
      <c r="C57" s="1757"/>
      <c r="D57" s="1757"/>
      <c r="E57" s="1757"/>
      <c r="F57" s="1757"/>
      <c r="G57" s="1675"/>
      <c r="H57" s="1675"/>
      <c r="I57" s="1675"/>
      <c r="J57" s="1675"/>
      <c r="K57" s="1675"/>
      <c r="L57" s="1675"/>
      <c r="M57" s="1675"/>
      <c r="N57" s="1675"/>
      <c r="O57" s="1675"/>
      <c r="P57" s="1675"/>
      <c r="Q57" s="1675"/>
      <c r="R57" s="1675"/>
      <c r="S57" s="1675"/>
      <c r="T57" s="1675"/>
    </row>
    <row r="58" spans="1:20" ht="18.75">
      <c r="A58" s="658" t="s">
        <v>1603</v>
      </c>
      <c r="B58" s="441"/>
      <c r="C58" s="441"/>
      <c r="D58" s="441"/>
      <c r="E58" s="441"/>
      <c r="F58" s="441"/>
      <c r="G58" s="1675"/>
      <c r="H58" s="1675"/>
      <c r="I58" s="1675"/>
      <c r="J58" s="1675"/>
      <c r="K58" s="1675"/>
      <c r="L58" s="755"/>
      <c r="M58" s="748"/>
      <c r="N58" s="757">
        <v>2020</v>
      </c>
      <c r="O58" s="747"/>
      <c r="P58" s="746"/>
      <c r="Q58" s="756"/>
      <c r="R58" s="1675"/>
      <c r="S58" s="1675"/>
      <c r="T58" s="1675"/>
    </row>
    <row r="59" spans="1:20" ht="24">
      <c r="A59" s="658" t="s">
        <v>1604</v>
      </c>
      <c r="B59" s="441"/>
      <c r="C59" s="441"/>
      <c r="D59" s="441"/>
      <c r="E59" s="441"/>
      <c r="F59" s="441"/>
      <c r="G59" s="1675"/>
      <c r="H59" s="1675"/>
      <c r="I59" s="1675"/>
      <c r="J59" s="1675"/>
      <c r="K59" s="1675"/>
      <c r="L59" s="755" t="s">
        <v>188</v>
      </c>
      <c r="M59" s="748" t="s">
        <v>1605</v>
      </c>
      <c r="N59" s="747" t="s">
        <v>1606</v>
      </c>
      <c r="O59" s="747"/>
      <c r="P59" s="747" t="s">
        <v>1607</v>
      </c>
      <c r="Q59" s="754"/>
      <c r="R59" s="1675"/>
      <c r="S59" s="1675"/>
      <c r="T59" s="1675"/>
    </row>
    <row r="60" spans="1:20" ht="24">
      <c r="A60" s="474" t="s">
        <v>1608</v>
      </c>
      <c r="B60" s="441"/>
      <c r="C60" s="441"/>
      <c r="D60" s="441"/>
      <c r="E60" s="441"/>
      <c r="F60" s="441"/>
      <c r="G60" s="1675"/>
      <c r="H60" s="1675"/>
      <c r="I60" s="1675"/>
      <c r="J60" s="1675"/>
      <c r="K60" s="1675"/>
      <c r="L60" s="755" t="s">
        <v>1609</v>
      </c>
      <c r="M60" s="748" t="s">
        <v>1610</v>
      </c>
      <c r="N60" s="747" t="s">
        <v>1611</v>
      </c>
      <c r="O60" s="747">
        <v>7.5</v>
      </c>
      <c r="P60" s="747" t="s">
        <v>1276</v>
      </c>
      <c r="Q60" s="754"/>
      <c r="R60" s="1675"/>
      <c r="S60" s="1675"/>
      <c r="T60" s="1675"/>
    </row>
    <row r="61" spans="1:20" ht="56.1" customHeight="1">
      <c r="A61" s="1757" t="s">
        <v>1612</v>
      </c>
      <c r="B61" s="1757"/>
      <c r="C61" s="1757"/>
      <c r="D61" s="1757"/>
      <c r="E61" s="1757"/>
      <c r="F61" s="1757"/>
      <c r="G61" s="1675"/>
      <c r="H61" s="1675"/>
      <c r="I61" s="1675"/>
      <c r="J61" s="1675"/>
      <c r="K61" s="1675"/>
      <c r="L61" s="755" t="s">
        <v>1609</v>
      </c>
      <c r="M61" s="748" t="s">
        <v>1613</v>
      </c>
      <c r="N61" s="747" t="s">
        <v>1614</v>
      </c>
      <c r="O61" s="747">
        <v>15.5</v>
      </c>
      <c r="P61" s="747" t="s">
        <v>1276</v>
      </c>
      <c r="Q61" s="754"/>
      <c r="R61" s="1675"/>
      <c r="S61" s="1675"/>
      <c r="T61" s="1675"/>
    </row>
    <row r="62" spans="1:20" ht="40.5" customHeight="1">
      <c r="A62" s="1757" t="s">
        <v>1615</v>
      </c>
      <c r="B62" s="1757"/>
      <c r="C62" s="1757"/>
      <c r="D62" s="1757"/>
      <c r="E62" s="1757"/>
      <c r="F62" s="1757"/>
      <c r="G62" s="1675"/>
      <c r="H62" s="1675"/>
      <c r="I62" s="1675"/>
      <c r="J62" s="1675"/>
      <c r="K62" s="1675"/>
      <c r="L62" s="755" t="s">
        <v>1609</v>
      </c>
      <c r="M62" s="748" t="s">
        <v>1616</v>
      </c>
      <c r="N62" s="747" t="s">
        <v>1617</v>
      </c>
      <c r="O62" s="747">
        <v>12.5</v>
      </c>
      <c r="P62" s="747" t="s">
        <v>1276</v>
      </c>
      <c r="Q62" s="754"/>
      <c r="R62" s="1675"/>
      <c r="S62" s="1675"/>
      <c r="T62" s="1675"/>
    </row>
    <row r="63" spans="1:20" ht="40.5" customHeight="1" thickBot="1">
      <c r="A63" s="1757" t="s">
        <v>1618</v>
      </c>
      <c r="B63" s="1757"/>
      <c r="C63" s="1757"/>
      <c r="D63" s="1757"/>
      <c r="E63" s="1757"/>
      <c r="F63" s="1757"/>
      <c r="G63" s="1675"/>
      <c r="H63" s="1675"/>
      <c r="I63" s="1675"/>
      <c r="J63" s="1675"/>
      <c r="K63" s="1675"/>
      <c r="L63" s="753"/>
      <c r="M63" s="752"/>
      <c r="N63" s="751"/>
      <c r="O63" s="751"/>
      <c r="P63" s="750" t="s">
        <v>36</v>
      </c>
      <c r="Q63" s="749"/>
      <c r="R63" s="1675"/>
      <c r="S63" s="1675"/>
      <c r="T63" s="1675"/>
    </row>
    <row r="64" spans="1:20" ht="58.5" customHeight="1">
      <c r="A64" s="1757" t="s">
        <v>1619</v>
      </c>
      <c r="B64" s="1757"/>
      <c r="C64" s="1757"/>
      <c r="D64" s="1757"/>
      <c r="E64" s="1757"/>
      <c r="F64" s="1757"/>
      <c r="G64" s="1675"/>
      <c r="H64" s="1675"/>
      <c r="I64" s="1675"/>
      <c r="J64" s="1675"/>
      <c r="K64" s="1675"/>
      <c r="L64" s="747"/>
      <c r="M64" s="748"/>
      <c r="N64" s="747"/>
      <c r="O64" s="747"/>
      <c r="P64" s="746"/>
      <c r="Q64" s="745"/>
      <c r="R64" s="1675"/>
      <c r="S64" s="1675"/>
      <c r="T64" s="1675"/>
    </row>
    <row r="65" spans="1:17" ht="47.25" customHeight="1">
      <c r="A65" s="1757" t="s">
        <v>1620</v>
      </c>
      <c r="B65" s="1757"/>
      <c r="C65" s="1757"/>
      <c r="D65" s="1757"/>
      <c r="E65" s="1757"/>
      <c r="F65" s="1757"/>
      <c r="G65" s="1675"/>
      <c r="H65" s="1675"/>
      <c r="I65" s="1675"/>
      <c r="J65" s="1675"/>
      <c r="K65" s="1675"/>
      <c r="L65" s="747"/>
      <c r="M65" s="748"/>
      <c r="N65" s="747"/>
      <c r="O65" s="747"/>
      <c r="P65" s="746"/>
      <c r="Q65" s="745"/>
    </row>
    <row r="66" spans="1:17" ht="45" customHeight="1">
      <c r="A66" s="1757" t="s">
        <v>1621</v>
      </c>
      <c r="B66" s="1757"/>
      <c r="C66" s="1757"/>
      <c r="D66" s="1757"/>
      <c r="E66" s="1757"/>
      <c r="F66" s="1757"/>
      <c r="G66" s="1675"/>
      <c r="H66" s="1675"/>
      <c r="I66" s="1675"/>
      <c r="J66" s="1675"/>
      <c r="K66" s="1675"/>
      <c r="L66" s="747"/>
      <c r="M66" s="748"/>
      <c r="N66" s="747"/>
      <c r="O66" s="747"/>
      <c r="P66" s="746"/>
      <c r="Q66" s="745"/>
    </row>
  </sheetData>
  <mergeCells count="14">
    <mergeCell ref="A55:F55"/>
    <mergeCell ref="A56:F56"/>
    <mergeCell ref="A57:F57"/>
    <mergeCell ref="A61:F61"/>
    <mergeCell ref="C4:F4"/>
    <mergeCell ref="A6:F6"/>
    <mergeCell ref="A9:F9"/>
    <mergeCell ref="A12:F12"/>
    <mergeCell ref="A49:F49"/>
    <mergeCell ref="A66:F66"/>
    <mergeCell ref="A65:F65"/>
    <mergeCell ref="A62:F62"/>
    <mergeCell ref="A63:F63"/>
    <mergeCell ref="A64:F64"/>
  </mergeCells>
  <pageMargins left="0.7" right="0.7" top="0.75" bottom="0.75" header="0.3" footer="0.3"/>
  <pageSetup orientation="portrait" r:id="rId1"/>
  <ignoredErrors>
    <ignoredError sqref="E16 E36:E45" numberStoredAsText="1"/>
    <ignoredError sqref="M59:M60" twoDigitTextYear="1"/>
  </ignoredError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4722A-9229-4EAB-A071-01FB47D14707}">
  <sheetPr>
    <tabColor rgb="FFFBEF97"/>
  </sheetPr>
  <dimension ref="A1:F24"/>
  <sheetViews>
    <sheetView showGridLines="0" workbookViewId="0">
      <selection activeCell="J33" sqref="J33"/>
    </sheetView>
  </sheetViews>
  <sheetFormatPr defaultColWidth="9" defaultRowHeight="12.75"/>
  <cols>
    <col min="1" max="1" width="9" style="74"/>
    <col min="2" max="2" width="18" style="74" customWidth="1"/>
    <col min="3" max="3" width="23.83203125" style="74" customWidth="1"/>
    <col min="4" max="4" width="27" style="74" customWidth="1"/>
    <col min="5" max="5" width="20" style="74" customWidth="1"/>
    <col min="6" max="6" width="11.6640625" style="74" customWidth="1"/>
    <col min="7" max="7" width="11" style="74" customWidth="1"/>
    <col min="8" max="16384" width="9" style="74"/>
  </cols>
  <sheetData>
    <row r="1" spans="1:6" ht="15.75">
      <c r="A1" s="84" t="s">
        <v>141</v>
      </c>
      <c r="B1" s="1675"/>
      <c r="C1" s="1675"/>
      <c r="D1" s="1675"/>
      <c r="E1" s="1675"/>
      <c r="F1" s="1675"/>
    </row>
    <row r="2" spans="1:6" ht="18.75">
      <c r="A2" s="84" t="s">
        <v>1622</v>
      </c>
      <c r="B2" s="1675"/>
      <c r="C2" s="1675"/>
      <c r="D2" s="1675"/>
      <c r="E2" s="1675"/>
      <c r="F2" s="1675"/>
    </row>
    <row r="3" spans="1:6" ht="15.75">
      <c r="A3" s="84"/>
      <c r="B3" s="1675"/>
      <c r="C3" s="1675"/>
      <c r="D3" s="1675"/>
      <c r="E3" s="1675"/>
      <c r="F3" s="1675"/>
    </row>
    <row r="4" spans="1:6" ht="14.25" customHeight="1">
      <c r="A4" s="2040" t="s">
        <v>1623</v>
      </c>
      <c r="B4" s="2041"/>
      <c r="C4" s="2041"/>
      <c r="D4" s="2041"/>
      <c r="E4" s="2041"/>
      <c r="F4" s="2042"/>
    </row>
    <row r="5" spans="1:6" ht="13.5" customHeight="1" thickBot="1">
      <c r="A5" s="1058"/>
      <c r="B5" s="1635"/>
      <c r="C5" s="2043" t="s">
        <v>1624</v>
      </c>
      <c r="D5" s="2043"/>
      <c r="E5" s="2043"/>
      <c r="F5" s="2044"/>
    </row>
    <row r="6" spans="1:6">
      <c r="A6" s="1700" t="s">
        <v>28</v>
      </c>
      <c r="B6" s="1701" t="s">
        <v>924</v>
      </c>
      <c r="C6" s="1701" t="s">
        <v>809</v>
      </c>
      <c r="D6" s="1701" t="s">
        <v>1542</v>
      </c>
      <c r="E6" s="1701" t="s">
        <v>927</v>
      </c>
      <c r="F6" s="1702" t="s">
        <v>1543</v>
      </c>
    </row>
    <row r="7" spans="1:6">
      <c r="A7" s="1634">
        <v>2008</v>
      </c>
      <c r="B7" s="1625" t="s">
        <v>1625</v>
      </c>
      <c r="C7" s="212">
        <v>21391</v>
      </c>
      <c r="D7" s="607">
        <f>[3]T35!B5+[3]T35!B25</f>
        <v>1152</v>
      </c>
      <c r="E7" s="606">
        <v>0</v>
      </c>
      <c r="F7" s="1060">
        <v>0</v>
      </c>
    </row>
    <row r="8" spans="1:6">
      <c r="A8" s="853">
        <v>2009</v>
      </c>
      <c r="B8" s="1625" t="s">
        <v>1625</v>
      </c>
      <c r="C8" s="212">
        <v>13101</v>
      </c>
      <c r="D8" s="607">
        <f>[3]T35!B6+[3]T35!B26</f>
        <v>716</v>
      </c>
      <c r="E8" s="606">
        <v>11</v>
      </c>
      <c r="F8" s="1072">
        <v>1</v>
      </c>
    </row>
    <row r="9" spans="1:6">
      <c r="A9" s="853">
        <v>2010</v>
      </c>
      <c r="B9" s="1625" t="s">
        <v>1625</v>
      </c>
      <c r="C9" s="212">
        <v>42954</v>
      </c>
      <c r="D9" s="607">
        <f>[3]T35!B7+[3]T35!B27</f>
        <v>1518</v>
      </c>
      <c r="E9" s="606">
        <v>0</v>
      </c>
      <c r="F9" s="1072">
        <v>35</v>
      </c>
    </row>
    <row r="10" spans="1:6">
      <c r="A10" s="853">
        <v>2011</v>
      </c>
      <c r="B10" s="1625" t="s">
        <v>1625</v>
      </c>
      <c r="C10" s="212">
        <v>15526</v>
      </c>
      <c r="D10" s="607">
        <f>[3]T35!B8+[3]T35!B28</f>
        <v>662</v>
      </c>
      <c r="E10" s="606">
        <v>0</v>
      </c>
      <c r="F10" s="1072">
        <v>0</v>
      </c>
    </row>
    <row r="11" spans="1:6">
      <c r="A11" s="853">
        <v>2012</v>
      </c>
      <c r="B11" s="1625" t="s">
        <v>1625</v>
      </c>
      <c r="C11" s="212">
        <v>17692</v>
      </c>
      <c r="D11" s="607">
        <f>[3]T35!B9+[3]T35!B29</f>
        <v>964</v>
      </c>
      <c r="E11" s="606">
        <v>396</v>
      </c>
      <c r="F11" s="1072">
        <v>7</v>
      </c>
    </row>
    <row r="12" spans="1:6">
      <c r="A12" s="853">
        <v>2013</v>
      </c>
      <c r="B12" s="1625" t="s">
        <v>1625</v>
      </c>
      <c r="C12" s="212">
        <v>9742</v>
      </c>
      <c r="D12" s="607">
        <f>[3]T35!B10+[3]T35!B30</f>
        <v>538</v>
      </c>
      <c r="E12" s="606">
        <v>352</v>
      </c>
      <c r="F12" s="1072">
        <v>0</v>
      </c>
    </row>
    <row r="13" spans="1:6">
      <c r="A13" s="853">
        <v>2014</v>
      </c>
      <c r="B13" s="1625" t="s">
        <v>1625</v>
      </c>
      <c r="C13" s="212">
        <v>24514</v>
      </c>
      <c r="D13" s="607">
        <f>[3]T35!B11+[3]T35!B31</f>
        <v>1150</v>
      </c>
      <c r="E13" s="606">
        <v>451</v>
      </c>
      <c r="F13" s="1072">
        <v>16</v>
      </c>
    </row>
    <row r="14" spans="1:6">
      <c r="A14" s="853">
        <v>2015</v>
      </c>
      <c r="B14" s="1625" t="s">
        <v>1625</v>
      </c>
      <c r="C14" s="212">
        <v>31101</v>
      </c>
      <c r="D14" s="607">
        <f>[3]T35!B12+[3]T35!B32</f>
        <v>428</v>
      </c>
      <c r="E14" s="606">
        <v>555</v>
      </c>
      <c r="F14" s="1072">
        <v>9</v>
      </c>
    </row>
    <row r="15" spans="1:6">
      <c r="A15" s="853">
        <v>2016</v>
      </c>
      <c r="B15" s="1625" t="s">
        <v>1625</v>
      </c>
      <c r="C15" s="212">
        <v>16462</v>
      </c>
      <c r="D15" s="607">
        <f>[3]T35!B13+[3]T35!B33</f>
        <v>1032</v>
      </c>
      <c r="E15" s="606">
        <v>165</v>
      </c>
      <c r="F15" s="1072">
        <v>4</v>
      </c>
    </row>
    <row r="16" spans="1:6">
      <c r="A16" s="853">
        <v>2017</v>
      </c>
      <c r="B16" s="1625" t="s">
        <v>1625</v>
      </c>
      <c r="C16" s="212">
        <v>8142</v>
      </c>
      <c r="D16" s="607">
        <f>[3]T35!B14+[3]T35!B34</f>
        <v>690</v>
      </c>
      <c r="E16" s="606">
        <v>0</v>
      </c>
      <c r="F16" s="1072">
        <v>0</v>
      </c>
    </row>
    <row r="17" spans="1:6">
      <c r="A17" s="853">
        <v>2018</v>
      </c>
      <c r="B17" s="1625" t="s">
        <v>1625</v>
      </c>
      <c r="C17" s="212">
        <v>10927</v>
      </c>
      <c r="D17" s="607">
        <f>[3]T35!B15+[3]T35!B35</f>
        <v>657</v>
      </c>
      <c r="E17" s="606">
        <v>0</v>
      </c>
      <c r="F17" s="1072">
        <v>0</v>
      </c>
    </row>
    <row r="18" spans="1:6">
      <c r="A18" s="853">
        <v>2019</v>
      </c>
      <c r="B18" s="1625" t="s">
        <v>1625</v>
      </c>
      <c r="C18" s="212">
        <v>4717</v>
      </c>
      <c r="D18" s="607">
        <f>[3]T35!B16+[3]T35!B36</f>
        <v>206</v>
      </c>
      <c r="E18" s="606">
        <v>0</v>
      </c>
      <c r="F18" s="1072">
        <v>0</v>
      </c>
    </row>
    <row r="19" spans="1:6">
      <c r="A19" s="853">
        <v>2020</v>
      </c>
      <c r="B19" s="494" t="s">
        <v>1625</v>
      </c>
      <c r="C19" s="212">
        <v>4307</v>
      </c>
      <c r="D19" s="607">
        <v>66</v>
      </c>
      <c r="E19" s="606">
        <v>305</v>
      </c>
      <c r="F19" s="1072">
        <v>0</v>
      </c>
    </row>
    <row r="20" spans="1:6">
      <c r="A20" s="853">
        <v>2021</v>
      </c>
      <c r="B20" s="1625" t="s">
        <v>1625</v>
      </c>
      <c r="C20" s="212">
        <v>4446</v>
      </c>
      <c r="D20" s="607">
        <v>85</v>
      </c>
      <c r="E20" s="606">
        <v>10</v>
      </c>
      <c r="F20" s="1072">
        <v>0</v>
      </c>
    </row>
    <row r="21" spans="1:6">
      <c r="A21" s="853">
        <v>2022</v>
      </c>
      <c r="B21" s="1625" t="s">
        <v>1625</v>
      </c>
      <c r="C21" s="212">
        <v>16307</v>
      </c>
      <c r="D21" s="607">
        <v>120</v>
      </c>
      <c r="E21" s="606">
        <v>190</v>
      </c>
      <c r="F21" s="1072">
        <v>0</v>
      </c>
    </row>
    <row r="22" spans="1:6">
      <c r="A22" s="853">
        <v>2023</v>
      </c>
      <c r="B22" s="1625" t="s">
        <v>1626</v>
      </c>
      <c r="C22" s="212">
        <v>12240</v>
      </c>
      <c r="D22" s="607">
        <v>140</v>
      </c>
      <c r="E22" s="606">
        <v>0</v>
      </c>
      <c r="F22" s="1072">
        <v>0</v>
      </c>
    </row>
    <row r="23" spans="1:6">
      <c r="A23" s="855">
        <v>2024</v>
      </c>
      <c r="B23" s="1701" t="s">
        <v>1625</v>
      </c>
      <c r="C23" s="1214">
        <v>6758</v>
      </c>
      <c r="D23" s="1070">
        <v>44</v>
      </c>
      <c r="E23" s="1071">
        <v>70</v>
      </c>
      <c r="F23" s="1215">
        <v>0</v>
      </c>
    </row>
    <row r="24" spans="1:6" ht="18" customHeight="1">
      <c r="A24" s="609" t="s">
        <v>1627</v>
      </c>
      <c r="B24" s="610"/>
      <c r="C24" s="610"/>
      <c r="D24" s="610"/>
      <c r="E24" s="610"/>
      <c r="F24" s="610"/>
    </row>
  </sheetData>
  <mergeCells count="2">
    <mergeCell ref="A4:F4"/>
    <mergeCell ref="C5:F5"/>
  </mergeCell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D6D2F-2D9D-41FE-BAE6-9A4844013E39}">
  <sheetPr>
    <tabColor rgb="FFFBEF97"/>
  </sheetPr>
  <dimension ref="A1:J25"/>
  <sheetViews>
    <sheetView showGridLines="0" workbookViewId="0">
      <selection activeCell="J33" sqref="J33"/>
    </sheetView>
  </sheetViews>
  <sheetFormatPr defaultColWidth="9" defaultRowHeight="12.75"/>
  <cols>
    <col min="1" max="1" width="9" style="74"/>
    <col min="2" max="2" width="17.6640625" style="74" customWidth="1"/>
    <col min="3" max="3" width="21.33203125" style="74" customWidth="1"/>
    <col min="4" max="4" width="21.1640625" style="74" customWidth="1"/>
    <col min="5" max="5" width="20.33203125" style="74" customWidth="1"/>
    <col min="6" max="6" width="16.6640625" style="74" customWidth="1"/>
    <col min="7" max="16384" width="9" style="74"/>
  </cols>
  <sheetData>
    <row r="1" spans="1:10" ht="15.75">
      <c r="A1" s="611" t="s">
        <v>141</v>
      </c>
      <c r="B1" s="1675"/>
      <c r="C1" s="1675"/>
      <c r="D1" s="1675"/>
      <c r="E1" s="1675"/>
      <c r="F1" s="1675"/>
      <c r="G1" s="1675"/>
      <c r="H1" s="1675"/>
      <c r="I1" s="1744" t="s">
        <v>1628</v>
      </c>
      <c r="J1" s="1744" t="s">
        <v>1629</v>
      </c>
    </row>
    <row r="2" spans="1:10" ht="18.75">
      <c r="A2" s="611" t="s">
        <v>1630</v>
      </c>
      <c r="B2" s="1675"/>
      <c r="C2" s="1675"/>
      <c r="D2" s="1675"/>
      <c r="E2" s="1675"/>
      <c r="F2" s="1675"/>
      <c r="G2" s="1675"/>
      <c r="H2" s="1675"/>
      <c r="I2" s="1744"/>
      <c r="J2" s="1744"/>
    </row>
    <row r="3" spans="1:10" ht="13.5" customHeight="1">
      <c r="A3" s="1675"/>
      <c r="B3" s="1675"/>
      <c r="C3" s="1675"/>
      <c r="D3" s="1675"/>
      <c r="E3" s="1675"/>
      <c r="F3" s="1675"/>
      <c r="G3" s="1675"/>
      <c r="H3" s="1675"/>
      <c r="I3" s="1744"/>
      <c r="J3" s="1744"/>
    </row>
    <row r="4" spans="1:10" ht="14.25" customHeight="1">
      <c r="A4" s="2045" t="s">
        <v>1631</v>
      </c>
      <c r="B4" s="2046"/>
      <c r="C4" s="2046"/>
      <c r="D4" s="2046"/>
      <c r="E4" s="2046"/>
      <c r="F4" s="2047"/>
      <c r="G4" s="1675"/>
      <c r="H4" s="1675"/>
      <c r="I4" s="1744"/>
      <c r="J4" s="1744"/>
    </row>
    <row r="5" spans="1:10" ht="13.5" customHeight="1" thickBot="1">
      <c r="A5" s="1058"/>
      <c r="B5" s="1635"/>
      <c r="C5" s="2043" t="s">
        <v>1624</v>
      </c>
      <c r="D5" s="2043"/>
      <c r="E5" s="2043"/>
      <c r="F5" s="2044"/>
      <c r="G5" s="1675"/>
      <c r="H5" s="1675"/>
      <c r="I5" s="1744"/>
      <c r="J5" s="1744"/>
    </row>
    <row r="6" spans="1:10" ht="21" customHeight="1">
      <c r="A6" s="1700" t="s">
        <v>28</v>
      </c>
      <c r="B6" s="1701" t="s">
        <v>924</v>
      </c>
      <c r="C6" s="1701" t="s">
        <v>809</v>
      </c>
      <c r="D6" s="1701" t="s">
        <v>1542</v>
      </c>
      <c r="E6" s="1701" t="s">
        <v>927</v>
      </c>
      <c r="F6" s="1702" t="s">
        <v>1543</v>
      </c>
      <c r="G6" s="1675"/>
      <c r="H6" s="1675"/>
      <c r="I6" s="1744"/>
      <c r="J6" s="1744"/>
    </row>
    <row r="7" spans="1:10">
      <c r="A7" s="1301">
        <v>2008</v>
      </c>
      <c r="B7" s="1402" t="s">
        <v>1274</v>
      </c>
      <c r="C7" s="606">
        <v>9029</v>
      </c>
      <c r="D7" s="607">
        <f>[3]T36!H14</f>
        <v>3203</v>
      </c>
      <c r="E7" s="607">
        <v>9017</v>
      </c>
      <c r="F7" s="1073">
        <v>12</v>
      </c>
      <c r="G7" s="1675"/>
      <c r="H7" s="1675"/>
      <c r="I7" s="612">
        <v>9017</v>
      </c>
      <c r="J7" s="475">
        <v>0</v>
      </c>
    </row>
    <row r="8" spans="1:10">
      <c r="A8" s="1302">
        <v>2009</v>
      </c>
      <c r="B8" s="1402" t="s">
        <v>1274</v>
      </c>
      <c r="C8" s="606">
        <v>11650</v>
      </c>
      <c r="D8" s="607">
        <f>[3]T36!H15</f>
        <v>3535</v>
      </c>
      <c r="E8" s="607">
        <v>9731</v>
      </c>
      <c r="F8" s="1073">
        <v>8</v>
      </c>
      <c r="G8" s="1675"/>
      <c r="H8" s="1675"/>
      <c r="I8" s="612">
        <v>9731</v>
      </c>
      <c r="J8" s="475">
        <v>0</v>
      </c>
    </row>
    <row r="9" spans="1:10">
      <c r="A9" s="1302">
        <v>2010</v>
      </c>
      <c r="B9" s="1402" t="s">
        <v>1274</v>
      </c>
      <c r="C9" s="606">
        <v>15799</v>
      </c>
      <c r="D9" s="607">
        <f>[3]T36!H16</f>
        <v>10957</v>
      </c>
      <c r="E9" s="607">
        <v>26125</v>
      </c>
      <c r="F9" s="1073">
        <v>57</v>
      </c>
      <c r="G9" s="1675"/>
      <c r="H9" s="1675"/>
      <c r="I9" s="612">
        <v>26125</v>
      </c>
      <c r="J9" s="475">
        <v>0</v>
      </c>
    </row>
    <row r="10" spans="1:10">
      <c r="A10" s="1302">
        <v>2011</v>
      </c>
      <c r="B10" s="1402" t="s">
        <v>1274</v>
      </c>
      <c r="C10" s="606">
        <v>20645</v>
      </c>
      <c r="D10" s="607">
        <f>[3]T36!H17</f>
        <v>3994</v>
      </c>
      <c r="E10" s="607">
        <v>12853</v>
      </c>
      <c r="F10" s="1073">
        <v>55</v>
      </c>
      <c r="G10" s="1675"/>
      <c r="H10" s="1675"/>
      <c r="I10" s="612">
        <v>12853</v>
      </c>
      <c r="J10" s="475">
        <v>4</v>
      </c>
    </row>
    <row r="11" spans="1:10">
      <c r="A11" s="1302">
        <v>2012</v>
      </c>
      <c r="B11" s="1402" t="s">
        <v>1274</v>
      </c>
      <c r="C11" s="606">
        <v>7824</v>
      </c>
      <c r="D11" s="607">
        <f>[3]T36!H18</f>
        <v>1512</v>
      </c>
      <c r="E11" s="607">
        <v>45352</v>
      </c>
      <c r="F11" s="1073">
        <v>58</v>
      </c>
      <c r="G11" s="1675"/>
      <c r="H11" s="1675"/>
      <c r="I11" s="612">
        <v>45352</v>
      </c>
      <c r="J11" s="475">
        <v>0</v>
      </c>
    </row>
    <row r="12" spans="1:10">
      <c r="A12" s="1302">
        <v>2013</v>
      </c>
      <c r="B12" s="1402" t="s">
        <v>1274</v>
      </c>
      <c r="C12" s="606">
        <v>13397</v>
      </c>
      <c r="D12" s="607">
        <f>[3]T36!H19</f>
        <v>5373</v>
      </c>
      <c r="E12" s="607">
        <v>8046</v>
      </c>
      <c r="F12" s="1073">
        <v>28</v>
      </c>
      <c r="G12" s="1675"/>
      <c r="H12" s="1675"/>
      <c r="I12" s="612">
        <v>8046</v>
      </c>
      <c r="J12" s="475">
        <v>6</v>
      </c>
    </row>
    <row r="13" spans="1:10">
      <c r="A13" s="1302">
        <v>2014</v>
      </c>
      <c r="B13" s="1402" t="s">
        <v>1274</v>
      </c>
      <c r="C13" s="606">
        <v>19389</v>
      </c>
      <c r="D13" s="607">
        <f>[3]T36!H20</f>
        <v>8788</v>
      </c>
      <c r="E13" s="607">
        <v>30702</v>
      </c>
      <c r="F13" s="1073">
        <v>18</v>
      </c>
      <c r="G13" s="1675"/>
      <c r="H13" s="1675"/>
      <c r="I13" s="612">
        <v>30702</v>
      </c>
      <c r="J13" s="475">
        <v>90</v>
      </c>
    </row>
    <row r="14" spans="1:10">
      <c r="A14" s="1302">
        <v>2015</v>
      </c>
      <c r="B14" s="1402" t="s">
        <v>1385</v>
      </c>
      <c r="C14" s="606">
        <v>37763</v>
      </c>
      <c r="D14" s="607">
        <f>[3]T36!H21</f>
        <v>2866</v>
      </c>
      <c r="E14" s="607">
        <v>30095</v>
      </c>
      <c r="F14" s="1073">
        <v>62</v>
      </c>
      <c r="G14" s="1675"/>
      <c r="H14" s="1675"/>
      <c r="I14" s="612">
        <v>30095</v>
      </c>
      <c r="J14" s="475">
        <v>308</v>
      </c>
    </row>
    <row r="15" spans="1:10">
      <c r="A15" s="1302">
        <v>2016</v>
      </c>
      <c r="B15" s="1402" t="s">
        <v>1274</v>
      </c>
      <c r="C15" s="606">
        <v>20515</v>
      </c>
      <c r="D15" s="607">
        <f>[3]T36!H22</f>
        <v>3162</v>
      </c>
      <c r="E15" s="607">
        <v>16683</v>
      </c>
      <c r="F15" s="1073">
        <v>52</v>
      </c>
      <c r="G15" s="1675"/>
      <c r="H15" s="1675"/>
      <c r="I15" s="612">
        <v>16683</v>
      </c>
      <c r="J15" s="475">
        <v>66</v>
      </c>
    </row>
    <row r="16" spans="1:10">
      <c r="A16" s="1302">
        <v>2017</v>
      </c>
      <c r="B16" s="1402" t="s">
        <v>1274</v>
      </c>
      <c r="C16" s="606">
        <v>16328</v>
      </c>
      <c r="D16" s="607">
        <f>[3]T36!H23</f>
        <v>665</v>
      </c>
      <c r="E16" s="607">
        <v>4480</v>
      </c>
      <c r="F16" s="1073">
        <v>26</v>
      </c>
      <c r="G16" s="1675"/>
      <c r="H16" s="1675"/>
      <c r="I16" s="612">
        <v>4480</v>
      </c>
      <c r="J16" s="475">
        <v>0</v>
      </c>
    </row>
    <row r="17" spans="1:10">
      <c r="A17" s="1302">
        <v>2018</v>
      </c>
      <c r="B17" s="1402" t="s">
        <v>1632</v>
      </c>
      <c r="C17" s="606">
        <v>9498</v>
      </c>
      <c r="D17" s="607">
        <f>[3]T36!H24</f>
        <v>314</v>
      </c>
      <c r="E17" s="607">
        <v>7724</v>
      </c>
      <c r="F17" s="1073">
        <v>88</v>
      </c>
      <c r="G17" s="1675"/>
      <c r="H17" s="1675"/>
      <c r="I17" s="612">
        <v>7724</v>
      </c>
      <c r="J17" s="475">
        <v>3</v>
      </c>
    </row>
    <row r="18" spans="1:10">
      <c r="A18" s="1302">
        <v>2019</v>
      </c>
      <c r="B18" s="1402" t="s">
        <v>1274</v>
      </c>
      <c r="C18" s="606">
        <v>5637</v>
      </c>
      <c r="D18" s="607">
        <f>[3]T36!H25</f>
        <v>861</v>
      </c>
      <c r="E18" s="607">
        <v>1118</v>
      </c>
      <c r="F18" s="1073">
        <v>21</v>
      </c>
      <c r="G18" s="1675"/>
      <c r="H18" s="1675"/>
      <c r="I18" s="1675">
        <f>1078+40</f>
        <v>1118</v>
      </c>
      <c r="J18" s="475">
        <v>0</v>
      </c>
    </row>
    <row r="19" spans="1:10">
      <c r="A19" s="1302">
        <v>2020</v>
      </c>
      <c r="B19" s="1402" t="s">
        <v>1274</v>
      </c>
      <c r="C19" s="606">
        <v>8410</v>
      </c>
      <c r="D19" s="607">
        <v>2115</v>
      </c>
      <c r="E19" s="607">
        <v>15258</v>
      </c>
      <c r="F19" s="1073">
        <v>69</v>
      </c>
      <c r="G19" s="1675"/>
      <c r="H19" s="1675"/>
      <c r="I19" s="1675"/>
      <c r="J19" s="475"/>
    </row>
    <row r="20" spans="1:10">
      <c r="A20" s="1302">
        <v>2021</v>
      </c>
      <c r="B20" s="1402" t="s">
        <v>1274</v>
      </c>
      <c r="C20" s="606">
        <v>11245</v>
      </c>
      <c r="D20" s="607">
        <v>1026</v>
      </c>
      <c r="E20" s="607">
        <v>9528</v>
      </c>
      <c r="F20" s="1073">
        <v>41</v>
      </c>
      <c r="G20" s="1675"/>
      <c r="H20" s="1675"/>
      <c r="I20" s="1675"/>
      <c r="J20" s="475"/>
    </row>
    <row r="21" spans="1:10">
      <c r="A21" s="1302">
        <v>2022</v>
      </c>
      <c r="B21" s="1402" t="s">
        <v>1274</v>
      </c>
      <c r="C21" s="606">
        <v>16156</v>
      </c>
      <c r="D21" s="607">
        <v>2193</v>
      </c>
      <c r="E21" s="607">
        <v>28520</v>
      </c>
      <c r="F21" s="1073">
        <v>86</v>
      </c>
      <c r="G21" s="1675"/>
      <c r="H21" s="1675"/>
      <c r="I21" s="1675"/>
      <c r="J21" s="475"/>
    </row>
    <row r="22" spans="1:10">
      <c r="A22" s="1302">
        <v>2023</v>
      </c>
      <c r="B22" s="1402" t="s">
        <v>1274</v>
      </c>
      <c r="C22" s="606">
        <v>11072</v>
      </c>
      <c r="D22" s="607">
        <v>1881</v>
      </c>
      <c r="E22" s="607">
        <v>22061</v>
      </c>
      <c r="F22" s="1073">
        <v>25</v>
      </c>
      <c r="G22" s="1675"/>
      <c r="H22" s="1675"/>
      <c r="I22" s="1675"/>
      <c r="J22" s="475"/>
    </row>
    <row r="23" spans="1:10" ht="13.5" customHeight="1">
      <c r="A23" s="1216">
        <v>2024</v>
      </c>
      <c r="B23" s="1300" t="s">
        <v>1274</v>
      </c>
      <c r="C23" s="1071">
        <v>7053</v>
      </c>
      <c r="D23" s="1070">
        <v>2522</v>
      </c>
      <c r="E23" s="1070">
        <v>37078</v>
      </c>
      <c r="F23" s="1074">
        <v>143</v>
      </c>
      <c r="G23" s="1675"/>
      <c r="H23" s="1675"/>
      <c r="I23" s="1675"/>
      <c r="J23" s="1675"/>
    </row>
    <row r="24" spans="1:10" ht="18.75">
      <c r="A24" s="609" t="s">
        <v>1633</v>
      </c>
      <c r="B24" s="609"/>
      <c r="C24" s="609"/>
      <c r="D24" s="609"/>
      <c r="E24" s="609"/>
      <c r="F24" s="609"/>
      <c r="G24" s="1675"/>
      <c r="H24" s="1675"/>
      <c r="I24" s="1675"/>
      <c r="J24" s="1675"/>
    </row>
    <row r="25" spans="1:10" ht="15.75">
      <c r="A25" s="107"/>
      <c r="B25" s="610"/>
      <c r="C25" s="610"/>
      <c r="D25" s="610"/>
      <c r="E25" s="610"/>
      <c r="F25" s="610"/>
      <c r="G25" s="1675"/>
      <c r="H25" s="1675"/>
      <c r="I25" s="1675"/>
      <c r="J25" s="1675"/>
    </row>
  </sheetData>
  <mergeCells count="4">
    <mergeCell ref="I1:I6"/>
    <mergeCell ref="J1:J6"/>
    <mergeCell ref="A4:F4"/>
    <mergeCell ref="C5:F5"/>
  </mergeCell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B845A-8FDD-4A17-A9B0-603A3E2910F8}">
  <sheetPr>
    <tabColor rgb="FFFBEF97"/>
  </sheetPr>
  <dimension ref="A1:AK35"/>
  <sheetViews>
    <sheetView showGridLines="0" zoomScaleNormal="100" workbookViewId="0">
      <selection activeCell="J33" sqref="J33"/>
    </sheetView>
  </sheetViews>
  <sheetFormatPr defaultColWidth="9" defaultRowHeight="12.75"/>
  <cols>
    <col min="1" max="4" width="13.1640625" style="74" customWidth="1"/>
    <col min="5" max="5" width="15.6640625" style="74" customWidth="1"/>
    <col min="6" max="6" width="15.1640625" style="74" customWidth="1"/>
    <col min="7" max="7" width="13.1640625" style="74" customWidth="1"/>
    <col min="8" max="18" width="9" style="74"/>
    <col min="19" max="19" width="11.6640625" style="74" bestFit="1" customWidth="1"/>
    <col min="20" max="20" width="11.6640625" style="74" customWidth="1"/>
    <col min="21" max="21" width="9" style="74"/>
    <col min="22" max="22" width="13.33203125" style="74" customWidth="1"/>
    <col min="23" max="23" width="11.83203125" style="74" customWidth="1"/>
    <col min="24" max="26" width="9" style="74"/>
    <col min="27" max="29" width="10.83203125" style="74" customWidth="1"/>
    <col min="30" max="30" width="11" style="74" customWidth="1"/>
    <col min="31" max="16384" width="9" style="74"/>
  </cols>
  <sheetData>
    <row r="1" spans="1:37" ht="15.75">
      <c r="A1" s="84" t="s">
        <v>141</v>
      </c>
      <c r="B1" s="1675"/>
      <c r="C1" s="1675"/>
      <c r="D1" s="1675"/>
      <c r="E1" s="1675"/>
      <c r="F1" s="1675"/>
      <c r="G1" s="1675"/>
      <c r="H1" s="1675"/>
      <c r="I1" s="1675"/>
      <c r="J1" s="1675"/>
      <c r="K1" s="1675"/>
      <c r="L1" s="1675"/>
      <c r="M1" s="1675"/>
      <c r="N1" s="613" t="s">
        <v>1634</v>
      </c>
      <c r="O1" s="1675"/>
      <c r="P1" s="1675"/>
      <c r="Q1" s="1675"/>
      <c r="R1" s="1675"/>
      <c r="S1" s="613"/>
      <c r="T1" s="613"/>
      <c r="U1" s="1675"/>
      <c r="V1" s="1675"/>
      <c r="W1" s="1675"/>
      <c r="X1" s="1675"/>
      <c r="Y1" s="1675"/>
      <c r="Z1" s="1675"/>
      <c r="AA1" s="1675"/>
      <c r="AB1" s="1675"/>
      <c r="AC1" s="1675"/>
      <c r="AD1" s="1675"/>
      <c r="AE1" s="1675"/>
      <c r="AF1" s="2054" t="s">
        <v>1635</v>
      </c>
      <c r="AG1" s="2054"/>
      <c r="AH1" s="2054"/>
      <c r="AI1" s="2054"/>
      <c r="AJ1" s="2054"/>
      <c r="AK1" s="2054"/>
    </row>
    <row r="2" spans="1:37" ht="15.75">
      <c r="A2" s="84" t="s">
        <v>1636</v>
      </c>
      <c r="B2" s="1675"/>
      <c r="C2" s="1675"/>
      <c r="D2" s="1675"/>
      <c r="E2" s="1675"/>
      <c r="F2" s="1675"/>
      <c r="G2" s="1675"/>
      <c r="H2" s="1675"/>
      <c r="I2" s="1675"/>
      <c r="J2" s="1675"/>
      <c r="K2" s="1675"/>
      <c r="L2" s="1675"/>
      <c r="M2" s="1675"/>
      <c r="N2" s="614"/>
      <c r="O2" s="2055" t="s">
        <v>1637</v>
      </c>
      <c r="P2" s="2056"/>
      <c r="Q2" s="2056"/>
      <c r="R2" s="2057"/>
      <c r="S2" s="615"/>
      <c r="T2" s="616"/>
      <c r="U2" s="616"/>
      <c r="V2" s="616"/>
      <c r="W2" s="617"/>
      <c r="X2" s="1675"/>
      <c r="Y2" s="1675"/>
      <c r="Z2" s="1675"/>
      <c r="AA2" s="618" t="s">
        <v>1638</v>
      </c>
      <c r="AB2" s="1675"/>
      <c r="AC2" s="1675"/>
      <c r="AD2" s="1675"/>
      <c r="AE2" s="1675"/>
      <c r="AF2" s="614"/>
      <c r="AG2" s="619"/>
      <c r="AH2" s="2058" t="s">
        <v>1639</v>
      </c>
      <c r="AI2" s="2059"/>
      <c r="AJ2" s="2059"/>
      <c r="AK2" s="2060"/>
    </row>
    <row r="3" spans="1:37" ht="61.5" customHeight="1">
      <c r="A3" s="84"/>
      <c r="B3" s="1675"/>
      <c r="C3" s="1675"/>
      <c r="D3" s="1675"/>
      <c r="E3" s="1675"/>
      <c r="F3" s="1675"/>
      <c r="G3" s="1675"/>
      <c r="H3" s="1675"/>
      <c r="I3" s="1675"/>
      <c r="J3" s="1675"/>
      <c r="K3" s="1675"/>
      <c r="L3" s="1675"/>
      <c r="M3" s="1675"/>
      <c r="N3" s="620" t="s">
        <v>402</v>
      </c>
      <c r="O3" s="621" t="s">
        <v>1640</v>
      </c>
      <c r="P3" s="622" t="s">
        <v>1641</v>
      </c>
      <c r="Q3" s="622" t="s">
        <v>1642</v>
      </c>
      <c r="R3" s="623" t="s">
        <v>1643</v>
      </c>
      <c r="S3" s="624" t="s">
        <v>1644</v>
      </c>
      <c r="T3" s="622" t="s">
        <v>1645</v>
      </c>
      <c r="U3" s="622" t="s">
        <v>1646</v>
      </c>
      <c r="V3" s="622" t="s">
        <v>1647</v>
      </c>
      <c r="W3" s="623" t="s">
        <v>1648</v>
      </c>
      <c r="X3" s="458"/>
      <c r="Y3" s="458"/>
      <c r="Z3" s="458"/>
      <c r="AA3" s="625" t="s">
        <v>1649</v>
      </c>
      <c r="AB3" s="625" t="s">
        <v>1650</v>
      </c>
      <c r="AC3" s="625" t="s">
        <v>1651</v>
      </c>
      <c r="AD3" s="626" t="s">
        <v>1652</v>
      </c>
      <c r="AE3" s="1675"/>
      <c r="AF3" s="627" t="s">
        <v>1653</v>
      </c>
      <c r="AG3" s="628" t="s">
        <v>1654</v>
      </c>
      <c r="AH3" s="628" t="s">
        <v>1655</v>
      </c>
      <c r="AI3" s="629" t="s">
        <v>1656</v>
      </c>
      <c r="AJ3" s="629" t="s">
        <v>450</v>
      </c>
      <c r="AK3" s="630" t="s">
        <v>1657</v>
      </c>
    </row>
    <row r="4" spans="1:37" ht="15" thickBot="1">
      <c r="A4" s="845"/>
      <c r="B4" s="1854" t="s">
        <v>1658</v>
      </c>
      <c r="C4" s="1854"/>
      <c r="D4" s="1855"/>
      <c r="E4" s="1854" t="s">
        <v>1659</v>
      </c>
      <c r="F4" s="1854"/>
      <c r="G4" s="1855"/>
      <c r="H4" s="1675"/>
      <c r="I4" s="1675"/>
      <c r="J4" s="1675"/>
      <c r="K4" s="1675"/>
      <c r="L4" s="1675"/>
      <c r="M4" s="1675"/>
      <c r="N4" s="631" t="s">
        <v>1660</v>
      </c>
      <c r="O4" s="632">
        <v>2.5000000000000001E-3</v>
      </c>
      <c r="P4" s="633">
        <v>9</v>
      </c>
      <c r="Q4" s="633">
        <v>48</v>
      </c>
      <c r="R4" s="634">
        <v>57</v>
      </c>
      <c r="S4" s="635">
        <v>13</v>
      </c>
      <c r="T4" s="636">
        <v>22</v>
      </c>
      <c r="U4" s="637">
        <f t="shared" ref="U4:U21" si="0">T4/AB4</f>
        <v>5.6122448979591837E-2</v>
      </c>
      <c r="V4" s="638">
        <f t="shared" ref="V4:V22" si="1">T4/AA4</f>
        <v>4.3842168194499799E-3</v>
      </c>
      <c r="W4" s="638">
        <v>6.9999999999999999E-4</v>
      </c>
      <c r="X4" s="1675"/>
      <c r="Y4" s="639">
        <v>2001</v>
      </c>
      <c r="Z4" s="1645">
        <v>-2002</v>
      </c>
      <c r="AA4" s="246">
        <v>5018</v>
      </c>
      <c r="AB4" s="246">
        <v>392</v>
      </c>
      <c r="AC4" s="246">
        <f t="shared" ref="AC4:AC22" si="2">AA4-AB4</f>
        <v>4626</v>
      </c>
      <c r="AD4" s="454">
        <f t="shared" ref="AD4:AD22" si="3">AB4/AA4</f>
        <v>7.811877241929055E-2</v>
      </c>
      <c r="AE4" s="1675"/>
      <c r="AF4" s="631">
        <v>2002</v>
      </c>
      <c r="AG4" s="633">
        <v>78</v>
      </c>
      <c r="AH4" s="633">
        <v>78</v>
      </c>
      <c r="AI4" s="633">
        <f t="shared" ref="AI4:AI20" si="4">AH4-AJ4</f>
        <v>71.906735751295344</v>
      </c>
      <c r="AJ4" s="633">
        <f t="shared" ref="AJ4:AJ22" si="5">AD4*AH4</f>
        <v>6.0932642487046627</v>
      </c>
      <c r="AK4" s="640">
        <v>4.0000000000000001E-3</v>
      </c>
    </row>
    <row r="5" spans="1:37">
      <c r="A5" s="1672" t="s">
        <v>402</v>
      </c>
      <c r="B5" s="1667" t="s">
        <v>453</v>
      </c>
      <c r="C5" s="1667" t="s">
        <v>450</v>
      </c>
      <c r="D5" s="902" t="s">
        <v>36</v>
      </c>
      <c r="E5" s="1667" t="s">
        <v>453</v>
      </c>
      <c r="F5" s="1667" t="s">
        <v>450</v>
      </c>
      <c r="G5" s="902" t="s">
        <v>36</v>
      </c>
      <c r="H5" s="1675"/>
      <c r="I5" s="1675"/>
      <c r="J5" s="1675"/>
      <c r="K5" s="1675"/>
      <c r="L5" s="1675"/>
      <c r="M5" s="1675"/>
      <c r="N5" s="631" t="s">
        <v>1661</v>
      </c>
      <c r="O5" s="632">
        <v>2.5000000000000001E-3</v>
      </c>
      <c r="P5" s="633">
        <v>4</v>
      </c>
      <c r="Q5" s="633">
        <v>21</v>
      </c>
      <c r="R5" s="634">
        <v>24</v>
      </c>
      <c r="S5" s="635">
        <v>91</v>
      </c>
      <c r="T5" s="636">
        <v>95</v>
      </c>
      <c r="U5" s="637">
        <f t="shared" si="0"/>
        <v>0.11557177615571776</v>
      </c>
      <c r="V5" s="638">
        <f t="shared" si="1"/>
        <v>1.2626262626262626E-2</v>
      </c>
      <c r="W5" s="638">
        <v>4.1000000000000003E-3</v>
      </c>
      <c r="X5" s="1675"/>
      <c r="Y5" s="639">
        <v>2002</v>
      </c>
      <c r="Z5" s="1645">
        <v>-2003</v>
      </c>
      <c r="AA5" s="246">
        <v>7524</v>
      </c>
      <c r="AB5" s="246">
        <v>822</v>
      </c>
      <c r="AC5" s="246">
        <f t="shared" si="2"/>
        <v>6702</v>
      </c>
      <c r="AD5" s="454">
        <f t="shared" si="3"/>
        <v>0.10925039872408293</v>
      </c>
      <c r="AE5" s="1675"/>
      <c r="AF5" s="631">
        <v>2003</v>
      </c>
      <c r="AG5" s="633">
        <v>788</v>
      </c>
      <c r="AH5" s="633">
        <v>568</v>
      </c>
      <c r="AI5" s="633">
        <f t="shared" si="4"/>
        <v>505.94577352472089</v>
      </c>
      <c r="AJ5" s="633">
        <f t="shared" si="5"/>
        <v>62.054226475279108</v>
      </c>
      <c r="AK5" s="640">
        <v>4.0000000000000001E-3</v>
      </c>
    </row>
    <row r="6" spans="1:37">
      <c r="A6" s="1075" t="s">
        <v>1660</v>
      </c>
      <c r="B6" s="641">
        <f t="shared" ref="B6:B23" si="6">P4+AI4</f>
        <v>80.906735751295344</v>
      </c>
      <c r="C6" s="641">
        <f t="shared" ref="C6:C24" si="7">P4+AJ4</f>
        <v>15.093264248704664</v>
      </c>
      <c r="D6" s="759">
        <f t="shared" ref="D6:D24" si="8">B6+C6</f>
        <v>96</v>
      </c>
      <c r="E6" s="1664">
        <v>0</v>
      </c>
      <c r="F6" s="1664">
        <v>0</v>
      </c>
      <c r="G6" s="1680">
        <f t="shared" ref="G6:G23" si="9">E6+F6</f>
        <v>0</v>
      </c>
      <c r="H6" s="1675"/>
      <c r="I6" s="1675"/>
      <c r="J6" s="1675"/>
      <c r="K6" s="1675"/>
      <c r="L6" s="1675"/>
      <c r="M6" s="1675"/>
      <c r="N6" s="631" t="s">
        <v>1662</v>
      </c>
      <c r="O6" s="632">
        <v>2.5000000000000001E-3</v>
      </c>
      <c r="P6" s="633">
        <v>3</v>
      </c>
      <c r="Q6" s="633">
        <v>14</v>
      </c>
      <c r="R6" s="634">
        <v>17</v>
      </c>
      <c r="S6" s="635">
        <v>8</v>
      </c>
      <c r="T6" s="636">
        <v>11</v>
      </c>
      <c r="U6" s="637">
        <f t="shared" si="0"/>
        <v>1.0912698412698412E-2</v>
      </c>
      <c r="V6" s="638">
        <f t="shared" si="1"/>
        <v>1.6643970343471024E-3</v>
      </c>
      <c r="W6" s="638">
        <v>4.0000000000000002E-4</v>
      </c>
      <c r="X6" s="1675"/>
      <c r="Y6" s="639">
        <v>2003</v>
      </c>
      <c r="Z6" s="1645">
        <v>-2004</v>
      </c>
      <c r="AA6" s="246">
        <v>6609</v>
      </c>
      <c r="AB6" s="246">
        <v>1008</v>
      </c>
      <c r="AC6" s="246">
        <f t="shared" si="2"/>
        <v>5601</v>
      </c>
      <c r="AD6" s="454">
        <f t="shared" si="3"/>
        <v>0.1525192918747163</v>
      </c>
      <c r="AE6" s="1675"/>
      <c r="AF6" s="631">
        <v>2004</v>
      </c>
      <c r="AG6" s="633">
        <v>70</v>
      </c>
      <c r="AH6" s="633">
        <v>54</v>
      </c>
      <c r="AI6" s="633">
        <f t="shared" si="4"/>
        <v>45.763958238765319</v>
      </c>
      <c r="AJ6" s="633">
        <f t="shared" si="5"/>
        <v>8.2360417612346808</v>
      </c>
      <c r="AK6" s="640">
        <v>1E-3</v>
      </c>
    </row>
    <row r="7" spans="1:37">
      <c r="A7" s="1075" t="s">
        <v>1661</v>
      </c>
      <c r="B7" s="641">
        <f t="shared" si="6"/>
        <v>509.94577352472089</v>
      </c>
      <c r="C7" s="641">
        <f t="shared" si="7"/>
        <v>66.054226475279108</v>
      </c>
      <c r="D7" s="759">
        <f t="shared" si="8"/>
        <v>576</v>
      </c>
      <c r="E7" s="1664">
        <v>173</v>
      </c>
      <c r="F7" s="1664">
        <v>47</v>
      </c>
      <c r="G7" s="1680">
        <f t="shared" si="9"/>
        <v>220</v>
      </c>
      <c r="H7" s="1675"/>
      <c r="I7" s="1675"/>
      <c r="J7" s="1675"/>
      <c r="K7" s="1675"/>
      <c r="L7" s="1675"/>
      <c r="M7" s="1675"/>
      <c r="N7" s="631" t="s">
        <v>1663</v>
      </c>
      <c r="O7" s="632">
        <v>2.5000000000000001E-3</v>
      </c>
      <c r="P7" s="633">
        <v>1</v>
      </c>
      <c r="Q7" s="633">
        <v>4</v>
      </c>
      <c r="R7" s="634">
        <v>5</v>
      </c>
      <c r="S7" s="635">
        <v>1</v>
      </c>
      <c r="T7" s="636">
        <v>2</v>
      </c>
      <c r="U7" s="637">
        <f t="shared" si="0"/>
        <v>7.4349442379182153E-3</v>
      </c>
      <c r="V7" s="638">
        <f t="shared" si="1"/>
        <v>9.7465886939571145E-4</v>
      </c>
      <c r="W7" s="638">
        <v>1E-4</v>
      </c>
      <c r="X7" s="1675"/>
      <c r="Y7" s="639">
        <v>2004</v>
      </c>
      <c r="Z7" s="1645">
        <v>-2005</v>
      </c>
      <c r="AA7" s="246">
        <v>2052</v>
      </c>
      <c r="AB7" s="246">
        <v>269</v>
      </c>
      <c r="AC7" s="246">
        <f t="shared" si="2"/>
        <v>1783</v>
      </c>
      <c r="AD7" s="454">
        <f t="shared" si="3"/>
        <v>0.1310916179337232</v>
      </c>
      <c r="AE7" s="1675"/>
      <c r="AF7" s="631">
        <v>2005</v>
      </c>
      <c r="AG7" s="633">
        <v>8</v>
      </c>
      <c r="AH7" s="633">
        <v>8</v>
      </c>
      <c r="AI7" s="633">
        <f t="shared" si="4"/>
        <v>6.9512670565302148</v>
      </c>
      <c r="AJ7" s="633">
        <f t="shared" si="5"/>
        <v>1.0487329434697856</v>
      </c>
      <c r="AK7" s="640">
        <v>0</v>
      </c>
    </row>
    <row r="8" spans="1:37">
      <c r="A8" s="1075" t="s">
        <v>1662</v>
      </c>
      <c r="B8" s="641">
        <f t="shared" si="6"/>
        <v>48.763958238765319</v>
      </c>
      <c r="C8" s="641">
        <f t="shared" si="7"/>
        <v>11.236041761234681</v>
      </c>
      <c r="D8" s="759">
        <f t="shared" si="8"/>
        <v>60</v>
      </c>
      <c r="E8" s="1664">
        <v>12</v>
      </c>
      <c r="F8" s="1664">
        <v>4</v>
      </c>
      <c r="G8" s="1680">
        <f t="shared" si="9"/>
        <v>16</v>
      </c>
      <c r="H8" s="1675"/>
      <c r="I8" s="1675"/>
      <c r="J8" s="1675"/>
      <c r="K8" s="1675"/>
      <c r="L8" s="1675"/>
      <c r="M8" s="1675"/>
      <c r="N8" s="631" t="s">
        <v>1664</v>
      </c>
      <c r="O8" s="632">
        <v>2.5000000000000001E-3</v>
      </c>
      <c r="P8" s="633">
        <v>2</v>
      </c>
      <c r="Q8" s="633">
        <v>12</v>
      </c>
      <c r="R8" s="634">
        <v>15</v>
      </c>
      <c r="S8" s="635">
        <v>16</v>
      </c>
      <c r="T8" s="636">
        <v>18</v>
      </c>
      <c r="U8" s="637">
        <f t="shared" si="0"/>
        <v>2.0594965675057208E-2</v>
      </c>
      <c r="V8" s="638">
        <f t="shared" si="1"/>
        <v>3.0785017957927143E-3</v>
      </c>
      <c r="W8" s="638">
        <v>1.1000000000000001E-3</v>
      </c>
      <c r="X8" s="1675"/>
      <c r="Y8" s="639">
        <v>2005</v>
      </c>
      <c r="Z8" s="1645">
        <v>-2006</v>
      </c>
      <c r="AA8" s="246">
        <v>5847</v>
      </c>
      <c r="AB8" s="246">
        <v>874</v>
      </c>
      <c r="AC8" s="246">
        <f t="shared" si="2"/>
        <v>4973</v>
      </c>
      <c r="AD8" s="454">
        <f t="shared" si="3"/>
        <v>0.14947836497349068</v>
      </c>
      <c r="AE8" s="1675"/>
      <c r="AF8" s="631">
        <v>2006</v>
      </c>
      <c r="AG8" s="633">
        <v>139</v>
      </c>
      <c r="AH8" s="633">
        <v>108</v>
      </c>
      <c r="AI8" s="633">
        <f t="shared" si="4"/>
        <v>91.856336582863008</v>
      </c>
      <c r="AJ8" s="633">
        <f t="shared" si="5"/>
        <v>16.143663417136992</v>
      </c>
      <c r="AK8" s="640">
        <v>8.0000000000000002E-3</v>
      </c>
    </row>
    <row r="9" spans="1:37">
      <c r="A9" s="1075" t="s">
        <v>1663</v>
      </c>
      <c r="B9" s="641">
        <f t="shared" si="6"/>
        <v>7.9512670565302148</v>
      </c>
      <c r="C9" s="641">
        <f t="shared" si="7"/>
        <v>2.0487329434697856</v>
      </c>
      <c r="D9" s="759">
        <f t="shared" si="8"/>
        <v>10</v>
      </c>
      <c r="E9" s="1664">
        <v>0</v>
      </c>
      <c r="F9" s="1664">
        <v>0</v>
      </c>
      <c r="G9" s="1680">
        <f t="shared" si="9"/>
        <v>0</v>
      </c>
      <c r="H9" s="1675"/>
      <c r="I9" s="1675"/>
      <c r="J9" s="1675"/>
      <c r="K9" s="1675"/>
      <c r="L9" s="1675"/>
      <c r="M9" s="1675"/>
      <c r="N9" s="631" t="s">
        <v>1665</v>
      </c>
      <c r="O9" s="632">
        <v>2.5000000000000001E-3</v>
      </c>
      <c r="P9" s="633">
        <v>6</v>
      </c>
      <c r="Q9" s="633">
        <v>16</v>
      </c>
      <c r="R9" s="634">
        <v>22</v>
      </c>
      <c r="S9" s="635">
        <v>77</v>
      </c>
      <c r="T9" s="636">
        <v>83</v>
      </c>
      <c r="U9" s="637">
        <f t="shared" si="0"/>
        <v>3.1368102796674228E-2</v>
      </c>
      <c r="V9" s="638">
        <f t="shared" si="1"/>
        <v>8.6037109982377933E-3</v>
      </c>
      <c r="W9" s="638">
        <v>5.4999999999999997E-3</v>
      </c>
      <c r="X9" s="1675"/>
      <c r="Y9" s="639">
        <v>2006</v>
      </c>
      <c r="Z9" s="1645">
        <v>-2007</v>
      </c>
      <c r="AA9" s="246">
        <v>9647</v>
      </c>
      <c r="AB9" s="246">
        <v>2646</v>
      </c>
      <c r="AC9" s="246">
        <f t="shared" si="2"/>
        <v>7001</v>
      </c>
      <c r="AD9" s="454">
        <f t="shared" si="3"/>
        <v>0.27428216025707475</v>
      </c>
      <c r="AE9" s="1675"/>
      <c r="AF9" s="631">
        <v>2007</v>
      </c>
      <c r="AG9" s="633">
        <v>558</v>
      </c>
      <c r="AH9" s="633">
        <v>288</v>
      </c>
      <c r="AI9" s="633">
        <f t="shared" si="4"/>
        <v>209.00673784596248</v>
      </c>
      <c r="AJ9" s="633">
        <f t="shared" si="5"/>
        <v>78.993262154037524</v>
      </c>
      <c r="AK9" s="640">
        <v>1.2999999999999999E-2</v>
      </c>
    </row>
    <row r="10" spans="1:37">
      <c r="A10" s="1075" t="s">
        <v>1664</v>
      </c>
      <c r="B10" s="641">
        <f t="shared" si="6"/>
        <v>93.856336582863008</v>
      </c>
      <c r="C10" s="641">
        <f t="shared" si="7"/>
        <v>18.143663417136992</v>
      </c>
      <c r="D10" s="759">
        <f t="shared" si="8"/>
        <v>112</v>
      </c>
      <c r="E10" s="1664">
        <v>24</v>
      </c>
      <c r="F10" s="1664">
        <v>7</v>
      </c>
      <c r="G10" s="1680">
        <f t="shared" si="9"/>
        <v>31</v>
      </c>
      <c r="H10" s="1675"/>
      <c r="I10" s="1675"/>
      <c r="J10" s="1675"/>
      <c r="K10" s="1675"/>
      <c r="L10" s="1675"/>
      <c r="M10" s="1675"/>
      <c r="N10" s="631" t="s">
        <v>1666</v>
      </c>
      <c r="O10" s="632">
        <v>2.5000000000000001E-3</v>
      </c>
      <c r="P10" s="633">
        <v>3</v>
      </c>
      <c r="Q10" s="633">
        <v>5</v>
      </c>
      <c r="R10" s="634">
        <v>8</v>
      </c>
      <c r="S10" s="635">
        <v>11</v>
      </c>
      <c r="T10" s="636">
        <v>14</v>
      </c>
      <c r="U10" s="637">
        <f t="shared" si="0"/>
        <v>1.1290322580645161E-2</v>
      </c>
      <c r="V10" s="638">
        <f t="shared" si="1"/>
        <v>4.3276661514683153E-3</v>
      </c>
      <c r="W10" s="638">
        <v>1E-3</v>
      </c>
      <c r="X10" s="1675"/>
      <c r="Y10" s="639">
        <v>2007</v>
      </c>
      <c r="Z10" s="1645">
        <v>-2008</v>
      </c>
      <c r="AA10" s="246">
        <v>3235</v>
      </c>
      <c r="AB10" s="246">
        <v>1240</v>
      </c>
      <c r="AC10" s="246">
        <f t="shared" si="2"/>
        <v>1995</v>
      </c>
      <c r="AD10" s="454">
        <f t="shared" si="3"/>
        <v>0.38330757341576505</v>
      </c>
      <c r="AE10" s="1675"/>
      <c r="AF10" s="631">
        <v>2008</v>
      </c>
      <c r="AG10" s="633">
        <v>334</v>
      </c>
      <c r="AH10" s="633">
        <v>28</v>
      </c>
      <c r="AI10" s="633">
        <f t="shared" si="4"/>
        <v>17.267387944358578</v>
      </c>
      <c r="AJ10" s="633">
        <f t="shared" si="5"/>
        <v>10.732612055641422</v>
      </c>
      <c r="AK10" s="640">
        <v>4.0000000000000001E-3</v>
      </c>
    </row>
    <row r="11" spans="1:37">
      <c r="A11" s="1075" t="s">
        <v>1665</v>
      </c>
      <c r="B11" s="641">
        <f t="shared" si="6"/>
        <v>215.00673784596248</v>
      </c>
      <c r="C11" s="641">
        <f t="shared" si="7"/>
        <v>84.993262154037524</v>
      </c>
      <c r="D11" s="759">
        <f t="shared" si="8"/>
        <v>300</v>
      </c>
      <c r="E11" s="1664">
        <v>195</v>
      </c>
      <c r="F11" s="1664">
        <v>75</v>
      </c>
      <c r="G11" s="1680">
        <f t="shared" si="9"/>
        <v>270</v>
      </c>
      <c r="H11" s="1675"/>
      <c r="I11" s="1675"/>
      <c r="J11" s="1675"/>
      <c r="K11" s="1675"/>
      <c r="L11" s="1675"/>
      <c r="M11" s="1675"/>
      <c r="N11" s="631" t="s">
        <v>1667</v>
      </c>
      <c r="O11" s="632">
        <v>2.5000000000000001E-3</v>
      </c>
      <c r="P11" s="633">
        <v>2</v>
      </c>
      <c r="Q11" s="633">
        <v>4</v>
      </c>
      <c r="R11" s="634">
        <v>7</v>
      </c>
      <c r="S11" s="635">
        <v>0</v>
      </c>
      <c r="T11" s="636">
        <v>2</v>
      </c>
      <c r="U11" s="637">
        <f t="shared" si="0"/>
        <v>2.4271844660194173E-3</v>
      </c>
      <c r="V11" s="638">
        <f t="shared" si="1"/>
        <v>7.6804915514592934E-4</v>
      </c>
      <c r="W11" s="638">
        <v>2.0000000000000001E-4</v>
      </c>
      <c r="X11" s="1675"/>
      <c r="Y11" s="639">
        <v>2008</v>
      </c>
      <c r="Z11" s="1645">
        <v>-2009</v>
      </c>
      <c r="AA11" s="246">
        <v>2604</v>
      </c>
      <c r="AB11" s="246">
        <v>824</v>
      </c>
      <c r="AC11" s="246">
        <f t="shared" si="2"/>
        <v>1780</v>
      </c>
      <c r="AD11" s="454">
        <f t="shared" si="3"/>
        <v>0.31643625192012287</v>
      </c>
      <c r="AE11" s="1675"/>
      <c r="AF11" s="631">
        <v>2009</v>
      </c>
      <c r="AG11" s="633">
        <v>0</v>
      </c>
      <c r="AH11" s="633">
        <v>0</v>
      </c>
      <c r="AI11" s="633">
        <f t="shared" si="4"/>
        <v>0</v>
      </c>
      <c r="AJ11" s="633">
        <f t="shared" si="5"/>
        <v>0</v>
      </c>
      <c r="AK11" s="640">
        <v>0</v>
      </c>
    </row>
    <row r="12" spans="1:37">
      <c r="A12" s="1075" t="s">
        <v>1666</v>
      </c>
      <c r="B12" s="641">
        <f t="shared" si="6"/>
        <v>20.267387944358578</v>
      </c>
      <c r="C12" s="641">
        <f t="shared" si="7"/>
        <v>13.732612055641422</v>
      </c>
      <c r="D12" s="759">
        <f t="shared" si="8"/>
        <v>34</v>
      </c>
      <c r="E12" s="1664">
        <v>216</v>
      </c>
      <c r="F12" s="1664">
        <v>90</v>
      </c>
      <c r="G12" s="1680">
        <f t="shared" si="9"/>
        <v>306</v>
      </c>
      <c r="H12" s="1675"/>
      <c r="I12" s="1675"/>
      <c r="J12" s="1675"/>
      <c r="K12" s="1675"/>
      <c r="L12" s="1675"/>
      <c r="M12" s="1675"/>
      <c r="N12" s="631" t="s">
        <v>381</v>
      </c>
      <c r="O12" s="632">
        <v>2.5000000000000001E-3</v>
      </c>
      <c r="P12" s="633">
        <v>9</v>
      </c>
      <c r="Q12" s="633">
        <v>7</v>
      </c>
      <c r="R12" s="634">
        <v>16</v>
      </c>
      <c r="S12" s="635">
        <v>0</v>
      </c>
      <c r="T12" s="636">
        <v>9</v>
      </c>
      <c r="U12" s="637">
        <f t="shared" si="0"/>
        <v>4.5988758303525806E-3</v>
      </c>
      <c r="V12" s="638">
        <f t="shared" si="1"/>
        <v>1.3886745872550533E-3</v>
      </c>
      <c r="W12" s="638">
        <v>4.0000000000000002E-4</v>
      </c>
      <c r="X12" s="1675"/>
      <c r="Y12" s="639">
        <v>2009</v>
      </c>
      <c r="Z12" s="1645">
        <v>-2010</v>
      </c>
      <c r="AA12" s="246">
        <v>6481</v>
      </c>
      <c r="AB12" s="246">
        <v>1957</v>
      </c>
      <c r="AC12" s="246">
        <f t="shared" si="2"/>
        <v>4524</v>
      </c>
      <c r="AD12" s="454">
        <f t="shared" si="3"/>
        <v>0.30195957413979324</v>
      </c>
      <c r="AE12" s="1675"/>
      <c r="AF12" s="631">
        <v>2010</v>
      </c>
      <c r="AG12" s="633">
        <v>12</v>
      </c>
      <c r="AH12" s="633">
        <v>0</v>
      </c>
      <c r="AI12" s="633">
        <f t="shared" si="4"/>
        <v>0</v>
      </c>
      <c r="AJ12" s="633">
        <f t="shared" si="5"/>
        <v>0</v>
      </c>
      <c r="AK12" s="640">
        <v>0</v>
      </c>
    </row>
    <row r="13" spans="1:37">
      <c r="A13" s="1075" t="s">
        <v>1667</v>
      </c>
      <c r="B13" s="641">
        <f t="shared" si="6"/>
        <v>2</v>
      </c>
      <c r="C13" s="641">
        <f t="shared" si="7"/>
        <v>2</v>
      </c>
      <c r="D13" s="759">
        <f t="shared" si="8"/>
        <v>4</v>
      </c>
      <c r="E13" s="1664">
        <v>0</v>
      </c>
      <c r="F13" s="1664">
        <v>0</v>
      </c>
      <c r="G13" s="1680">
        <f t="shared" si="9"/>
        <v>0</v>
      </c>
      <c r="H13" s="1675"/>
      <c r="I13" s="1675"/>
      <c r="J13" s="1675"/>
      <c r="K13" s="1675"/>
      <c r="L13" s="1675"/>
      <c r="M13" s="1675"/>
      <c r="N13" s="631" t="s">
        <v>382</v>
      </c>
      <c r="O13" s="632">
        <v>2.5000000000000001E-3</v>
      </c>
      <c r="P13" s="633">
        <v>5</v>
      </c>
      <c r="Q13" s="633">
        <v>7</v>
      </c>
      <c r="R13" s="634">
        <v>11</v>
      </c>
      <c r="S13" s="635">
        <v>13</v>
      </c>
      <c r="T13" s="636">
        <v>17</v>
      </c>
      <c r="U13" s="637">
        <f t="shared" si="0"/>
        <v>9.3509350935093508E-3</v>
      </c>
      <c r="V13" s="638">
        <f t="shared" si="1"/>
        <v>3.7735849056603774E-3</v>
      </c>
      <c r="W13" s="638">
        <v>1E-3</v>
      </c>
      <c r="X13" s="1675"/>
      <c r="Y13" s="639">
        <v>2010</v>
      </c>
      <c r="Z13" s="1645">
        <v>-2011</v>
      </c>
      <c r="AA13" s="246">
        <v>4505</v>
      </c>
      <c r="AB13" s="246">
        <v>1818</v>
      </c>
      <c r="AC13" s="246">
        <f t="shared" si="2"/>
        <v>2687</v>
      </c>
      <c r="AD13" s="454">
        <f t="shared" si="3"/>
        <v>0.40355160932297446</v>
      </c>
      <c r="AE13" s="1675"/>
      <c r="AF13" s="631">
        <v>2011</v>
      </c>
      <c r="AG13" s="633">
        <v>281</v>
      </c>
      <c r="AH13" s="633">
        <v>32</v>
      </c>
      <c r="AI13" s="633">
        <f t="shared" si="4"/>
        <v>19.086348501664816</v>
      </c>
      <c r="AJ13" s="633">
        <f t="shared" si="5"/>
        <v>12.913651498335183</v>
      </c>
      <c r="AK13" s="640">
        <v>3.0000000000000001E-3</v>
      </c>
    </row>
    <row r="14" spans="1:37">
      <c r="A14" s="1075" t="s">
        <v>381</v>
      </c>
      <c r="B14" s="641">
        <f t="shared" si="6"/>
        <v>9</v>
      </c>
      <c r="C14" s="641">
        <f t="shared" si="7"/>
        <v>9</v>
      </c>
      <c r="D14" s="759">
        <f t="shared" si="8"/>
        <v>18</v>
      </c>
      <c r="E14" s="1664">
        <v>8</v>
      </c>
      <c r="F14" s="1664">
        <v>4</v>
      </c>
      <c r="G14" s="1680">
        <f t="shared" si="9"/>
        <v>12</v>
      </c>
      <c r="H14" s="1675"/>
      <c r="I14" s="1675"/>
      <c r="J14" s="1675"/>
      <c r="K14" s="1675"/>
      <c r="L14" s="1675"/>
      <c r="M14" s="1675"/>
      <c r="N14" s="631" t="s">
        <v>383</v>
      </c>
      <c r="O14" s="632">
        <v>2.5000000000000001E-3</v>
      </c>
      <c r="P14" s="633">
        <v>4</v>
      </c>
      <c r="Q14" s="633">
        <v>8</v>
      </c>
      <c r="R14" s="634">
        <v>12</v>
      </c>
      <c r="S14" s="635">
        <v>29</v>
      </c>
      <c r="T14" s="636">
        <v>33</v>
      </c>
      <c r="U14" s="637">
        <f t="shared" si="0"/>
        <v>1.9108280254777069E-2</v>
      </c>
      <c r="V14" s="638">
        <f t="shared" si="1"/>
        <v>6.5385377451951656E-3</v>
      </c>
      <c r="W14" s="638">
        <v>1.9E-3</v>
      </c>
      <c r="X14" s="1675"/>
      <c r="Y14" s="639">
        <v>2011</v>
      </c>
      <c r="Z14" s="1645">
        <v>-2012</v>
      </c>
      <c r="AA14" s="246">
        <v>5047</v>
      </c>
      <c r="AB14" s="246">
        <v>1727</v>
      </c>
      <c r="AC14" s="246">
        <f t="shared" si="2"/>
        <v>3320</v>
      </c>
      <c r="AD14" s="454">
        <f t="shared" si="3"/>
        <v>0.34218347533188032</v>
      </c>
      <c r="AE14" s="1675"/>
      <c r="AF14" s="631">
        <v>2012</v>
      </c>
      <c r="AG14" s="633">
        <v>101</v>
      </c>
      <c r="AH14" s="633">
        <v>85</v>
      </c>
      <c r="AI14" s="633">
        <f t="shared" si="4"/>
        <v>55.914404596790177</v>
      </c>
      <c r="AJ14" s="633">
        <f t="shared" si="5"/>
        <v>29.085595403209826</v>
      </c>
      <c r="AK14" s="640">
        <v>6.0000000000000001E-3</v>
      </c>
    </row>
    <row r="15" spans="1:37">
      <c r="A15" s="1075" t="s">
        <v>382</v>
      </c>
      <c r="B15" s="641">
        <f t="shared" si="6"/>
        <v>24.086348501664816</v>
      </c>
      <c r="C15" s="641">
        <f t="shared" si="7"/>
        <v>17.913651498335184</v>
      </c>
      <c r="D15" s="759">
        <f t="shared" si="8"/>
        <v>42</v>
      </c>
      <c r="E15" s="1664">
        <v>173</v>
      </c>
      <c r="F15" s="1664">
        <v>76</v>
      </c>
      <c r="G15" s="1680">
        <f t="shared" si="9"/>
        <v>249</v>
      </c>
      <c r="H15" s="1675"/>
      <c r="I15" s="1675"/>
      <c r="J15" s="1675"/>
      <c r="K15" s="1675"/>
      <c r="L15" s="1675"/>
      <c r="M15" s="1675"/>
      <c r="N15" s="631" t="s">
        <v>384</v>
      </c>
      <c r="O15" s="632">
        <v>2.5000000000000001E-3</v>
      </c>
      <c r="P15" s="633">
        <v>3</v>
      </c>
      <c r="Q15" s="633">
        <v>5</v>
      </c>
      <c r="R15" s="634">
        <v>8</v>
      </c>
      <c r="S15" s="635">
        <v>0</v>
      </c>
      <c r="T15" s="636">
        <v>3</v>
      </c>
      <c r="U15" s="637">
        <f t="shared" si="0"/>
        <v>2.6155187445510027E-3</v>
      </c>
      <c r="V15" s="638">
        <f t="shared" si="1"/>
        <v>9.1883614088820824E-4</v>
      </c>
      <c r="W15" s="638">
        <v>2.0000000000000001E-4</v>
      </c>
      <c r="X15" s="1675"/>
      <c r="Y15" s="639">
        <v>2012</v>
      </c>
      <c r="Z15" s="1645">
        <v>-2013</v>
      </c>
      <c r="AA15" s="246">
        <v>3265</v>
      </c>
      <c r="AB15" s="246">
        <v>1147</v>
      </c>
      <c r="AC15" s="246">
        <f t="shared" si="2"/>
        <v>2118</v>
      </c>
      <c r="AD15" s="454">
        <f t="shared" si="3"/>
        <v>0.35130168453292498</v>
      </c>
      <c r="AE15" s="1675"/>
      <c r="AF15" s="631">
        <v>2013</v>
      </c>
      <c r="AG15" s="633">
        <v>0</v>
      </c>
      <c r="AH15" s="633">
        <v>0</v>
      </c>
      <c r="AI15" s="633">
        <f t="shared" si="4"/>
        <v>0</v>
      </c>
      <c r="AJ15" s="633">
        <f t="shared" si="5"/>
        <v>0</v>
      </c>
      <c r="AK15" s="640">
        <v>0</v>
      </c>
    </row>
    <row r="16" spans="1:37">
      <c r="A16" s="1075" t="s">
        <v>383</v>
      </c>
      <c r="B16" s="641">
        <f t="shared" si="6"/>
        <v>59.914404596790177</v>
      </c>
      <c r="C16" s="641">
        <f t="shared" si="7"/>
        <v>33.085595403209823</v>
      </c>
      <c r="D16" s="759">
        <f t="shared" si="8"/>
        <v>93</v>
      </c>
      <c r="E16" s="1664">
        <v>11</v>
      </c>
      <c r="F16" s="1664">
        <v>5</v>
      </c>
      <c r="G16" s="1680">
        <f t="shared" si="9"/>
        <v>16</v>
      </c>
      <c r="H16" s="1675"/>
      <c r="I16" s="1675"/>
      <c r="J16" s="1675"/>
      <c r="K16" s="1675"/>
      <c r="L16" s="1675"/>
      <c r="M16" s="1675"/>
      <c r="N16" s="631" t="s">
        <v>385</v>
      </c>
      <c r="O16" s="632">
        <v>2.5000000000000001E-3</v>
      </c>
      <c r="P16" s="633">
        <v>3</v>
      </c>
      <c r="Q16" s="633">
        <v>6</v>
      </c>
      <c r="R16" s="634">
        <v>9</v>
      </c>
      <c r="S16" s="635">
        <v>35</v>
      </c>
      <c r="T16" s="636">
        <v>38</v>
      </c>
      <c r="U16" s="637">
        <f t="shared" si="0"/>
        <v>2.9366306027820709E-2</v>
      </c>
      <c r="V16" s="638">
        <f t="shared" si="1"/>
        <v>1.0410958904109589E-2</v>
      </c>
      <c r="W16" s="638">
        <v>2.5000000000000001E-3</v>
      </c>
      <c r="X16" s="1675"/>
      <c r="Y16" s="639">
        <v>2013</v>
      </c>
      <c r="Z16" s="1645">
        <v>-2014</v>
      </c>
      <c r="AA16" s="246">
        <v>3650</v>
      </c>
      <c r="AB16" s="246">
        <v>1294</v>
      </c>
      <c r="AC16" s="246">
        <f t="shared" si="2"/>
        <v>2356</v>
      </c>
      <c r="AD16" s="454">
        <f t="shared" si="3"/>
        <v>0.35452054794520549</v>
      </c>
      <c r="AE16" s="1675"/>
      <c r="AF16" s="631">
        <v>2014</v>
      </c>
      <c r="AG16" s="633">
        <v>98</v>
      </c>
      <c r="AH16" s="633">
        <v>98</v>
      </c>
      <c r="AI16" s="633">
        <f t="shared" si="4"/>
        <v>63.256986301369864</v>
      </c>
      <c r="AJ16" s="633">
        <f t="shared" si="5"/>
        <v>34.743013698630136</v>
      </c>
      <c r="AK16" s="640">
        <v>0.01</v>
      </c>
    </row>
    <row r="17" spans="1:37">
      <c r="A17" s="1075" t="s">
        <v>384</v>
      </c>
      <c r="B17" s="641">
        <f t="shared" si="6"/>
        <v>3</v>
      </c>
      <c r="C17" s="641">
        <f t="shared" si="7"/>
        <v>3</v>
      </c>
      <c r="D17" s="759">
        <f t="shared" si="8"/>
        <v>6</v>
      </c>
      <c r="E17" s="1664">
        <v>0</v>
      </c>
      <c r="F17" s="1664">
        <v>0</v>
      </c>
      <c r="G17" s="1680">
        <f t="shared" si="9"/>
        <v>0</v>
      </c>
      <c r="H17" s="1675"/>
      <c r="I17" s="1675"/>
      <c r="J17" s="1675"/>
      <c r="K17" s="1675"/>
      <c r="L17" s="1675"/>
      <c r="M17" s="1675"/>
      <c r="N17" s="631" t="s">
        <v>386</v>
      </c>
      <c r="O17" s="632">
        <v>2.5000000000000001E-3</v>
      </c>
      <c r="P17" s="633">
        <v>7</v>
      </c>
      <c r="Q17" s="633">
        <v>8</v>
      </c>
      <c r="R17" s="634">
        <v>15</v>
      </c>
      <c r="S17" s="635">
        <v>83</v>
      </c>
      <c r="T17" s="636">
        <v>90</v>
      </c>
      <c r="U17" s="637">
        <f t="shared" si="0"/>
        <v>3.1779661016949151E-2</v>
      </c>
      <c r="V17" s="638">
        <f t="shared" si="1"/>
        <v>1.5358361774744027E-2</v>
      </c>
      <c r="W17" s="638">
        <v>4.4999999999999997E-3</v>
      </c>
      <c r="X17" s="1675"/>
      <c r="Y17" s="639">
        <v>2014</v>
      </c>
      <c r="Z17" s="1645">
        <v>-2015</v>
      </c>
      <c r="AA17" s="246">
        <v>5860</v>
      </c>
      <c r="AB17" s="246">
        <v>2832</v>
      </c>
      <c r="AC17" s="246">
        <f t="shared" si="2"/>
        <v>3028</v>
      </c>
      <c r="AD17" s="454">
        <f t="shared" si="3"/>
        <v>0.4832764505119454</v>
      </c>
      <c r="AE17" s="1675"/>
      <c r="AF17" s="631">
        <v>2015</v>
      </c>
      <c r="AG17" s="633">
        <v>171</v>
      </c>
      <c r="AH17" s="633">
        <v>171</v>
      </c>
      <c r="AI17" s="633">
        <f t="shared" si="4"/>
        <v>88.35972696245733</v>
      </c>
      <c r="AJ17" s="633">
        <f t="shared" si="5"/>
        <v>82.64027303754267</v>
      </c>
      <c r="AK17" s="640">
        <v>1.4E-2</v>
      </c>
    </row>
    <row r="18" spans="1:37">
      <c r="A18" s="1075" t="s">
        <v>385</v>
      </c>
      <c r="B18" s="641">
        <f t="shared" si="6"/>
        <v>66.256986301369864</v>
      </c>
      <c r="C18" s="641">
        <f t="shared" si="7"/>
        <v>37.743013698630136</v>
      </c>
      <c r="D18" s="759">
        <f t="shared" si="8"/>
        <v>104</v>
      </c>
      <c r="E18" s="1664">
        <v>0</v>
      </c>
      <c r="F18" s="1664">
        <v>0</v>
      </c>
      <c r="G18" s="1680">
        <f t="shared" si="9"/>
        <v>0</v>
      </c>
      <c r="H18" s="1675"/>
      <c r="I18" s="1675"/>
      <c r="J18" s="1675"/>
      <c r="K18" s="1675"/>
      <c r="L18" s="1675"/>
      <c r="M18" s="1675"/>
      <c r="N18" s="631" t="s">
        <v>387</v>
      </c>
      <c r="O18" s="632">
        <v>2.5000000000000001E-3</v>
      </c>
      <c r="P18" s="633">
        <v>7</v>
      </c>
      <c r="Q18" s="633">
        <v>10</v>
      </c>
      <c r="R18" s="634">
        <v>17</v>
      </c>
      <c r="S18" s="635">
        <v>8</v>
      </c>
      <c r="T18" s="636">
        <v>15</v>
      </c>
      <c r="U18" s="637">
        <f t="shared" si="0"/>
        <v>5.2246603970741903E-3</v>
      </c>
      <c r="V18" s="638">
        <f t="shared" si="1"/>
        <v>2.1601382488479265E-3</v>
      </c>
      <c r="W18" s="638">
        <f>U18/AA18</f>
        <v>7.5239925073073016E-7</v>
      </c>
      <c r="X18" s="1675"/>
      <c r="Y18" s="639">
        <v>2015</v>
      </c>
      <c r="Z18" s="1645">
        <v>-2016</v>
      </c>
      <c r="AA18" s="246">
        <v>6944</v>
      </c>
      <c r="AB18" s="246">
        <v>2871</v>
      </c>
      <c r="AC18" s="246">
        <f t="shared" si="2"/>
        <v>4073</v>
      </c>
      <c r="AD18" s="454">
        <f t="shared" si="3"/>
        <v>0.4134504608294931</v>
      </c>
      <c r="AE18" s="1675"/>
      <c r="AF18" s="631">
        <v>2016</v>
      </c>
      <c r="AG18" s="633">
        <v>20</v>
      </c>
      <c r="AH18" s="633">
        <v>20</v>
      </c>
      <c r="AI18" s="633">
        <f t="shared" si="4"/>
        <v>11.730990783410139</v>
      </c>
      <c r="AJ18" s="633">
        <f t="shared" si="5"/>
        <v>8.2690092165898612</v>
      </c>
      <c r="AK18" s="640">
        <v>1E-3</v>
      </c>
    </row>
    <row r="19" spans="1:37">
      <c r="A19" s="1075" t="s">
        <v>386</v>
      </c>
      <c r="B19" s="641">
        <f t="shared" si="6"/>
        <v>95.35972696245733</v>
      </c>
      <c r="C19" s="641">
        <f t="shared" si="7"/>
        <v>89.64027303754267</v>
      </c>
      <c r="D19" s="759">
        <f t="shared" si="8"/>
        <v>185</v>
      </c>
      <c r="E19" s="1664">
        <v>0</v>
      </c>
      <c r="F19" s="1664">
        <v>0</v>
      </c>
      <c r="G19" s="1680">
        <f t="shared" si="9"/>
        <v>0</v>
      </c>
      <c r="H19" s="1675"/>
      <c r="I19" s="1675"/>
      <c r="J19" s="1675"/>
      <c r="K19" s="1675"/>
      <c r="L19" s="1675"/>
      <c r="M19" s="1675"/>
      <c r="N19" s="631" t="s">
        <v>388</v>
      </c>
      <c r="O19" s="632">
        <v>2.5000000000000001E-3</v>
      </c>
      <c r="P19" s="633">
        <v>3</v>
      </c>
      <c r="Q19" s="633">
        <v>5</v>
      </c>
      <c r="R19" s="633">
        <v>7</v>
      </c>
      <c r="S19" s="635">
        <f>44</f>
        <v>44</v>
      </c>
      <c r="T19" s="636">
        <f>S19+Q19</f>
        <v>49</v>
      </c>
      <c r="U19" s="637">
        <f t="shared" si="0"/>
        <v>4.7992164544564155E-2</v>
      </c>
      <c r="V19" s="638">
        <f t="shared" si="1"/>
        <v>1.6371533578349484E-2</v>
      </c>
      <c r="W19" s="638">
        <f>U19/AA19</f>
        <v>1.6034802721204194E-5</v>
      </c>
      <c r="X19" s="1675"/>
      <c r="Y19" s="642">
        <v>2016</v>
      </c>
      <c r="Z19" s="643">
        <v>-2017</v>
      </c>
      <c r="AA19" s="644">
        <v>2993</v>
      </c>
      <c r="AB19" s="644">
        <v>1021</v>
      </c>
      <c r="AC19" s="246">
        <f t="shared" si="2"/>
        <v>1972</v>
      </c>
      <c r="AD19" s="454">
        <f t="shared" si="3"/>
        <v>0.34112930170397593</v>
      </c>
      <c r="AE19" s="1675"/>
      <c r="AF19" s="631">
        <v>2017</v>
      </c>
      <c r="AG19" s="633">
        <v>96</v>
      </c>
      <c r="AH19" s="633">
        <v>96</v>
      </c>
      <c r="AI19" s="633">
        <f t="shared" si="4"/>
        <v>63.251587036418314</v>
      </c>
      <c r="AJ19" s="633">
        <f t="shared" si="5"/>
        <v>32.748412963581686</v>
      </c>
      <c r="AK19" s="640">
        <v>1.0999999999999999E-2</v>
      </c>
    </row>
    <row r="20" spans="1:37">
      <c r="A20" s="1075" t="s">
        <v>387</v>
      </c>
      <c r="B20" s="641">
        <f t="shared" si="6"/>
        <v>18.730990783410139</v>
      </c>
      <c r="C20" s="641">
        <f t="shared" si="7"/>
        <v>15.269009216589861</v>
      </c>
      <c r="D20" s="759">
        <f t="shared" si="8"/>
        <v>34</v>
      </c>
      <c r="E20" s="1664">
        <v>0</v>
      </c>
      <c r="F20" s="1664">
        <v>0</v>
      </c>
      <c r="G20" s="1680">
        <f t="shared" si="9"/>
        <v>0</v>
      </c>
      <c r="H20" s="1675"/>
      <c r="I20" s="1675"/>
      <c r="J20" s="1675"/>
      <c r="K20" s="1675"/>
      <c r="L20" s="1675"/>
      <c r="M20" s="1675"/>
      <c r="N20" s="631" t="s">
        <v>389</v>
      </c>
      <c r="O20" s="632">
        <f>R20/AA20</f>
        <v>4.1118421052631582E-2</v>
      </c>
      <c r="P20" s="645">
        <f>R20*AD20</f>
        <v>39.391447368421048</v>
      </c>
      <c r="Q20" s="645">
        <f>R20-P20</f>
        <v>60.608552631578952</v>
      </c>
      <c r="R20" s="645">
        <v>100</v>
      </c>
      <c r="S20" s="646">
        <f>'[4]T15 '!S19</f>
        <v>2088</v>
      </c>
      <c r="T20" s="645">
        <f>P20+S20</f>
        <v>2127.3914473684213</v>
      </c>
      <c r="U20" s="637">
        <f t="shared" si="0"/>
        <v>2.2206591308647403</v>
      </c>
      <c r="V20" s="638">
        <f t="shared" si="1"/>
        <v>0.87474977276662058</v>
      </c>
      <c r="W20" s="638">
        <f>U20/AA20</f>
        <v>9.130999715726728E-4</v>
      </c>
      <c r="X20" s="1675"/>
      <c r="Y20" s="639">
        <v>2017</v>
      </c>
      <c r="Z20" s="1645">
        <v>-2018</v>
      </c>
      <c r="AA20" s="246">
        <v>2432</v>
      </c>
      <c r="AB20" s="246">
        <v>958</v>
      </c>
      <c r="AC20" s="246">
        <f t="shared" si="2"/>
        <v>1474</v>
      </c>
      <c r="AD20" s="454">
        <f t="shared" si="3"/>
        <v>0.39391447368421051</v>
      </c>
      <c r="AE20" s="1675"/>
      <c r="AF20" s="631">
        <v>2018</v>
      </c>
      <c r="AG20" s="633">
        <v>118</v>
      </c>
      <c r="AH20" s="633">
        <v>118</v>
      </c>
      <c r="AI20" s="633">
        <f t="shared" si="4"/>
        <v>71.51809210526315</v>
      </c>
      <c r="AJ20" s="633">
        <f t="shared" si="5"/>
        <v>46.481907894736842</v>
      </c>
      <c r="AK20" s="640"/>
    </row>
    <row r="21" spans="1:37" ht="13.35" customHeight="1">
      <c r="A21" s="1075" t="s">
        <v>388</v>
      </c>
      <c r="B21" s="641">
        <f t="shared" si="6"/>
        <v>66.251587036418314</v>
      </c>
      <c r="C21" s="641">
        <f t="shared" si="7"/>
        <v>35.748412963581686</v>
      </c>
      <c r="D21" s="759">
        <f t="shared" si="8"/>
        <v>102</v>
      </c>
      <c r="E21" s="1664">
        <v>0</v>
      </c>
      <c r="F21" s="1664">
        <v>0</v>
      </c>
      <c r="G21" s="1680">
        <f t="shared" si="9"/>
        <v>0</v>
      </c>
      <c r="H21" s="1675"/>
      <c r="I21" s="1675"/>
      <c r="J21" s="1675"/>
      <c r="K21" s="1675"/>
      <c r="L21" s="1675"/>
      <c r="M21" s="1675"/>
      <c r="N21" s="631" t="s">
        <v>390</v>
      </c>
      <c r="O21" s="632">
        <f>R21/AA21</f>
        <v>2.0212228398180901E-3</v>
      </c>
      <c r="P21" s="645">
        <v>2</v>
      </c>
      <c r="Q21" s="645">
        <v>2</v>
      </c>
      <c r="R21" s="645">
        <v>4</v>
      </c>
      <c r="S21" s="645">
        <v>0</v>
      </c>
      <c r="T21" s="645">
        <v>2</v>
      </c>
      <c r="U21" s="637">
        <f t="shared" si="0"/>
        <v>2.1668472372697724E-3</v>
      </c>
      <c r="V21" s="638">
        <f t="shared" si="1"/>
        <v>1.0106114199090451E-3</v>
      </c>
      <c r="W21" s="638">
        <f>U21/AA21</f>
        <v>1.094920281591598E-6</v>
      </c>
      <c r="X21" s="1675"/>
      <c r="Y21" s="1675" t="s">
        <v>390</v>
      </c>
      <c r="Z21" s="1675"/>
      <c r="AA21" s="1675">
        <v>1979</v>
      </c>
      <c r="AB21" s="1675">
        <v>923</v>
      </c>
      <c r="AC21" s="246">
        <f t="shared" si="2"/>
        <v>1056</v>
      </c>
      <c r="AD21" s="454">
        <f t="shared" si="3"/>
        <v>0.46639717028802424</v>
      </c>
      <c r="AE21" s="1675"/>
      <c r="AF21" s="631">
        <v>2019</v>
      </c>
      <c r="AG21" s="647">
        <v>0</v>
      </c>
      <c r="AH21" s="647">
        <v>0</v>
      </c>
      <c r="AI21" s="647">
        <v>0</v>
      </c>
      <c r="AJ21" s="633">
        <f t="shared" si="5"/>
        <v>0</v>
      </c>
      <c r="AK21" s="640"/>
    </row>
    <row r="22" spans="1:37" ht="13.35" customHeight="1">
      <c r="A22" s="1075" t="s">
        <v>389</v>
      </c>
      <c r="B22" s="641">
        <f t="shared" si="6"/>
        <v>110.90953947368419</v>
      </c>
      <c r="C22" s="641">
        <f t="shared" si="7"/>
        <v>85.87335526315789</v>
      </c>
      <c r="D22" s="759">
        <f t="shared" si="8"/>
        <v>196.78289473684208</v>
      </c>
      <c r="E22" s="1664">
        <v>0</v>
      </c>
      <c r="F22" s="1664">
        <v>0</v>
      </c>
      <c r="G22" s="1680">
        <f t="shared" si="9"/>
        <v>0</v>
      </c>
      <c r="H22" s="1675"/>
      <c r="I22" s="1675"/>
      <c r="J22" s="1675"/>
      <c r="K22" s="1675"/>
      <c r="L22" s="1675"/>
      <c r="M22" s="1675"/>
      <c r="N22" s="648" t="s">
        <v>391</v>
      </c>
      <c r="O22" s="647"/>
      <c r="P22" s="647">
        <f>R22*AD22</f>
        <v>13.018867924528303</v>
      </c>
      <c r="Q22" s="647">
        <f>R22-P22</f>
        <v>16.981132075471699</v>
      </c>
      <c r="R22" s="647">
        <v>30</v>
      </c>
      <c r="S22" s="649"/>
      <c r="T22" s="649"/>
      <c r="U22" s="649"/>
      <c r="V22" s="638">
        <f t="shared" si="1"/>
        <v>0</v>
      </c>
      <c r="W22" s="650"/>
      <c r="X22" s="1675"/>
      <c r="Y22" s="1675" t="s">
        <v>391</v>
      </c>
      <c r="Z22" s="1675"/>
      <c r="AA22" s="1675">
        <v>2756</v>
      </c>
      <c r="AB22" s="1675">
        <v>1196</v>
      </c>
      <c r="AC22" s="246">
        <f t="shared" si="2"/>
        <v>1560</v>
      </c>
      <c r="AD22" s="454">
        <f t="shared" si="3"/>
        <v>0.43396226415094341</v>
      </c>
      <c r="AE22" s="1675"/>
      <c r="AF22" s="648">
        <v>2020</v>
      </c>
      <c r="AG22" s="647">
        <v>31</v>
      </c>
      <c r="AH22" s="647">
        <v>31</v>
      </c>
      <c r="AI22" s="647">
        <f>AH22-AJ22</f>
        <v>17.547169811320757</v>
      </c>
      <c r="AJ22" s="647">
        <f t="shared" si="5"/>
        <v>13.452830188679245</v>
      </c>
      <c r="AK22" s="640"/>
    </row>
    <row r="23" spans="1:37" ht="13.35" customHeight="1">
      <c r="A23" s="1075" t="s">
        <v>390</v>
      </c>
      <c r="B23" s="641">
        <f t="shared" si="6"/>
        <v>2</v>
      </c>
      <c r="C23" s="641">
        <f t="shared" si="7"/>
        <v>2</v>
      </c>
      <c r="D23" s="759">
        <f t="shared" si="8"/>
        <v>4</v>
      </c>
      <c r="E23" s="1664">
        <v>0</v>
      </c>
      <c r="F23" s="1664">
        <v>0</v>
      </c>
      <c r="G23" s="1680">
        <f t="shared" si="9"/>
        <v>0</v>
      </c>
      <c r="H23" s="1675"/>
      <c r="I23" s="84"/>
      <c r="J23" s="1675"/>
      <c r="K23" s="1675"/>
      <c r="L23" s="1675"/>
      <c r="M23" s="1675"/>
      <c r="N23" s="631" t="s">
        <v>392</v>
      </c>
      <c r="O23" s="760"/>
      <c r="P23" s="645"/>
      <c r="Q23" s="645"/>
      <c r="R23" s="645"/>
      <c r="S23" s="645"/>
      <c r="T23" s="645"/>
      <c r="U23" s="637"/>
      <c r="V23" s="638"/>
      <c r="W23" s="638"/>
      <c r="X23" s="1675"/>
      <c r="Y23" s="1675"/>
      <c r="Z23" s="1675"/>
      <c r="AA23" s="1675"/>
      <c r="AB23" s="1675"/>
      <c r="AC23" s="1675"/>
      <c r="AD23" s="1675"/>
      <c r="AE23" s="1675"/>
      <c r="AF23" s="651" t="s">
        <v>1668</v>
      </c>
      <c r="AG23" s="633">
        <v>176</v>
      </c>
      <c r="AH23" s="633">
        <v>103</v>
      </c>
      <c r="AI23" s="633">
        <v>77</v>
      </c>
      <c r="AJ23" s="633">
        <v>26</v>
      </c>
      <c r="AK23" s="640">
        <v>5.0000000000000001E-3</v>
      </c>
    </row>
    <row r="24" spans="1:37" ht="13.35" customHeight="1">
      <c r="A24" s="1075" t="s">
        <v>391</v>
      </c>
      <c r="B24" s="641">
        <f>Q22+AI22</f>
        <v>34.528301886792455</v>
      </c>
      <c r="C24" s="641">
        <f t="shared" si="7"/>
        <v>26.471698113207548</v>
      </c>
      <c r="D24" s="759">
        <f t="shared" si="8"/>
        <v>61</v>
      </c>
      <c r="E24" s="1664">
        <v>0</v>
      </c>
      <c r="F24" s="1664">
        <v>0</v>
      </c>
      <c r="G24" s="1680">
        <v>0</v>
      </c>
      <c r="H24" s="1675"/>
      <c r="I24" s="84"/>
      <c r="J24" s="1675"/>
      <c r="K24" s="1675"/>
      <c r="L24" s="1675"/>
      <c r="M24" s="1675"/>
      <c r="N24" s="1675"/>
      <c r="O24" s="1675"/>
      <c r="P24" s="1675"/>
      <c r="Q24" s="1675"/>
      <c r="R24" s="1675"/>
      <c r="S24" s="1675"/>
      <c r="T24" s="1675"/>
      <c r="U24" s="1675"/>
      <c r="V24" s="1675"/>
      <c r="W24" s="1675"/>
      <c r="X24" s="1675"/>
      <c r="Y24" s="1675"/>
      <c r="Z24" s="1675"/>
      <c r="AA24" s="1675"/>
      <c r="AB24" s="1675"/>
      <c r="AC24" s="1675"/>
      <c r="AD24" s="1675"/>
      <c r="AE24" s="1675"/>
      <c r="AF24" s="651"/>
      <c r="AG24" s="633"/>
      <c r="AH24" s="633"/>
      <c r="AI24" s="633"/>
      <c r="AJ24" s="633"/>
      <c r="AK24" s="640"/>
    </row>
    <row r="25" spans="1:37" ht="13.35" customHeight="1">
      <c r="A25" s="1075" t="s">
        <v>392</v>
      </c>
      <c r="B25" s="641">
        <v>20</v>
      </c>
      <c r="C25" s="641">
        <v>20</v>
      </c>
      <c r="D25" s="759">
        <v>40</v>
      </c>
      <c r="E25" s="1664">
        <v>0</v>
      </c>
      <c r="F25" s="1664">
        <v>0</v>
      </c>
      <c r="G25" s="1680">
        <v>0</v>
      </c>
      <c r="H25" s="1675"/>
      <c r="I25" s="84"/>
      <c r="J25" s="1675"/>
      <c r="K25" s="1675"/>
      <c r="L25" s="1675"/>
      <c r="M25" s="1675"/>
      <c r="N25" s="648" t="s">
        <v>1669</v>
      </c>
      <c r="O25" s="647"/>
      <c r="P25" s="633">
        <v>4</v>
      </c>
      <c r="Q25" s="633">
        <v>17</v>
      </c>
      <c r="R25" s="633">
        <v>21</v>
      </c>
      <c r="S25" s="633">
        <v>31</v>
      </c>
      <c r="T25" s="633"/>
      <c r="U25" s="633">
        <v>35</v>
      </c>
      <c r="V25" s="637">
        <f>AVERAGE(V4:V10)</f>
        <v>5.0942020421363213E-3</v>
      </c>
      <c r="W25" s="638">
        <v>1.8E-3</v>
      </c>
      <c r="X25" s="1675"/>
      <c r="Y25" s="1675"/>
      <c r="Z25" s="1675"/>
      <c r="AA25" s="1675"/>
      <c r="AB25" s="1675"/>
      <c r="AC25" s="1675"/>
      <c r="AD25" s="1675"/>
      <c r="AE25" s="1675"/>
      <c r="AF25" s="651"/>
      <c r="AG25" s="633"/>
      <c r="AH25" s="633"/>
      <c r="AI25" s="633"/>
      <c r="AJ25" s="633"/>
      <c r="AK25" s="640"/>
    </row>
    <row r="26" spans="1:37" ht="13.35" customHeight="1">
      <c r="A26" s="1075" t="s">
        <v>393</v>
      </c>
      <c r="B26" s="641">
        <v>20</v>
      </c>
      <c r="C26" s="641">
        <v>1</v>
      </c>
      <c r="D26" s="759">
        <v>21</v>
      </c>
      <c r="E26" s="1664">
        <v>0</v>
      </c>
      <c r="F26" s="1664">
        <v>0</v>
      </c>
      <c r="G26" s="1680">
        <v>0</v>
      </c>
      <c r="H26" s="1675"/>
      <c r="I26" s="84"/>
      <c r="J26" s="1675"/>
      <c r="K26" s="1675"/>
      <c r="L26" s="1675"/>
      <c r="M26" s="1675"/>
      <c r="N26" s="648" t="s">
        <v>1669</v>
      </c>
      <c r="O26" s="647"/>
      <c r="P26" s="633">
        <v>4</v>
      </c>
      <c r="Q26" s="633">
        <v>17</v>
      </c>
      <c r="R26" s="633">
        <v>21</v>
      </c>
      <c r="S26" s="633">
        <v>31</v>
      </c>
      <c r="T26" s="633"/>
      <c r="U26" s="633">
        <v>35</v>
      </c>
      <c r="V26" s="637">
        <f>AVERAGE(V5:V11)</f>
        <v>4.5776066615214562E-3</v>
      </c>
      <c r="W26" s="638">
        <v>1.8E-3</v>
      </c>
      <c r="X26" s="1675"/>
      <c r="Y26" s="1675"/>
      <c r="Z26" s="1675"/>
      <c r="AA26" s="1675"/>
      <c r="AB26" s="1675"/>
      <c r="AC26" s="1675"/>
      <c r="AD26" s="1675"/>
      <c r="AE26" s="1675"/>
      <c r="AF26" s="651"/>
      <c r="AG26" s="633"/>
      <c r="AH26" s="633"/>
      <c r="AI26" s="633"/>
      <c r="AJ26" s="633"/>
      <c r="AK26" s="640"/>
    </row>
    <row r="27" spans="1:37" ht="13.35" customHeight="1">
      <c r="A27" s="1075" t="s">
        <v>394</v>
      </c>
      <c r="B27" s="641">
        <v>24</v>
      </c>
      <c r="C27" s="641">
        <v>0</v>
      </c>
      <c r="D27" s="759">
        <v>24</v>
      </c>
      <c r="E27" s="1664">
        <v>0</v>
      </c>
      <c r="F27" s="1664">
        <v>0</v>
      </c>
      <c r="G27" s="1680">
        <v>0</v>
      </c>
      <c r="H27" s="639"/>
      <c r="I27" s="84"/>
      <c r="J27" s="1675"/>
      <c r="K27" s="1675"/>
      <c r="L27" s="1675"/>
      <c r="M27" s="1675"/>
      <c r="N27" s="648"/>
      <c r="O27" s="647"/>
      <c r="P27" s="633"/>
      <c r="Q27" s="633"/>
      <c r="R27" s="633"/>
      <c r="S27" s="633"/>
      <c r="T27" s="633"/>
      <c r="U27" s="633"/>
      <c r="V27" s="637"/>
      <c r="W27" s="638"/>
      <c r="X27" s="1675"/>
      <c r="Y27" s="1675"/>
      <c r="Z27" s="1675"/>
      <c r="AA27" s="1675"/>
      <c r="AB27" s="1675"/>
      <c r="AC27" s="1675"/>
      <c r="AD27" s="1675"/>
      <c r="AE27" s="1675"/>
      <c r="AF27" s="651"/>
      <c r="AG27" s="633"/>
      <c r="AH27" s="633"/>
      <c r="AI27" s="633"/>
      <c r="AJ27" s="633"/>
      <c r="AK27" s="640"/>
    </row>
    <row r="28" spans="1:37" ht="10.5" customHeight="1">
      <c r="A28" s="1217" t="s">
        <v>395</v>
      </c>
      <c r="B28" s="901">
        <v>0</v>
      </c>
      <c r="C28" s="901">
        <v>0</v>
      </c>
      <c r="D28" s="1303">
        <v>0</v>
      </c>
      <c r="E28" s="1667">
        <v>0</v>
      </c>
      <c r="F28" s="1667">
        <v>0</v>
      </c>
      <c r="G28" s="902">
        <v>0</v>
      </c>
      <c r="H28" s="1675"/>
      <c r="I28" s="1675"/>
      <c r="J28" s="1675"/>
      <c r="K28" s="1675"/>
      <c r="L28" s="1675"/>
      <c r="M28" s="1675"/>
      <c r="N28" s="648"/>
      <c r="O28" s="647"/>
      <c r="P28" s="633"/>
      <c r="Q28" s="633"/>
      <c r="R28" s="633"/>
      <c r="S28" s="633"/>
      <c r="T28" s="633"/>
      <c r="U28" s="633"/>
      <c r="V28" s="637"/>
      <c r="W28" s="638"/>
      <c r="X28" s="1675"/>
      <c r="Y28" s="1675"/>
      <c r="Z28" s="1675"/>
      <c r="AA28" s="1675"/>
      <c r="AB28" s="1675"/>
      <c r="AC28" s="1675"/>
      <c r="AD28" s="1675"/>
      <c r="AE28" s="1675"/>
      <c r="AF28" s="651" t="s">
        <v>1670</v>
      </c>
      <c r="AG28" s="633">
        <v>111</v>
      </c>
      <c r="AH28" s="633">
        <v>53</v>
      </c>
      <c r="AI28" s="633">
        <v>32</v>
      </c>
      <c r="AJ28" s="633">
        <v>21</v>
      </c>
      <c r="AK28" s="640">
        <v>5.0000000000000001E-3</v>
      </c>
    </row>
    <row r="29" spans="1:37" ht="29.25" customHeight="1">
      <c r="A29" s="2050" t="s">
        <v>1671</v>
      </c>
      <c r="B29" s="2050"/>
      <c r="C29" s="2050"/>
      <c r="D29" s="2050"/>
      <c r="E29" s="2050"/>
      <c r="F29" s="2050"/>
      <c r="G29" s="2050"/>
      <c r="H29" s="1675"/>
      <c r="I29" s="1675"/>
      <c r="J29" s="1675"/>
      <c r="K29" s="1675"/>
      <c r="L29" s="1675"/>
      <c r="M29" s="1675"/>
      <c r="N29" s="648"/>
      <c r="O29" s="647"/>
      <c r="P29" s="633"/>
      <c r="Q29" s="633"/>
      <c r="R29" s="633"/>
      <c r="S29" s="633"/>
      <c r="T29" s="633"/>
      <c r="U29" s="633"/>
      <c r="V29" s="637"/>
      <c r="W29" s="638"/>
      <c r="X29" s="1675"/>
      <c r="Y29" s="1675"/>
      <c r="Z29" s="1675"/>
      <c r="AA29" s="1675"/>
      <c r="AB29" s="1675"/>
      <c r="AC29" s="1675"/>
      <c r="AD29" s="1675"/>
      <c r="AE29" s="1675"/>
      <c r="AF29" s="655" t="s">
        <v>1672</v>
      </c>
      <c r="AG29" s="652">
        <v>334</v>
      </c>
      <c r="AH29" s="652">
        <v>171</v>
      </c>
      <c r="AI29" s="652">
        <v>88</v>
      </c>
      <c r="AJ29" s="652">
        <v>83</v>
      </c>
      <c r="AK29" s="656">
        <v>1.4E-2</v>
      </c>
    </row>
    <row r="30" spans="1:37" ht="15.75" customHeight="1">
      <c r="A30" s="2051" t="s">
        <v>1673</v>
      </c>
      <c r="B30" s="2051"/>
      <c r="C30" s="2051"/>
      <c r="D30" s="2051"/>
      <c r="E30" s="2051"/>
      <c r="F30" s="2051"/>
      <c r="G30" s="2051"/>
      <c r="H30" s="1675"/>
      <c r="I30" s="1675"/>
      <c r="J30" s="1675"/>
      <c r="K30" s="1675"/>
      <c r="L30" s="1675"/>
      <c r="M30" s="1675"/>
      <c r="N30" s="648" t="s">
        <v>1674</v>
      </c>
      <c r="O30" s="647"/>
      <c r="P30" s="633">
        <v>5</v>
      </c>
      <c r="Q30" s="633">
        <v>7</v>
      </c>
      <c r="R30" s="633">
        <v>11</v>
      </c>
      <c r="S30" s="633">
        <v>22</v>
      </c>
      <c r="T30" s="633"/>
      <c r="U30" s="633">
        <v>27</v>
      </c>
      <c r="V30" s="637">
        <f>AVERAGE(V11:V19)</f>
        <v>6.4098527822439733E-3</v>
      </c>
      <c r="W30" s="638">
        <v>1.4E-3</v>
      </c>
      <c r="X30" s="1675"/>
      <c r="Y30" s="1675"/>
      <c r="Z30" s="1675"/>
      <c r="AA30" s="1675"/>
      <c r="AB30" s="1675"/>
      <c r="AC30" s="1675"/>
      <c r="AD30" s="1675"/>
      <c r="AE30" s="1675"/>
      <c r="AF30" s="2052" t="s">
        <v>1675</v>
      </c>
      <c r="AG30" s="2052"/>
      <c r="AH30" s="2052"/>
      <c r="AI30" s="2052"/>
      <c r="AJ30" s="2052"/>
      <c r="AK30" s="2052"/>
    </row>
    <row r="31" spans="1:37" ht="14.25" customHeight="1">
      <c r="A31" s="2051"/>
      <c r="B31" s="2051"/>
      <c r="C31" s="2051"/>
      <c r="D31" s="2051"/>
      <c r="E31" s="2051"/>
      <c r="F31" s="2051"/>
      <c r="G31" s="2051"/>
      <c r="H31" s="1675"/>
      <c r="I31" s="1675"/>
      <c r="J31" s="1675"/>
      <c r="K31" s="1675"/>
      <c r="L31" s="1675"/>
      <c r="M31" s="1675"/>
      <c r="N31" s="2048" t="s">
        <v>1676</v>
      </c>
      <c r="O31" s="2049"/>
      <c r="P31" s="652">
        <v>9</v>
      </c>
      <c r="Q31" s="652">
        <v>10</v>
      </c>
      <c r="R31" s="652">
        <v>17</v>
      </c>
      <c r="S31" s="652">
        <v>83</v>
      </c>
      <c r="T31" s="652"/>
      <c r="U31" s="652">
        <v>90</v>
      </c>
      <c r="V31" s="653">
        <f>MAX(V10:V19)</f>
        <v>1.6371533578349484E-2</v>
      </c>
      <c r="W31" s="654">
        <v>4.4999999999999997E-3</v>
      </c>
      <c r="X31" s="1675"/>
      <c r="Y31" s="1675"/>
      <c r="Z31" s="1675"/>
      <c r="AA31" s="1675"/>
      <c r="AB31" s="1675"/>
      <c r="AC31" s="1675"/>
      <c r="AD31" s="1675"/>
      <c r="AE31" s="1675"/>
      <c r="AF31" s="1675"/>
      <c r="AG31" s="1675"/>
      <c r="AH31" s="1675"/>
      <c r="AI31" s="1675"/>
      <c r="AJ31" s="1675"/>
      <c r="AK31" s="1675"/>
    </row>
    <row r="32" spans="1:37">
      <c r="A32" s="1675"/>
      <c r="B32" s="1675"/>
      <c r="C32" s="1675"/>
      <c r="D32" s="1675"/>
      <c r="E32" s="1675"/>
      <c r="F32" s="1675"/>
      <c r="G32" s="1675"/>
      <c r="H32" s="1675"/>
      <c r="I32" s="1675"/>
      <c r="J32" s="1675"/>
      <c r="K32" s="1675"/>
      <c r="L32" s="1675"/>
      <c r="M32" s="1675"/>
      <c r="N32" s="2053" t="s">
        <v>1677</v>
      </c>
      <c r="O32" s="2053"/>
      <c r="P32" s="2053"/>
      <c r="Q32" s="2053"/>
      <c r="R32" s="2053"/>
      <c r="S32" s="2053"/>
      <c r="T32" s="2053"/>
      <c r="U32" s="2053"/>
      <c r="V32" s="2053"/>
      <c r="W32" s="2053"/>
      <c r="X32" s="1675"/>
      <c r="Y32" s="1675"/>
      <c r="Z32" s="1675"/>
      <c r="AA32" s="1675"/>
      <c r="AB32" s="1675"/>
      <c r="AC32" s="1675"/>
      <c r="AD32" s="1675"/>
      <c r="AE32" s="1675"/>
      <c r="AF32" s="1675"/>
      <c r="AG32" s="1675"/>
      <c r="AH32" s="1675"/>
      <c r="AI32" s="1675"/>
      <c r="AJ32" s="1675"/>
      <c r="AK32" s="1675"/>
    </row>
    <row r="33" spans="1:23">
      <c r="A33" s="1675"/>
      <c r="B33" s="1675"/>
      <c r="C33" s="1675"/>
      <c r="D33" s="1675"/>
      <c r="E33" s="1675"/>
      <c r="F33" s="1675"/>
      <c r="G33" s="1675"/>
      <c r="H33" s="1675"/>
      <c r="I33" s="1675"/>
      <c r="J33" s="1675"/>
      <c r="K33" s="1675"/>
      <c r="L33" s="1675"/>
      <c r="M33" s="1675"/>
      <c r="N33" s="2053" t="s">
        <v>1678</v>
      </c>
      <c r="O33" s="2053"/>
      <c r="P33" s="2053"/>
      <c r="Q33" s="2053"/>
      <c r="R33" s="2053"/>
      <c r="S33" s="2053"/>
      <c r="T33" s="2053"/>
      <c r="U33" s="2053"/>
      <c r="V33" s="2053"/>
      <c r="W33" s="2053"/>
    </row>
    <row r="34" spans="1:23" ht="15.75">
      <c r="A34" s="84" t="s">
        <v>87</v>
      </c>
      <c r="B34" s="1675"/>
      <c r="C34" s="1675"/>
      <c r="D34" s="1675"/>
      <c r="E34" s="1675"/>
      <c r="F34" s="1675"/>
      <c r="G34" s="1675"/>
      <c r="H34" s="1675"/>
      <c r="I34" s="1675"/>
      <c r="J34" s="1675"/>
      <c r="K34" s="1675"/>
      <c r="L34" s="1675"/>
      <c r="M34" s="1675"/>
      <c r="N34" s="2052" t="s">
        <v>1679</v>
      </c>
      <c r="O34" s="2052"/>
      <c r="P34" s="2052"/>
      <c r="Q34" s="2052"/>
      <c r="R34" s="2052"/>
      <c r="S34" s="2052"/>
      <c r="T34" s="1715"/>
      <c r="U34" s="1715"/>
      <c r="V34" s="1715"/>
      <c r="W34" s="1715"/>
    </row>
    <row r="35" spans="1:23" ht="15.75">
      <c r="A35" s="657"/>
      <c r="B35" s="1675"/>
      <c r="C35" s="1675"/>
      <c r="D35" s="1675"/>
      <c r="E35" s="1675"/>
      <c r="F35" s="1675"/>
      <c r="G35" s="1675"/>
      <c r="H35" s="1675"/>
      <c r="I35" s="1675"/>
      <c r="J35" s="1675"/>
      <c r="K35" s="1675"/>
      <c r="L35" s="1675"/>
      <c r="M35" s="1675"/>
      <c r="N35" s="1675"/>
      <c r="O35" s="1675"/>
      <c r="P35" s="1675"/>
      <c r="Q35" s="1675"/>
      <c r="R35" s="1675"/>
      <c r="S35" s="1675"/>
      <c r="T35" s="1675"/>
      <c r="U35" s="1675"/>
      <c r="V35" s="1675"/>
      <c r="W35" s="1675"/>
    </row>
  </sheetData>
  <mergeCells count="12">
    <mergeCell ref="AF30:AK30"/>
    <mergeCell ref="N33:W33"/>
    <mergeCell ref="N34:S34"/>
    <mergeCell ref="AF1:AK1"/>
    <mergeCell ref="O2:R2"/>
    <mergeCell ref="AH2:AK2"/>
    <mergeCell ref="N32:W32"/>
    <mergeCell ref="B4:D4"/>
    <mergeCell ref="E4:G4"/>
    <mergeCell ref="N31:O31"/>
    <mergeCell ref="A29:G29"/>
    <mergeCell ref="A30:G31"/>
  </mergeCell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604D3-FF7D-4267-BB12-B0178C51B2D5}">
  <sheetPr>
    <tabColor rgb="FFFBEF97"/>
  </sheetPr>
  <dimension ref="A1:H49"/>
  <sheetViews>
    <sheetView showGridLines="0" zoomScale="90" zoomScaleNormal="90" workbookViewId="0">
      <selection activeCell="J33" sqref="J33"/>
    </sheetView>
  </sheetViews>
  <sheetFormatPr defaultColWidth="9.33203125" defaultRowHeight="12.75"/>
  <cols>
    <col min="1" max="1" width="10.33203125" style="74" customWidth="1"/>
    <col min="2" max="5" width="17.83203125" style="74" customWidth="1"/>
    <col min="6" max="16384" width="9.33203125" style="74"/>
  </cols>
  <sheetData>
    <row r="1" spans="1:4" ht="15.75">
      <c r="A1" s="84" t="s">
        <v>141</v>
      </c>
      <c r="B1" s="1664"/>
      <c r="C1" s="244"/>
      <c r="D1" s="245"/>
    </row>
    <row r="2" spans="1:4" ht="15.75">
      <c r="A2" s="84" t="s">
        <v>1680</v>
      </c>
      <c r="B2" s="1664"/>
      <c r="C2" s="244"/>
      <c r="D2" s="245"/>
    </row>
    <row r="3" spans="1:4" ht="21" customHeight="1">
      <c r="A3" s="324" t="s">
        <v>1681</v>
      </c>
      <c r="B3" s="1664"/>
      <c r="C3" s="244"/>
      <c r="D3" s="245"/>
    </row>
    <row r="4" spans="1:4" ht="16.350000000000001" customHeight="1">
      <c r="A4" s="1654" t="s">
        <v>28</v>
      </c>
      <c r="B4" s="1676" t="s">
        <v>36</v>
      </c>
      <c r="C4" s="1676" t="s">
        <v>453</v>
      </c>
      <c r="D4" s="1655" t="s">
        <v>450</v>
      </c>
    </row>
    <row r="5" spans="1:4" ht="13.35" customHeight="1">
      <c r="A5" s="1671">
        <v>2008</v>
      </c>
      <c r="B5" s="641">
        <v>1096</v>
      </c>
      <c r="C5" s="1403">
        <v>785.24052551793841</v>
      </c>
      <c r="D5" s="1077">
        <v>310.75947448206165</v>
      </c>
    </row>
    <row r="6" spans="1:4" ht="13.35" customHeight="1">
      <c r="A6" s="1671">
        <v>2009</v>
      </c>
      <c r="B6" s="641">
        <v>651</v>
      </c>
      <c r="C6" s="1403">
        <v>530.10458081244599</v>
      </c>
      <c r="D6" s="1077">
        <v>120.89541918755401</v>
      </c>
    </row>
    <row r="7" spans="1:4" ht="13.35" customHeight="1">
      <c r="A7" s="1671">
        <v>2010</v>
      </c>
      <c r="B7" s="641">
        <v>1289</v>
      </c>
      <c r="C7" s="1403">
        <v>865.86852984386201</v>
      </c>
      <c r="D7" s="1077">
        <v>423.13147015613788</v>
      </c>
    </row>
    <row r="8" spans="1:4" ht="13.35" customHeight="1">
      <c r="A8" s="1671">
        <v>2011</v>
      </c>
      <c r="B8" s="641">
        <v>645</v>
      </c>
      <c r="C8" s="1403">
        <v>463.85384615384618</v>
      </c>
      <c r="D8" s="1077">
        <v>185.14615384615385</v>
      </c>
    </row>
    <row r="9" spans="1:4" ht="13.35" customHeight="1">
      <c r="A9" s="1671">
        <v>2012</v>
      </c>
      <c r="B9" s="641">
        <v>909</v>
      </c>
      <c r="C9" s="1403">
        <v>702.59992699397708</v>
      </c>
      <c r="D9" s="1077">
        <v>206.40007300602298</v>
      </c>
    </row>
    <row r="10" spans="1:4" ht="13.35" customHeight="1">
      <c r="A10" s="1671">
        <v>2013</v>
      </c>
      <c r="B10" s="641">
        <v>516</v>
      </c>
      <c r="C10" s="1403">
        <v>408.07894736842104</v>
      </c>
      <c r="D10" s="1077">
        <v>107.92105263157895</v>
      </c>
    </row>
    <row r="11" spans="1:4" ht="13.35" customHeight="1">
      <c r="A11" s="1671">
        <v>2014</v>
      </c>
      <c r="B11" s="641">
        <v>1099</v>
      </c>
      <c r="C11" s="1403">
        <v>808.11075785582261</v>
      </c>
      <c r="D11" s="1077">
        <v>290.88924214417744</v>
      </c>
    </row>
    <row r="12" spans="1:4" ht="13.35" customHeight="1">
      <c r="A12" s="1671">
        <v>2015</v>
      </c>
      <c r="B12" s="641">
        <v>363</v>
      </c>
      <c r="C12" s="1403">
        <v>267.7900627229123</v>
      </c>
      <c r="D12" s="1077">
        <v>93.20993727708769</v>
      </c>
    </row>
    <row r="13" spans="1:4" ht="13.35" customHeight="1">
      <c r="A13" s="1671">
        <v>2016</v>
      </c>
      <c r="B13" s="641">
        <v>976</v>
      </c>
      <c r="C13" s="1403">
        <v>788.24186958653377</v>
      </c>
      <c r="D13" s="1077">
        <v>187.75813041346626</v>
      </c>
    </row>
    <row r="14" spans="1:4" ht="13.35" customHeight="1">
      <c r="A14" s="1671">
        <v>2017</v>
      </c>
      <c r="B14" s="641">
        <v>602</v>
      </c>
      <c r="C14" s="1403">
        <v>457.90031509596105</v>
      </c>
      <c r="D14" s="1077">
        <v>144.09968490403895</v>
      </c>
    </row>
    <row r="15" spans="1:4" ht="13.35" customHeight="1">
      <c r="A15" s="1671">
        <v>2018</v>
      </c>
      <c r="B15" s="641">
        <v>629</v>
      </c>
      <c r="C15" s="1403">
        <v>481.35863026376677</v>
      </c>
      <c r="D15" s="1077">
        <v>147.64136973623323</v>
      </c>
    </row>
    <row r="16" spans="1:4" ht="13.35" customHeight="1">
      <c r="A16" s="1671">
        <v>2019</v>
      </c>
      <c r="B16" s="641">
        <v>182</v>
      </c>
      <c r="C16" s="1403">
        <v>182</v>
      </c>
      <c r="D16" s="1077">
        <v>0</v>
      </c>
    </row>
    <row r="17" spans="1:8" ht="13.35" customHeight="1">
      <c r="A17" s="1671">
        <v>2020</v>
      </c>
      <c r="B17" s="641">
        <v>121</v>
      </c>
      <c r="C17" s="1403">
        <v>81</v>
      </c>
      <c r="D17" s="1077">
        <v>40</v>
      </c>
      <c r="E17" s="1675"/>
      <c r="F17" s="1675"/>
      <c r="G17" s="1675"/>
      <c r="H17" s="1675"/>
    </row>
    <row r="18" spans="1:8" ht="13.35" customHeight="1">
      <c r="A18" s="1671">
        <v>2021</v>
      </c>
      <c r="B18" s="641">
        <v>167</v>
      </c>
      <c r="C18" s="1403">
        <v>132.99269692227438</v>
      </c>
      <c r="D18" s="1077">
        <v>34.007303077725609</v>
      </c>
      <c r="E18" s="1675"/>
      <c r="F18" s="1675"/>
      <c r="G18" s="1675"/>
      <c r="H18" s="1675"/>
    </row>
    <row r="19" spans="1:8" ht="13.35" customHeight="1">
      <c r="A19" s="1671">
        <v>2022</v>
      </c>
      <c r="B19" s="641">
        <v>298</v>
      </c>
      <c r="C19" s="1403">
        <v>207.10141987829616</v>
      </c>
      <c r="D19" s="1077">
        <v>90.898580121703844</v>
      </c>
      <c r="E19" s="1675"/>
      <c r="F19" s="1675"/>
      <c r="G19" s="1675"/>
      <c r="H19" s="1675"/>
    </row>
    <row r="20" spans="1:8" ht="13.35" customHeight="1">
      <c r="A20" s="1671">
        <v>2023</v>
      </c>
      <c r="B20" s="641">
        <v>140</v>
      </c>
      <c r="C20" s="1403">
        <f>B20-D20</f>
        <v>71.17977528089888</v>
      </c>
      <c r="D20" s="1077">
        <f>B20*G20</f>
        <v>68.82022471910112</v>
      </c>
      <c r="E20" s="1675"/>
      <c r="F20" s="1675"/>
      <c r="G20" s="1149">
        <v>0.49157303370786515</v>
      </c>
      <c r="H20" s="1675" t="s">
        <v>1682</v>
      </c>
    </row>
    <row r="21" spans="1:8" ht="13.35" customHeight="1">
      <c r="A21" s="1672">
        <v>2024</v>
      </c>
      <c r="B21" s="901">
        <v>628</v>
      </c>
      <c r="C21" s="1076">
        <f>B21-D21</f>
        <v>499</v>
      </c>
      <c r="D21" s="1078">
        <v>129</v>
      </c>
      <c r="E21" s="1675"/>
      <c r="F21" s="1675"/>
      <c r="G21" s="1149"/>
      <c r="H21" s="1675"/>
    </row>
    <row r="22" spans="1:8" ht="22.5" customHeight="1">
      <c r="A22" s="1304" t="s">
        <v>1683</v>
      </c>
      <c r="B22" s="1664"/>
      <c r="C22" s="1305"/>
      <c r="D22" s="1306"/>
      <c r="E22" s="1675"/>
      <c r="F22" s="1675"/>
      <c r="G22" s="1675"/>
      <c r="H22" s="1675"/>
    </row>
    <row r="23" spans="1:8" ht="16.5" customHeight="1">
      <c r="A23" s="1654" t="s">
        <v>28</v>
      </c>
      <c r="B23" s="1676" t="s">
        <v>36</v>
      </c>
      <c r="C23" s="1676" t="s">
        <v>453</v>
      </c>
      <c r="D23" s="1655" t="s">
        <v>450</v>
      </c>
      <c r="E23" s="1675"/>
      <c r="F23" s="1675"/>
      <c r="G23" s="1675"/>
      <c r="H23" s="1675"/>
    </row>
    <row r="24" spans="1:8" ht="13.35" customHeight="1">
      <c r="A24" s="1671">
        <v>2008</v>
      </c>
      <c r="B24" s="641">
        <v>56</v>
      </c>
      <c r="C24" s="1403">
        <v>56</v>
      </c>
      <c r="D24" s="1077">
        <v>0</v>
      </c>
      <c r="E24" s="1675"/>
      <c r="F24" s="1675"/>
      <c r="G24" s="1675"/>
      <c r="H24" s="1675"/>
    </row>
    <row r="25" spans="1:8" ht="13.35" customHeight="1">
      <c r="A25" s="1671">
        <v>2009</v>
      </c>
      <c r="B25" s="641">
        <v>65</v>
      </c>
      <c r="C25" s="1403">
        <v>59.8</v>
      </c>
      <c r="D25" s="1077">
        <v>5.2</v>
      </c>
      <c r="E25" s="1675"/>
      <c r="F25" s="1675"/>
      <c r="G25" s="1675"/>
      <c r="H25" s="1675"/>
    </row>
    <row r="26" spans="1:8" ht="13.35" customHeight="1">
      <c r="A26" s="1671">
        <v>2010</v>
      </c>
      <c r="B26" s="641">
        <v>229</v>
      </c>
      <c r="C26" s="1403">
        <v>182.51999999999998</v>
      </c>
      <c r="D26" s="1077">
        <v>47.480000000000004</v>
      </c>
      <c r="E26" s="1675"/>
      <c r="F26" s="1675"/>
      <c r="G26" s="1675"/>
      <c r="H26" s="1675"/>
    </row>
    <row r="27" spans="1:8" ht="13.35" customHeight="1">
      <c r="A27" s="1671">
        <v>2011</v>
      </c>
      <c r="B27" s="641">
        <v>17</v>
      </c>
      <c r="C27" s="1403">
        <v>17</v>
      </c>
      <c r="D27" s="1077">
        <v>0</v>
      </c>
      <c r="E27" s="1675"/>
      <c r="F27" s="1675"/>
      <c r="G27" s="1675"/>
      <c r="H27" s="1675"/>
    </row>
    <row r="28" spans="1:8" ht="13.35" customHeight="1">
      <c r="A28" s="1671">
        <v>2012</v>
      </c>
      <c r="B28" s="641">
        <v>55</v>
      </c>
      <c r="C28" s="1403">
        <v>41</v>
      </c>
      <c r="D28" s="1077">
        <v>14</v>
      </c>
      <c r="E28" s="1675"/>
      <c r="F28" s="1675"/>
      <c r="G28" s="1675"/>
      <c r="H28" s="1675"/>
    </row>
    <row r="29" spans="1:8" ht="13.35" customHeight="1">
      <c r="A29" s="1671">
        <v>2013</v>
      </c>
      <c r="B29" s="641">
        <v>22</v>
      </c>
      <c r="C29" s="1403">
        <v>22</v>
      </c>
      <c r="D29" s="1077">
        <v>0</v>
      </c>
      <c r="E29" s="1675"/>
      <c r="F29" s="1675"/>
      <c r="G29" s="1675"/>
      <c r="H29" s="1675"/>
    </row>
    <row r="30" spans="1:8" ht="13.35" customHeight="1">
      <c r="A30" s="1671">
        <v>2014</v>
      </c>
      <c r="B30" s="641">
        <v>51</v>
      </c>
      <c r="C30" s="1403">
        <v>35</v>
      </c>
      <c r="D30" s="1077">
        <v>16</v>
      </c>
      <c r="E30" s="1675"/>
      <c r="F30" s="1675"/>
      <c r="G30" s="1675"/>
      <c r="H30" s="1675"/>
    </row>
    <row r="31" spans="1:8" ht="13.35" customHeight="1">
      <c r="A31" s="1671">
        <v>2015</v>
      </c>
      <c r="B31" s="641">
        <v>65</v>
      </c>
      <c r="C31" s="1403">
        <v>39</v>
      </c>
      <c r="D31" s="1077">
        <v>26</v>
      </c>
      <c r="E31" s="1675"/>
      <c r="F31" s="1675"/>
      <c r="G31" s="1675"/>
      <c r="H31" s="1675"/>
    </row>
    <row r="32" spans="1:8" ht="13.35" customHeight="1">
      <c r="A32" s="1671">
        <v>2016</v>
      </c>
      <c r="B32" s="641">
        <v>56</v>
      </c>
      <c r="C32" s="1403">
        <v>31</v>
      </c>
      <c r="D32" s="1077">
        <v>25</v>
      </c>
      <c r="E32" s="1675"/>
      <c r="F32" s="1675"/>
      <c r="G32" s="1675"/>
      <c r="H32" s="1675"/>
    </row>
    <row r="33" spans="1:5" ht="13.35" customHeight="1">
      <c r="A33" s="1671">
        <v>2017</v>
      </c>
      <c r="B33" s="641">
        <v>88</v>
      </c>
      <c r="C33" s="1403">
        <v>76</v>
      </c>
      <c r="D33" s="1077">
        <v>12</v>
      </c>
      <c r="E33" s="1675"/>
    </row>
    <row r="34" spans="1:5" ht="13.35" customHeight="1">
      <c r="A34" s="1671">
        <v>2018</v>
      </c>
      <c r="B34" s="641">
        <v>28</v>
      </c>
      <c r="C34" s="1403">
        <v>15</v>
      </c>
      <c r="D34" s="1077">
        <v>13</v>
      </c>
      <c r="E34" s="1675"/>
    </row>
    <row r="35" spans="1:5" ht="13.35" customHeight="1">
      <c r="A35" s="1671">
        <v>2019</v>
      </c>
      <c r="B35" s="641">
        <v>24</v>
      </c>
      <c r="C35" s="1403">
        <v>4</v>
      </c>
      <c r="D35" s="1077">
        <v>20</v>
      </c>
      <c r="E35" s="1675"/>
    </row>
    <row r="36" spans="1:5" ht="13.35" customHeight="1">
      <c r="A36" s="1671">
        <v>2020</v>
      </c>
      <c r="B36" s="641">
        <v>0</v>
      </c>
      <c r="C36" s="1403">
        <v>0</v>
      </c>
      <c r="D36" s="1077">
        <v>0</v>
      </c>
      <c r="E36" s="1675"/>
    </row>
    <row r="37" spans="1:5" ht="13.35" customHeight="1">
      <c r="A37" s="1671">
        <v>2021</v>
      </c>
      <c r="B37" s="641">
        <v>20</v>
      </c>
      <c r="C37" s="1403">
        <v>20</v>
      </c>
      <c r="D37" s="1077">
        <v>0</v>
      </c>
      <c r="E37" s="1675"/>
    </row>
    <row r="38" spans="1:5" ht="13.35" customHeight="1">
      <c r="A38" s="1671">
        <v>2022</v>
      </c>
      <c r="B38" s="641">
        <v>28</v>
      </c>
      <c r="C38" s="1403">
        <v>5</v>
      </c>
      <c r="D38" s="1077">
        <v>23</v>
      </c>
      <c r="E38" s="1675"/>
    </row>
    <row r="39" spans="1:5" ht="13.35" customHeight="1">
      <c r="A39" s="1671">
        <v>2023</v>
      </c>
      <c r="B39" s="641">
        <v>0</v>
      </c>
      <c r="C39" s="1403">
        <v>0</v>
      </c>
      <c r="D39" s="1077">
        <v>0</v>
      </c>
      <c r="E39" s="639"/>
    </row>
    <row r="40" spans="1:5" ht="12" customHeight="1">
      <c r="A40" s="1672">
        <v>2024</v>
      </c>
      <c r="B40" s="901">
        <v>89</v>
      </c>
      <c r="C40" s="1076">
        <v>77</v>
      </c>
      <c r="D40" s="1078">
        <v>12</v>
      </c>
      <c r="E40" s="1675"/>
    </row>
    <row r="41" spans="1:5" ht="42" customHeight="1">
      <c r="A41" s="1757" t="s">
        <v>1684</v>
      </c>
      <c r="B41" s="1757"/>
      <c r="C41" s="1757"/>
      <c r="D41" s="1757"/>
      <c r="E41" s="1675"/>
    </row>
    <row r="42" spans="1:5" ht="38.25" customHeight="1">
      <c r="A42" s="1757" t="s">
        <v>1685</v>
      </c>
      <c r="B42" s="1757"/>
      <c r="C42" s="1757"/>
      <c r="D42" s="1757"/>
      <c r="E42" s="1675"/>
    </row>
    <row r="43" spans="1:5" ht="38.1" customHeight="1">
      <c r="A43" s="1675"/>
      <c r="B43" s="1675"/>
      <c r="C43" s="1675"/>
      <c r="D43" s="1675"/>
      <c r="E43" s="1675"/>
    </row>
    <row r="44" spans="1:5" ht="15.75" customHeight="1">
      <c r="A44" s="84" t="s">
        <v>87</v>
      </c>
      <c r="B44" s="1675"/>
      <c r="C44" s="1675"/>
      <c r="D44" s="1675"/>
      <c r="E44" s="1675"/>
    </row>
    <row r="45" spans="1:5" ht="15.75">
      <c r="A45" s="84" t="s">
        <v>1686</v>
      </c>
      <c r="B45" s="1675"/>
      <c r="C45" s="1675"/>
      <c r="D45" s="1675"/>
      <c r="E45" s="1675"/>
    </row>
    <row r="46" spans="1:5" ht="15.75">
      <c r="A46" s="84"/>
      <c r="B46" s="1675"/>
      <c r="C46" s="1675"/>
      <c r="D46" s="1675"/>
      <c r="E46" s="1675"/>
    </row>
    <row r="47" spans="1:5" ht="15.75">
      <c r="A47" s="84"/>
      <c r="B47" s="1675"/>
      <c r="C47" s="1675"/>
      <c r="D47" s="1675"/>
      <c r="E47" s="1675"/>
    </row>
    <row r="49" spans="5:5" ht="15.75">
      <c r="E49" s="84"/>
    </row>
  </sheetData>
  <mergeCells count="2">
    <mergeCell ref="A41:D41"/>
    <mergeCell ref="A42:D42"/>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0057-AE52-4CED-8EF7-2C8E3727F7CB}">
  <sheetPr>
    <tabColor rgb="FFFBEF97"/>
  </sheetPr>
  <dimension ref="A1:V37"/>
  <sheetViews>
    <sheetView showGridLines="0" zoomScaleNormal="100" workbookViewId="0">
      <selection activeCell="S41" sqref="S41"/>
    </sheetView>
  </sheetViews>
  <sheetFormatPr defaultColWidth="9.33203125" defaultRowHeight="12.75"/>
  <cols>
    <col min="1" max="1" width="10.83203125" style="74" customWidth="1"/>
    <col min="2" max="8" width="15.83203125" style="74" customWidth="1"/>
    <col min="9" max="16384" width="9.33203125" style="74"/>
  </cols>
  <sheetData>
    <row r="1" spans="1:22" ht="15.75">
      <c r="A1" s="84" t="s">
        <v>141</v>
      </c>
      <c r="B1" s="246"/>
      <c r="C1" s="246"/>
      <c r="D1" s="1675"/>
      <c r="E1" s="1675"/>
      <c r="F1" s="246"/>
      <c r="G1" s="246"/>
      <c r="H1" s="246"/>
      <c r="I1" s="1675"/>
      <c r="J1" s="1675"/>
      <c r="K1" s="1675"/>
      <c r="L1" s="1675"/>
      <c r="M1" s="1675"/>
      <c r="N1" s="1675"/>
      <c r="O1" s="1675"/>
      <c r="P1" s="1675"/>
      <c r="Q1" s="1675"/>
      <c r="R1" s="1675"/>
      <c r="S1" s="1675"/>
      <c r="T1" s="1675"/>
      <c r="U1" s="1675"/>
      <c r="V1" s="1675"/>
    </row>
    <row r="2" spans="1:22" ht="19.5" thickBot="1">
      <c r="A2" s="84" t="s">
        <v>1687</v>
      </c>
      <c r="B2" s="246"/>
      <c r="C2" s="246"/>
      <c r="D2" s="1675"/>
      <c r="E2" s="1675"/>
      <c r="F2" s="246"/>
      <c r="G2" s="246"/>
      <c r="H2" s="246"/>
      <c r="I2" s="1675"/>
      <c r="J2" s="1675"/>
      <c r="K2" s="1675"/>
      <c r="L2" s="658" t="s">
        <v>1688</v>
      </c>
      <c r="M2" s="1675"/>
      <c r="N2" s="1675"/>
      <c r="O2" s="1675"/>
      <c r="P2" s="1675"/>
      <c r="Q2" s="1675"/>
      <c r="R2" s="1675"/>
      <c r="S2" s="1675"/>
      <c r="T2" s="1675"/>
      <c r="U2" s="1675"/>
      <c r="V2" s="1675"/>
    </row>
    <row r="3" spans="1:22" ht="15.75">
      <c r="A3" s="84"/>
      <c r="B3" s="246"/>
      <c r="C3" s="246"/>
      <c r="D3" s="1675"/>
      <c r="E3" s="1675"/>
      <c r="F3" s="246"/>
      <c r="G3" s="246"/>
      <c r="H3" s="246"/>
      <c r="I3" s="1675"/>
      <c r="J3" s="1675"/>
      <c r="K3" s="1675"/>
      <c r="L3" s="659"/>
      <c r="M3" s="666"/>
      <c r="N3" s="2062" t="s">
        <v>1689</v>
      </c>
      <c r="O3" s="2063"/>
      <c r="P3" s="2063"/>
      <c r="Q3" s="2064" t="s">
        <v>450</v>
      </c>
      <c r="R3" s="2063"/>
      <c r="S3" s="2065"/>
      <c r="T3" s="2064"/>
      <c r="U3" s="2063"/>
      <c r="V3" s="2065"/>
    </row>
    <row r="4" spans="1:22" ht="13.5" thickBot="1">
      <c r="A4" s="1654" t="s">
        <v>28</v>
      </c>
      <c r="B4" s="1676" t="s">
        <v>1690</v>
      </c>
      <c r="C4" s="1676" t="s">
        <v>1691</v>
      </c>
      <c r="D4" s="1676" t="s">
        <v>1692</v>
      </c>
      <c r="E4" s="1676" t="s">
        <v>1693</v>
      </c>
      <c r="F4" s="1676" t="s">
        <v>1694</v>
      </c>
      <c r="G4" s="1676" t="s">
        <v>1695</v>
      </c>
      <c r="H4" s="1655" t="s">
        <v>36</v>
      </c>
      <c r="I4" s="1675"/>
      <c r="J4" s="1645"/>
      <c r="K4" s="1675"/>
      <c r="L4" s="2066" t="s">
        <v>402</v>
      </c>
      <c r="M4" s="2067"/>
      <c r="N4" s="667" t="s">
        <v>511</v>
      </c>
      <c r="O4" s="660" t="s">
        <v>512</v>
      </c>
      <c r="P4" s="661" t="s">
        <v>36</v>
      </c>
      <c r="Q4" s="667" t="s">
        <v>511</v>
      </c>
      <c r="R4" s="660" t="s">
        <v>512</v>
      </c>
      <c r="S4" s="661" t="s">
        <v>36</v>
      </c>
      <c r="T4" s="660" t="s">
        <v>511</v>
      </c>
      <c r="U4" s="660" t="s">
        <v>512</v>
      </c>
      <c r="V4" s="661" t="s">
        <v>36</v>
      </c>
    </row>
    <row r="5" spans="1:22">
      <c r="A5" s="1671">
        <v>1999</v>
      </c>
      <c r="B5" s="1404" t="s">
        <v>97</v>
      </c>
      <c r="C5" s="1405" t="s">
        <v>97</v>
      </c>
      <c r="D5" s="1405" t="s">
        <v>97</v>
      </c>
      <c r="E5" s="1404" t="s">
        <v>97</v>
      </c>
      <c r="F5" s="1404" t="s">
        <v>97</v>
      </c>
      <c r="G5" s="1404" t="s">
        <v>97</v>
      </c>
      <c r="H5" s="1079">
        <v>2952</v>
      </c>
      <c r="I5" s="1675"/>
      <c r="J5" s="1675"/>
      <c r="K5" s="1675"/>
      <c r="L5" s="662">
        <v>2008</v>
      </c>
      <c r="M5" s="663">
        <v>2009</v>
      </c>
      <c r="N5" s="668">
        <v>1753</v>
      </c>
      <c r="O5" s="663">
        <v>694</v>
      </c>
      <c r="P5" s="669">
        <v>2447</v>
      </c>
      <c r="Q5" s="659">
        <v>614</v>
      </c>
      <c r="R5" s="663">
        <v>142</v>
      </c>
      <c r="S5" s="670">
        <v>756</v>
      </c>
      <c r="T5" s="671">
        <v>2368</v>
      </c>
      <c r="U5" s="663">
        <v>836</v>
      </c>
      <c r="V5" s="669">
        <v>3203</v>
      </c>
    </row>
    <row r="6" spans="1:22">
      <c r="A6" s="1671">
        <v>2000</v>
      </c>
      <c r="B6" s="1404" t="s">
        <v>97</v>
      </c>
      <c r="C6" s="1405" t="s">
        <v>97</v>
      </c>
      <c r="D6" s="1405" t="s">
        <v>97</v>
      </c>
      <c r="E6" s="1404" t="s">
        <v>97</v>
      </c>
      <c r="F6" s="1404" t="s">
        <v>97</v>
      </c>
      <c r="G6" s="1404" t="s">
        <v>97</v>
      </c>
      <c r="H6" s="1079">
        <v>1670</v>
      </c>
      <c r="I6" s="1675"/>
      <c r="J6" s="1675"/>
      <c r="K6" s="1675"/>
      <c r="L6" s="662">
        <v>2009</v>
      </c>
      <c r="M6" s="663">
        <v>2010</v>
      </c>
      <c r="N6" s="668">
        <v>2193</v>
      </c>
      <c r="O6" s="663">
        <v>605</v>
      </c>
      <c r="P6" s="669">
        <v>2798</v>
      </c>
      <c r="Q6" s="672">
        <v>527</v>
      </c>
      <c r="R6" s="663">
        <v>210</v>
      </c>
      <c r="S6" s="670">
        <v>737</v>
      </c>
      <c r="T6" s="671">
        <v>2720</v>
      </c>
      <c r="U6" s="663">
        <v>815</v>
      </c>
      <c r="V6" s="669">
        <v>3535</v>
      </c>
    </row>
    <row r="7" spans="1:22">
      <c r="A7" s="1671">
        <v>2001</v>
      </c>
      <c r="B7" s="1404" t="s">
        <v>97</v>
      </c>
      <c r="C7" s="1405" t="s">
        <v>97</v>
      </c>
      <c r="D7" s="1405" t="s">
        <v>97</v>
      </c>
      <c r="E7" s="1404" t="s">
        <v>97</v>
      </c>
      <c r="F7" s="1404" t="s">
        <v>97</v>
      </c>
      <c r="G7" s="1404" t="s">
        <v>97</v>
      </c>
      <c r="H7" s="1079">
        <v>8220</v>
      </c>
      <c r="I7" s="1675"/>
      <c r="J7" s="1675"/>
      <c r="K7" s="1675"/>
      <c r="L7" s="662">
        <v>2010</v>
      </c>
      <c r="M7" s="663">
        <v>2011</v>
      </c>
      <c r="N7" s="668">
        <v>5067</v>
      </c>
      <c r="O7" s="671">
        <v>3022</v>
      </c>
      <c r="P7" s="669">
        <v>8089</v>
      </c>
      <c r="Q7" s="673">
        <v>1857</v>
      </c>
      <c r="R7" s="671">
        <v>1011</v>
      </c>
      <c r="S7" s="674">
        <v>2868</v>
      </c>
      <c r="T7" s="671">
        <v>6924</v>
      </c>
      <c r="U7" s="671">
        <v>4033</v>
      </c>
      <c r="V7" s="669">
        <v>10957</v>
      </c>
    </row>
    <row r="8" spans="1:22">
      <c r="A8" s="1671">
        <v>2002</v>
      </c>
      <c r="B8" s="1404" t="s">
        <v>97</v>
      </c>
      <c r="C8" s="1405" t="s">
        <v>97</v>
      </c>
      <c r="D8" s="1405" t="s">
        <v>97</v>
      </c>
      <c r="E8" s="1404" t="s">
        <v>97</v>
      </c>
      <c r="F8" s="1404" t="s">
        <v>97</v>
      </c>
      <c r="G8" s="1404" t="s">
        <v>97</v>
      </c>
      <c r="H8" s="1079">
        <v>4967</v>
      </c>
      <c r="I8" s="1675"/>
      <c r="J8" s="1675"/>
      <c r="K8" s="1675"/>
      <c r="L8" s="662">
        <v>2011</v>
      </c>
      <c r="M8" s="663">
        <v>2012</v>
      </c>
      <c r="N8" s="668">
        <v>1848</v>
      </c>
      <c r="O8" s="663">
        <v>943</v>
      </c>
      <c r="P8" s="669">
        <v>2790</v>
      </c>
      <c r="Q8" s="672">
        <v>658</v>
      </c>
      <c r="R8" s="663">
        <v>545</v>
      </c>
      <c r="S8" s="674">
        <v>1203</v>
      </c>
      <c r="T8" s="671">
        <v>2506</v>
      </c>
      <c r="U8" s="671">
        <v>1487</v>
      </c>
      <c r="V8" s="669">
        <v>3993</v>
      </c>
    </row>
    <row r="9" spans="1:22">
      <c r="A9" s="1671">
        <v>2003</v>
      </c>
      <c r="B9" s="1404" t="s">
        <v>97</v>
      </c>
      <c r="C9" s="1405" t="s">
        <v>97</v>
      </c>
      <c r="D9" s="1405" t="s">
        <v>97</v>
      </c>
      <c r="E9" s="1404" t="s">
        <v>97</v>
      </c>
      <c r="F9" s="1404" t="s">
        <v>97</v>
      </c>
      <c r="G9" s="1404" t="s">
        <v>97</v>
      </c>
      <c r="H9" s="1079">
        <v>4455</v>
      </c>
      <c r="I9" s="1675"/>
      <c r="J9" s="1675"/>
      <c r="K9" s="1675"/>
      <c r="L9" s="662">
        <v>2012</v>
      </c>
      <c r="M9" s="663">
        <v>2013</v>
      </c>
      <c r="N9" s="662">
        <v>921</v>
      </c>
      <c r="O9" s="663">
        <v>112</v>
      </c>
      <c r="P9" s="669">
        <v>1034</v>
      </c>
      <c r="Q9" s="672">
        <v>399</v>
      </c>
      <c r="R9" s="663">
        <v>80</v>
      </c>
      <c r="S9" s="670">
        <v>478</v>
      </c>
      <c r="T9" s="671">
        <v>1320</v>
      </c>
      <c r="U9" s="663">
        <v>192</v>
      </c>
      <c r="V9" s="669">
        <v>1512</v>
      </c>
    </row>
    <row r="10" spans="1:22">
      <c r="A10" s="1671">
        <v>2004</v>
      </c>
      <c r="B10" s="1404" t="s">
        <v>97</v>
      </c>
      <c r="C10" s="1405" t="s">
        <v>97</v>
      </c>
      <c r="D10" s="1405" t="s">
        <v>97</v>
      </c>
      <c r="E10" s="1404" t="s">
        <v>97</v>
      </c>
      <c r="F10" s="1404" t="s">
        <v>97</v>
      </c>
      <c r="G10" s="1404" t="s">
        <v>97</v>
      </c>
      <c r="H10" s="1079">
        <v>5514</v>
      </c>
      <c r="I10" s="1675"/>
      <c r="J10" s="1675"/>
      <c r="K10" s="1675"/>
      <c r="L10" s="662">
        <v>2013</v>
      </c>
      <c r="M10" s="663">
        <v>2014</v>
      </c>
      <c r="N10" s="668">
        <v>2975</v>
      </c>
      <c r="O10" s="663">
        <v>87</v>
      </c>
      <c r="P10" s="669">
        <v>3062</v>
      </c>
      <c r="Q10" s="673">
        <v>2256</v>
      </c>
      <c r="R10" s="663">
        <v>55</v>
      </c>
      <c r="S10" s="674">
        <v>2310</v>
      </c>
      <c r="T10" s="671">
        <v>5231</v>
      </c>
      <c r="U10" s="663">
        <v>142</v>
      </c>
      <c r="V10" s="669">
        <v>5372</v>
      </c>
    </row>
    <row r="11" spans="1:22">
      <c r="A11" s="1671">
        <v>2005</v>
      </c>
      <c r="B11" s="1404" t="s">
        <v>97</v>
      </c>
      <c r="C11" s="1405" t="s">
        <v>97</v>
      </c>
      <c r="D11" s="1405" t="s">
        <v>97</v>
      </c>
      <c r="E11" s="1404" t="s">
        <v>97</v>
      </c>
      <c r="F11" s="1404" t="s">
        <v>97</v>
      </c>
      <c r="G11" s="1404" t="s">
        <v>97</v>
      </c>
      <c r="H11" s="1079">
        <v>3552</v>
      </c>
      <c r="I11" s="1675"/>
      <c r="J11" s="1675"/>
      <c r="K11" s="1675"/>
      <c r="L11" s="662">
        <v>2014</v>
      </c>
      <c r="M11" s="663">
        <v>2015</v>
      </c>
      <c r="N11" s="668">
        <v>4670</v>
      </c>
      <c r="O11" s="663">
        <v>575</v>
      </c>
      <c r="P11" s="669">
        <v>5245</v>
      </c>
      <c r="Q11" s="673">
        <v>3173</v>
      </c>
      <c r="R11" s="663">
        <v>370</v>
      </c>
      <c r="S11" s="674">
        <v>3543</v>
      </c>
      <c r="T11" s="671">
        <v>7843</v>
      </c>
      <c r="U11" s="663">
        <v>945</v>
      </c>
      <c r="V11" s="669">
        <v>8788</v>
      </c>
    </row>
    <row r="12" spans="1:22">
      <c r="A12" s="1671">
        <v>2006</v>
      </c>
      <c r="B12" s="1404" t="s">
        <v>97</v>
      </c>
      <c r="C12" s="1405" t="s">
        <v>97</v>
      </c>
      <c r="D12" s="1405" t="s">
        <v>97</v>
      </c>
      <c r="E12" s="1404" t="s">
        <v>97</v>
      </c>
      <c r="F12" s="1404" t="s">
        <v>97</v>
      </c>
      <c r="G12" s="1404" t="s">
        <v>97</v>
      </c>
      <c r="H12" s="1079">
        <v>1345</v>
      </c>
      <c r="I12" s="1675"/>
      <c r="J12" s="1675"/>
      <c r="K12" s="1675"/>
      <c r="L12" s="662">
        <v>2015</v>
      </c>
      <c r="M12" s="663">
        <v>2016</v>
      </c>
      <c r="N12" s="668">
        <v>1431</v>
      </c>
      <c r="O12" s="663">
        <v>257</v>
      </c>
      <c r="P12" s="669">
        <v>1688</v>
      </c>
      <c r="Q12" s="673">
        <v>1107</v>
      </c>
      <c r="R12" s="663">
        <v>71</v>
      </c>
      <c r="S12" s="674">
        <v>1178</v>
      </c>
      <c r="T12" s="671">
        <v>2538</v>
      </c>
      <c r="U12" s="663">
        <v>328</v>
      </c>
      <c r="V12" s="669">
        <v>2866</v>
      </c>
    </row>
    <row r="13" spans="1:22">
      <c r="A13" s="1671">
        <v>2007</v>
      </c>
      <c r="B13" s="1404" t="s">
        <v>97</v>
      </c>
      <c r="C13" s="1405" t="s">
        <v>97</v>
      </c>
      <c r="D13" s="1405" t="s">
        <v>97</v>
      </c>
      <c r="E13" s="1404" t="s">
        <v>97</v>
      </c>
      <c r="F13" s="1404" t="s">
        <v>97</v>
      </c>
      <c r="G13" s="1404" t="s">
        <v>97</v>
      </c>
      <c r="H13" s="1079">
        <v>1039</v>
      </c>
      <c r="I13" s="1675"/>
      <c r="J13" s="1675"/>
      <c r="K13" s="1675"/>
      <c r="L13" s="662">
        <v>2016</v>
      </c>
      <c r="M13" s="663">
        <v>2017</v>
      </c>
      <c r="N13" s="668">
        <v>1866</v>
      </c>
      <c r="O13" s="663">
        <v>243</v>
      </c>
      <c r="P13" s="669">
        <v>2109</v>
      </c>
      <c r="Q13" s="673">
        <v>1020</v>
      </c>
      <c r="R13" s="663">
        <v>33</v>
      </c>
      <c r="S13" s="674">
        <v>1053</v>
      </c>
      <c r="T13" s="671">
        <v>2886</v>
      </c>
      <c r="U13" s="663">
        <v>276</v>
      </c>
      <c r="V13" s="669">
        <v>3161</v>
      </c>
    </row>
    <row r="14" spans="1:22">
      <c r="A14" s="1671">
        <v>2008</v>
      </c>
      <c r="B14" s="1406">
        <v>1753</v>
      </c>
      <c r="C14" s="1403">
        <v>614</v>
      </c>
      <c r="D14" s="1403">
        <v>694</v>
      </c>
      <c r="E14" s="1406">
        <v>142</v>
      </c>
      <c r="F14" s="1406">
        <v>2447</v>
      </c>
      <c r="G14" s="1406">
        <v>756</v>
      </c>
      <c r="H14" s="1079">
        <v>3203</v>
      </c>
      <c r="I14" s="1675"/>
      <c r="J14" s="1675"/>
      <c r="K14" s="1675"/>
      <c r="L14" s="662">
        <v>2017</v>
      </c>
      <c r="M14" s="663">
        <v>2018</v>
      </c>
      <c r="N14" s="662">
        <v>445</v>
      </c>
      <c r="O14" s="663">
        <v>36</v>
      </c>
      <c r="P14" s="664">
        <v>481</v>
      </c>
      <c r="Q14" s="672">
        <v>182</v>
      </c>
      <c r="R14" s="663">
        <v>2</v>
      </c>
      <c r="S14" s="670">
        <v>184</v>
      </c>
      <c r="T14" s="663">
        <v>627</v>
      </c>
      <c r="U14" s="663">
        <v>38</v>
      </c>
      <c r="V14" s="664">
        <v>665</v>
      </c>
    </row>
    <row r="15" spans="1:22">
      <c r="A15" s="1671">
        <v>2009</v>
      </c>
      <c r="B15" s="1406">
        <v>2193</v>
      </c>
      <c r="C15" s="1403">
        <v>527</v>
      </c>
      <c r="D15" s="1403">
        <v>605</v>
      </c>
      <c r="E15" s="1406">
        <v>210</v>
      </c>
      <c r="F15" s="1406">
        <v>2798</v>
      </c>
      <c r="G15" s="1406">
        <v>737</v>
      </c>
      <c r="H15" s="1079">
        <v>3535</v>
      </c>
      <c r="I15" s="1675"/>
      <c r="J15" s="1675"/>
      <c r="K15" s="1675"/>
      <c r="L15" s="662">
        <v>2018</v>
      </c>
      <c r="M15" s="663">
        <v>2019</v>
      </c>
      <c r="N15" s="662">
        <v>68</v>
      </c>
      <c r="O15" s="663">
        <v>127</v>
      </c>
      <c r="P15" s="664">
        <v>195</v>
      </c>
      <c r="Q15" s="672">
        <v>73</v>
      </c>
      <c r="R15" s="663">
        <v>46</v>
      </c>
      <c r="S15" s="670">
        <v>119</v>
      </c>
      <c r="T15" s="663">
        <v>195</v>
      </c>
      <c r="U15" s="663">
        <v>322</v>
      </c>
      <c r="V15" s="664">
        <v>314</v>
      </c>
    </row>
    <row r="16" spans="1:22" ht="13.5" thickBot="1">
      <c r="A16" s="1671">
        <v>2010</v>
      </c>
      <c r="B16" s="1406">
        <v>5067</v>
      </c>
      <c r="C16" s="1403">
        <v>1857</v>
      </c>
      <c r="D16" s="1403">
        <v>3022</v>
      </c>
      <c r="E16" s="1406">
        <v>1011</v>
      </c>
      <c r="F16" s="1406">
        <v>8089</v>
      </c>
      <c r="G16" s="1406">
        <v>2868</v>
      </c>
      <c r="H16" s="1079">
        <v>10957</v>
      </c>
      <c r="I16" s="1675"/>
      <c r="J16" s="1675"/>
      <c r="K16" s="1675"/>
      <c r="L16" s="662">
        <v>2019</v>
      </c>
      <c r="M16" s="663">
        <v>2020</v>
      </c>
      <c r="N16" s="1717">
        <v>87</v>
      </c>
      <c r="O16" s="665">
        <v>19</v>
      </c>
      <c r="P16" s="1718">
        <f>N16+O16</f>
        <v>106</v>
      </c>
      <c r="Q16" s="667">
        <v>87</v>
      </c>
      <c r="R16" s="665">
        <v>0</v>
      </c>
      <c r="S16" s="675">
        <f>Q16+R16</f>
        <v>87</v>
      </c>
      <c r="T16" s="665">
        <f>N16+Q16</f>
        <v>174</v>
      </c>
      <c r="U16" s="665">
        <f>O16+R16</f>
        <v>19</v>
      </c>
      <c r="V16" s="1718">
        <f>T16+U16</f>
        <v>193</v>
      </c>
    </row>
    <row r="17" spans="1:22" ht="13.5" thickBot="1">
      <c r="A17" s="1671">
        <v>2011</v>
      </c>
      <c r="B17" s="1406">
        <v>1848</v>
      </c>
      <c r="C17" s="1403">
        <v>658</v>
      </c>
      <c r="D17" s="1403">
        <v>943</v>
      </c>
      <c r="E17" s="1406">
        <v>545</v>
      </c>
      <c r="F17" s="1406">
        <v>2791</v>
      </c>
      <c r="G17" s="1406">
        <v>1203</v>
      </c>
      <c r="H17" s="1079">
        <v>3994</v>
      </c>
      <c r="I17" s="1675"/>
      <c r="J17" s="1675"/>
      <c r="K17" s="1675"/>
      <c r="L17" s="662">
        <v>2020</v>
      </c>
      <c r="M17" s="663">
        <v>2021</v>
      </c>
      <c r="N17" s="1675">
        <v>1327</v>
      </c>
      <c r="O17" s="1675">
        <v>30</v>
      </c>
      <c r="P17" s="1718">
        <f>N17+O17</f>
        <v>1357</v>
      </c>
      <c r="Q17" s="1675">
        <v>710</v>
      </c>
      <c r="R17" s="1675">
        <v>48</v>
      </c>
      <c r="S17" s="675">
        <f>Q17+R17</f>
        <v>758</v>
      </c>
      <c r="T17" s="665">
        <f>N17+Q17</f>
        <v>2037</v>
      </c>
      <c r="U17" s="665">
        <f>O17+R17</f>
        <v>78</v>
      </c>
      <c r="V17" s="1718">
        <f>T17+U17</f>
        <v>2115</v>
      </c>
    </row>
    <row r="18" spans="1:22">
      <c r="A18" s="1671">
        <v>2012</v>
      </c>
      <c r="B18" s="1406">
        <v>921</v>
      </c>
      <c r="C18" s="1403">
        <v>399</v>
      </c>
      <c r="D18" s="1403">
        <v>112</v>
      </c>
      <c r="E18" s="1406">
        <v>80</v>
      </c>
      <c r="F18" s="1406">
        <v>1033</v>
      </c>
      <c r="G18" s="1406">
        <v>479</v>
      </c>
      <c r="H18" s="1079">
        <v>1512</v>
      </c>
      <c r="I18" s="1675"/>
      <c r="J18" s="1675"/>
      <c r="K18" s="1675"/>
      <c r="L18" s="1675"/>
      <c r="M18" s="663">
        <v>2022</v>
      </c>
      <c r="N18" s="1675"/>
      <c r="O18" s="1675"/>
      <c r="P18" s="1675"/>
      <c r="Q18" s="1675"/>
      <c r="R18" s="1675"/>
      <c r="S18" s="1675"/>
      <c r="T18" s="1675"/>
      <c r="U18" s="1675"/>
      <c r="V18" s="1675"/>
    </row>
    <row r="19" spans="1:22">
      <c r="A19" s="1671">
        <v>2013</v>
      </c>
      <c r="B19" s="1406">
        <v>2975</v>
      </c>
      <c r="C19" s="1403">
        <v>2256</v>
      </c>
      <c r="D19" s="1403">
        <v>87</v>
      </c>
      <c r="E19" s="1406">
        <v>55</v>
      </c>
      <c r="F19" s="1406">
        <v>3062</v>
      </c>
      <c r="G19" s="1406">
        <v>2311</v>
      </c>
      <c r="H19" s="1079">
        <v>5373</v>
      </c>
      <c r="I19" s="1675"/>
      <c r="J19" s="1675"/>
      <c r="K19" s="1675"/>
      <c r="L19" s="1675"/>
      <c r="M19" s="1675"/>
      <c r="N19" s="1675"/>
      <c r="O19" s="1675"/>
      <c r="P19" s="1675"/>
      <c r="Q19" s="1675"/>
      <c r="R19" s="1675"/>
      <c r="S19" s="1675"/>
      <c r="T19" s="1675"/>
      <c r="U19" s="1675"/>
      <c r="V19" s="1675"/>
    </row>
    <row r="20" spans="1:22">
      <c r="A20" s="1671">
        <v>2014</v>
      </c>
      <c r="B20" s="1406">
        <v>4670</v>
      </c>
      <c r="C20" s="1403">
        <v>3173</v>
      </c>
      <c r="D20" s="1403">
        <v>575</v>
      </c>
      <c r="E20" s="1406">
        <v>370</v>
      </c>
      <c r="F20" s="1406">
        <v>5245</v>
      </c>
      <c r="G20" s="1406">
        <v>3543</v>
      </c>
      <c r="H20" s="1079">
        <v>8788</v>
      </c>
      <c r="I20" s="1675"/>
      <c r="J20" s="1675"/>
      <c r="K20" s="1675"/>
      <c r="L20" s="1675"/>
      <c r="M20" s="1675"/>
      <c r="N20" s="1675"/>
      <c r="O20" s="1675"/>
      <c r="P20" s="1675"/>
      <c r="Q20" s="1675"/>
      <c r="R20" s="1675"/>
      <c r="S20" s="1675"/>
      <c r="T20" s="1675"/>
      <c r="U20" s="1675"/>
      <c r="V20" s="1675"/>
    </row>
    <row r="21" spans="1:22">
      <c r="A21" s="1671">
        <v>2015</v>
      </c>
      <c r="B21" s="1406">
        <v>1431</v>
      </c>
      <c r="C21" s="1403">
        <v>1107</v>
      </c>
      <c r="D21" s="1403">
        <v>257</v>
      </c>
      <c r="E21" s="1406">
        <v>71</v>
      </c>
      <c r="F21" s="1406">
        <v>1688</v>
      </c>
      <c r="G21" s="1406">
        <v>1178</v>
      </c>
      <c r="H21" s="1079">
        <v>2866</v>
      </c>
      <c r="I21" s="1675"/>
      <c r="J21" s="1675"/>
      <c r="K21" s="1675"/>
      <c r="L21" s="1675"/>
      <c r="M21" s="1675"/>
      <c r="N21" s="1675"/>
      <c r="O21" s="1675"/>
      <c r="P21" s="1675"/>
      <c r="Q21" s="1675"/>
      <c r="R21" s="1675"/>
      <c r="S21" s="1675"/>
      <c r="T21" s="1675"/>
      <c r="U21" s="1675"/>
      <c r="V21" s="1675"/>
    </row>
    <row r="22" spans="1:22" ht="13.5" thickBot="1">
      <c r="A22" s="1671">
        <v>2016</v>
      </c>
      <c r="B22" s="1406">
        <v>1866</v>
      </c>
      <c r="C22" s="1403">
        <v>1020</v>
      </c>
      <c r="D22" s="1403">
        <v>243</v>
      </c>
      <c r="E22" s="1406">
        <v>33</v>
      </c>
      <c r="F22" s="1406">
        <v>2109</v>
      </c>
      <c r="G22" s="1406">
        <v>1053</v>
      </c>
      <c r="H22" s="1079">
        <v>3162</v>
      </c>
      <c r="I22" s="1675"/>
      <c r="J22" s="1675"/>
      <c r="K22" s="1675"/>
      <c r="L22" s="1675"/>
      <c r="M22" s="1675"/>
      <c r="N22" s="1675"/>
      <c r="O22" s="1675"/>
      <c r="P22" s="1675"/>
      <c r="Q22" s="1675"/>
      <c r="R22" s="1675"/>
      <c r="S22" s="1675"/>
      <c r="T22" s="1675"/>
      <c r="U22" s="1675"/>
      <c r="V22" s="1675"/>
    </row>
    <row r="23" spans="1:22">
      <c r="A23" s="1671">
        <v>2017</v>
      </c>
      <c r="B23" s="1406">
        <v>445</v>
      </c>
      <c r="C23" s="1403">
        <v>182</v>
      </c>
      <c r="D23" s="1403">
        <v>36</v>
      </c>
      <c r="E23" s="1406">
        <v>2</v>
      </c>
      <c r="F23" s="1406">
        <v>481</v>
      </c>
      <c r="G23" s="1406">
        <v>184</v>
      </c>
      <c r="H23" s="1079">
        <v>665</v>
      </c>
      <c r="I23" s="1675"/>
      <c r="J23" s="1675"/>
      <c r="K23" s="1675"/>
      <c r="L23" s="2068" t="s">
        <v>1696</v>
      </c>
      <c r="M23" s="2068"/>
      <c r="N23" s="2068"/>
      <c r="O23" s="2068"/>
      <c r="P23" s="2068"/>
      <c r="Q23" s="2068"/>
      <c r="R23" s="2068"/>
      <c r="S23" s="2068"/>
      <c r="T23" s="2068"/>
      <c r="U23" s="2068"/>
      <c r="V23" s="2068"/>
    </row>
    <row r="24" spans="1:22">
      <c r="A24" s="1671">
        <v>2018</v>
      </c>
      <c r="B24" s="1406">
        <v>68</v>
      </c>
      <c r="C24" s="1403">
        <v>73</v>
      </c>
      <c r="D24" s="1403">
        <v>127</v>
      </c>
      <c r="E24" s="1406">
        <v>46</v>
      </c>
      <c r="F24" s="1406">
        <v>195</v>
      </c>
      <c r="G24" s="1406">
        <v>119</v>
      </c>
      <c r="H24" s="1079">
        <v>314</v>
      </c>
      <c r="I24" s="1675"/>
      <c r="J24" s="1675"/>
      <c r="K24" s="1675"/>
      <c r="L24" s="2061" t="s">
        <v>1697</v>
      </c>
      <c r="M24" s="2061"/>
      <c r="N24" s="2061"/>
      <c r="O24" s="2061"/>
      <c r="P24" s="2061"/>
      <c r="Q24" s="2061"/>
      <c r="R24" s="2061"/>
      <c r="S24" s="2061"/>
      <c r="T24" s="2061"/>
      <c r="U24" s="2061"/>
      <c r="V24" s="2061"/>
    </row>
    <row r="25" spans="1:22" ht="13.35" customHeight="1">
      <c r="A25" s="1671">
        <v>2019</v>
      </c>
      <c r="B25" s="1406">
        <v>755</v>
      </c>
      <c r="C25" s="1403">
        <v>87</v>
      </c>
      <c r="D25" s="1403">
        <v>19</v>
      </c>
      <c r="E25" s="1406">
        <v>0</v>
      </c>
      <c r="F25" s="1406">
        <v>774</v>
      </c>
      <c r="G25" s="1406">
        <v>87</v>
      </c>
      <c r="H25" s="1079">
        <v>861</v>
      </c>
      <c r="I25" s="1675"/>
      <c r="J25" s="84"/>
      <c r="K25" s="1675"/>
      <c r="L25" s="2061" t="s">
        <v>1698</v>
      </c>
      <c r="M25" s="2061"/>
      <c r="N25" s="2061"/>
      <c r="O25" s="2061"/>
      <c r="P25" s="2061"/>
      <c r="Q25" s="2061"/>
      <c r="R25" s="2061"/>
      <c r="S25" s="2061"/>
      <c r="T25" s="2061"/>
      <c r="U25" s="2061"/>
      <c r="V25" s="2061"/>
    </row>
    <row r="26" spans="1:22" ht="13.35" customHeight="1">
      <c r="A26" s="1671">
        <v>2020</v>
      </c>
      <c r="B26" s="1406">
        <v>1277</v>
      </c>
      <c r="C26" s="1403">
        <v>710</v>
      </c>
      <c r="D26" s="1403">
        <v>30</v>
      </c>
      <c r="E26" s="1406">
        <v>48</v>
      </c>
      <c r="F26" s="1406">
        <v>1307</v>
      </c>
      <c r="G26" s="1406">
        <v>758</v>
      </c>
      <c r="H26" s="1079">
        <v>2065</v>
      </c>
      <c r="I26" s="1675"/>
      <c r="J26" s="84"/>
      <c r="K26" s="1675"/>
      <c r="L26" s="1716"/>
      <c r="M26" s="1716"/>
      <c r="N26" s="1716"/>
      <c r="O26" s="1716"/>
      <c r="P26" s="1716"/>
      <c r="Q26" s="1716"/>
      <c r="R26" s="1716"/>
      <c r="S26" s="1716"/>
      <c r="T26" s="1716"/>
      <c r="U26" s="1716"/>
      <c r="V26" s="1716"/>
    </row>
    <row r="27" spans="1:22" ht="13.35" customHeight="1">
      <c r="A27" s="1671">
        <v>2021</v>
      </c>
      <c r="B27" s="1406">
        <v>593</v>
      </c>
      <c r="C27" s="1403">
        <v>322</v>
      </c>
      <c r="D27" s="1403">
        <v>0</v>
      </c>
      <c r="E27" s="1406">
        <v>0</v>
      </c>
      <c r="F27" s="1406">
        <v>593</v>
      </c>
      <c r="G27" s="1406">
        <v>322</v>
      </c>
      <c r="H27" s="1079">
        <v>915</v>
      </c>
      <c r="I27" s="1675"/>
      <c r="J27" s="84"/>
      <c r="K27" s="1675"/>
      <c r="L27" s="1716"/>
      <c r="M27" s="1716"/>
      <c r="N27" s="1716"/>
      <c r="O27" s="1716"/>
      <c r="P27" s="1716"/>
      <c r="Q27" s="1716"/>
      <c r="R27" s="1716"/>
      <c r="S27" s="1716"/>
      <c r="T27" s="1716"/>
      <c r="U27" s="1716"/>
      <c r="V27" s="1716"/>
    </row>
    <row r="28" spans="1:22" ht="13.35" customHeight="1">
      <c r="A28" s="1671">
        <v>2022</v>
      </c>
      <c r="B28" s="1406">
        <v>1004</v>
      </c>
      <c r="C28" s="1403">
        <v>825</v>
      </c>
      <c r="D28" s="1403">
        <v>95</v>
      </c>
      <c r="E28" s="1406">
        <v>45</v>
      </c>
      <c r="F28" s="1406">
        <v>1099</v>
      </c>
      <c r="G28" s="1406">
        <v>870</v>
      </c>
      <c r="H28" s="1079">
        <v>1969</v>
      </c>
      <c r="I28" s="1675"/>
      <c r="J28" s="84"/>
      <c r="K28" s="1675"/>
      <c r="L28" s="1716"/>
      <c r="M28" s="1716"/>
      <c r="N28" s="1716"/>
      <c r="O28" s="1716"/>
      <c r="P28" s="1716"/>
      <c r="Q28" s="1716"/>
      <c r="R28" s="1716"/>
      <c r="S28" s="1716"/>
      <c r="T28" s="1716"/>
      <c r="U28" s="1716"/>
      <c r="V28" s="1716"/>
    </row>
    <row r="29" spans="1:22" ht="13.35" customHeight="1">
      <c r="A29" s="1671">
        <v>2023</v>
      </c>
      <c r="B29" s="1406">
        <v>967</v>
      </c>
      <c r="C29" s="1403">
        <v>602</v>
      </c>
      <c r="D29" s="1403">
        <v>13</v>
      </c>
      <c r="E29" s="1406">
        <v>0</v>
      </c>
      <c r="F29" s="1406">
        <f>B29+D29</f>
        <v>980</v>
      </c>
      <c r="G29" s="1406">
        <f>C29+E29</f>
        <v>602</v>
      </c>
      <c r="H29" s="1079">
        <v>1582</v>
      </c>
      <c r="I29" s="639"/>
      <c r="J29" s="84"/>
      <c r="K29" s="1675"/>
      <c r="L29" s="1716"/>
      <c r="M29" s="1716"/>
      <c r="N29" s="1716"/>
      <c r="O29" s="1716"/>
      <c r="P29" s="1716"/>
      <c r="Q29" s="1716"/>
      <c r="R29" s="1716"/>
      <c r="S29" s="1716"/>
      <c r="T29" s="1716"/>
      <c r="U29" s="1716"/>
      <c r="V29" s="1716"/>
    </row>
    <row r="30" spans="1:22" ht="12" customHeight="1">
      <c r="A30" s="1672">
        <v>2024</v>
      </c>
      <c r="B30" s="1218">
        <v>1204</v>
      </c>
      <c r="C30" s="1076">
        <v>299</v>
      </c>
      <c r="D30" s="1076">
        <v>274</v>
      </c>
      <c r="E30" s="1218">
        <v>122</v>
      </c>
      <c r="F30" s="1218">
        <f>B30+D30</f>
        <v>1478</v>
      </c>
      <c r="G30" s="1218">
        <f>C30+E30</f>
        <v>421</v>
      </c>
      <c r="H30" s="1219">
        <v>1899</v>
      </c>
      <c r="I30" s="1675"/>
      <c r="J30" s="1675"/>
      <c r="K30" s="1675"/>
      <c r="L30" s="2061" t="s">
        <v>1699</v>
      </c>
      <c r="M30" s="2061"/>
      <c r="N30" s="2061"/>
      <c r="O30" s="2061"/>
      <c r="P30" s="2061"/>
      <c r="Q30" s="2061"/>
      <c r="R30" s="2061"/>
      <c r="S30" s="2061"/>
      <c r="T30" s="2061"/>
      <c r="U30" s="2061"/>
      <c r="V30" s="2061"/>
    </row>
    <row r="31" spans="1:22" ht="15.75">
      <c r="A31" s="1816" t="s">
        <v>1700</v>
      </c>
      <c r="B31" s="1816"/>
      <c r="C31" s="1816"/>
      <c r="D31" s="1816"/>
      <c r="E31" s="1816"/>
      <c r="F31" s="1816"/>
      <c r="G31" s="1816"/>
      <c r="H31" s="1816"/>
      <c r="I31" s="1675"/>
      <c r="J31" s="1675"/>
      <c r="K31" s="1675"/>
      <c r="L31" s="1675"/>
      <c r="M31" s="1675"/>
      <c r="N31" s="1675"/>
      <c r="O31" s="1675"/>
      <c r="P31" s="1675"/>
      <c r="Q31" s="1675"/>
      <c r="R31" s="1675"/>
      <c r="S31" s="1675"/>
      <c r="T31" s="1675"/>
      <c r="U31" s="1675"/>
      <c r="V31" s="1675"/>
    </row>
    <row r="32" spans="1:22" ht="15.75">
      <c r="A32" s="84"/>
      <c r="B32" s="1675"/>
      <c r="C32" s="1675"/>
      <c r="D32" s="1675"/>
      <c r="E32" s="1675"/>
      <c r="F32" s="1675"/>
      <c r="G32" s="1675"/>
      <c r="H32" s="1675"/>
      <c r="I32" s="1675"/>
      <c r="J32" s="1675"/>
      <c r="K32" s="1675"/>
      <c r="L32" s="1675"/>
      <c r="M32" s="1675"/>
      <c r="N32" s="676">
        <v>2115</v>
      </c>
      <c r="O32" s="676">
        <v>1327</v>
      </c>
      <c r="P32" s="677">
        <v>710</v>
      </c>
      <c r="Q32" s="677">
        <v>30</v>
      </c>
      <c r="R32" s="677">
        <v>48</v>
      </c>
      <c r="S32" s="1675"/>
      <c r="T32" s="1675"/>
      <c r="U32" s="1675"/>
      <c r="V32" s="1675"/>
    </row>
    <row r="33" spans="1:1" ht="15.75">
      <c r="A33" s="84" t="s">
        <v>87</v>
      </c>
    </row>
    <row r="34" spans="1:1" ht="15.75">
      <c r="A34" s="247" t="s">
        <v>1701</v>
      </c>
    </row>
    <row r="35" spans="1:1">
      <c r="A35" s="1675" t="s">
        <v>1702</v>
      </c>
    </row>
    <row r="36" spans="1:1" ht="15.75">
      <c r="A36" s="527" t="s">
        <v>1703</v>
      </c>
    </row>
    <row r="37" spans="1:1">
      <c r="A37" s="1675" t="s">
        <v>1704</v>
      </c>
    </row>
  </sheetData>
  <mergeCells count="9">
    <mergeCell ref="A31:H31"/>
    <mergeCell ref="L25:V25"/>
    <mergeCell ref="L30:V30"/>
    <mergeCell ref="N3:P3"/>
    <mergeCell ref="Q3:S3"/>
    <mergeCell ref="T3:V3"/>
    <mergeCell ref="L4:M4"/>
    <mergeCell ref="L23:V23"/>
    <mergeCell ref="L24:V24"/>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8AF84-9F18-4799-9323-6398056ED6C7}">
  <dimension ref="A2:AO32"/>
  <sheetViews>
    <sheetView workbookViewId="0">
      <selection activeCell="F20" sqref="F20"/>
    </sheetView>
  </sheetViews>
  <sheetFormatPr defaultRowHeight="12.75"/>
  <cols>
    <col min="1" max="1" width="45" customWidth="1"/>
  </cols>
  <sheetData>
    <row r="2" spans="1:41" ht="15">
      <c r="A2" s="1588" t="s">
        <v>446</v>
      </c>
      <c r="B2" s="1589">
        <v>2014</v>
      </c>
      <c r="C2" s="1589">
        <v>2015</v>
      </c>
      <c r="D2" s="1589">
        <v>2016</v>
      </c>
      <c r="E2" s="1589">
        <v>2017</v>
      </c>
      <c r="F2" s="1589">
        <v>2018</v>
      </c>
      <c r="G2" s="1589">
        <v>2019</v>
      </c>
      <c r="H2" s="1589">
        <v>2020</v>
      </c>
      <c r="I2" s="1589">
        <v>2021</v>
      </c>
      <c r="J2" s="1589">
        <v>2022</v>
      </c>
      <c r="K2" s="1589">
        <v>2023</v>
      </c>
      <c r="L2" s="1589">
        <v>2024</v>
      </c>
      <c r="M2" s="1589">
        <v>2025</v>
      </c>
      <c r="N2" s="1589"/>
      <c r="O2" s="1589" t="s">
        <v>1705</v>
      </c>
      <c r="P2" s="1589" t="s">
        <v>1706</v>
      </c>
      <c r="Q2" s="1589" t="s">
        <v>1707</v>
      </c>
      <c r="R2" s="1589" t="s">
        <v>1708</v>
      </c>
      <c r="S2" s="1589" t="s">
        <v>1709</v>
      </c>
      <c r="T2" s="1589" t="s">
        <v>1710</v>
      </c>
      <c r="U2" s="1589" t="s">
        <v>1711</v>
      </c>
      <c r="V2" s="1589" t="s">
        <v>393</v>
      </c>
      <c r="W2" s="1589" t="s">
        <v>1712</v>
      </c>
      <c r="X2" s="1589" t="s">
        <v>1713</v>
      </c>
      <c r="Y2" s="1589" t="s">
        <v>1714</v>
      </c>
      <c r="Z2" s="1589" t="s">
        <v>1715</v>
      </c>
      <c r="AA2" s="1589" t="s">
        <v>1716</v>
      </c>
      <c r="AB2" s="1589" t="s">
        <v>1717</v>
      </c>
      <c r="AC2" s="1589" t="s">
        <v>1718</v>
      </c>
      <c r="AD2" s="1589" t="s">
        <v>1719</v>
      </c>
      <c r="AE2" s="1589" t="s">
        <v>1720</v>
      </c>
      <c r="AF2" s="1589" t="s">
        <v>1721</v>
      </c>
      <c r="AG2" s="1589" t="s">
        <v>1722</v>
      </c>
      <c r="AH2" s="1588" t="s">
        <v>1723</v>
      </c>
      <c r="AI2" s="1588" t="s">
        <v>1724</v>
      </c>
      <c r="AJ2" s="1588"/>
      <c r="AK2" s="1588" t="s">
        <v>1480</v>
      </c>
      <c r="AL2" s="1590"/>
      <c r="AM2" s="1590"/>
      <c r="AN2" s="1590"/>
      <c r="AO2" s="1590"/>
    </row>
    <row r="3" spans="1:41" ht="15">
      <c r="A3" s="1591" t="s">
        <v>1725</v>
      </c>
      <c r="B3" s="1592">
        <v>1.0500000000000001E-2</v>
      </c>
      <c r="C3" s="1592">
        <v>6.8551105339945927E-3</v>
      </c>
      <c r="D3" s="1592">
        <v>7.0736721221519964E-3</v>
      </c>
      <c r="E3" s="1592">
        <v>6.8281491423699842E-3</v>
      </c>
      <c r="F3" s="1592">
        <v>6.0800000000000003E-3</v>
      </c>
      <c r="G3" s="1592">
        <v>2.4599999999999999E-3</v>
      </c>
      <c r="H3" s="1592">
        <v>2.7658103687551875E-3</v>
      </c>
      <c r="I3" s="1592">
        <v>5.6704801409848092E-3</v>
      </c>
      <c r="J3" s="1592">
        <v>7.45E-3</v>
      </c>
      <c r="K3" s="1592">
        <v>2.9399999999999999E-3</v>
      </c>
      <c r="L3" s="1592">
        <v>4.4200000000000003E-3</v>
      </c>
      <c r="M3" s="1592">
        <v>5.5300000000000002E-3</v>
      </c>
      <c r="N3" s="1590"/>
      <c r="O3" s="1590"/>
      <c r="P3" s="1593">
        <f>AVERAGE(E3:G3)</f>
        <v>5.1227163807899953E-3</v>
      </c>
      <c r="Q3" s="1593">
        <f>AVERAGE(J3:K3)</f>
        <v>5.195E-3</v>
      </c>
      <c r="R3" s="1594"/>
      <c r="S3" s="1594">
        <f>AVERAGE(E3:I3)</f>
        <v>4.7608879304219965E-3</v>
      </c>
      <c r="T3" s="1594"/>
      <c r="U3" s="1594"/>
      <c r="V3" s="1595">
        <f>AVERAGE(I3:J3)</f>
        <v>6.5602400704924046E-3</v>
      </c>
      <c r="W3" s="1594"/>
      <c r="X3" s="1594"/>
      <c r="Y3" s="1594"/>
      <c r="Z3" s="1594"/>
      <c r="AA3" s="1596">
        <f>AVERAGE(D3:F3)</f>
        <v>6.660607088173994E-3</v>
      </c>
      <c r="AB3" s="1594"/>
      <c r="AC3" s="1594">
        <f>AVERAGE(B3:F3)</f>
        <v>7.4673863597033152E-3</v>
      </c>
      <c r="AD3" s="1594"/>
      <c r="AE3" s="1594"/>
      <c r="AF3" s="1594"/>
      <c r="AG3" s="1590"/>
      <c r="AH3" s="1590"/>
      <c r="AI3" s="1590"/>
      <c r="AJ3" s="1590"/>
      <c r="AK3" s="1590" t="s">
        <v>1726</v>
      </c>
      <c r="AL3" s="1590"/>
      <c r="AM3" s="1590"/>
      <c r="AN3" s="1597">
        <f>AA3/AN6</f>
        <v>0.76115942826132266</v>
      </c>
      <c r="AO3" s="1590"/>
    </row>
    <row r="4" spans="1:41" ht="15">
      <c r="A4" s="1591" t="s">
        <v>1727</v>
      </c>
      <c r="B4" s="1592">
        <v>1.4E-3</v>
      </c>
      <c r="C4" s="1592">
        <v>7.3999999999999999E-4</v>
      </c>
      <c r="D4" s="1592">
        <v>9.5E-4</v>
      </c>
      <c r="E4" s="1592">
        <v>4.0000000000000003E-5</v>
      </c>
      <c r="F4" s="1592">
        <v>6.2E-4</v>
      </c>
      <c r="G4" s="1592">
        <v>5.0000000000000001E-4</v>
      </c>
      <c r="H4" s="1592">
        <v>8.5062730627306264E-4</v>
      </c>
      <c r="I4" s="1592">
        <v>1.2083569466846856E-3</v>
      </c>
      <c r="J4" s="1592">
        <v>9.2000000000000003E-4</v>
      </c>
      <c r="K4" s="1592">
        <v>1.1100000000000001E-3</v>
      </c>
      <c r="L4" s="1592">
        <v>1.4499999999999999E-3</v>
      </c>
      <c r="M4" s="1592">
        <v>8.4999999999999995E-4</v>
      </c>
      <c r="N4" s="1590"/>
      <c r="O4" s="1590"/>
      <c r="P4" s="1594">
        <f>AVERAGE(E4:G4)</f>
        <v>3.8666666666666667E-4</v>
      </c>
      <c r="Q4" s="1594"/>
      <c r="R4" s="1598">
        <f>AVERAGE(G4:K4)</f>
        <v>9.1779685059154947E-4</v>
      </c>
      <c r="S4" s="1594"/>
      <c r="T4" s="1595">
        <f>AVERAGE(F4:J4)</f>
        <v>8.1979685059154947E-4</v>
      </c>
      <c r="U4" s="1594"/>
      <c r="V4" s="1594">
        <f>AVERAGE(I4:J4)</f>
        <v>1.0641784733423428E-3</v>
      </c>
      <c r="W4" s="1594">
        <f>AVERAGE(B4,C4,D4,F4,G4)</f>
        <v>8.4200000000000008E-4</v>
      </c>
      <c r="X4" s="1594">
        <f>AVERAGE(D4,F4:I4)</f>
        <v>8.2579685059154962E-4</v>
      </c>
      <c r="Y4" s="1594"/>
      <c r="Z4" s="1594"/>
      <c r="AA4" s="1594">
        <f>AVERAGE(D4:F4)</f>
        <v>5.3666666666666663E-4</v>
      </c>
      <c r="AB4" s="1594"/>
      <c r="AC4" s="1594">
        <f>AVERAGE(B4:F4)</f>
        <v>7.5000000000000002E-4</v>
      </c>
      <c r="AD4" s="1594"/>
      <c r="AE4" s="1594"/>
      <c r="AF4" s="1594"/>
      <c r="AG4" s="1590"/>
      <c r="AH4" s="1590"/>
      <c r="AI4" s="1599">
        <f>AVERAGE(B4,C4,D4,F4)</f>
        <v>9.2749999999999994E-4</v>
      </c>
      <c r="AJ4" s="1590"/>
      <c r="AK4" s="1590" t="s">
        <v>1726</v>
      </c>
      <c r="AL4" s="1590"/>
      <c r="AM4" s="1590"/>
      <c r="AN4" s="1590">
        <f>AC4/(AC4+AC5)</f>
        <v>0.35885167464114837</v>
      </c>
      <c r="AO4" s="1590"/>
    </row>
    <row r="5" spans="1:41" ht="15">
      <c r="A5" s="1591" t="s">
        <v>1728</v>
      </c>
      <c r="B5" s="1592">
        <v>1.1999999999999999E-3</v>
      </c>
      <c r="C5" s="1592">
        <v>1.2600000000000001E-3</v>
      </c>
      <c r="D5" s="1592">
        <v>1.39E-3</v>
      </c>
      <c r="E5" s="1592">
        <v>1.2999999999999999E-4</v>
      </c>
      <c r="F5" s="1592">
        <v>2.7200000000000002E-3</v>
      </c>
      <c r="G5" s="1592">
        <v>6.6E-4</v>
      </c>
      <c r="H5" s="1592">
        <v>4.0483052010429536E-4</v>
      </c>
      <c r="I5" s="1592">
        <v>1.2658227848101266E-3</v>
      </c>
      <c r="J5" s="1592">
        <v>1.4E-3</v>
      </c>
      <c r="K5" s="1592">
        <v>6.6E-3</v>
      </c>
      <c r="L5" s="1592">
        <v>1.4E-3</v>
      </c>
      <c r="M5" s="1592">
        <v>1.31E-3</v>
      </c>
      <c r="N5" s="1590"/>
      <c r="O5" s="1590"/>
      <c r="P5" s="1590"/>
      <c r="Q5" s="1590"/>
      <c r="R5" s="1598">
        <f>AVERAGE(G5:K5)</f>
        <v>2.0661306609828845E-3</v>
      </c>
      <c r="S5" s="1590"/>
      <c r="T5" s="1595">
        <f>AVERAGE(F5:J5)</f>
        <v>1.2901306609828845E-3</v>
      </c>
      <c r="U5" s="1590"/>
      <c r="V5" s="1590"/>
      <c r="W5" s="1594"/>
      <c r="X5" s="1594"/>
      <c r="Y5" s="1593">
        <f>AVERAGE(B5:H5)</f>
        <v>1.1092615028720422E-3</v>
      </c>
      <c r="Z5" s="1595">
        <f>AVERAGE(C5:I5)</f>
        <v>1.1186647578449174E-3</v>
      </c>
      <c r="AA5" s="1594">
        <f>AVERAGE(D5:F5)</f>
        <v>1.4133333333333333E-3</v>
      </c>
      <c r="AB5" s="1594"/>
      <c r="AC5" s="1596">
        <f>AVERAGE(B5:F5)</f>
        <v>1.34E-3</v>
      </c>
      <c r="AD5" s="1594"/>
      <c r="AE5" s="1594"/>
      <c r="AF5" s="1596"/>
      <c r="AG5" s="1590"/>
      <c r="AH5" s="1590"/>
      <c r="AI5" s="1590"/>
      <c r="AJ5" s="1590"/>
      <c r="AK5" s="1590" t="s">
        <v>1726</v>
      </c>
      <c r="AL5" s="1590"/>
      <c r="AM5" s="1590"/>
      <c r="AN5" s="1590">
        <f>AC5/(AC4+AC5)</f>
        <v>0.64114832535885169</v>
      </c>
      <c r="AO5" s="1590"/>
    </row>
    <row r="6" spans="1:41" ht="15">
      <c r="A6" s="1600" t="s">
        <v>1729</v>
      </c>
      <c r="B6" s="1601">
        <v>1.06E-3</v>
      </c>
      <c r="C6" s="1601">
        <v>9.6000000000000002E-4</v>
      </c>
      <c r="D6" s="1601">
        <v>1.23E-3</v>
      </c>
      <c r="E6" s="1601">
        <v>3.13E-3</v>
      </c>
      <c r="F6" s="1601">
        <v>0</v>
      </c>
      <c r="G6" s="1601">
        <v>1.8E-3</v>
      </c>
      <c r="H6" s="1602">
        <v>4.5682960255824577E-4</v>
      </c>
      <c r="I6" s="1602">
        <v>6.3345810538439386E-4</v>
      </c>
      <c r="J6" s="1602">
        <v>3.0400270224624216E-4</v>
      </c>
      <c r="K6" s="1603">
        <v>8.0000000000000002E-3</v>
      </c>
      <c r="L6" s="1602">
        <v>7.1000000000000002E-4</v>
      </c>
      <c r="M6" s="1602"/>
      <c r="N6" s="1590"/>
      <c r="O6" s="1590"/>
      <c r="P6" s="1590"/>
      <c r="Q6" s="1590"/>
      <c r="R6" s="1590"/>
      <c r="S6" s="1590"/>
      <c r="T6" s="1595">
        <f>AVERAGE(F6:J6)</f>
        <v>6.3885808203777638E-4</v>
      </c>
      <c r="U6" s="1590"/>
      <c r="V6" s="1590"/>
      <c r="W6" s="1594"/>
      <c r="X6" s="1594"/>
      <c r="Y6" s="1593">
        <f>AVERAGE(B6:H6)</f>
        <v>1.2338328003654636E-3</v>
      </c>
      <c r="Z6" s="1595">
        <f>AVERAGE(C6:I6)</f>
        <v>1.1728982439918056E-3</v>
      </c>
      <c r="AA6" s="1594">
        <f>AVERAGE(D6:F6)</f>
        <v>1.4533333333333334E-3</v>
      </c>
      <c r="AB6" s="1594"/>
      <c r="AC6" s="1590"/>
      <c r="AD6" s="1590"/>
      <c r="AE6" s="1590"/>
      <c r="AF6" s="1590"/>
      <c r="AG6" s="1596">
        <f>AVERAGE(B6:E6)</f>
        <v>1.5950000000000001E-3</v>
      </c>
      <c r="AH6" s="1590"/>
      <c r="AI6" s="1590"/>
      <c r="AJ6" s="1590"/>
      <c r="AK6" s="1590" t="s">
        <v>1726</v>
      </c>
      <c r="AL6" s="1590"/>
      <c r="AM6" s="1590"/>
      <c r="AN6" s="1594">
        <f>SUM(AA3+AC4+AC5)</f>
        <v>8.7506070881739929E-3</v>
      </c>
      <c r="AO6" s="1590"/>
    </row>
    <row r="7" spans="1:41" ht="15">
      <c r="A7" s="1591" t="s">
        <v>1730</v>
      </c>
      <c r="B7" s="1592">
        <v>5.2399999999999999E-3</v>
      </c>
      <c r="C7" s="1592">
        <v>4.4900000000000001E-3</v>
      </c>
      <c r="D7" s="1592">
        <v>3.32E-3</v>
      </c>
      <c r="E7" s="1592">
        <v>2.64E-3</v>
      </c>
      <c r="F7" s="1592">
        <v>4.0099999999999997E-3</v>
      </c>
      <c r="G7" s="1592">
        <v>1.17E-3</v>
      </c>
      <c r="H7" s="1592"/>
      <c r="I7" s="1592"/>
      <c r="J7" s="1592">
        <v>3.5599999999999998E-3</v>
      </c>
      <c r="K7" s="1604">
        <v>7.9000000000000008E-3</v>
      </c>
      <c r="L7" s="1592">
        <v>1.1999999999999999E-3</v>
      </c>
      <c r="M7" s="1604"/>
      <c r="N7" s="1592"/>
      <c r="O7" s="1592"/>
      <c r="P7" s="1594">
        <f>AVERAGE(E7:G7)</f>
        <v>2.6066666666666669E-3</v>
      </c>
      <c r="Q7" s="1594"/>
      <c r="R7" s="1594"/>
      <c r="S7" s="1594"/>
      <c r="T7" s="1594"/>
      <c r="U7" s="1595">
        <f>AVERAGE(E7:F7,J7,L7)</f>
        <v>2.8525E-3</v>
      </c>
      <c r="V7" s="1594"/>
      <c r="W7" s="1594"/>
      <c r="X7" s="1594"/>
      <c r="Y7" s="1594"/>
      <c r="Z7" s="1594"/>
      <c r="AA7" s="1596">
        <f>AVERAGE(D7:F7)</f>
        <v>3.3233333333333331E-3</v>
      </c>
      <c r="AB7" s="1594"/>
      <c r="AC7" s="1594">
        <f>AVERAGE(B7:F7)</f>
        <v>3.9399999999999999E-3</v>
      </c>
      <c r="AD7" s="1594"/>
      <c r="AE7" s="1594"/>
      <c r="AF7" s="1594"/>
      <c r="AG7" s="1590"/>
      <c r="AH7" s="1590"/>
      <c r="AI7" s="1590"/>
      <c r="AJ7" s="1590"/>
      <c r="AK7" s="1590" t="s">
        <v>1726</v>
      </c>
      <c r="AL7" s="1590"/>
      <c r="AM7" s="1590"/>
      <c r="AN7" s="1590"/>
      <c r="AO7" s="1590"/>
    </row>
    <row r="8" spans="1:41" ht="15">
      <c r="A8" s="1590"/>
      <c r="B8" s="1592"/>
      <c r="C8" s="1592"/>
      <c r="D8" s="1592"/>
      <c r="E8" s="1592"/>
      <c r="F8" s="1592"/>
      <c r="G8" s="1592"/>
      <c r="H8" s="1592"/>
      <c r="I8" s="1592"/>
      <c r="J8" s="1592"/>
      <c r="K8" s="1592"/>
      <c r="L8" s="1592"/>
      <c r="M8" s="1592"/>
      <c r="N8" s="1592"/>
      <c r="O8" s="1592"/>
      <c r="P8" s="1605"/>
      <c r="Q8" s="1605"/>
      <c r="R8" s="1605"/>
      <c r="S8" s="1606"/>
      <c r="T8" s="1606"/>
      <c r="U8" s="1606"/>
      <c r="V8" s="1606"/>
      <c r="W8" s="1606"/>
      <c r="X8" s="1606"/>
      <c r="Y8" s="1606"/>
      <c r="Z8" s="1606"/>
      <c r="AA8" s="1592"/>
      <c r="AB8" s="1607"/>
      <c r="AC8" s="1592"/>
      <c r="AD8" s="1607"/>
      <c r="AE8" s="1607"/>
      <c r="AF8" s="1592"/>
      <c r="AG8" s="1592"/>
      <c r="AH8" s="1590"/>
      <c r="AI8" s="1590"/>
      <c r="AJ8" s="1590"/>
      <c r="AK8" s="1590"/>
      <c r="AL8" s="1590"/>
      <c r="AM8" s="1590"/>
      <c r="AN8" s="1590"/>
      <c r="AO8" s="1590"/>
    </row>
    <row r="9" spans="1:41" ht="15">
      <c r="A9" s="1590" t="s">
        <v>1731</v>
      </c>
      <c r="B9" s="1592">
        <f>[5]T9WWSManip!N20</f>
        <v>2.6326366559485536E-3</v>
      </c>
      <c r="C9" s="1592">
        <f>[5]T9WWSManip!N21</f>
        <v>3.8325794104488746E-3</v>
      </c>
      <c r="D9" s="1592">
        <f>[5]T9WWSManip!N22</f>
        <v>3.0519683631976403E-3</v>
      </c>
      <c r="E9" s="1592">
        <f>[5]T9WWSManip!N23</f>
        <v>1.9587337222640847E-3</v>
      </c>
      <c r="F9" s="1592">
        <f>[5]T9WWSManip!N24</f>
        <v>1.7517462308328021E-3</v>
      </c>
      <c r="G9" s="1592">
        <f>[5]T9WWSManip!N25</f>
        <v>1.2012711864406781E-3</v>
      </c>
      <c r="H9" s="1592">
        <f>[5]T9WWSManip!N26</f>
        <v>2.4703718838454125E-3</v>
      </c>
      <c r="I9" s="1592">
        <f>[5]T9WWSManip!N27</f>
        <v>2.0567524389246829E-3</v>
      </c>
      <c r="J9" s="1592">
        <f>[5]T9WWSManip!N28</f>
        <v>1.9892210393922314E-3</v>
      </c>
      <c r="K9" s="1592">
        <f>[5]T9WWSManip!N29</f>
        <v>1.2245731002108987E-3</v>
      </c>
      <c r="L9" s="1592"/>
      <c r="M9" s="1592"/>
      <c r="N9" s="1592"/>
      <c r="O9" s="1592">
        <f>AVERAGE(F9:J9)</f>
        <v>1.8938725558871616E-3</v>
      </c>
      <c r="P9" s="1605">
        <v>2.3E-3</v>
      </c>
      <c r="Q9" s="1605"/>
      <c r="R9" s="1608">
        <f>AVERAGE(G9:K9)</f>
        <v>1.7884379297627806E-3</v>
      </c>
      <c r="S9" s="1606">
        <f t="shared" ref="S9:T12" si="0">AVERAGE(E9:I9)</f>
        <v>1.8877750924615321E-3</v>
      </c>
      <c r="T9" s="1595">
        <f t="shared" si="0"/>
        <v>1.8938725558871616E-3</v>
      </c>
      <c r="U9" s="1606"/>
      <c r="V9" s="1609"/>
      <c r="W9" s="1606"/>
      <c r="X9" s="1606"/>
      <c r="Y9" s="1606"/>
      <c r="Z9" s="1606"/>
      <c r="AA9" s="1610">
        <f>AVERAGE(D9:F9)</f>
        <v>2.2541494387648422E-3</v>
      </c>
      <c r="AB9" s="1606"/>
      <c r="AC9" s="1590"/>
      <c r="AD9" s="1590"/>
      <c r="AE9" s="1590"/>
      <c r="AF9" s="1592"/>
      <c r="AG9" s="1592"/>
      <c r="AH9" s="1611">
        <f t="shared" ref="AH9:AH16" si="1">AVERAGE(B9:D9)</f>
        <v>3.172394809865023E-3</v>
      </c>
      <c r="AI9" s="1606"/>
      <c r="AJ9" s="1607"/>
      <c r="AK9" s="1590" t="s">
        <v>1732</v>
      </c>
      <c r="AL9" s="1590"/>
      <c r="AM9" s="1590"/>
      <c r="AN9" s="1590"/>
      <c r="AO9" s="1590"/>
    </row>
    <row r="10" spans="1:41" ht="15">
      <c r="A10" s="1590" t="s">
        <v>1733</v>
      </c>
      <c r="B10" s="1592">
        <f>[5]T9WWSManip!O20</f>
        <v>1.8764091407857887E-4</v>
      </c>
      <c r="C10" s="1592">
        <f>[5]T9WWSManip!O21</f>
        <v>4.5456701248515854E-4</v>
      </c>
      <c r="D10" s="1592">
        <f>[5]T9WWSManip!O22</f>
        <v>1.3229011577189855E-4</v>
      </c>
      <c r="E10" s="1592">
        <f>[5]T9WWSManip!O23</f>
        <v>4.3839837315988624E-5</v>
      </c>
      <c r="F10" s="1607">
        <f>[5]T9WWSManip!O24</f>
        <v>8.6098934566127897E-5</v>
      </c>
      <c r="G10" s="1607">
        <f>[5]T9WWSManip!O25</f>
        <v>1.7592169042116081E-4</v>
      </c>
      <c r="H10" s="1592">
        <v>1.0658728731691101E-4</v>
      </c>
      <c r="I10" s="1592">
        <v>5.9770941804504798E-5</v>
      </c>
      <c r="J10" s="1592">
        <v>1.3538538876084485E-4</v>
      </c>
      <c r="K10" s="1592">
        <v>6.8031838900605489E-5</v>
      </c>
      <c r="L10" s="1592"/>
      <c r="M10" s="1592"/>
      <c r="N10" s="1592"/>
      <c r="O10" s="1592">
        <f>AVERAGE(F10:J10)</f>
        <v>1.1275284857390988E-4</v>
      </c>
      <c r="P10" s="1605">
        <f>AVERAGE(G10:K10)</f>
        <v>1.091394294408054E-4</v>
      </c>
      <c r="Q10" s="1605"/>
      <c r="R10" s="1608">
        <f>AVERAGE(G10:K10)</f>
        <v>1.091394294408054E-4</v>
      </c>
      <c r="S10" s="1606">
        <f t="shared" si="0"/>
        <v>9.4443738284938626E-5</v>
      </c>
      <c r="T10" s="1595">
        <f t="shared" si="0"/>
        <v>1.1275284857390988E-4</v>
      </c>
      <c r="U10" s="1606"/>
      <c r="V10" s="1609"/>
      <c r="W10" s="1606"/>
      <c r="X10" s="1606"/>
      <c r="Y10" s="1606"/>
      <c r="Z10" s="1606"/>
      <c r="AA10" s="1606">
        <f>AVERAGE(D10:F10)</f>
        <v>8.7409629218005013E-5</v>
      </c>
      <c r="AB10" s="1610">
        <f>AVERAGE(D10:G10)</f>
        <v>1.0953764451879396E-4</v>
      </c>
      <c r="AC10" s="1590"/>
      <c r="AD10" s="1590"/>
      <c r="AE10" s="1590"/>
      <c r="AF10" s="1592"/>
      <c r="AG10" s="1592"/>
      <c r="AH10" s="1611">
        <f t="shared" si="1"/>
        <v>2.5816601411187865E-4</v>
      </c>
      <c r="AI10" s="1606"/>
      <c r="AJ10" s="1607"/>
      <c r="AK10" s="1590" t="s">
        <v>1732</v>
      </c>
      <c r="AL10" s="1590"/>
      <c r="AM10" s="1590"/>
      <c r="AN10" s="1590"/>
      <c r="AO10" s="1590"/>
    </row>
    <row r="11" spans="1:41" ht="15">
      <c r="A11" s="1591" t="s">
        <v>1734</v>
      </c>
      <c r="B11" s="1592">
        <v>4.7822812548309812E-3</v>
      </c>
      <c r="C11" s="1592">
        <v>2.6726649595708776E-3</v>
      </c>
      <c r="D11" s="1592">
        <v>3.8528750923888288E-3</v>
      </c>
      <c r="E11" s="1592">
        <v>2.3760146945547198E-3</v>
      </c>
      <c r="F11" s="1607">
        <v>8.3582120356289376E-3</v>
      </c>
      <c r="G11" s="1592">
        <v>8.8242060047914288E-3</v>
      </c>
      <c r="H11" s="1592">
        <v>6.9298678141549667E-3</v>
      </c>
      <c r="I11" s="1592">
        <v>5.4247337349176894E-3</v>
      </c>
      <c r="J11" s="1592">
        <v>5.6755300173268654E-3</v>
      </c>
      <c r="K11" s="1592">
        <v>3.4260268521485037E-3</v>
      </c>
      <c r="L11" s="1592"/>
      <c r="M11" s="1592"/>
      <c r="N11" s="1592"/>
      <c r="O11" s="1592">
        <f>AVERAGE(F11:J11)</f>
        <v>7.0425099213639779E-3</v>
      </c>
      <c r="P11" s="1605"/>
      <c r="Q11" s="1605"/>
      <c r="R11" s="1608">
        <f>AVERAGE(G11:K11)</f>
        <v>6.0560728846678919E-3</v>
      </c>
      <c r="S11" s="1606">
        <f t="shared" si="0"/>
        <v>6.3826068568095485E-3</v>
      </c>
      <c r="T11" s="1595">
        <f t="shared" si="0"/>
        <v>7.0425099213639779E-3</v>
      </c>
      <c r="U11" s="1606"/>
      <c r="V11" s="1609"/>
      <c r="W11" s="1606"/>
      <c r="X11" s="1606"/>
      <c r="Y11" s="1606"/>
      <c r="Z11" s="1606"/>
      <c r="AA11" s="1592"/>
      <c r="AB11" s="1607"/>
      <c r="AC11" s="1612">
        <f t="shared" ref="AC11:AC16" si="2">AVERAGE(B11:F11)</f>
        <v>4.4084096073948691E-3</v>
      </c>
      <c r="AD11" s="1606"/>
      <c r="AE11" s="1606"/>
      <c r="AF11" s="1592"/>
      <c r="AG11" s="1596">
        <f>AVERAGE(B11:E11)</f>
        <v>3.4209590003363519E-3</v>
      </c>
      <c r="AH11" s="1613">
        <f t="shared" si="1"/>
        <v>3.769273768930229E-3</v>
      </c>
      <c r="AI11" s="1606"/>
      <c r="AJ11" s="1607"/>
      <c r="AK11" s="1590" t="s">
        <v>1735</v>
      </c>
      <c r="AL11" s="1590"/>
      <c r="AM11" s="1590"/>
      <c r="AN11" s="1590"/>
      <c r="AO11" s="1590"/>
    </row>
    <row r="12" spans="1:41" ht="15">
      <c r="A12" s="1591" t="s">
        <v>1736</v>
      </c>
      <c r="B12" s="1592">
        <v>4.2319569941667612E-4</v>
      </c>
      <c r="C12" s="1592">
        <v>2.2386389075442138E-4</v>
      </c>
      <c r="D12" s="1592">
        <v>5.2588996763754049E-4</v>
      </c>
      <c r="E12" s="1592">
        <v>0</v>
      </c>
      <c r="F12" s="1607">
        <v>0</v>
      </c>
      <c r="G12" s="1607">
        <v>0</v>
      </c>
      <c r="H12" s="1592">
        <v>2.7888446215139443E-4</v>
      </c>
      <c r="I12" s="1592">
        <v>0</v>
      </c>
      <c r="J12" s="1592">
        <v>0</v>
      </c>
      <c r="K12" s="1592">
        <v>0</v>
      </c>
      <c r="L12" s="1592"/>
      <c r="M12" s="1592"/>
      <c r="N12" s="1592"/>
      <c r="O12" s="1592">
        <f>AVERAGE(F12:J12)</f>
        <v>5.5776892430278889E-5</v>
      </c>
      <c r="P12" s="1605"/>
      <c r="Q12" s="1605"/>
      <c r="R12" s="1608">
        <f>AVERAGE(G12:K12)</f>
        <v>5.5776892430278889E-5</v>
      </c>
      <c r="S12" s="1606">
        <f t="shared" si="0"/>
        <v>5.5776892430278889E-5</v>
      </c>
      <c r="T12" s="1595">
        <f t="shared" si="0"/>
        <v>5.5776892430278889E-5</v>
      </c>
      <c r="U12" s="1606"/>
      <c r="V12" s="1609"/>
      <c r="W12" s="1606"/>
      <c r="X12" s="1606"/>
      <c r="Y12" s="1606"/>
      <c r="Z12" s="1606"/>
      <c r="AA12" s="1590"/>
      <c r="AB12" s="1590"/>
      <c r="AC12" s="1606">
        <f t="shared" si="2"/>
        <v>2.345899115617276E-4</v>
      </c>
      <c r="AD12" s="1612">
        <f>AVERAGE(B12:G12)</f>
        <v>1.9549159296810634E-4</v>
      </c>
      <c r="AE12" s="1606"/>
      <c r="AF12" s="1592"/>
      <c r="AG12" s="1596">
        <f>AVERAGE(B12:E12)</f>
        <v>2.932373894521595E-4</v>
      </c>
      <c r="AH12" s="1613">
        <f t="shared" si="1"/>
        <v>3.9098318593621268E-4</v>
      </c>
      <c r="AI12" s="1606"/>
      <c r="AJ12" s="1607"/>
      <c r="AK12" s="1590" t="s">
        <v>1732</v>
      </c>
      <c r="AL12" s="1590"/>
      <c r="AM12" s="1590"/>
      <c r="AN12" s="1590"/>
      <c r="AO12" s="1590"/>
    </row>
    <row r="13" spans="1:41" ht="15">
      <c r="A13" s="1591" t="s">
        <v>1737</v>
      </c>
      <c r="B13" s="1592">
        <f>[5]T11a!L23/[5]T12SthdManip!D34</f>
        <v>3.4177606857743026E-4</v>
      </c>
      <c r="C13" s="1592">
        <f>[5]T11a!L24/[5]T12SthdManip!D35</f>
        <v>3.8557947838825727E-4</v>
      </c>
      <c r="D13" s="1592">
        <f>[5]T11a!L25/[5]T12SthdManip!D36</f>
        <v>2.5647483082872935E-4</v>
      </c>
      <c r="E13" s="1592">
        <f>[5]T11a!L26/[5]T12SthdManip!D37</f>
        <v>3.16358666861148E-5</v>
      </c>
      <c r="F13" s="1607">
        <f>[5]T11a!L27/[5]T12SthdManip!D38</f>
        <v>4.0066823733915535E-4</v>
      </c>
      <c r="G13" s="1607">
        <f>[5]T11a!L28/[5]T12SthdManip!D39</f>
        <v>3.7159628144047788E-4</v>
      </c>
      <c r="H13" s="1607">
        <f>[5]T11a!L29/[5]T12SthdManip!D40</f>
        <v>2.3996031695638247E-4</v>
      </c>
      <c r="I13" s="1607">
        <f>[5]T11a!L30/[5]T12SthdManip!D41</f>
        <v>1.1498361428703622E-6</v>
      </c>
      <c r="J13" s="1607">
        <f>[5]T11a!L31/[5]T12SthdManip!D42</f>
        <v>0</v>
      </c>
      <c r="K13" s="1607">
        <f>[5]T11a!L32/[5]T12SthdManip!D43</f>
        <v>0</v>
      </c>
      <c r="L13" s="1607">
        <f>AVERAGE(F13:J13)</f>
        <v>2.0267493437577724E-4</v>
      </c>
      <c r="M13" s="1607"/>
      <c r="N13" s="1592"/>
      <c r="O13" s="1592">
        <f t="shared" ref="O13:O16" si="3">AVERAGE(F13:J13)</f>
        <v>2.0267493437577724E-4</v>
      </c>
      <c r="P13" s="1605"/>
      <c r="Q13" s="1605"/>
      <c r="R13" s="1605"/>
      <c r="S13" s="1606"/>
      <c r="T13" s="1606"/>
      <c r="U13" s="1606"/>
      <c r="V13" s="1606"/>
      <c r="W13" s="1606"/>
      <c r="X13" s="1606"/>
      <c r="Y13" s="1606"/>
      <c r="Z13" s="1606"/>
      <c r="AA13" s="1590"/>
      <c r="AB13" s="1590"/>
      <c r="AC13" s="1607">
        <f t="shared" si="2"/>
        <v>2.8322689636393737E-4</v>
      </c>
      <c r="AD13" s="1612">
        <f>AVERAGE(B13:G13)</f>
        <v>2.9795512721002743E-4</v>
      </c>
      <c r="AE13" s="1609">
        <f>AVERAGE(C13:H13)</f>
        <v>2.8098583527318621E-4</v>
      </c>
      <c r="AF13" s="1590"/>
      <c r="AG13" s="1592"/>
      <c r="AH13" s="1611">
        <f t="shared" si="1"/>
        <v>3.2794345926480563E-4</v>
      </c>
      <c r="AI13" s="1606"/>
      <c r="AJ13" s="1607"/>
      <c r="AK13" s="1590" t="s">
        <v>1732</v>
      </c>
      <c r="AL13" s="1590"/>
      <c r="AM13" s="1590"/>
      <c r="AN13" s="1590"/>
      <c r="AO13" s="1590"/>
    </row>
    <row r="14" spans="1:41" ht="15">
      <c r="A14" s="1591" t="s">
        <v>1738</v>
      </c>
      <c r="B14" s="1592">
        <f>[5]T11b!L23/[5]T12SthdManip!F34</f>
        <v>1.5889458644794939E-4</v>
      </c>
      <c r="C14" s="1592">
        <f>[6]T11b!L24/[6]T12SthdManip!F35</f>
        <v>2.3558428495990197E-4</v>
      </c>
      <c r="D14" s="1592">
        <f>[5]T11b!L25/[5]T12SthdManip!F36</f>
        <v>2.4194489511548703E-4</v>
      </c>
      <c r="E14" s="1592">
        <f>[5]T11b!L26/[5]T12SthdManip!F37</f>
        <v>2.9927819220196894E-5</v>
      </c>
      <c r="F14" s="1607">
        <f>[5]T11b!L27/[5]T12SthdManip!F38</f>
        <v>3.8303025161243967E-4</v>
      </c>
      <c r="G14" s="1607">
        <f>[5]T11b!L28/[5]T12SthdManip!F39</f>
        <v>3.6830295177390539E-4</v>
      </c>
      <c r="H14" s="1607">
        <f>[5]T11b!L29/[5]T12SthdManip!F40</f>
        <v>2.3151956120885401E-4</v>
      </c>
      <c r="I14" s="1607">
        <f>[5]T11b!L30/[5]T12SthdManip!F41</f>
        <v>1.0775859564020566E-6</v>
      </c>
      <c r="J14" s="1607">
        <f>[5]T11b!L31/[5]T12SthdManip!F42</f>
        <v>0</v>
      </c>
      <c r="K14" s="1607"/>
      <c r="L14" s="1607"/>
      <c r="M14" s="1607"/>
      <c r="N14" s="1592"/>
      <c r="O14" s="1592">
        <f t="shared" si="3"/>
        <v>1.967860701103202E-4</v>
      </c>
      <c r="P14" s="1606"/>
      <c r="Q14" s="1606"/>
      <c r="R14" s="1606"/>
      <c r="S14" s="1606"/>
      <c r="T14" s="1606"/>
      <c r="U14" s="1606"/>
      <c r="V14" s="1606"/>
      <c r="W14" s="1606"/>
      <c r="X14" s="1606"/>
      <c r="Y14" s="1606"/>
      <c r="Z14" s="1606"/>
      <c r="AA14" s="1590"/>
      <c r="AB14" s="1590"/>
      <c r="AC14" s="1607">
        <f t="shared" si="2"/>
        <v>2.09876367471195E-4</v>
      </c>
      <c r="AD14" s="1612">
        <f>AVERAGE(B14:G14)</f>
        <v>2.3628079818831339E-4</v>
      </c>
      <c r="AE14" s="1609">
        <f>AVERAGE(C14:H14)</f>
        <v>2.4838496064846419E-4</v>
      </c>
      <c r="AF14" s="1590"/>
      <c r="AG14" s="1592"/>
      <c r="AH14" s="1611">
        <f t="shared" si="1"/>
        <v>2.1214125550777946E-4</v>
      </c>
      <c r="AI14" s="1606"/>
      <c r="AJ14" s="1607"/>
      <c r="AK14" s="1590" t="s">
        <v>1732</v>
      </c>
      <c r="AL14" s="1590"/>
      <c r="AM14" s="1590"/>
      <c r="AN14" s="1590"/>
      <c r="AO14" s="1590"/>
    </row>
    <row r="15" spans="1:41" ht="15">
      <c r="A15" s="1590" t="s">
        <v>1739</v>
      </c>
      <c r="B15" s="1592">
        <f>([5]T11a!F23+[5]T11a!I23)/[5]T12SthdManip!D34</f>
        <v>5.3539657166803215E-3</v>
      </c>
      <c r="C15" s="1592">
        <f>([5]T11a!F24+[5]T11a!I24)/[5]T12SthdManip!D35</f>
        <v>3.5039168565844919E-3</v>
      </c>
      <c r="D15" s="1592">
        <f>([5]T11a!F25+[5]T11a!I25)/[5]T12SthdManip!D36</f>
        <v>5.2303128120504937E-3</v>
      </c>
      <c r="E15" s="1592">
        <f>([5]T11a!F26+[5]T11a!I26)/[5]T12SthdManip!D37</f>
        <v>3.8981918487429683E-3</v>
      </c>
      <c r="F15" s="1607">
        <f>([5]T11a!F27+[5]T11a!I27)/[5]T12SthdManip!D38</f>
        <v>6.6196085857912427E-3</v>
      </c>
      <c r="G15" s="1607">
        <f>([5]T11a!F28+[5]T11a!I28)/[5]T12SthdManip!D39</f>
        <v>6.0227896424195461E-3</v>
      </c>
      <c r="H15" s="1607">
        <f>([5]T11a!F29+[5]T11a!I29)/[5]T12SthdManip!D40</f>
        <v>6.4430470843716055E-3</v>
      </c>
      <c r="I15" s="1607">
        <f>([5]T11a!F30+[5]T11a!I30)/[5]T12SthdManip!D41</f>
        <v>4.098468860988214E-3</v>
      </c>
      <c r="J15" s="1607">
        <f>([5]T11a!F31+[5]T11a!I31)/[5]T12SthdManip!D42</f>
        <v>5.5105145881986263E-3</v>
      </c>
      <c r="K15" s="1607"/>
      <c r="L15" s="1607"/>
      <c r="M15" s="1607"/>
      <c r="N15" s="1592"/>
      <c r="O15" s="1592">
        <f t="shared" si="3"/>
        <v>5.7388857523538468E-3</v>
      </c>
      <c r="P15" s="1606"/>
      <c r="Q15" s="1606"/>
      <c r="R15" s="1606"/>
      <c r="S15" s="1606"/>
      <c r="T15" s="1606"/>
      <c r="U15" s="1606"/>
      <c r="V15" s="1606"/>
      <c r="W15" s="1606"/>
      <c r="X15" s="1606"/>
      <c r="Y15" s="1606"/>
      <c r="Z15" s="1595">
        <f>AVERAGE(C15:I15)</f>
        <v>5.1166193844212225E-3</v>
      </c>
      <c r="AA15" s="1590"/>
      <c r="AB15" s="1590"/>
      <c r="AC15" s="1607">
        <f t="shared" si="2"/>
        <v>4.9211991639699039E-3</v>
      </c>
      <c r="AD15" s="1612">
        <f>AVERAGE(B15:G15)</f>
        <v>5.1047975770448445E-3</v>
      </c>
      <c r="AE15" s="1606">
        <f>AVERAGE(C15:H15)</f>
        <v>5.2863111383267243E-3</v>
      </c>
      <c r="AF15" s="1592"/>
      <c r="AG15" s="1592"/>
      <c r="AH15" s="1611">
        <f t="shared" si="1"/>
        <v>4.6960651284384354E-3</v>
      </c>
      <c r="AI15" s="1606"/>
      <c r="AJ15" s="1607"/>
      <c r="AK15" s="1590" t="s">
        <v>1732</v>
      </c>
      <c r="AL15" s="1590"/>
      <c r="AM15" s="1590"/>
      <c r="AN15" s="1590"/>
      <c r="AO15" s="1590"/>
    </row>
    <row r="16" spans="1:41" ht="15">
      <c r="A16" s="1590" t="s">
        <v>1740</v>
      </c>
      <c r="B16" s="1592">
        <f>([5]T11b!F23+[5]T11b!I23)/[5]T12SthdManip!F34</f>
        <v>3.6460342674369216E-4</v>
      </c>
      <c r="C16" s="1592">
        <f>([5]T11b!F24+[5]T11b!I24)/[5]T12SthdManip!F35</f>
        <v>4.8494241283415172E-4</v>
      </c>
      <c r="D16" s="1592">
        <f>([5]T11b!F25+[5]T11b!I25)/[5]T12SthdManip!F36</f>
        <v>1.3472708129730129E-3</v>
      </c>
      <c r="E16" s="1592">
        <f>([5]T11b!F26+[5]T11b!I26)/[5]T12SthdManip!F37</f>
        <v>8.5147467781214816E-4</v>
      </c>
      <c r="F16" s="1607">
        <f>([5]T11b!F27+[5]T11b!I27)/[5]T12SthdManip!F38</f>
        <v>6.3498226888946481E-4</v>
      </c>
      <c r="G16" s="1607">
        <f>([5]T11b!F28+[5]T11b!I28)/[5]T12SthdManip!F39</f>
        <v>3.7938247328355569E-3</v>
      </c>
      <c r="H16" s="1607">
        <f>([5]T11b!F29+[5]T11b!I29)/[5]T12SthdManip!F40</f>
        <v>1.6496454489088948E-3</v>
      </c>
      <c r="I16" s="1607">
        <f>([5]T11b!F30+[5]T11b!I30)/[5]T12SthdManip!F41</f>
        <v>7.4596201229153083E-4</v>
      </c>
      <c r="J16" s="1607">
        <f>([5]T11b!F31+[5]T11b!I31)/[5]T12SthdManip!F42</f>
        <v>1.0061224925750122E-3</v>
      </c>
      <c r="K16" s="1607"/>
      <c r="L16" s="1607"/>
      <c r="M16" s="1607"/>
      <c r="N16" s="1592"/>
      <c r="O16" s="1592">
        <f t="shared" si="3"/>
        <v>1.5661073911000922E-3</v>
      </c>
      <c r="P16" s="1606"/>
      <c r="Q16" s="1606"/>
      <c r="R16" s="1606"/>
      <c r="S16" s="1606"/>
      <c r="T16" s="1606"/>
      <c r="U16" s="1606"/>
      <c r="V16" s="1606"/>
      <c r="W16" s="1606"/>
      <c r="X16" s="1606"/>
      <c r="Y16" s="1606"/>
      <c r="Z16" s="1595">
        <f>AVERAGE(C16:I16)</f>
        <v>1.3583003380778229E-3</v>
      </c>
      <c r="AA16" s="1590"/>
      <c r="AB16" s="1590"/>
      <c r="AC16" s="1607">
        <f t="shared" si="2"/>
        <v>7.3665471985049388E-4</v>
      </c>
      <c r="AD16" s="1612">
        <f>AVERAGE(B16:G16)</f>
        <v>1.2461830553480045E-3</v>
      </c>
      <c r="AE16" s="1606">
        <f>AVERAGE(C16:H16)</f>
        <v>1.4603567257088716E-3</v>
      </c>
      <c r="AF16" s="1592"/>
      <c r="AG16" s="1592"/>
      <c r="AH16" s="1611">
        <f t="shared" si="1"/>
        <v>7.3227221751695232E-4</v>
      </c>
      <c r="AI16" s="1606"/>
      <c r="AJ16" s="1607"/>
      <c r="AK16" s="1590" t="s">
        <v>1732</v>
      </c>
      <c r="AL16" s="1590"/>
      <c r="AM16" s="1590"/>
      <c r="AN16" s="1590"/>
      <c r="AO16" s="1590"/>
    </row>
    <row r="17" spans="1:41" ht="15">
      <c r="A17" s="1590"/>
      <c r="B17" s="1592"/>
      <c r="C17" s="1592"/>
      <c r="D17" s="1592"/>
      <c r="E17" s="1592"/>
      <c r="F17" s="1592"/>
      <c r="G17" s="1592"/>
      <c r="H17" s="1592"/>
      <c r="I17" s="1592"/>
      <c r="J17" s="1592"/>
      <c r="K17" s="1592"/>
      <c r="L17" s="1592"/>
      <c r="M17" s="1592"/>
      <c r="N17" s="1592"/>
      <c r="O17" s="1592"/>
      <c r="P17" s="1606"/>
      <c r="Q17" s="1606"/>
      <c r="R17" s="1606"/>
      <c r="S17" s="1606"/>
      <c r="T17" s="1606"/>
      <c r="U17" s="1606"/>
      <c r="V17" s="1606"/>
      <c r="W17" s="1606"/>
      <c r="X17" s="1606"/>
      <c r="Y17" s="1606"/>
      <c r="Z17" s="1606"/>
      <c r="AA17" s="1592"/>
      <c r="AB17" s="1607"/>
      <c r="AC17" s="1592"/>
      <c r="AD17" s="1607"/>
      <c r="AE17" s="1607"/>
      <c r="AF17" s="1592"/>
      <c r="AG17" s="1592"/>
      <c r="AH17" s="1605"/>
      <c r="AI17" s="1606"/>
      <c r="AJ17" s="1607"/>
      <c r="AK17" s="1590"/>
      <c r="AL17" s="1590"/>
      <c r="AM17" s="1590"/>
      <c r="AN17" s="1590"/>
      <c r="AO17" s="1590"/>
    </row>
    <row r="18" spans="1:41" ht="15">
      <c r="A18" s="1591" t="s">
        <v>1741</v>
      </c>
      <c r="B18" s="1592">
        <f>(4.5+1.76+0.18)/2937</f>
        <v>2.1927136533878107E-3</v>
      </c>
      <c r="C18" s="1592">
        <f>(3.51+0.24+0)/1743</f>
        <v>2.1514629948364886E-3</v>
      </c>
      <c r="D18" s="1592">
        <f>(2.02+0.16+0.03)/945</f>
        <v>2.3386243386243387E-3</v>
      </c>
      <c r="E18" s="1592">
        <f>(1.37+0.69+0)/439</f>
        <v>4.6924829157175404E-3</v>
      </c>
      <c r="F18" s="1592">
        <f>(0.15+0+0)/297</f>
        <v>5.0505050505050505E-4</v>
      </c>
      <c r="G18" s="1592">
        <f>(0.2+0+0)/342</f>
        <v>5.8479532163742691E-4</v>
      </c>
      <c r="H18" s="1604"/>
      <c r="I18" s="1604"/>
      <c r="J18" s="1592">
        <f>(1351+0+0)/664935</f>
        <v>2.0317775421657756E-3</v>
      </c>
      <c r="K18" s="1592">
        <f>(1376+0)/329040</f>
        <v>4.1818623875516658E-3</v>
      </c>
      <c r="L18" s="1592">
        <v>6.3E-3</v>
      </c>
      <c r="M18" s="1592"/>
      <c r="N18" s="1592"/>
      <c r="O18" s="1592"/>
      <c r="P18" s="1594">
        <f>AVERAGE(E18:G18)</f>
        <v>1.9274429141351572E-3</v>
      </c>
      <c r="Q18" s="1594"/>
      <c r="R18" s="1594"/>
      <c r="S18" s="1594"/>
      <c r="T18" s="1594"/>
      <c r="U18" s="1595">
        <f>AVERAGE(B18:E18,J18)</f>
        <v>2.6814122889463909E-3</v>
      </c>
      <c r="V18" s="1594"/>
      <c r="W18" s="1594"/>
      <c r="X18" s="1594"/>
      <c r="Y18" s="1594"/>
      <c r="Z18" s="1594"/>
      <c r="AA18" s="1594">
        <f>AVERAGE(D18:F18)</f>
        <v>2.512052586464128E-3</v>
      </c>
      <c r="AB18" s="1594"/>
      <c r="AC18" s="1596">
        <f>AVERAGE(B18:F18)</f>
        <v>2.3760668815233366E-3</v>
      </c>
      <c r="AD18" s="1594"/>
      <c r="AE18" s="1594"/>
      <c r="AF18" s="1590"/>
      <c r="AG18" s="1593">
        <f>AVERAGE(B18:E18)</f>
        <v>2.8438209756415445E-3</v>
      </c>
      <c r="AH18" s="1605"/>
      <c r="AI18" s="1606"/>
      <c r="AJ18" s="1607"/>
      <c r="AK18" s="1590" t="s">
        <v>1742</v>
      </c>
      <c r="AL18" s="1590"/>
      <c r="AM18" s="1590"/>
      <c r="AN18" s="1590"/>
      <c r="AO18" s="1590"/>
    </row>
    <row r="19" spans="1:41" ht="15">
      <c r="A19" s="1590"/>
      <c r="B19" s="1592"/>
      <c r="C19" s="1592"/>
      <c r="D19" s="1592"/>
      <c r="E19" s="1592"/>
      <c r="F19" s="1592"/>
      <c r="G19" s="1592"/>
      <c r="H19" s="1592"/>
      <c r="I19" s="1592"/>
      <c r="J19" s="1592"/>
      <c r="K19" s="1592"/>
      <c r="L19" s="1592"/>
      <c r="M19" s="1592"/>
      <c r="N19" s="1592"/>
      <c r="O19" s="1592"/>
      <c r="P19" s="1605"/>
      <c r="Q19" s="1605"/>
      <c r="R19" s="1605"/>
      <c r="S19" s="1606"/>
      <c r="T19" s="1606"/>
      <c r="U19" s="1606"/>
      <c r="V19" s="1606"/>
      <c r="W19" s="1606"/>
      <c r="X19" s="1606"/>
      <c r="Y19" s="1606"/>
      <c r="Z19" s="1606"/>
      <c r="AA19" s="1592"/>
      <c r="AB19" s="1607"/>
      <c r="AC19" s="1592"/>
      <c r="AD19" s="1607"/>
      <c r="AE19" s="1607"/>
      <c r="AF19" s="1592"/>
      <c r="AG19" s="1592"/>
      <c r="AH19" s="1605"/>
      <c r="AI19" s="1606"/>
      <c r="AJ19" s="1607"/>
      <c r="AK19" s="1590"/>
      <c r="AL19" s="1590"/>
      <c r="AM19" s="1590"/>
      <c r="AN19" s="1590"/>
      <c r="AO19" s="1590"/>
    </row>
    <row r="20" spans="1:41" ht="15">
      <c r="A20" s="1588" t="s">
        <v>404</v>
      </c>
      <c r="B20" s="1592"/>
      <c r="C20" s="1592"/>
      <c r="D20" s="1592"/>
      <c r="E20" s="1592"/>
      <c r="F20" s="1592"/>
      <c r="G20" s="1592"/>
      <c r="H20" s="1592"/>
      <c r="I20" s="1592"/>
      <c r="J20" s="1592"/>
      <c r="K20" s="1592"/>
      <c r="L20" s="1592"/>
      <c r="M20" s="1592"/>
      <c r="N20" s="1592"/>
      <c r="O20" s="1592"/>
      <c r="P20" s="1605"/>
      <c r="Q20" s="1605"/>
      <c r="R20" s="1605"/>
      <c r="S20" s="1606"/>
      <c r="T20" s="1606"/>
      <c r="U20" s="1606"/>
      <c r="V20" s="1606"/>
      <c r="W20" s="1606"/>
      <c r="X20" s="1606"/>
      <c r="Y20" s="1606"/>
      <c r="Z20" s="1606"/>
      <c r="AA20" s="1592"/>
      <c r="AB20" s="1607"/>
      <c r="AC20" s="1592"/>
      <c r="AD20" s="1607"/>
      <c r="AE20" s="1607"/>
      <c r="AF20" s="1592"/>
      <c r="AG20" s="1592"/>
      <c r="AH20" s="1605"/>
      <c r="AI20" s="1606"/>
      <c r="AJ20" s="1607"/>
      <c r="AK20" s="1590"/>
      <c r="AL20" s="1590"/>
      <c r="AM20" s="1590"/>
      <c r="AN20" s="1590"/>
      <c r="AO20" s="1590"/>
    </row>
    <row r="21" spans="1:41" ht="15">
      <c r="A21" s="1591" t="s">
        <v>1743</v>
      </c>
      <c r="B21" s="1592">
        <v>1.07E-3</v>
      </c>
      <c r="C21" s="1592">
        <v>2.7799999999999999E-3</v>
      </c>
      <c r="D21" s="1592">
        <v>1.8500000000000001E-3</v>
      </c>
      <c r="E21" s="1592">
        <v>4.0000000000000001E-3</v>
      </c>
      <c r="F21" s="1592">
        <v>2.7000000000000001E-3</v>
      </c>
      <c r="G21" s="1592">
        <v>2.7799999999999999E-3</v>
      </c>
      <c r="H21" s="1592"/>
      <c r="I21" s="1592"/>
      <c r="J21" s="1592">
        <v>3.82E-3</v>
      </c>
      <c r="K21" s="1592">
        <v>3.1099999999999999E-3</v>
      </c>
      <c r="L21" s="1592"/>
      <c r="M21" s="1592"/>
      <c r="N21" s="1592"/>
      <c r="O21" s="1592"/>
      <c r="P21" s="1594">
        <f>AVERAGE(E21:G21)</f>
        <v>3.16E-3</v>
      </c>
      <c r="Q21" s="1594"/>
      <c r="R21" s="1594"/>
      <c r="S21" s="1594"/>
      <c r="T21" s="1594"/>
      <c r="U21" s="1594"/>
      <c r="V21" s="1594"/>
      <c r="W21" s="1594"/>
      <c r="X21" s="1594"/>
      <c r="Y21" s="1594"/>
      <c r="Z21" s="1594"/>
      <c r="AA21" s="1596">
        <f>AVERAGE(D21:F21)</f>
        <v>2.8500000000000001E-3</v>
      </c>
      <c r="AB21" s="1594"/>
      <c r="AC21" s="1594">
        <f>AVERAGE(B21:F21)</f>
        <v>2.4800000000000004E-3</v>
      </c>
      <c r="AD21" s="1594"/>
      <c r="AE21" s="1594"/>
      <c r="AF21" s="1594"/>
      <c r="AG21" s="1594">
        <f>AVERAGE(B21:E21)</f>
        <v>2.4250000000000001E-3</v>
      </c>
      <c r="AH21" s="1605"/>
      <c r="AI21" s="1606"/>
      <c r="AJ21" s="1607"/>
      <c r="AK21" s="1590" t="s">
        <v>1726</v>
      </c>
      <c r="AL21" s="1590"/>
      <c r="AM21" s="1590"/>
      <c r="AN21" s="1590"/>
      <c r="AO21" s="1590"/>
    </row>
    <row r="22" spans="1:41" ht="15">
      <c r="A22" s="1591" t="s">
        <v>1744</v>
      </c>
      <c r="B22" s="1592">
        <f>655/[6]T1Manip!$G$40</f>
        <v>1.3161860745503868E-2</v>
      </c>
      <c r="C22" s="1592">
        <f>1255/[5]T1Manip!$G$41</f>
        <v>1.484644868215587E-2</v>
      </c>
      <c r="D22" s="1592">
        <f>561/[5]T1Manip!$G$42</f>
        <v>1.1879301217575437E-2</v>
      </c>
      <c r="E22" s="1592">
        <f>1314/[5]T1Manip!$G$43</f>
        <v>2.5879387087879624E-2</v>
      </c>
      <c r="F22" s="1592">
        <f>457/[5]T1Manip!$G$44</f>
        <v>1.2205870569696322E-2</v>
      </c>
      <c r="G22" s="1592">
        <f>329/[5]T1Manip!$G$45</f>
        <v>1.2054814597684304E-2</v>
      </c>
      <c r="H22" s="1592">
        <f>312/[5]T1Manip!$G$46</f>
        <v>6.787773305776134E-3</v>
      </c>
      <c r="I22" s="1607">
        <f>'[5]T31 SAFE Comp Manip'!D32/[5]T1Manip!$G$47</f>
        <v>6.342597075626997E-3</v>
      </c>
      <c r="J22" s="1607">
        <v>1.5299999999999999E-2</v>
      </c>
      <c r="K22" s="1604">
        <v>7.6E-3</v>
      </c>
      <c r="L22" s="1607">
        <v>4.4000000000000003E-3</v>
      </c>
      <c r="M22" s="1607"/>
      <c r="N22" s="1592"/>
      <c r="O22" s="1592"/>
      <c r="P22" s="1594">
        <f>AVERAGE(E22:G22)</f>
        <v>1.6713357418420085E-2</v>
      </c>
      <c r="Q22" s="1594"/>
      <c r="R22" s="1598">
        <f>AVERAGE(G22:K22)</f>
        <v>9.6170369958174882E-3</v>
      </c>
      <c r="S22" s="1594">
        <f>AVERAGE(E22:I22)</f>
        <v>1.2654088527332677E-2</v>
      </c>
      <c r="T22" s="1595">
        <f>AVERAGE(F22:J22)</f>
        <v>1.0538211109756753E-2</v>
      </c>
      <c r="U22" s="1594"/>
      <c r="V22" s="1595"/>
      <c r="W22" s="1594"/>
      <c r="X22" s="1594"/>
      <c r="Y22" s="1594"/>
      <c r="Z22" s="1594"/>
      <c r="AA22" s="1611">
        <f>AVERAGE(D22:F22)</f>
        <v>1.6654852958383797E-2</v>
      </c>
      <c r="AB22" s="1606"/>
      <c r="AC22" s="1606">
        <f>AVERAGE(B22:F22)</f>
        <v>1.5594573660562225E-2</v>
      </c>
      <c r="AD22" s="1606"/>
      <c r="AE22" s="1606"/>
      <c r="AF22" s="1605"/>
      <c r="AG22" s="1606">
        <f>AVERAGE(B22:E22)</f>
        <v>1.64417494332787E-2</v>
      </c>
      <c r="AH22" s="1605"/>
      <c r="AI22" s="1606"/>
      <c r="AJ22" s="1607"/>
      <c r="AK22" s="1590" t="s">
        <v>1745</v>
      </c>
      <c r="AL22" s="1590"/>
      <c r="AM22" s="1590"/>
      <c r="AN22" s="1590"/>
      <c r="AO22" s="1590"/>
    </row>
    <row r="23" spans="1:41" ht="15">
      <c r="A23" s="1591" t="s">
        <v>1746</v>
      </c>
      <c r="B23" s="1592">
        <f>30/651146</f>
        <v>4.6072616586756271E-5</v>
      </c>
      <c r="C23" s="1592">
        <f>60/512455</f>
        <v>1.1708345122986409E-4</v>
      </c>
      <c r="D23" s="1592">
        <f>7/356606</f>
        <v>1.9629507075035194E-5</v>
      </c>
      <c r="E23" s="1592">
        <f>15/88263</f>
        <v>1.6994663675605861E-4</v>
      </c>
      <c r="F23" s="1592">
        <f>6/211011</f>
        <v>2.8434536588139955E-5</v>
      </c>
      <c r="G23" s="1592">
        <f>3/63223</f>
        <v>4.7451085839014286E-5</v>
      </c>
      <c r="H23" s="1592">
        <f>1/345018</f>
        <v>2.8983995037940049E-6</v>
      </c>
      <c r="I23" s="1592">
        <f>1/345018</f>
        <v>2.8983995037940049E-6</v>
      </c>
      <c r="J23" s="1592">
        <f>27/664935</f>
        <v>4.0605472715378196E-5</v>
      </c>
      <c r="K23" s="1592">
        <f>2/329040</f>
        <v>6.0782883539995136E-6</v>
      </c>
      <c r="L23" s="1592"/>
      <c r="M23" s="1592"/>
      <c r="N23" s="1592"/>
      <c r="O23" s="1592"/>
      <c r="P23" s="1594">
        <f>AVERAGE(E23:G23)</f>
        <v>8.1944086394404285E-5</v>
      </c>
      <c r="Q23" s="1594"/>
      <c r="R23" s="1598">
        <f>AVERAGE(G23:K23)</f>
        <v>1.9986329183195999E-5</v>
      </c>
      <c r="S23" s="1593">
        <f>AVERAGE(E23:H23)</f>
        <v>6.2182664671751715E-5</v>
      </c>
      <c r="T23" s="1595">
        <f>AVERAGE(F23:J23)</f>
        <v>2.4457578830024086E-5</v>
      </c>
      <c r="U23" s="1594"/>
      <c r="V23" s="1593"/>
      <c r="W23" s="1594"/>
      <c r="X23" s="1594"/>
      <c r="Y23" s="1594"/>
      <c r="Z23" s="1594"/>
      <c r="AA23" s="1596">
        <f>AVERAGE(D23:F23)</f>
        <v>7.2670226806411252E-5</v>
      </c>
      <c r="AB23" s="1594"/>
      <c r="AC23" s="1594">
        <f>AVERAGE(B23:F23)</f>
        <v>7.6233349647170822E-5</v>
      </c>
      <c r="AD23" s="1594"/>
      <c r="AE23" s="1594"/>
      <c r="AF23" s="1594"/>
      <c r="AG23" s="1594">
        <f>AVERAGE(B23:E23)</f>
        <v>8.8183052911928534E-5</v>
      </c>
      <c r="AH23" s="1605"/>
      <c r="AI23" s="1606"/>
      <c r="AJ23" s="1607"/>
      <c r="AK23" s="1590" t="s">
        <v>1747</v>
      </c>
      <c r="AL23" s="1590"/>
      <c r="AM23" s="1590"/>
      <c r="AN23" s="1590"/>
      <c r="AO23" s="1590"/>
    </row>
    <row r="24" spans="1:41" ht="15">
      <c r="A24" s="1614" t="s">
        <v>1748</v>
      </c>
      <c r="B24" s="1592"/>
      <c r="C24" s="1592"/>
      <c r="D24" s="1592"/>
      <c r="E24" s="1592"/>
      <c r="F24" s="1592"/>
      <c r="G24" s="1592"/>
      <c r="H24" s="1592"/>
      <c r="I24" s="1592"/>
      <c r="J24" s="1592"/>
      <c r="K24" s="1592"/>
      <c r="L24" s="1592"/>
      <c r="M24" s="1592"/>
      <c r="N24" s="1592"/>
      <c r="O24" s="1592"/>
      <c r="P24" s="1606"/>
      <c r="Q24" s="1606"/>
      <c r="R24" s="1606"/>
      <c r="S24" s="1606"/>
      <c r="T24" s="1606"/>
      <c r="U24" s="1606"/>
      <c r="V24" s="1606"/>
      <c r="W24" s="1606"/>
      <c r="X24" s="1606"/>
      <c r="Y24" s="1606"/>
      <c r="Z24" s="1606"/>
      <c r="AA24" s="1607"/>
      <c r="AB24" s="1607"/>
      <c r="AC24" s="1612">
        <v>6.9999999999999999E-4</v>
      </c>
      <c r="AD24" s="1606"/>
      <c r="AE24" s="1606"/>
      <c r="AF24" s="1607"/>
      <c r="AG24" s="1607"/>
      <c r="AH24" s="1611">
        <f>'[7]One Pager'!$J$10</f>
        <v>3.2416387535088139E-4</v>
      </c>
      <c r="AI24" s="1606"/>
      <c r="AJ24" s="1607"/>
      <c r="AK24" s="1590" t="s">
        <v>1749</v>
      </c>
      <c r="AL24" s="1590"/>
      <c r="AM24" s="1590"/>
      <c r="AN24" s="1590"/>
      <c r="AO24" s="1590"/>
    </row>
    <row r="25" spans="1:41" ht="15">
      <c r="A25" s="1614" t="s">
        <v>1750</v>
      </c>
      <c r="B25" s="1592"/>
      <c r="C25" s="1592"/>
      <c r="D25" s="1592"/>
      <c r="E25" s="1592"/>
      <c r="F25" s="1592"/>
      <c r="G25" s="1592"/>
      <c r="H25" s="1592"/>
      <c r="I25" s="1592"/>
      <c r="J25" s="1592"/>
      <c r="K25" s="1592"/>
      <c r="L25" s="1592"/>
      <c r="M25" s="1592"/>
      <c r="N25" s="1592"/>
      <c r="O25" s="1592"/>
      <c r="P25" s="1606"/>
      <c r="Q25" s="1606"/>
      <c r="R25" s="1606"/>
      <c r="S25" s="1606"/>
      <c r="T25" s="1606"/>
      <c r="U25" s="1606"/>
      <c r="V25" s="1606"/>
      <c r="W25" s="1606"/>
      <c r="X25" s="1606"/>
      <c r="Y25" s="1606"/>
      <c r="Z25" s="1606"/>
      <c r="AA25" s="1607"/>
      <c r="AB25" s="1607"/>
      <c r="AC25" s="1612">
        <v>6.9999999999999999E-4</v>
      </c>
      <c r="AD25" s="1606"/>
      <c r="AE25" s="1606"/>
      <c r="AF25" s="1607"/>
      <c r="AG25" s="1607"/>
      <c r="AH25" s="1611">
        <f>'[7]One Pager'!$L$11</f>
        <v>2.7717651859408056E-4</v>
      </c>
      <c r="AI25" s="1606"/>
      <c r="AJ25" s="1607"/>
      <c r="AK25" s="1590" t="s">
        <v>1749</v>
      </c>
      <c r="AL25" s="1590"/>
      <c r="AM25" s="1590"/>
      <c r="AN25" s="1590"/>
      <c r="AO25" s="1590"/>
    </row>
    <row r="26" spans="1:41" ht="15">
      <c r="A26" s="1614" t="s">
        <v>1751</v>
      </c>
      <c r="B26" s="1592"/>
      <c r="C26" s="1592"/>
      <c r="D26" s="1592"/>
      <c r="E26" s="1592"/>
      <c r="F26" s="1592"/>
      <c r="G26" s="1592"/>
      <c r="H26" s="1592"/>
      <c r="I26" s="1592"/>
      <c r="J26" s="1592"/>
      <c r="K26" s="1592"/>
      <c r="L26" s="1592"/>
      <c r="M26" s="1592"/>
      <c r="N26" s="1592"/>
      <c r="O26" s="1592"/>
      <c r="P26" s="1606"/>
      <c r="Q26" s="1606"/>
      <c r="R26" s="1606"/>
      <c r="S26" s="1606"/>
      <c r="T26" s="1606"/>
      <c r="U26" s="1606"/>
      <c r="V26" s="1606"/>
      <c r="W26" s="1606"/>
      <c r="X26" s="1606"/>
      <c r="Y26" s="1606"/>
      <c r="Z26" s="1606"/>
      <c r="AA26" s="1607"/>
      <c r="AB26" s="1607"/>
      <c r="AC26" s="1612">
        <v>1E-4</v>
      </c>
      <c r="AD26" s="1606"/>
      <c r="AE26" s="1606"/>
      <c r="AF26" s="1607"/>
      <c r="AG26" s="1607"/>
      <c r="AH26" s="1611">
        <f>'[7]One Pager'!$J$13</f>
        <v>7.2732564638642612E-5</v>
      </c>
      <c r="AI26" s="1606"/>
      <c r="AJ26" s="1607"/>
      <c r="AK26" s="1590" t="s">
        <v>1749</v>
      </c>
      <c r="AL26" s="1590"/>
      <c r="AM26" s="1590"/>
      <c r="AN26" s="1590"/>
      <c r="AO26" s="1590"/>
    </row>
    <row r="27" spans="1:41" ht="15">
      <c r="A27" s="1591" t="s">
        <v>1752</v>
      </c>
      <c r="B27" s="1592">
        <f>2/[5]T1Manip!$H$40</f>
        <v>8.2428394916995326E-6</v>
      </c>
      <c r="C27" s="1592">
        <f>2/[5]T1Manip!$H$40</f>
        <v>8.2428394916995326E-6</v>
      </c>
      <c r="D27" s="1592">
        <f>2/[5]T1Manip!$H$40</f>
        <v>8.2428394916995326E-6</v>
      </c>
      <c r="E27" s="1592">
        <f>2/[5]T1Manip!$H$40</f>
        <v>8.2428394916995326E-6</v>
      </c>
      <c r="F27" s="1592">
        <f>2/[5]T1Manip!$H$40</f>
        <v>8.2428394916995326E-6</v>
      </c>
      <c r="G27" s="1607">
        <f>2/[5]T1Manip!$H$40</f>
        <v>8.2428394916995326E-6</v>
      </c>
      <c r="H27" s="1607">
        <f>2/[5]T1Manip!$H$40</f>
        <v>8.2428394916995326E-6</v>
      </c>
      <c r="I27" s="1607">
        <f>2/[5]T1Manip!$H$40</f>
        <v>8.2428394916995326E-6</v>
      </c>
      <c r="J27" s="1607">
        <f>2/[5]T1Manip!$H$40</f>
        <v>8.2428394916995326E-6</v>
      </c>
      <c r="K27" s="1607">
        <f>2/[5]T1Manip!$H$40</f>
        <v>8.2428394916995326E-6</v>
      </c>
      <c r="L27" s="1607"/>
      <c r="M27" s="1607"/>
      <c r="N27" s="1592"/>
      <c r="O27" s="1592"/>
      <c r="P27" s="1594">
        <f>AVERAGE(E27:G27)</f>
        <v>8.2428394916995326E-6</v>
      </c>
      <c r="Q27" s="1594"/>
      <c r="R27" s="1594"/>
      <c r="S27" s="1594">
        <f>AVERAGE(E27:H27)</f>
        <v>8.2428394916995326E-6</v>
      </c>
      <c r="T27" s="1595">
        <f>AVERAGE(F27:J27)</f>
        <v>8.2428394916995326E-6</v>
      </c>
      <c r="U27" s="1594"/>
      <c r="V27" s="1593"/>
      <c r="W27" s="1594"/>
      <c r="X27" s="1594"/>
      <c r="Y27" s="1594"/>
      <c r="Z27" s="1594"/>
      <c r="AA27" s="1596">
        <f>AVERAGE(D27:F27)</f>
        <v>8.2428394916995326E-6</v>
      </c>
      <c r="AB27" s="1594"/>
      <c r="AC27" s="1594">
        <f>AVERAGE(B27:F27)</f>
        <v>8.2428394916995326E-6</v>
      </c>
      <c r="AD27" s="1594"/>
      <c r="AE27" s="1594"/>
      <c r="AF27" s="1594"/>
      <c r="AG27" s="1594">
        <f>AVERAGE(B27:E27)</f>
        <v>8.2428394916995326E-6</v>
      </c>
      <c r="AH27" s="1605"/>
      <c r="AI27" s="1606"/>
      <c r="AJ27" s="1607"/>
      <c r="AK27" s="1590" t="s">
        <v>1753</v>
      </c>
      <c r="AL27" s="1590"/>
      <c r="AM27" s="1590"/>
      <c r="AN27" s="1590"/>
      <c r="AO27" s="1590"/>
    </row>
    <row r="28" spans="1:41" ht="15">
      <c r="A28" s="1591" t="s">
        <v>1754</v>
      </c>
      <c r="B28" s="1592"/>
      <c r="C28" s="1592">
        <v>0</v>
      </c>
      <c r="D28" s="1592">
        <v>0</v>
      </c>
      <c r="E28" s="1592">
        <v>0</v>
      </c>
      <c r="F28" s="1592">
        <v>0</v>
      </c>
      <c r="G28" s="1592">
        <v>0</v>
      </c>
      <c r="H28" s="1592">
        <v>0</v>
      </c>
      <c r="I28" s="1592">
        <v>0</v>
      </c>
      <c r="J28" s="1592">
        <v>0</v>
      </c>
      <c r="K28" s="1592">
        <v>0</v>
      </c>
      <c r="L28" s="1592"/>
      <c r="M28" s="1592"/>
      <c r="N28" s="1592"/>
      <c r="O28" s="1592"/>
      <c r="P28" s="1594">
        <f>AVERAGE(E28:G28)</f>
        <v>0</v>
      </c>
      <c r="Q28" s="1594"/>
      <c r="R28" s="1594"/>
      <c r="S28" s="1594">
        <f>AVERAGE(E28:H28)</f>
        <v>0</v>
      </c>
      <c r="T28" s="1595">
        <f>AVERAGE(F28:J28)</f>
        <v>0</v>
      </c>
      <c r="U28" s="1594"/>
      <c r="V28" s="1593"/>
      <c r="W28" s="1594"/>
      <c r="X28" s="1594"/>
      <c r="Y28" s="1594"/>
      <c r="Z28" s="1594"/>
      <c r="AA28" s="1596">
        <f>AVERAGE(D28:F28)</f>
        <v>0</v>
      </c>
      <c r="AB28" s="1594"/>
      <c r="AC28" s="1607"/>
      <c r="AD28" s="1607"/>
      <c r="AE28" s="1607"/>
      <c r="AF28" s="1607"/>
      <c r="AG28" s="1607"/>
      <c r="AH28" s="1592"/>
      <c r="AI28" s="1592"/>
      <c r="AJ28" s="1607"/>
      <c r="AK28" s="1590" t="s">
        <v>1747</v>
      </c>
      <c r="AL28" s="1590"/>
      <c r="AM28" s="1590"/>
      <c r="AN28" s="1590"/>
      <c r="AO28" s="1590"/>
    </row>
    <row r="29" spans="1:41" ht="15">
      <c r="A29" s="1591" t="s">
        <v>1755</v>
      </c>
      <c r="B29" s="1604">
        <v>0</v>
      </c>
      <c r="C29" s="1604">
        <v>0</v>
      </c>
      <c r="D29" s="1604">
        <v>0</v>
      </c>
      <c r="E29" s="1604">
        <v>0</v>
      </c>
      <c r="F29" s="1604">
        <v>0</v>
      </c>
      <c r="G29" s="1604">
        <v>0</v>
      </c>
      <c r="H29" s="1604">
        <v>0</v>
      </c>
      <c r="I29" s="1604">
        <v>0</v>
      </c>
      <c r="J29" s="1604">
        <v>0</v>
      </c>
      <c r="K29" s="1604">
        <v>0</v>
      </c>
      <c r="L29" s="1604"/>
      <c r="M29" s="1604"/>
      <c r="N29" s="1592"/>
      <c r="O29" s="1592"/>
      <c r="P29" s="1594">
        <f>AVERAGE(E29:G29)</f>
        <v>0</v>
      </c>
      <c r="Q29" s="1594"/>
      <c r="R29" s="1594"/>
      <c r="S29" s="1594">
        <f>AVERAGE(E29:H29)</f>
        <v>0</v>
      </c>
      <c r="T29" s="1595">
        <f>AVERAGE(F29:J29)</f>
        <v>0</v>
      </c>
      <c r="U29" s="1594"/>
      <c r="V29" s="1593"/>
      <c r="W29" s="1594"/>
      <c r="X29" s="1594"/>
      <c r="Y29" s="1594"/>
      <c r="Z29" s="1594"/>
      <c r="AA29" s="1596">
        <f>AVERAGE(D29:F29)</f>
        <v>0</v>
      </c>
      <c r="AB29" s="1594"/>
      <c r="AC29" s="1590"/>
      <c r="AD29" s="1590"/>
      <c r="AE29" s="1590"/>
      <c r="AF29" s="1590"/>
      <c r="AG29" s="1594"/>
      <c r="AH29" s="1590"/>
      <c r="AI29" s="1590"/>
      <c r="AJ29" s="1590"/>
      <c r="AK29" s="1590" t="s">
        <v>1756</v>
      </c>
      <c r="AL29" s="1590"/>
      <c r="AM29" s="1590"/>
      <c r="AN29" s="1590"/>
      <c r="AO29" s="1590"/>
    </row>
    <row r="30" spans="1:41" ht="15">
      <c r="A30" s="1590"/>
      <c r="B30" s="1615"/>
      <c r="C30" s="1615"/>
      <c r="D30" s="1615"/>
      <c r="E30" s="1615"/>
      <c r="F30" s="1615"/>
      <c r="G30" s="1615"/>
      <c r="H30" s="1615"/>
      <c r="I30" s="1615"/>
      <c r="J30" s="1615"/>
      <c r="K30" s="1615"/>
      <c r="L30" s="1615"/>
      <c r="M30" s="1615"/>
      <c r="N30" s="1615"/>
      <c r="O30" s="1615"/>
      <c r="P30" s="1615"/>
      <c r="Q30" s="1615"/>
      <c r="R30" s="1615"/>
      <c r="S30" s="1616"/>
      <c r="T30" s="1616"/>
      <c r="U30" s="1616"/>
      <c r="V30" s="1616"/>
      <c r="W30" s="1615"/>
      <c r="X30" s="1615"/>
      <c r="Y30" s="1615"/>
      <c r="Z30" s="1616"/>
      <c r="AA30" s="1615"/>
      <c r="AB30" s="1616"/>
      <c r="AC30" s="1616"/>
      <c r="AD30" s="1616"/>
      <c r="AE30" s="1616"/>
      <c r="AF30" s="1616"/>
      <c r="AG30" s="1616"/>
      <c r="AH30" s="1590"/>
      <c r="AI30" s="1590"/>
      <c r="AJ30" s="1590"/>
      <c r="AK30" s="1590"/>
      <c r="AL30" s="1590"/>
      <c r="AM30" s="1590"/>
      <c r="AN30" s="1590"/>
      <c r="AO30" s="1590"/>
    </row>
    <row r="31" spans="1:41" ht="15">
      <c r="A31" s="1617" t="s">
        <v>1757</v>
      </c>
      <c r="B31" s="1616"/>
      <c r="C31" s="1615"/>
      <c r="D31" s="1615"/>
      <c r="E31" s="1615"/>
      <c r="F31" s="1615"/>
      <c r="G31" s="1615"/>
      <c r="H31" s="1615"/>
      <c r="I31" s="1615"/>
      <c r="J31" s="1615"/>
      <c r="K31" s="1615"/>
      <c r="L31" s="1615"/>
      <c r="M31" s="1615"/>
      <c r="N31" s="1615"/>
      <c r="O31" s="1615"/>
      <c r="P31" s="1615"/>
      <c r="Q31" s="1615"/>
      <c r="R31" s="1615"/>
      <c r="S31" s="1616"/>
      <c r="T31" s="1616"/>
      <c r="U31" s="1616"/>
      <c r="V31" s="1616"/>
      <c r="W31" s="1615"/>
      <c r="X31" s="1615"/>
      <c r="Y31" s="1615"/>
      <c r="Z31" s="1616"/>
      <c r="AA31" s="1615"/>
      <c r="AB31" s="1616"/>
      <c r="AC31" s="1615"/>
      <c r="AD31" s="1616"/>
      <c r="AE31" s="1616"/>
      <c r="AF31" s="1615"/>
      <c r="AG31" s="1615"/>
      <c r="AH31" s="1590"/>
      <c r="AI31" s="1590"/>
      <c r="AJ31" s="1590"/>
      <c r="AK31" s="1590"/>
      <c r="AL31" s="1590"/>
      <c r="AM31" s="1590"/>
      <c r="AN31" s="1590"/>
      <c r="AO31" s="1590"/>
    </row>
    <row r="32" spans="1:41" ht="15">
      <c r="A32" s="1591" t="s">
        <v>1758</v>
      </c>
      <c r="B32" s="1615"/>
      <c r="C32" s="1615"/>
      <c r="D32" s="1615"/>
      <c r="E32" s="1615"/>
      <c r="F32" s="1615"/>
      <c r="G32" s="1615"/>
      <c r="H32" s="1615"/>
      <c r="I32" s="1615"/>
      <c r="J32" s="1615"/>
      <c r="K32" s="1615"/>
      <c r="L32" s="1615"/>
      <c r="M32" s="1615"/>
      <c r="N32" s="1615"/>
      <c r="O32" s="1615"/>
      <c r="P32" s="1615"/>
      <c r="Q32" s="1615"/>
      <c r="R32" s="1615"/>
      <c r="S32" s="1616"/>
      <c r="T32" s="1616"/>
      <c r="U32" s="1616"/>
      <c r="V32" s="1616"/>
      <c r="W32" s="1615"/>
      <c r="X32" s="1615"/>
      <c r="Y32" s="1615"/>
      <c r="Z32" s="1616"/>
      <c r="AA32" s="1615"/>
      <c r="AB32" s="1616"/>
      <c r="AC32" s="1615"/>
      <c r="AD32" s="1616"/>
      <c r="AE32" s="1616"/>
      <c r="AF32" s="1615"/>
      <c r="AG32" s="1615"/>
      <c r="AH32" s="1590"/>
      <c r="AI32" s="1590"/>
      <c r="AJ32" s="1590"/>
      <c r="AK32" s="1590"/>
      <c r="AL32" s="1590"/>
      <c r="AM32" s="1590"/>
      <c r="AN32" s="1590"/>
      <c r="AO32" s="1590"/>
    </row>
  </sheetData>
  <pageMargins left="0.7" right="0.7" top="0.75" bottom="0.75" header="0.3" footer="0.3"/>
  <legacy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7"/>
  <sheetViews>
    <sheetView workbookViewId="0">
      <selection activeCell="F4" sqref="F4"/>
    </sheetView>
  </sheetViews>
  <sheetFormatPr defaultColWidth="9.33203125" defaultRowHeight="30" customHeight="1"/>
  <cols>
    <col min="1" max="1" width="12.83203125" customWidth="1"/>
    <col min="2" max="8" width="10.83203125" customWidth="1"/>
  </cols>
  <sheetData>
    <row r="1" spans="1:8" ht="30" customHeight="1" thickBot="1">
      <c r="A1" s="2069" t="s">
        <v>1759</v>
      </c>
      <c r="B1" s="2070"/>
      <c r="C1" s="2070"/>
      <c r="D1" s="2070"/>
      <c r="E1" s="2070"/>
      <c r="F1" s="2070"/>
      <c r="G1" s="2070"/>
      <c r="H1" s="2071"/>
    </row>
    <row r="2" spans="1:8" ht="30" customHeight="1" thickBot="1">
      <c r="A2" s="282"/>
      <c r="B2" s="2072" t="s">
        <v>966</v>
      </c>
      <c r="C2" s="2072"/>
      <c r="D2" s="2072"/>
      <c r="E2" s="2073"/>
      <c r="F2" s="283"/>
      <c r="G2" s="283"/>
      <c r="H2" s="284"/>
    </row>
    <row r="3" spans="1:8" ht="30" customHeight="1" thickBot="1">
      <c r="A3" s="271" t="s">
        <v>1760</v>
      </c>
      <c r="B3" s="285" t="s">
        <v>1761</v>
      </c>
      <c r="C3" s="1719" t="s">
        <v>36</v>
      </c>
      <c r="D3" s="286" t="s">
        <v>1762</v>
      </c>
      <c r="E3" s="287" t="s">
        <v>198</v>
      </c>
      <c r="F3" s="248" t="s">
        <v>809</v>
      </c>
      <c r="G3" s="248" t="s">
        <v>1542</v>
      </c>
      <c r="H3" s="272" t="s">
        <v>1543</v>
      </c>
    </row>
    <row r="4" spans="1:8" ht="30" customHeight="1">
      <c r="A4" s="273" t="s">
        <v>1763</v>
      </c>
      <c r="B4" s="288">
        <v>325</v>
      </c>
      <c r="C4" s="249">
        <v>368</v>
      </c>
      <c r="D4" s="250">
        <v>0</v>
      </c>
      <c r="E4" s="289">
        <v>368</v>
      </c>
      <c r="F4" s="251">
        <v>0</v>
      </c>
      <c r="G4" s="249">
        <v>128</v>
      </c>
      <c r="H4" s="270">
        <v>14</v>
      </c>
    </row>
    <row r="5" spans="1:8" ht="30" customHeight="1">
      <c r="A5" s="273" t="s">
        <v>1764</v>
      </c>
      <c r="B5" s="288">
        <v>325</v>
      </c>
      <c r="C5" s="249">
        <v>326</v>
      </c>
      <c r="D5" s="250">
        <v>0</v>
      </c>
      <c r="E5" s="289">
        <v>326</v>
      </c>
      <c r="F5" s="251">
        <v>0</v>
      </c>
      <c r="G5" s="249">
        <v>0</v>
      </c>
      <c r="H5" s="270">
        <v>0</v>
      </c>
    </row>
    <row r="6" spans="1:8" ht="30" customHeight="1" thickBot="1">
      <c r="A6" s="274" t="s">
        <v>1765</v>
      </c>
      <c r="B6" s="290">
        <v>295</v>
      </c>
      <c r="C6" s="252">
        <v>163</v>
      </c>
      <c r="D6" s="253">
        <v>0</v>
      </c>
      <c r="E6" s="291">
        <v>163</v>
      </c>
      <c r="F6" s="248">
        <v>0</v>
      </c>
      <c r="G6" s="252">
        <v>0</v>
      </c>
      <c r="H6" s="272">
        <v>0</v>
      </c>
    </row>
    <row r="7" spans="1:8" ht="30" customHeight="1" thickBot="1">
      <c r="A7" s="275" t="s">
        <v>36</v>
      </c>
      <c r="B7" s="276"/>
      <c r="C7" s="277">
        <f t="shared" ref="C7:H7" si="0">SUM(C4:C6)</f>
        <v>857</v>
      </c>
      <c r="D7" s="278">
        <f t="shared" si="0"/>
        <v>0</v>
      </c>
      <c r="E7" s="279">
        <f t="shared" si="0"/>
        <v>857</v>
      </c>
      <c r="F7" s="276">
        <f t="shared" si="0"/>
        <v>0</v>
      </c>
      <c r="G7" s="280">
        <f t="shared" si="0"/>
        <v>128</v>
      </c>
      <c r="H7" s="281">
        <f t="shared" si="0"/>
        <v>14</v>
      </c>
    </row>
  </sheetData>
  <mergeCells count="2">
    <mergeCell ref="A1:H1"/>
    <mergeCell ref="B2:E2"/>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B2:C19"/>
  <sheetViews>
    <sheetView workbookViewId="0">
      <selection activeCell="A2" sqref="A2"/>
    </sheetView>
  </sheetViews>
  <sheetFormatPr defaultRowHeight="12.75"/>
  <cols>
    <col min="2" max="2" width="71" customWidth="1"/>
    <col min="3" max="3" width="28.33203125" customWidth="1"/>
  </cols>
  <sheetData>
    <row r="2" spans="2:3" ht="13.5" thickBot="1"/>
    <row r="3" spans="2:3" ht="14.25" thickTop="1" thickBot="1">
      <c r="B3" s="2074" t="s">
        <v>1766</v>
      </c>
      <c r="C3" s="2075"/>
    </row>
    <row r="4" spans="2:3" ht="14.25" thickTop="1" thickBot="1">
      <c r="B4" s="254" t="s">
        <v>1767</v>
      </c>
      <c r="C4" s="255" t="s">
        <v>1768</v>
      </c>
    </row>
    <row r="5" spans="2:3">
      <c r="B5" s="256" t="s">
        <v>1769</v>
      </c>
      <c r="C5" s="257">
        <v>3993</v>
      </c>
    </row>
    <row r="6" spans="2:3">
      <c r="B6" s="256" t="s">
        <v>1770</v>
      </c>
      <c r="C6" s="258">
        <v>0</v>
      </c>
    </row>
    <row r="7" spans="2:3">
      <c r="B7" s="256" t="s">
        <v>1771</v>
      </c>
      <c r="C7" s="257">
        <v>4100</v>
      </c>
    </row>
    <row r="8" spans="2:3">
      <c r="B8" s="256" t="s">
        <v>1772</v>
      </c>
      <c r="C8" s="258">
        <v>16</v>
      </c>
    </row>
    <row r="9" spans="2:3">
      <c r="B9" s="259" t="s">
        <v>1773</v>
      </c>
      <c r="C9" s="260">
        <v>0</v>
      </c>
    </row>
    <row r="10" spans="2:3">
      <c r="B10" s="261" t="s">
        <v>1774</v>
      </c>
      <c r="C10" s="262">
        <f>SUM(C5:C9)</f>
        <v>8109</v>
      </c>
    </row>
    <row r="11" spans="2:3">
      <c r="B11" s="256"/>
      <c r="C11" s="258"/>
    </row>
    <row r="12" spans="2:3">
      <c r="B12" s="256" t="s">
        <v>1775</v>
      </c>
      <c r="C12" s="258">
        <v>160</v>
      </c>
    </row>
    <row r="13" spans="2:3">
      <c r="B13" s="259" t="s">
        <v>1776</v>
      </c>
      <c r="C13" s="263">
        <v>16168</v>
      </c>
    </row>
    <row r="14" spans="2:3">
      <c r="B14" s="259" t="s">
        <v>1777</v>
      </c>
      <c r="C14" s="260">
        <v>0</v>
      </c>
    </row>
    <row r="15" spans="2:3">
      <c r="B15" s="261" t="s">
        <v>1778</v>
      </c>
      <c r="C15" s="262">
        <f>SUM(C12:C14)</f>
        <v>16328</v>
      </c>
    </row>
    <row r="16" spans="2:3" ht="13.5" thickBot="1">
      <c r="B16" s="264"/>
      <c r="C16" s="265"/>
    </row>
    <row r="17" spans="2:3" ht="13.5">
      <c r="B17" s="266"/>
      <c r="C17" s="267"/>
    </row>
    <row r="18" spans="2:3" ht="14.25" thickBot="1">
      <c r="B18" s="268" t="s">
        <v>1779</v>
      </c>
      <c r="C18" s="269">
        <f>C10+C15</f>
        <v>24437</v>
      </c>
    </row>
    <row r="19" spans="2:3" ht="13.5" thickTop="1"/>
  </sheetData>
  <mergeCells count="1">
    <mergeCell ref="B3:C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04f474e-3c68-4b88-93ac-7c86e7119ccc">
      <Terms xmlns="http://schemas.microsoft.com/office/infopath/2007/PartnerControls"/>
    </lcf76f155ced4ddcb4097134ff3c332f>
    <TaxCatchAll xmlns="25bf28c8-6ae6-42aa-a4b2-d83c9f61aea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D5936B3F7732444AFEF1606BFED34DC" ma:contentTypeVersion="18" ma:contentTypeDescription="Create a new document." ma:contentTypeScope="" ma:versionID="6c1d6abbcf17c9691ef30a1215c9a625">
  <xsd:schema xmlns:xsd="http://www.w3.org/2001/XMLSchema" xmlns:xs="http://www.w3.org/2001/XMLSchema" xmlns:p="http://schemas.microsoft.com/office/2006/metadata/properties" xmlns:ns1="http://schemas.microsoft.com/sharepoint/v3" xmlns:ns2="704f474e-3c68-4b88-93ac-7c86e7119ccc" xmlns:ns3="25bf28c8-6ae6-42aa-a4b2-d83c9f61aeaa" targetNamespace="http://schemas.microsoft.com/office/2006/metadata/properties" ma:root="true" ma:fieldsID="e6aace77d71f33f61d1921e6461b2e38" ns1:_="" ns2:_="" ns3:_="">
    <xsd:import namespace="http://schemas.microsoft.com/sharepoint/v3"/>
    <xsd:import namespace="704f474e-3c68-4b88-93ac-7c86e7119ccc"/>
    <xsd:import namespace="25bf28c8-6ae6-42aa-a4b2-d83c9f61aea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1:_ip_UnifiedCompliancePolicyProperties" minOccurs="0"/>
                <xsd:element ref="ns1:_ip_UnifiedCompliancePolicyUIActio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4f474e-3c68-4b88-93ac-7c86e7119c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60a6a1c-50a4-4ec0-87e3-f00760ffe7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bf28c8-6ae6-42aa-a4b2-d83c9f61aea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cd10a6d-abc8-424f-81e4-b9b81fce80c4}" ma:internalName="TaxCatchAll" ma:showField="CatchAllData" ma:web="25bf28c8-6ae6-42aa-a4b2-d83c9f61ae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D4A6C2-A64C-4F3E-9351-45FF96A28EFA}"/>
</file>

<file path=customXml/itemProps2.xml><?xml version="1.0" encoding="utf-8"?>
<ds:datastoreItem xmlns:ds="http://schemas.openxmlformats.org/officeDocument/2006/customXml" ds:itemID="{90F93D8B-6CCF-428C-8E60-CD3C548CB342}"/>
</file>

<file path=customXml/itemProps3.xml><?xml version="1.0" encoding="utf-8"?>
<ds:datastoreItem xmlns:ds="http://schemas.openxmlformats.org/officeDocument/2006/customXml" ds:itemID="{6E6DB98C-7849-48E0-861A-414A2E964634}"/>
</file>

<file path=docMetadata/LabelInfo.xml><?xml version="1.0" encoding="utf-8"?>
<clbl:labelList xmlns:clbl="http://schemas.microsoft.com/office/2020/mipLabelMetadata">
  <clbl:label id="{45011977-b912-4387-97a4-f4c94a801377}" enabled="1" method="Standard" siteId="{11d0e217-264e-400a-8ba0-57dcc127d72d}" removed="0"/>
  <clbl:label id="{db79d039-fcd0-4045-9c78-4cfb2eba0904}" enabled="1" method="Privileged" siteId="{aa3f6932-fa7c-47b4-a0ce-a598cad161c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Oregon Dept of Fish &amp; Wildlife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Sue Engwall</dc:creator>
  <cp:keywords/>
  <dc:description/>
  <cp:lastModifiedBy>Conley, Shannon (DFW)</cp:lastModifiedBy>
  <cp:revision/>
  <dcterms:created xsi:type="dcterms:W3CDTF">2017-12-14T01:37:07Z</dcterms:created>
  <dcterms:modified xsi:type="dcterms:W3CDTF">2026-07-24T19:11:29Z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79d039-fcd0-4045-9c78-4cfb2eba0904_Enabled">
    <vt:lpwstr>true</vt:lpwstr>
  </property>
  <property fmtid="{D5CDD505-2E9C-101B-9397-08002B2CF9AE}" pid="3" name="MSIP_Label_db79d039-fcd0-4045-9c78-4cfb2eba0904_SetDate">
    <vt:lpwstr>2023-10-30T23:52:20Z</vt:lpwstr>
  </property>
  <property fmtid="{D5CDD505-2E9C-101B-9397-08002B2CF9AE}" pid="4" name="MSIP_Label_db79d039-fcd0-4045-9c78-4cfb2eba0904_Method">
    <vt:lpwstr>Privileged</vt:lpwstr>
  </property>
  <property fmtid="{D5CDD505-2E9C-101B-9397-08002B2CF9AE}" pid="5" name="MSIP_Label_db79d039-fcd0-4045-9c78-4cfb2eba0904_Name">
    <vt:lpwstr>Level 2 - Limited (Items)</vt:lpwstr>
  </property>
  <property fmtid="{D5CDD505-2E9C-101B-9397-08002B2CF9AE}" pid="6" name="MSIP_Label_db79d039-fcd0-4045-9c78-4cfb2eba0904_SiteId">
    <vt:lpwstr>aa3f6932-fa7c-47b4-a0ce-a598cad161cf</vt:lpwstr>
  </property>
  <property fmtid="{D5CDD505-2E9C-101B-9397-08002B2CF9AE}" pid="7" name="MSIP_Label_db79d039-fcd0-4045-9c78-4cfb2eba0904_ActionId">
    <vt:lpwstr>bbf14449-fe8e-4160-813f-a39cccc4d701</vt:lpwstr>
  </property>
  <property fmtid="{D5CDD505-2E9C-101B-9397-08002B2CF9AE}" pid="8" name="MSIP_Label_db79d039-fcd0-4045-9c78-4cfb2eba0904_ContentBits">
    <vt:lpwstr>0</vt:lpwstr>
  </property>
  <property fmtid="{D5CDD505-2E9C-101B-9397-08002B2CF9AE}" pid="9" name="ContentTypeId">
    <vt:lpwstr>0x0101005D5936B3F7732444AFEF1606BFED34DC</vt:lpwstr>
  </property>
  <property fmtid="{D5CDD505-2E9C-101B-9397-08002B2CF9AE}" pid="10" name="MediaServiceImageTags">
    <vt:lpwstr/>
  </property>
</Properties>
</file>