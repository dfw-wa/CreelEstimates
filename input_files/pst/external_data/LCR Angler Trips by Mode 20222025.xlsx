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erneconomicsinc.sharepoint.com/Projects/460 Pacific Salmon Commission/Economic Analysis of PST Fisheries/Data/ODFW received data/"/>
    </mc:Choice>
  </mc:AlternateContent>
  <xr:revisionPtr revIDLastSave="110" documentId="13_ncr:1_{393C1B1B-E04E-4609-9C21-240661A93162}" xr6:coauthVersionLast="47" xr6:coauthVersionMax="47" xr10:uidLastSave="{FC19EC00-2C14-477B-9458-B90F414EDCA0}"/>
  <bookViews>
    <workbookView xWindow="28680" yWindow="1620" windowWidth="29040" windowHeight="15720" activeTab="1" xr2:uid="{01F66A32-7957-436B-818A-1FF7628CC498}"/>
  </bookViews>
  <sheets>
    <sheet name="Lower Columbia" sheetId="1" r:id="rId1"/>
    <sheet name="Bonneville-Mc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J14" i="1"/>
  <c r="H14" i="1"/>
  <c r="F14" i="1"/>
  <c r="L13" i="1"/>
  <c r="J13" i="1"/>
  <c r="H13" i="1"/>
  <c r="F13" i="1"/>
  <c r="L12" i="1"/>
  <c r="J12" i="1"/>
  <c r="H12" i="1"/>
  <c r="F12" i="1"/>
  <c r="L11" i="1"/>
  <c r="J11" i="1"/>
  <c r="H11" i="1"/>
  <c r="F11" i="1"/>
  <c r="G11" i="1"/>
  <c r="G12" i="1"/>
  <c r="G13" i="1"/>
  <c r="G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Watts</author>
  </authors>
  <commentList>
    <comment ref="A1" authorId="0" shapeId="0" xr:uid="{AF1E56B7-DB76-48D7-8206-3EF1795AEF47}">
      <text>
        <r>
          <rPr>
            <b/>
            <sz val="9"/>
            <color indexed="81"/>
            <rFont val="Tahoma"/>
            <family val="2"/>
          </rPr>
          <t>Jimmy Watts:</t>
        </r>
        <r>
          <rPr>
            <sz val="9"/>
            <color indexed="81"/>
            <rFont val="Tahoma"/>
            <family val="2"/>
          </rPr>
          <t xml:space="preserve">
Below Bonneville Dam Does not include Buoy 10</t>
        </r>
      </text>
    </comment>
    <comment ref="C7" authorId="0" shapeId="0" xr:uid="{3B2036AC-46C4-497E-868C-CBC374A47303}">
      <text>
        <r>
          <rPr>
            <b/>
            <sz val="9"/>
            <color indexed="81"/>
            <rFont val="Tahoma"/>
            <family val="2"/>
          </rPr>
          <t>Jimmy Watts:</t>
        </r>
        <r>
          <rPr>
            <sz val="9"/>
            <color indexed="81"/>
            <rFont val="Tahoma"/>
            <family val="2"/>
          </rPr>
          <t xml:space="preserve">
Cannot differentiate target sepcies between some salmon/steelhead trips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Watts</author>
  </authors>
  <commentList>
    <comment ref="C4" authorId="0" shapeId="0" xr:uid="{3585D753-F465-4B47-B0D0-169E08B90441}">
      <text>
        <r>
          <rPr>
            <b/>
            <sz val="9"/>
            <color indexed="81"/>
            <rFont val="Tahoma"/>
            <family val="2"/>
          </rPr>
          <t>Jimmy Watts:</t>
        </r>
        <r>
          <rPr>
            <sz val="9"/>
            <color indexed="81"/>
            <rFont val="Tahoma"/>
            <family val="2"/>
          </rPr>
          <t xml:space="preserve">
Trips not available by mode</t>
        </r>
      </text>
    </comment>
  </commentList>
</comments>
</file>

<file path=xl/sharedStrings.xml><?xml version="1.0" encoding="utf-8"?>
<sst xmlns="http://schemas.openxmlformats.org/spreadsheetml/2006/main" count="53" uniqueCount="34">
  <si>
    <t xml:space="preserve">State:       </t>
  </si>
  <si>
    <t xml:space="preserve">Oregon &amp; Washington </t>
  </si>
  <si>
    <t>Method:</t>
  </si>
  <si>
    <t>Boat &amp; Bank</t>
  </si>
  <si>
    <t>Month:</t>
  </si>
  <si>
    <t>January-December</t>
  </si>
  <si>
    <t>CHINOOK</t>
  </si>
  <si>
    <t>COHO</t>
  </si>
  <si>
    <t>ADULTS</t>
  </si>
  <si>
    <t>JACKS</t>
  </si>
  <si>
    <t>STEELHEAD</t>
  </si>
  <si>
    <t>SOCKEYE</t>
  </si>
  <si>
    <t>TOTAL</t>
  </si>
  <si>
    <t>KEPT</t>
  </si>
  <si>
    <t>REL.</t>
  </si>
  <si>
    <t>Year</t>
  </si>
  <si>
    <t>SALMONID ANGLER TRIPS</t>
  </si>
  <si>
    <t>Bank</t>
  </si>
  <si>
    <t>Boat Total</t>
  </si>
  <si>
    <t>Private Boat</t>
  </si>
  <si>
    <t>Guided Boat</t>
  </si>
  <si>
    <t>SUMMARY OF LOWER COLUMBIA RIVER RECREATIONAL CATCH AND EFFORT ESTIMATES (Below Bonneville Dam)</t>
  </si>
  <si>
    <t>Adult</t>
  </si>
  <si>
    <t>Jack</t>
  </si>
  <si>
    <t xml:space="preserve">Adult </t>
  </si>
  <si>
    <t>Sockeye</t>
  </si>
  <si>
    <t>Salmonid Anglers</t>
  </si>
  <si>
    <t>Chin. Kept</t>
  </si>
  <si>
    <t>Chin. Rel'd</t>
  </si>
  <si>
    <t>Coho Kept</t>
  </si>
  <si>
    <t>Coho Rel.</t>
  </si>
  <si>
    <t>Kept</t>
  </si>
  <si>
    <t>Rel'd</t>
  </si>
  <si>
    <t>Columbia Angler Trips and Catch, Bonneville-McNary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</si>
</sst>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3" fontId="5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3" fontId="4" fillId="0" borderId="0" xfId="0" applyNumberFormat="1" applyFont="1"/>
    <xf numFmtId="3" fontId="4" fillId="2" borderId="0" xfId="0" applyNumberFormat="1" applyFont="1" applyFill="1"/>
    <xf numFmtId="10" fontId="0" fillId="0" borderId="0" xfId="0" applyNumberFormat="1"/>
    <xf numFmtId="3" fontId="5" fillId="0" borderId="0" xfId="0" applyNumberFormat="1" applyFont="1"/>
    <xf numFmtId="3" fontId="5" fillId="2" borderId="0" xfId="0" applyNumberFormat="1" applyFont="1" applyFill="1"/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8D83-1186-4AB0-AC67-14E293E26EDF}">
  <dimension ref="A1:AL29"/>
  <sheetViews>
    <sheetView workbookViewId="0">
      <selection activeCell="J34" sqref="J34"/>
    </sheetView>
  </sheetViews>
  <sheetFormatPr defaultRowHeight="14.5" x14ac:dyDescent="0.35"/>
  <cols>
    <col min="2" max="2" width="4.1796875" customWidth="1"/>
    <col min="4" max="4" width="11.08984375" customWidth="1"/>
    <col min="5" max="5" width="13" customWidth="1"/>
    <col min="6" max="6" width="10.36328125" customWidth="1"/>
    <col min="7" max="7" width="11.1796875" customWidth="1"/>
    <col min="8" max="8" width="9.7265625" customWidth="1"/>
    <col min="9" max="9" width="10.54296875" customWidth="1"/>
    <col min="10" max="10" width="10.1796875" customWidth="1"/>
    <col min="11" max="11" width="10" customWidth="1"/>
    <col min="14" max="14" width="3" customWidth="1"/>
    <col min="16" max="16" width="3" customWidth="1"/>
    <col min="18" max="18" width="3.81640625" customWidth="1"/>
    <col min="20" max="20" width="2.7265625" customWidth="1"/>
    <col min="22" max="22" width="2.54296875" customWidth="1"/>
    <col min="24" max="24" width="3.453125" customWidth="1"/>
    <col min="26" max="26" width="3.1796875" customWidth="1"/>
    <col min="28" max="28" width="3.1796875" customWidth="1"/>
    <col min="30" max="30" width="2.54296875" customWidth="1"/>
    <col min="32" max="32" width="2.7265625" customWidth="1"/>
    <col min="34" max="34" width="3.453125" customWidth="1"/>
    <col min="37" max="37" width="12.08984375" customWidth="1"/>
    <col min="38" max="38" width="13.81640625" customWidth="1"/>
    <col min="39" max="39" width="13.26953125" customWidth="1"/>
  </cols>
  <sheetData>
    <row r="1" spans="1:38" x14ac:dyDescent="0.35">
      <c r="A1" s="1" t="s">
        <v>21</v>
      </c>
      <c r="B1" s="2"/>
      <c r="C1" s="3"/>
      <c r="D1" s="2"/>
      <c r="E1" s="3"/>
      <c r="F1" s="3"/>
      <c r="G1" s="3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8" x14ac:dyDescent="0.35">
      <c r="A2" s="1"/>
      <c r="B2" s="2"/>
      <c r="C2" s="3"/>
      <c r="D2" s="2"/>
      <c r="E2" s="3"/>
      <c r="F2" s="3"/>
      <c r="G2" s="3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8" x14ac:dyDescent="0.35">
      <c r="A3" s="1" t="s">
        <v>0</v>
      </c>
      <c r="B3" s="2" t="s">
        <v>1</v>
      </c>
      <c r="C3" s="3"/>
      <c r="D3" s="2"/>
      <c r="E3" s="3"/>
      <c r="F3" s="3"/>
      <c r="G3" s="3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8" x14ac:dyDescent="0.35">
      <c r="A4" s="1" t="s">
        <v>2</v>
      </c>
      <c r="B4" s="2" t="s">
        <v>3</v>
      </c>
      <c r="C4" s="3"/>
      <c r="D4" s="2"/>
      <c r="E4" s="3"/>
      <c r="F4" s="3"/>
      <c r="G4" s="3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8" x14ac:dyDescent="0.35">
      <c r="A5" s="1" t="s">
        <v>4</v>
      </c>
      <c r="B5" s="2" t="s">
        <v>5</v>
      </c>
      <c r="C5" s="3"/>
      <c r="D5" s="2"/>
      <c r="E5" s="3"/>
      <c r="F5" s="3"/>
      <c r="G5" s="3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8" x14ac:dyDescent="0.35">
      <c r="A6" s="3"/>
      <c r="B6" s="2"/>
      <c r="C6" s="3"/>
      <c r="D6" s="2"/>
      <c r="E6" s="3"/>
      <c r="F6" s="3"/>
      <c r="G6" s="3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8" ht="15" thickBot="1" x14ac:dyDescent="0.4">
      <c r="A7" s="3"/>
      <c r="B7" s="2"/>
      <c r="C7" s="22" t="s">
        <v>16</v>
      </c>
      <c r="D7" s="22"/>
      <c r="E7" s="22"/>
      <c r="F7" s="22"/>
      <c r="G7" s="22"/>
      <c r="H7" s="22"/>
      <c r="I7" s="22"/>
      <c r="J7" s="22"/>
      <c r="K7" s="22"/>
      <c r="L7" s="3"/>
      <c r="M7" s="22" t="s">
        <v>6</v>
      </c>
      <c r="N7" s="22"/>
      <c r="O7" s="22"/>
      <c r="P7" s="22"/>
      <c r="Q7" s="22"/>
      <c r="R7" s="22"/>
      <c r="S7" s="22"/>
      <c r="T7" s="3"/>
      <c r="U7" s="3"/>
      <c r="V7" s="3"/>
      <c r="W7" s="3"/>
      <c r="X7" s="3"/>
      <c r="Y7" s="3"/>
      <c r="Z7" s="3"/>
      <c r="AA7" s="3"/>
      <c r="AB7" s="3"/>
      <c r="AC7" s="22" t="s">
        <v>7</v>
      </c>
      <c r="AD7" s="22"/>
      <c r="AE7" s="22"/>
      <c r="AF7" s="22"/>
      <c r="AG7" s="22"/>
      <c r="AH7" s="22"/>
      <c r="AI7" s="22"/>
    </row>
    <row r="8" spans="1:38" ht="15" thickBot="1" x14ac:dyDescent="0.4">
      <c r="A8" s="3"/>
      <c r="B8" s="2"/>
      <c r="C8" s="3"/>
      <c r="D8" s="2"/>
      <c r="E8" s="3"/>
      <c r="F8" s="3"/>
      <c r="G8" s="3"/>
      <c r="H8" s="2"/>
      <c r="I8" s="3"/>
      <c r="J8" s="3"/>
      <c r="K8" s="3"/>
      <c r="L8" s="3"/>
      <c r="M8" s="23" t="s">
        <v>8</v>
      </c>
      <c r="N8" s="23"/>
      <c r="O8" s="23"/>
      <c r="P8" s="3"/>
      <c r="Q8" s="23" t="s">
        <v>9</v>
      </c>
      <c r="R8" s="23"/>
      <c r="S8" s="23"/>
      <c r="T8" s="3"/>
      <c r="U8" s="22" t="s">
        <v>10</v>
      </c>
      <c r="V8" s="22"/>
      <c r="W8" s="22"/>
      <c r="X8" s="3"/>
      <c r="Y8" s="22" t="s">
        <v>11</v>
      </c>
      <c r="Z8" s="22"/>
      <c r="AA8" s="22"/>
      <c r="AB8" s="3"/>
      <c r="AC8" s="23" t="s">
        <v>8</v>
      </c>
      <c r="AD8" s="23"/>
      <c r="AE8" s="23"/>
      <c r="AF8" s="3"/>
      <c r="AG8" s="23" t="s">
        <v>9</v>
      </c>
      <c r="AH8" s="23"/>
      <c r="AI8" s="23"/>
    </row>
    <row r="9" spans="1:38" x14ac:dyDescent="0.35">
      <c r="A9" s="4" t="s">
        <v>15</v>
      </c>
      <c r="B9" s="2"/>
      <c r="C9" s="4" t="s">
        <v>12</v>
      </c>
      <c r="D9" s="2"/>
      <c r="E9" s="4" t="s">
        <v>17</v>
      </c>
      <c r="F9" s="3"/>
      <c r="G9" s="4" t="s">
        <v>19</v>
      </c>
      <c r="H9" s="2"/>
      <c r="I9" s="4" t="s">
        <v>20</v>
      </c>
      <c r="J9" s="3"/>
      <c r="K9" s="4" t="s">
        <v>18</v>
      </c>
      <c r="L9" s="3"/>
      <c r="M9" s="4" t="s">
        <v>13</v>
      </c>
      <c r="N9" s="3"/>
      <c r="O9" s="4" t="s">
        <v>14</v>
      </c>
      <c r="P9" s="3"/>
      <c r="Q9" s="4" t="s">
        <v>13</v>
      </c>
      <c r="R9" s="3"/>
      <c r="S9" s="4" t="s">
        <v>14</v>
      </c>
      <c r="T9" s="3"/>
      <c r="U9" s="4" t="s">
        <v>13</v>
      </c>
      <c r="V9" s="3"/>
      <c r="W9" s="4" t="s">
        <v>14</v>
      </c>
      <c r="X9" s="3"/>
      <c r="Y9" s="4" t="s">
        <v>13</v>
      </c>
      <c r="Z9" s="3"/>
      <c r="AA9" s="4" t="s">
        <v>14</v>
      </c>
      <c r="AB9" s="3"/>
      <c r="AC9" s="4" t="s">
        <v>13</v>
      </c>
      <c r="AD9" s="3"/>
      <c r="AE9" s="4" t="s">
        <v>14</v>
      </c>
      <c r="AF9" s="3"/>
      <c r="AG9" s="4" t="s">
        <v>13</v>
      </c>
      <c r="AH9" s="3"/>
      <c r="AI9" s="4" t="s">
        <v>14</v>
      </c>
    </row>
    <row r="11" spans="1:38" x14ac:dyDescent="0.35">
      <c r="A11" s="7">
        <v>2022</v>
      </c>
      <c r="C11" s="6">
        <v>173122</v>
      </c>
      <c r="D11" s="2"/>
      <c r="E11" s="2">
        <v>55376</v>
      </c>
      <c r="F11" s="2">
        <f>E11*0.86</f>
        <v>47623.360000000001</v>
      </c>
      <c r="G11" s="2">
        <f t="shared" ref="G11:G13" si="0">K11-I11</f>
        <v>104241</v>
      </c>
      <c r="H11" s="2">
        <f>G11*0.86</f>
        <v>89647.26</v>
      </c>
      <c r="I11" s="2">
        <v>13505</v>
      </c>
      <c r="J11" s="2">
        <f>I11*0.86</f>
        <v>11614.3</v>
      </c>
      <c r="K11" s="2">
        <v>117746</v>
      </c>
      <c r="L11">
        <f>K11*0.86</f>
        <v>101261.56</v>
      </c>
      <c r="M11" s="8">
        <v>25782</v>
      </c>
      <c r="N11" s="3"/>
      <c r="O11" s="8">
        <v>7460</v>
      </c>
      <c r="P11" s="3"/>
      <c r="Q11" s="8">
        <v>4395</v>
      </c>
      <c r="R11" s="3"/>
      <c r="S11" s="8">
        <v>1079</v>
      </c>
      <c r="T11" s="3"/>
      <c r="U11" s="8">
        <v>4150</v>
      </c>
      <c r="V11" s="3"/>
      <c r="W11" s="8">
        <v>2746</v>
      </c>
      <c r="X11" s="3"/>
      <c r="Y11" s="8">
        <v>1077</v>
      </c>
      <c r="Z11" s="3"/>
      <c r="AA11" s="8">
        <v>1824</v>
      </c>
      <c r="AB11" s="3"/>
      <c r="AC11" s="8">
        <v>1632</v>
      </c>
      <c r="AD11" s="3"/>
      <c r="AE11" s="8">
        <v>615</v>
      </c>
      <c r="AF11" s="3"/>
      <c r="AG11" s="8">
        <v>125</v>
      </c>
      <c r="AH11" s="3"/>
      <c r="AI11" s="8">
        <v>96</v>
      </c>
      <c r="AK11" s="2"/>
      <c r="AL11" s="2"/>
    </row>
    <row r="12" spans="1:38" x14ac:dyDescent="0.35">
      <c r="A12" s="7">
        <v>2023</v>
      </c>
      <c r="C12" s="6">
        <v>195859</v>
      </c>
      <c r="D12" s="2"/>
      <c r="E12" s="2">
        <v>57165</v>
      </c>
      <c r="F12" s="2">
        <f>E12*0.91</f>
        <v>52020.15</v>
      </c>
      <c r="G12" s="2">
        <f t="shared" si="0"/>
        <v>120300</v>
      </c>
      <c r="H12" s="2">
        <f>G12*0.91</f>
        <v>109473</v>
      </c>
      <c r="I12" s="2">
        <v>18394</v>
      </c>
      <c r="J12" s="2">
        <f>I12*0.91</f>
        <v>16738.54</v>
      </c>
      <c r="K12" s="2">
        <v>138694</v>
      </c>
      <c r="L12">
        <f>K12*0.91</f>
        <v>126211.54000000001</v>
      </c>
      <c r="M12" s="8">
        <v>34610</v>
      </c>
      <c r="N12" s="3"/>
      <c r="O12" s="8">
        <v>4814</v>
      </c>
      <c r="P12" s="3"/>
      <c r="Q12" s="8">
        <v>3414</v>
      </c>
      <c r="R12" s="3"/>
      <c r="S12" s="8">
        <v>735</v>
      </c>
      <c r="T12" s="3"/>
      <c r="U12" s="8">
        <v>2220</v>
      </c>
      <c r="V12" s="3"/>
      <c r="W12" s="8">
        <v>2575</v>
      </c>
      <c r="X12" s="3"/>
      <c r="Y12" s="8">
        <v>1365</v>
      </c>
      <c r="Z12" s="3"/>
      <c r="AA12" s="8">
        <v>71</v>
      </c>
      <c r="AB12" s="3"/>
      <c r="AC12" s="8">
        <v>3592</v>
      </c>
      <c r="AD12" s="3"/>
      <c r="AE12" s="8">
        <v>1655</v>
      </c>
      <c r="AF12" s="3"/>
      <c r="AG12" s="8">
        <v>395</v>
      </c>
      <c r="AH12" s="3"/>
      <c r="AI12" s="8">
        <v>97</v>
      </c>
      <c r="AK12" s="2"/>
      <c r="AL12" s="2"/>
    </row>
    <row r="13" spans="1:38" x14ac:dyDescent="0.35">
      <c r="A13" s="7">
        <v>2024</v>
      </c>
      <c r="C13" s="6">
        <v>230050</v>
      </c>
      <c r="D13" s="2"/>
      <c r="E13" s="2">
        <v>65132</v>
      </c>
      <c r="F13" s="2">
        <f>E13*0.85</f>
        <v>55362.2</v>
      </c>
      <c r="G13" s="2">
        <f t="shared" si="0"/>
        <v>147795</v>
      </c>
      <c r="H13" s="2">
        <f>G13*0.85</f>
        <v>125625.75</v>
      </c>
      <c r="I13" s="2">
        <v>17123</v>
      </c>
      <c r="J13" s="2">
        <f>I13*0.85</f>
        <v>14554.55</v>
      </c>
      <c r="K13" s="2">
        <v>164918</v>
      </c>
      <c r="L13">
        <f>K13*0.85</f>
        <v>140180.29999999999</v>
      </c>
      <c r="M13" s="8">
        <v>38905</v>
      </c>
      <c r="N13" s="3"/>
      <c r="O13" s="8">
        <v>6469</v>
      </c>
      <c r="P13" s="3"/>
      <c r="Q13" s="8">
        <v>5318</v>
      </c>
      <c r="R13" s="3"/>
      <c r="S13" s="8">
        <v>1285</v>
      </c>
      <c r="T13" s="3"/>
      <c r="U13" s="8">
        <v>6719</v>
      </c>
      <c r="V13" s="3"/>
      <c r="W13" s="8">
        <v>4717</v>
      </c>
      <c r="X13" s="3"/>
      <c r="Y13" s="8">
        <v>4143</v>
      </c>
      <c r="Z13" s="3"/>
      <c r="AA13" s="8">
        <v>637</v>
      </c>
      <c r="AB13" s="3"/>
      <c r="AC13" s="8">
        <v>6467</v>
      </c>
      <c r="AD13" s="3"/>
      <c r="AE13" s="8">
        <v>2611</v>
      </c>
      <c r="AF13" s="3"/>
      <c r="AG13" s="8">
        <v>424</v>
      </c>
      <c r="AH13" s="3"/>
      <c r="AI13" s="8">
        <v>202</v>
      </c>
      <c r="AK13" s="2"/>
      <c r="AL13" s="2"/>
    </row>
    <row r="14" spans="1:38" x14ac:dyDescent="0.35">
      <c r="A14" s="7">
        <v>2025</v>
      </c>
      <c r="C14" s="5">
        <v>223062</v>
      </c>
      <c r="D14" s="2"/>
      <c r="E14" s="2">
        <v>72292</v>
      </c>
      <c r="F14" s="2">
        <f>E14*0.85</f>
        <v>61448.2</v>
      </c>
      <c r="G14" s="2">
        <f>K14-I14</f>
        <v>134573</v>
      </c>
      <c r="H14" s="2">
        <f>G14*0.85</f>
        <v>114387.05</v>
      </c>
      <c r="I14" s="2">
        <v>16197</v>
      </c>
      <c r="J14" s="2">
        <f>I14*0.85</f>
        <v>13767.449999999999</v>
      </c>
      <c r="K14" s="2">
        <v>150770</v>
      </c>
      <c r="L14">
        <f>K14*0.85</f>
        <v>128154.5</v>
      </c>
      <c r="M14" s="8">
        <v>34424</v>
      </c>
      <c r="N14" s="3"/>
      <c r="O14" s="8">
        <v>5952</v>
      </c>
      <c r="P14" s="3"/>
      <c r="Q14" s="8">
        <v>3210</v>
      </c>
      <c r="R14" s="3"/>
      <c r="S14" s="8">
        <v>1122</v>
      </c>
      <c r="T14" s="3"/>
      <c r="U14" s="8">
        <v>4694</v>
      </c>
      <c r="V14" s="3"/>
      <c r="W14" s="8">
        <v>4552</v>
      </c>
      <c r="X14" s="3"/>
      <c r="Y14" s="8">
        <v>883</v>
      </c>
      <c r="Z14" s="3"/>
      <c r="AA14" s="8">
        <v>77</v>
      </c>
      <c r="AB14" s="3"/>
      <c r="AC14" s="8">
        <v>4449</v>
      </c>
      <c r="AD14" s="3"/>
      <c r="AE14" s="8">
        <v>1764</v>
      </c>
      <c r="AF14" s="3"/>
      <c r="AG14" s="8">
        <v>192</v>
      </c>
      <c r="AH14" s="3"/>
      <c r="AI14" s="8">
        <v>172</v>
      </c>
      <c r="AK14" s="2"/>
      <c r="AL14" s="2"/>
    </row>
    <row r="24" spans="4:8" x14ac:dyDescent="0.35">
      <c r="D24" s="21"/>
      <c r="E24" s="21"/>
      <c r="F24" s="21"/>
      <c r="G24" s="21"/>
    </row>
    <row r="26" spans="4:8" x14ac:dyDescent="0.35">
      <c r="D26" s="18"/>
      <c r="E26" s="18"/>
      <c r="F26" s="18"/>
      <c r="G26" s="2"/>
      <c r="H26" s="2"/>
    </row>
    <row r="27" spans="4:8" x14ac:dyDescent="0.35">
      <c r="D27" s="18"/>
      <c r="E27" s="18"/>
      <c r="F27" s="18"/>
      <c r="G27" s="2"/>
      <c r="H27" s="2"/>
    </row>
    <row r="28" spans="4:8" x14ac:dyDescent="0.35">
      <c r="D28" s="18"/>
      <c r="E28" s="18"/>
      <c r="F28" s="18"/>
      <c r="G28" s="2"/>
      <c r="H28" s="2"/>
    </row>
    <row r="29" spans="4:8" x14ac:dyDescent="0.35">
      <c r="D29" s="18"/>
      <c r="E29" s="18"/>
      <c r="F29" s="18"/>
      <c r="G29" s="2"/>
      <c r="H29" s="2"/>
    </row>
  </sheetData>
  <mergeCells count="10">
    <mergeCell ref="D24:G24"/>
    <mergeCell ref="C7:K7"/>
    <mergeCell ref="M7:S7"/>
    <mergeCell ref="AC7:AI7"/>
    <mergeCell ref="M8:O8"/>
    <mergeCell ref="Q8:S8"/>
    <mergeCell ref="U8:W8"/>
    <mergeCell ref="Y8:AA8"/>
    <mergeCell ref="AC8:AE8"/>
    <mergeCell ref="AG8:AI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4099-5199-462D-9E00-8B51B1FEE6FE}">
  <dimension ref="A1:S22"/>
  <sheetViews>
    <sheetView tabSelected="1" workbookViewId="0">
      <selection activeCell="H29" sqref="H29"/>
    </sheetView>
  </sheetViews>
  <sheetFormatPr defaultRowHeight="14.5" x14ac:dyDescent="0.35"/>
  <cols>
    <col min="2" max="2" width="3.453125" customWidth="1"/>
    <col min="3" max="3" width="15.26953125" customWidth="1"/>
    <col min="5" max="5" width="15.7265625" customWidth="1"/>
    <col min="6" max="6" width="14.6328125" customWidth="1"/>
  </cols>
  <sheetData>
    <row r="1" spans="1:19" x14ac:dyDescent="0.35">
      <c r="A1" t="s">
        <v>33</v>
      </c>
    </row>
    <row r="3" spans="1:19" x14ac:dyDescent="0.35">
      <c r="C3" s="9"/>
      <c r="D3" s="9"/>
      <c r="E3" s="10" t="s">
        <v>22</v>
      </c>
      <c r="F3" s="10"/>
      <c r="G3" s="10" t="s">
        <v>22</v>
      </c>
      <c r="H3" s="9"/>
      <c r="I3" s="10" t="s">
        <v>23</v>
      </c>
      <c r="J3" s="9"/>
      <c r="K3" s="11" t="s">
        <v>24</v>
      </c>
      <c r="L3" s="9"/>
      <c r="M3" s="11" t="s">
        <v>22</v>
      </c>
      <c r="N3" s="9"/>
      <c r="O3" s="11" t="s">
        <v>23</v>
      </c>
      <c r="P3" s="9"/>
      <c r="Q3" s="10" t="s">
        <v>25</v>
      </c>
      <c r="R3" s="10"/>
      <c r="S3" s="10" t="s">
        <v>25</v>
      </c>
    </row>
    <row r="4" spans="1:19" x14ac:dyDescent="0.35">
      <c r="A4" s="15" t="s">
        <v>15</v>
      </c>
      <c r="C4" s="12" t="s">
        <v>26</v>
      </c>
      <c r="D4" s="12"/>
      <c r="E4" s="13" t="s">
        <v>27</v>
      </c>
      <c r="F4" s="12"/>
      <c r="G4" s="13" t="s">
        <v>28</v>
      </c>
      <c r="H4" s="12"/>
      <c r="I4" s="13" t="s">
        <v>27</v>
      </c>
      <c r="J4" s="12"/>
      <c r="K4" s="14" t="s">
        <v>29</v>
      </c>
      <c r="L4" s="12"/>
      <c r="M4" s="14" t="s">
        <v>30</v>
      </c>
      <c r="N4" s="12"/>
      <c r="O4" s="14" t="s">
        <v>29</v>
      </c>
      <c r="P4" s="12"/>
      <c r="Q4" s="14" t="s">
        <v>31</v>
      </c>
      <c r="R4" s="13"/>
      <c r="S4" s="13" t="s">
        <v>32</v>
      </c>
    </row>
    <row r="6" spans="1:19" x14ac:dyDescent="0.35">
      <c r="A6">
        <v>2022</v>
      </c>
      <c r="C6" s="16">
        <v>31252</v>
      </c>
      <c r="D6" s="16"/>
      <c r="E6" s="16">
        <v>9103</v>
      </c>
      <c r="F6" s="16"/>
      <c r="G6" s="16">
        <v>2006</v>
      </c>
      <c r="H6" s="16"/>
      <c r="I6" s="16">
        <v>2157</v>
      </c>
      <c r="J6" s="16"/>
      <c r="K6" s="16">
        <v>4765</v>
      </c>
      <c r="L6" s="16"/>
      <c r="M6" s="16">
        <v>418</v>
      </c>
      <c r="N6" s="16"/>
      <c r="O6" s="16">
        <v>60</v>
      </c>
      <c r="P6" s="16"/>
      <c r="Q6" s="16">
        <v>67</v>
      </c>
      <c r="R6" s="16"/>
      <c r="S6" s="16">
        <v>4</v>
      </c>
    </row>
    <row r="7" spans="1:19" x14ac:dyDescent="0.35">
      <c r="A7">
        <v>2023</v>
      </c>
      <c r="C7" s="16">
        <v>58271</v>
      </c>
      <c r="D7" s="16"/>
      <c r="E7" s="16">
        <v>16940</v>
      </c>
      <c r="F7" s="16"/>
      <c r="G7" s="16">
        <v>2462</v>
      </c>
      <c r="H7" s="16"/>
      <c r="I7" s="16">
        <v>2233</v>
      </c>
      <c r="J7" s="16"/>
      <c r="K7" s="16">
        <v>3445</v>
      </c>
      <c r="L7" s="16"/>
      <c r="M7" s="16">
        <v>437</v>
      </c>
      <c r="N7" s="16"/>
      <c r="O7" s="16">
        <v>562</v>
      </c>
      <c r="P7" s="16"/>
      <c r="Q7" s="16">
        <v>50</v>
      </c>
      <c r="R7" s="16"/>
      <c r="S7" s="16">
        <v>32</v>
      </c>
    </row>
    <row r="8" spans="1:19" x14ac:dyDescent="0.35">
      <c r="A8">
        <v>2024</v>
      </c>
      <c r="C8" s="17">
        <v>51669</v>
      </c>
      <c r="D8" s="17"/>
      <c r="E8" s="17">
        <v>12696</v>
      </c>
      <c r="F8" s="17"/>
      <c r="G8" s="17">
        <v>3811</v>
      </c>
      <c r="H8" s="17"/>
      <c r="I8" s="17">
        <v>3337</v>
      </c>
      <c r="J8" s="17"/>
      <c r="K8" s="17">
        <v>5186</v>
      </c>
      <c r="L8" s="17"/>
      <c r="M8" s="17">
        <v>787</v>
      </c>
      <c r="N8" s="17"/>
      <c r="O8" s="17">
        <v>363</v>
      </c>
      <c r="P8" s="17"/>
      <c r="Q8" s="17">
        <v>485</v>
      </c>
      <c r="R8" s="17"/>
      <c r="S8" s="17">
        <v>209</v>
      </c>
    </row>
    <row r="9" spans="1:19" x14ac:dyDescent="0.35">
      <c r="A9">
        <v>2025</v>
      </c>
      <c r="C9" s="16">
        <v>42811</v>
      </c>
      <c r="D9" s="16"/>
      <c r="E9" s="16">
        <v>10635</v>
      </c>
      <c r="F9" s="16"/>
      <c r="G9" s="16">
        <v>3424</v>
      </c>
      <c r="H9" s="16"/>
      <c r="I9" s="16">
        <v>1153</v>
      </c>
      <c r="J9" s="16"/>
      <c r="K9" s="16">
        <v>4247</v>
      </c>
      <c r="L9" s="16"/>
      <c r="M9" s="16">
        <v>779</v>
      </c>
      <c r="N9" s="16"/>
      <c r="O9" s="16">
        <v>44</v>
      </c>
      <c r="P9" s="16"/>
      <c r="Q9" s="16">
        <v>9</v>
      </c>
      <c r="R9" s="16"/>
      <c r="S9" s="16">
        <v>30</v>
      </c>
    </row>
    <row r="19" spans="4:7" x14ac:dyDescent="0.35">
      <c r="D19" s="18"/>
      <c r="E19" s="18"/>
      <c r="F19" s="18"/>
      <c r="G19" s="19"/>
    </row>
    <row r="20" spans="4:7" x14ac:dyDescent="0.35">
      <c r="D20" s="18"/>
      <c r="E20" s="18"/>
      <c r="F20" s="18"/>
      <c r="G20" s="19"/>
    </row>
    <row r="21" spans="4:7" x14ac:dyDescent="0.35">
      <c r="D21" s="18"/>
      <c r="E21" s="18"/>
      <c r="F21" s="18"/>
      <c r="G21" s="20"/>
    </row>
    <row r="22" spans="4:7" x14ac:dyDescent="0.35">
      <c r="D22" s="18"/>
      <c r="E22" s="18"/>
      <c r="F22" s="18"/>
      <c r="G22" s="19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C0F70509D51C45ABE88F8924E3F4F1" ma:contentTypeVersion="28" ma:contentTypeDescription="Create a new document." ma:contentTypeScope="" ma:versionID="127a9ec812164306bdcf17f03013f165">
  <xsd:schema xmlns:xsd="http://www.w3.org/2001/XMLSchema" xmlns:xs="http://www.w3.org/2001/XMLSchema" xmlns:p="http://schemas.microsoft.com/office/2006/metadata/properties" xmlns:ns1="http://schemas.microsoft.com/sharepoint/v3" xmlns:ns2="11aa2679-1b9f-48ac-ae33-5bda0a63c326" xmlns:ns3="e03caa25-174b-43c5-b762-e6ec645a35f5" targetNamespace="http://schemas.microsoft.com/office/2006/metadata/properties" ma:root="true" ma:fieldsID="85fc5746a3a73736466d1d93f33e0e67" ns1:_="" ns2:_="" ns3:_="">
    <xsd:import namespace="http://schemas.microsoft.com/sharepoint/v3"/>
    <xsd:import namespace="11aa2679-1b9f-48ac-ae33-5bda0a63c326"/>
    <xsd:import namespace="e03caa25-174b-43c5-b762-e6ec645a35f5"/>
    <xsd:element name="properties">
      <xsd:complexType>
        <xsd:sequence>
          <xsd:element name="documentManagement">
            <xsd:complexType>
              <xsd:all>
                <xsd:element ref="ns2:Comments0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DocConcurrencyNumber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0065_ga9" minOccurs="0"/>
                <xsd:element ref="ns2:c2deb277-99c9-4517-85e9-45a320167e73CountryOrRegion" minOccurs="0"/>
                <xsd:element ref="ns2:c2deb277-99c9-4517-85e9-45a320167e73State" minOccurs="0"/>
                <xsd:element ref="ns2:c2deb277-99c9-4517-85e9-45a320167e73City" minOccurs="0"/>
                <xsd:element ref="ns2:c2deb277-99c9-4517-85e9-45a320167e73PostalCode" minOccurs="0"/>
                <xsd:element ref="ns2:c2deb277-99c9-4517-85e9-45a320167e73Street" minOccurs="0"/>
                <xsd:element ref="ns2:c2deb277-99c9-4517-85e9-45a320167e73GeoLoc" minOccurs="0"/>
                <xsd:element ref="ns2:c2deb277-99c9-4517-85e9-45a320167e73DispNam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9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10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11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12" nillable="true" ma:displayName="Source URL" ma:hidden="true" ma:internalName="_SourceUrl">
      <xsd:simpleType>
        <xsd:restriction base="dms:Text"/>
      </xsd:simpleType>
    </xsd:element>
    <xsd:element name="_SharedFileIndex" ma:index="13" nillable="true" ma:displayName="Shared File Index" ma:hidden="true" ma:internalName="_SharedFileIndex">
      <xsd:simpleType>
        <xsd:restriction base="dms:Text"/>
      </xsd:simpleType>
    </xsd:element>
    <xsd:element name="ContentTypeId" ma:index="14" nillable="true" ma:displayName="Content Type ID" ma:hidden="true" ma:internalName="ContentTypeId" ma:readOnly="true">
      <xsd:simpleType>
        <xsd:restriction base="dms:Unknown"/>
      </xsd:simpleType>
    </xsd:element>
    <xsd:element name="TemplateUrl" ma:index="15" nillable="true" ma:displayName="Template Link" ma:hidden="true" ma:internalName="TemplateUrl">
      <xsd:simpleType>
        <xsd:restriction base="dms:Text"/>
      </xsd:simpleType>
    </xsd:element>
    <xsd:element name="xd_ProgID" ma:index="16" nillable="true" ma:displayName="HTML File Link" ma:hidden="true" ma:internalName="xd_ProgID">
      <xsd:simpleType>
        <xsd:restriction base="dms:Text"/>
      </xsd:simpleType>
    </xsd:element>
    <xsd:element name="xd_Signature" ma:index="17" nillable="true" ma:displayName="Is Signed" ma:hidden="true" ma:internalName="xd_Signature" ma:readOnly="true">
      <xsd:simpleType>
        <xsd:restriction base="dms:Boolean"/>
      </xsd:simpleType>
    </xsd:element>
    <xsd:element name="ID" ma:index="18" nillable="true" ma:displayName="ID" ma:internalName="ID" ma:readOnly="false">
      <xsd:simpleType>
        <xsd:restriction base="dms:Unknown"/>
      </xsd:simpleType>
    </xsd:element>
    <xsd:element name="Author" ma:index="19" nillable="true" ma:displayName="Created By" ma:list="UserInfo" ma:internalName="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false">
      <xsd:simpleType>
        <xsd:restriction base="dms:Boolean"/>
      </xsd:simpleType>
    </xsd:element>
    <xsd:element name="_CopySource" ma:index="22" nillable="true" ma:displayName="Copy Source" ma:internalName="_CopySource" ma:readOnly="fals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fals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SortBehavior" ma:index="30" nillable="true" ma:displayName="Sort Type" ma:hidden="true" ma:list="Docs" ma:internalName="SortBehavior" ma:readOnly="true" ma:showField="SortBehavior">
      <xsd:simpleType>
        <xsd:restriction base="dms:Lookup"/>
      </xsd:simpleType>
    </xsd:element>
    <xsd:element name="CheckedOutUserId" ma:index="32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3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4" nillable="true" ma:displayName="Checked Out To" ma:hidden="true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5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SyncClientId" ma:index="36" nillable="true" ma:displayName="Client Id" ma:hidden="true" ma:list="Docs" ma:internalName="SyncClientId" ma:readOnly="true" ma:showField="SyncClientId">
      <xsd:simpleType>
        <xsd:restriction base="dms:Lookup"/>
      </xsd:simpleType>
    </xsd:element>
    <xsd:element name="ProgId" ma:index="37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8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9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0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MetaInfo" ma:index="53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4" nillable="true" ma:displayName="Level" ma:hidden="true" ma:internalName="_Level" ma:readOnly="true">
      <xsd:simpleType>
        <xsd:restriction base="dms:Unknown"/>
      </xsd:simpleType>
    </xsd:element>
    <xsd:element name="_IsCurrentVersion" ma:index="55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UI Version" ma:hidden="true" ma:internalName="_UIVersion" ma:readOnly="true">
      <xsd:simpleType>
        <xsd:restriction base="dms:Unknown"/>
      </xsd:simpleType>
    </xsd:element>
    <xsd:element name="_UIVersionString" ma:index="60" nillable="true" ma:displayName="Version" ma:internalName="_UIVersionString" ma:readOnly="false">
      <xsd:simpleType>
        <xsd:restriction base="dms:Text"/>
      </xsd:simpleType>
    </xsd:element>
    <xsd:element name="InstanceID" ma:index="61" nillable="true" ma:displayName="Instance ID" ma:hidden="true" ma:internalName="InstanceID" ma:readOnly="true">
      <xsd:simpleType>
        <xsd:restriction base="dms:Unknown"/>
      </xsd:simpleType>
    </xsd:element>
    <xsd:element name="Order" ma:index="62" nillable="true" ma:displayName="Order" ma:hidden="true" ma:internalName="Order">
      <xsd:simpleType>
        <xsd:restriction base="dms:Number"/>
      </xsd:simpleType>
    </xsd:element>
    <xsd:element name="GUID" ma:index="63" nillable="true" ma:displayName="GUID" ma:hidden="true" ma:internalName="GUID" ma:readOnly="true">
      <xsd:simpleType>
        <xsd:restriction base="dms:Unknown"/>
      </xsd:simpleType>
    </xsd:element>
    <xsd:element name="WorkflowVersion" ma:index="64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5" nillable="true" ma:displayName="Workflow Instance ID" ma:hidden="true" ma:internalName="WorkflowInstanceID" ma:readOnly="true">
      <xsd:simpleType>
        <xsd:restriction base="dms:Unknown"/>
      </xsd:simpleType>
    </xsd:element>
    <xsd:element name="DocConcurrencyNumber" ma:index="66" nillable="true" ma:displayName="Document Concurrency Number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a2679-1b9f-48ac-ae33-5bda0a63c326" elementFormDefault="qualified">
    <xsd:import namespace="http://schemas.microsoft.com/office/2006/documentManagement/types"/>
    <xsd:import namespace="http://schemas.microsoft.com/office/infopath/2007/PartnerControls"/>
    <xsd:element name="Comments0" ma:index="4" nillable="true" ma:displayName="Comments" ma:list="UserInfo" ma:internalName="Comments0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7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7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7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7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75" nillable="true" ma:displayName="Tags" ma:internalName="MediaServiceAutoTags" ma:readOnly="true">
      <xsd:simpleType>
        <xsd:restriction base="dms:Text"/>
      </xsd:simpleType>
    </xsd:element>
    <xsd:element name="MediaServiceOCR" ma:index="7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7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78" nillable="true" ma:displayName="MediaServiceEventHashCode" ma:hidden="true" ma:internalName="MediaServiceEventHashCode" ma:readOnly="true">
      <xsd:simpleType>
        <xsd:restriction base="dms:Text"/>
      </xsd:simpleType>
    </xsd:element>
    <xsd:element name="_x0065_ga9" ma:index="79" nillable="true" ma:displayName="Location" ma:internalName="_x0065_ga9">
      <xsd:simpleType>
        <xsd:restriction base="dms:Unknown"/>
      </xsd:simpleType>
    </xsd:element>
    <xsd:element name="c2deb277-99c9-4517-85e9-45a320167e73CountryOrRegion" ma:index="80" nillable="true" ma:displayName="Location: Country/Region" ma:internalName="CountryOrRegion" ma:readOnly="true">
      <xsd:simpleType>
        <xsd:restriction base="dms:Text"/>
      </xsd:simpleType>
    </xsd:element>
    <xsd:element name="c2deb277-99c9-4517-85e9-45a320167e73State" ma:index="81" nillable="true" ma:displayName="Location: State" ma:internalName="State" ma:readOnly="true">
      <xsd:simpleType>
        <xsd:restriction base="dms:Text"/>
      </xsd:simpleType>
    </xsd:element>
    <xsd:element name="c2deb277-99c9-4517-85e9-45a320167e73City" ma:index="82" nillable="true" ma:displayName="Location: City" ma:internalName="City" ma:readOnly="true">
      <xsd:simpleType>
        <xsd:restriction base="dms:Text"/>
      </xsd:simpleType>
    </xsd:element>
    <xsd:element name="c2deb277-99c9-4517-85e9-45a320167e73PostalCode" ma:index="83" nillable="true" ma:displayName="Location: Postal Code" ma:internalName="PostalCode" ma:readOnly="true">
      <xsd:simpleType>
        <xsd:restriction base="dms:Text"/>
      </xsd:simpleType>
    </xsd:element>
    <xsd:element name="c2deb277-99c9-4517-85e9-45a320167e73Street" ma:index="84" nillable="true" ma:displayName="Location: Street" ma:internalName="Street" ma:readOnly="true">
      <xsd:simpleType>
        <xsd:restriction base="dms:Text"/>
      </xsd:simpleType>
    </xsd:element>
    <xsd:element name="c2deb277-99c9-4517-85e9-45a320167e73GeoLoc" ma:index="85" nillable="true" ma:displayName="Location: Coordinates" ma:internalName="GeoLoc" ma:readOnly="true">
      <xsd:simpleType>
        <xsd:restriction base="dms:Unknown"/>
      </xsd:simpleType>
    </xsd:element>
    <xsd:element name="c2deb277-99c9-4517-85e9-45a320167e73DispName" ma:index="86" nillable="true" ma:displayName="Location: Name" ma:internalName="DispName" ma:readOnly="true">
      <xsd:simpleType>
        <xsd:restriction base="dms:Text"/>
      </xsd:simpleType>
    </xsd:element>
    <xsd:element name="MediaServiceDateTaken" ma:index="8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88" nillable="true" ma:displayName="Location" ma:internalName="MediaServiceLocation" ma:readOnly="true">
      <xsd:simpleType>
        <xsd:restriction base="dms:Text"/>
      </xsd:simpleType>
    </xsd:element>
    <xsd:element name="MediaLengthInSeconds" ma:index="8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91" nillable="true" ma:taxonomy="true" ma:internalName="lcf76f155ced4ddcb4097134ff3c332f" ma:taxonomyFieldName="MediaServiceImageTags" ma:displayName="Image Tags" ma:readOnly="false" ma:fieldId="{5cf76f15-5ced-4ddc-b409-7134ff3c332f}" ma:taxonomyMulti="true" ma:sspId="624e4aae-52c6-4312-be7a-0abed251c8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9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9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caa25-174b-43c5-b762-e6ec645a35f5" elementFormDefault="qualified">
    <xsd:import namespace="http://schemas.microsoft.com/office/2006/documentManagement/types"/>
    <xsd:import namespace="http://schemas.microsoft.com/office/infopath/2007/PartnerControls"/>
    <xsd:element name="SharedWithUsers" ma:index="6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7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92" nillable="true" ma:displayName="Taxonomy Catch All Column" ma:hidden="true" ma:list="{a95b61ec-87fc-45bd-bfb9-006159b7de09}" ma:internalName="TaxCatchAll" ma:showField="CatchAllData" ma:web="e03caa25-174b-43c5-b762-e6ec645a3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0x0101005DC0F70509D51C45ABE88F8924E3F4F1</ContentTypeId>
    <TemplateUrl xmlns="http://schemas.microsoft.com/sharepoint/v3" xsi:nil="true"/>
    <ID xmlns="http://schemas.microsoft.com/sharepoint/v3" xsi:nil="true"/>
    <_x0065_ga9 xmlns="11aa2679-1b9f-48ac-ae33-5bda0a63c326" xsi:nil="true"/>
    <Author xmlns="http://schemas.microsoft.com/sharepoint/v3">
      <UserInfo>
        <DisplayName/>
        <AccountId xsi:nil="true"/>
        <AccountType/>
      </UserInfo>
    </Author>
    <TaxCatchAll xmlns="e03caa25-174b-43c5-b762-e6ec645a35f5" xsi:nil="true"/>
    <_UIVersionString xmlns="http://schemas.microsoft.com/sharepoint/v3" xsi:nil="true"/>
    <_CopySource xmlns="http://schemas.microsoft.com/sharepoint/v3" xsi:nil="true"/>
    <_SourceUrl xmlns="http://schemas.microsoft.com/sharepoint/v3" xsi:nil="true"/>
    <lcf76f155ced4ddcb4097134ff3c332f xmlns="11aa2679-1b9f-48ac-ae33-5bda0a63c326">
      <Terms xmlns="http://schemas.microsoft.com/office/infopath/2007/PartnerControls"/>
    </lcf76f155ced4ddcb4097134ff3c332f>
    <Created_x0020_Date xmlns="http://schemas.microsoft.com/sharepoint/v3" xsi:nil="true"/>
    <Editor xmlns="http://schemas.microsoft.com/sharepoint/v3">
      <UserInfo>
        <DisplayName/>
        <AccountId xsi:nil="true"/>
        <AccountType/>
      </UserInfo>
    </Editor>
    <Comments0 xmlns="11aa2679-1b9f-48ac-ae33-5bda0a63c326">
      <UserInfo>
        <DisplayName/>
        <AccountId xsi:nil="true"/>
        <AccountType/>
      </UserInfo>
    </Comments0>
    <_HasCopyDestinations xmlns="http://schemas.microsoft.com/sharepoint/v3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D00089B-1222-4E82-90F0-AD08907A9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1aa2679-1b9f-48ac-ae33-5bda0a63c326"/>
    <ds:schemaRef ds:uri="e03caa25-174b-43c5-b762-e6ec645a3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94F3B1-F327-4C79-A527-A434F0E82A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61BFD3-D27D-4B15-84E2-7E020B423C0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1aa2679-1b9f-48ac-ae33-5bda0a63c326"/>
    <ds:schemaRef ds:uri="e03caa25-174b-43c5-b762-e6ec645a35f5"/>
  </ds:schemaRefs>
</ds:datastoreItem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Lower Columbia</vt:lpstr>
      <vt:lpstr>Bonneville-McNary</vt:lpstr>
    </vt:vector>
  </TitlesOfParts>
  <Company>Oregon Department of Fish and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 Jimmy W * ODFW</dc:creator>
  <cp:lastModifiedBy>Tom Sanborn</cp:lastModifiedBy>
  <dcterms:created xsi:type="dcterms:W3CDTF">2026-05-20T20:41:39Z</dcterms:created>
  <dcterms:modified xsi:type="dcterms:W3CDTF">2026-07-01T18:49:35Z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